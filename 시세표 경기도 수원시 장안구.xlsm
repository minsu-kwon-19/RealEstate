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송죽동" sheetId="6" state="visible" r:id="rId6"/>
    <sheet xmlns:r="http://schemas.openxmlformats.org/officeDocument/2006/relationships" name="연무동" sheetId="7" state="visible" r:id="rId7"/>
    <sheet xmlns:r="http://schemas.openxmlformats.org/officeDocument/2006/relationships" name="율전동" sheetId="8" state="visible" r:id="rId8"/>
    <sheet xmlns:r="http://schemas.openxmlformats.org/officeDocument/2006/relationships" name="이목동" sheetId="9" state="visible" r:id="rId9"/>
    <sheet xmlns:r="http://schemas.openxmlformats.org/officeDocument/2006/relationships" name="정자동" sheetId="10" state="visible" r:id="rId10"/>
    <sheet xmlns:r="http://schemas.openxmlformats.org/officeDocument/2006/relationships" name="조원동" sheetId="11" state="visible" r:id="rId11"/>
    <sheet xmlns:r="http://schemas.openxmlformats.org/officeDocument/2006/relationships" name="천천동" sheetId="12" state="visible" r:id="rId12"/>
    <sheet xmlns:r="http://schemas.openxmlformats.org/officeDocument/2006/relationships" name="파장동" sheetId="13" state="visible" r:id="rId13"/>
    <sheet xmlns:r="http://schemas.openxmlformats.org/officeDocument/2006/relationships" name="양식" sheetId="14" state="visible" r:id="rId14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'송죽동'!$1:$3</definedName>
    <definedName name="_xlnm.Print_Area" localSheetId="5">'송죽동'!$A$1:$U$6</definedName>
    <definedName name="_xlnm.Print_Titles" localSheetId="6">'연무동'!$1:$3</definedName>
    <definedName name="_xlnm.Print_Area" localSheetId="6">'연무동'!$A$1:$U$6</definedName>
    <definedName name="_xlnm.Print_Titles" localSheetId="7">'율전동'!$1:$3</definedName>
    <definedName name="_xlnm.Print_Area" localSheetId="7">'율전동'!$A$1:$U$6</definedName>
    <definedName name="_xlnm.Print_Titles" localSheetId="8">'이목동'!$1:$3</definedName>
    <definedName name="_xlnm.Print_Area" localSheetId="8">'이목동'!$A$1:$U$6</definedName>
    <definedName name="_xlnm.Print_Titles" localSheetId="9">'정자동'!$1:$3</definedName>
    <definedName name="_xlnm.Print_Area" localSheetId="9">'정자동'!$A$1:$U$6</definedName>
    <definedName name="_xlnm.Print_Titles" localSheetId="10">'조원동'!$1:$3</definedName>
    <definedName name="_xlnm.Print_Area" localSheetId="10">'조원동'!$A$1:$U$6</definedName>
    <definedName name="_xlnm.Print_Titles" localSheetId="11">'천천동'!$1:$3</definedName>
    <definedName name="_xlnm.Print_Area" localSheetId="11">'천천동'!$A$1:$U$6</definedName>
    <definedName name="_xlnm.Print_Titles" localSheetId="12">'파장동'!$1:$3</definedName>
    <definedName name="_xlnm.Print_Area" localSheetId="12">'파장동'!$A$1:$U$6</definedName>
    <definedName name="_xlnm.Print_Titles" localSheetId="13">'양식'!$1:$3</definedName>
    <definedName name="_xlnm.Print_Area" localSheetId="1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571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수원시 장안구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5708">
      <formula>18.1</formula>
    </cfRule>
    <cfRule type="cellIs" priority="69564" operator="lessThan" dxfId="5707">
      <formula>21.1</formula>
    </cfRule>
    <cfRule type="cellIs" priority="69565" operator="lessThan" dxfId="5706">
      <formula>24.1</formula>
    </cfRule>
    <cfRule type="cellIs" priority="69566" operator="lessThan" dxfId="1">
      <formula>30</formula>
    </cfRule>
    <cfRule type="cellIs" priority="69567" operator="lessThan" dxfId="570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87"/>
  <sheetViews>
    <sheetView zoomScaleNormal="100" workbookViewId="0">
      <selection activeCell="H14" sqref="H14"/>
    </sheetView>
  </sheetViews>
  <sheetFormatPr baseColWidth="8" defaultRowHeight="16.5"/>
  <sheetData>
    <row r="1">
      <c r="A1" s="0" t="inlineStr">
        <is>
          <t>[송죽동]</t>
        </is>
      </c>
      <c r="B1" s="0" t="n">
        <v>24622</v>
      </c>
      <c r="C1" s="0" t="n">
        <v>1</v>
      </c>
      <c r="D1" s="0" t="inlineStr">
        <is>
          <t>송죽프라자</t>
        </is>
      </c>
      <c r="E1" s="0" t="inlineStr">
        <is>
          <t>2002.06.</t>
        </is>
      </c>
      <c r="F1" s="0" t="n">
        <v>40</v>
      </c>
      <c r="G1" s="0" t="n">
        <v>33.25</v>
      </c>
      <c r="H1" s="0" t="n">
        <v>109.92</v>
      </c>
      <c r="I1" s="0" t="n">
        <v>25.46</v>
      </c>
      <c r="J1" s="0" t="n">
        <v>84.18000000000001</v>
      </c>
      <c r="K1" s="0" t="n">
        <v>8</v>
      </c>
      <c r="T1" s="0" t="n">
        <v>3</v>
      </c>
      <c r="U1" s="0" t="n">
        <v>2</v>
      </c>
      <c r="V1" s="0" t="inlineStr">
        <is>
          <t>계단식</t>
        </is>
      </c>
      <c r="W1" s="0" t="n">
        <v>109</v>
      </c>
      <c r="X1" s="0" t="n">
        <v>17</v>
      </c>
      <c r="Y1" s="0" t="n">
        <v>13</v>
      </c>
      <c r="Z1" s="0" t="inlineStr">
        <is>
          <t>https://new.land.naver.com/complexes/24622?tab=detail&amp;rf=Y</t>
        </is>
      </c>
      <c r="AA1" s="0" t="inlineStr">
        <is>
          <t>경기도 수원시 장안구 송죽동 395-1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장안구</t>
        </is>
      </c>
      <c r="AE1" s="0" t="inlineStr">
        <is>
          <t>송죽동</t>
        </is>
      </c>
      <c r="AG1" s="0" t="inlineStr">
        <is>
          <t>경기도 수원시 장안구 송원로 10</t>
        </is>
      </c>
      <c r="AH1" s="0" t="n">
        <v>0</v>
      </c>
      <c r="AI1" s="0" t="n">
        <v>542</v>
      </c>
      <c r="AJ1" s="0" t="n">
        <v>62</v>
      </c>
      <c r="AK1" s="0" t="n">
        <v>39</v>
      </c>
      <c r="AL1" s="0" t="n">
        <v>0.97</v>
      </c>
    </row>
    <row r="2">
      <c r="A2" s="0" t="inlineStr">
        <is>
          <t>[송죽동]</t>
        </is>
      </c>
      <c r="B2" s="0" t="n">
        <v>24622</v>
      </c>
      <c r="C2" s="0" t="n">
        <v>2</v>
      </c>
      <c r="D2" s="0" t="inlineStr">
        <is>
          <t>송죽프라자</t>
        </is>
      </c>
      <c r="E2" s="0" t="inlineStr">
        <is>
          <t>2002.06.</t>
        </is>
      </c>
      <c r="F2" s="0" t="n">
        <v>40</v>
      </c>
      <c r="G2" s="0" t="n">
        <v>38.9</v>
      </c>
      <c r="H2" s="0" t="n">
        <v>128.62</v>
      </c>
      <c r="I2" s="0" t="n">
        <v>29.79</v>
      </c>
      <c r="J2" s="0" t="n">
        <v>98.5</v>
      </c>
      <c r="K2" s="0" t="n">
        <v>32</v>
      </c>
      <c r="T2" s="0" t="n">
        <v>3</v>
      </c>
      <c r="U2" s="0" t="n">
        <v>2</v>
      </c>
      <c r="V2" s="0" t="inlineStr">
        <is>
          <t>계단식</t>
        </is>
      </c>
      <c r="W2" s="0" t="n">
        <v>128</v>
      </c>
      <c r="X2" s="0" t="n">
        <v>17</v>
      </c>
      <c r="Y2" s="0" t="n">
        <v>13</v>
      </c>
      <c r="Z2" s="0" t="inlineStr">
        <is>
          <t>https://new.land.naver.com/complexes/24622?tab=detail&amp;rf=Y</t>
        </is>
      </c>
      <c r="AA2" s="0" t="inlineStr">
        <is>
          <t>경기도 수원시 장안구 송죽동 395-1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장안구</t>
        </is>
      </c>
      <c r="AE2" s="0" t="inlineStr">
        <is>
          <t>송죽동</t>
        </is>
      </c>
      <c r="AG2" s="0" t="inlineStr">
        <is>
          <t>경기도 수원시 장안구 송원로 10</t>
        </is>
      </c>
      <c r="AH2" s="0" t="n">
        <v>0</v>
      </c>
      <c r="AI2" s="0" t="n">
        <v>542</v>
      </c>
      <c r="AJ2" s="0" t="n">
        <v>62</v>
      </c>
      <c r="AK2" s="0" t="n">
        <v>39</v>
      </c>
      <c r="AL2" s="0" t="n">
        <v>0.97</v>
      </c>
    </row>
    <row r="3">
      <c r="A3" s="0" t="inlineStr">
        <is>
          <t>[송죽동]</t>
        </is>
      </c>
      <c r="B3" s="0" t="n">
        <v>13403</v>
      </c>
      <c r="C3" s="0" t="n">
        <v>1</v>
      </c>
      <c r="D3" s="0" t="inlineStr">
        <is>
          <t>수원로얄팰리스</t>
        </is>
      </c>
      <c r="E3" s="0" t="inlineStr">
        <is>
          <t>2006.01.</t>
        </is>
      </c>
      <c r="F3" s="0" t="n">
        <v>614</v>
      </c>
      <c r="G3" s="0" t="n">
        <v>10.53</v>
      </c>
      <c r="H3" s="0" t="n">
        <v>34.84</v>
      </c>
      <c r="I3" s="0" t="n">
        <v>8.06</v>
      </c>
      <c r="J3" s="0" t="n">
        <v>26.65</v>
      </c>
      <c r="K3" s="0" t="n">
        <v>98</v>
      </c>
      <c r="T3" s="0" t="n">
        <v>1</v>
      </c>
      <c r="U3" s="0" t="n">
        <v>1</v>
      </c>
      <c r="V3" s="0" t="inlineStr">
        <is>
          <t>계단식</t>
        </is>
      </c>
      <c r="W3" s="0" t="inlineStr">
        <is>
          <t>34A</t>
        </is>
      </c>
      <c r="X3" s="0" t="n">
        <v>31</v>
      </c>
      <c r="Y3" s="0" t="n">
        <v>15</v>
      </c>
      <c r="Z3" s="0" t="inlineStr">
        <is>
          <t>https://new.land.naver.com/complexes/13403?tab=detail&amp;rf=Y</t>
        </is>
      </c>
      <c r="AA3" s="0" t="inlineStr">
        <is>
          <t>경기도 수원시 장안구 송죽동 514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장안구</t>
        </is>
      </c>
      <c r="AE3" s="0" t="inlineStr">
        <is>
          <t>송죽동</t>
        </is>
      </c>
      <c r="AG3" s="0" t="inlineStr">
        <is>
          <t>경기도 수원시 장안구 송정로 83</t>
        </is>
      </c>
      <c r="AH3" s="0" t="n">
        <v>0</v>
      </c>
      <c r="AI3" s="0" t="n">
        <v>431</v>
      </c>
      <c r="AJ3" s="0" t="n">
        <v>82</v>
      </c>
      <c r="AK3" s="0" t="n">
        <v>765</v>
      </c>
      <c r="AL3" s="0" t="n">
        <v>1.25</v>
      </c>
    </row>
    <row r="4">
      <c r="A4" s="0" t="inlineStr">
        <is>
          <t>[송죽동]</t>
        </is>
      </c>
      <c r="B4" s="0" t="n">
        <v>13403</v>
      </c>
      <c r="C4" s="0" t="n">
        <v>2</v>
      </c>
      <c r="D4" s="0" t="inlineStr">
        <is>
          <t>수원로얄팰리스</t>
        </is>
      </c>
      <c r="E4" s="0" t="inlineStr">
        <is>
          <t>2006.01.</t>
        </is>
      </c>
      <c r="F4" s="0" t="n">
        <v>614</v>
      </c>
      <c r="G4" s="0" t="n">
        <v>10.98</v>
      </c>
      <c r="H4" s="0" t="n">
        <v>36.3</v>
      </c>
      <c r="I4" s="0" t="n">
        <v>8.390000000000001</v>
      </c>
      <c r="J4" s="0" t="n">
        <v>27.76</v>
      </c>
      <c r="K4" s="0" t="n">
        <v>28</v>
      </c>
      <c r="T4" s="0" t="n">
        <v>1</v>
      </c>
      <c r="U4" s="0" t="n">
        <v>1</v>
      </c>
      <c r="V4" s="0" t="inlineStr">
        <is>
          <t>계단식</t>
        </is>
      </c>
      <c r="W4" s="0" t="inlineStr">
        <is>
          <t>36B</t>
        </is>
      </c>
      <c r="X4" s="0" t="n">
        <v>31</v>
      </c>
      <c r="Y4" s="0" t="n">
        <v>15</v>
      </c>
      <c r="Z4" s="0" t="inlineStr">
        <is>
          <t>https://new.land.naver.com/complexes/13403?tab=detail&amp;rf=Y</t>
        </is>
      </c>
      <c r="AA4" s="0" t="inlineStr">
        <is>
          <t>경기도 수원시 장안구 송죽동 514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장안구</t>
        </is>
      </c>
      <c r="AE4" s="0" t="inlineStr">
        <is>
          <t>송죽동</t>
        </is>
      </c>
      <c r="AG4" s="0" t="inlineStr">
        <is>
          <t>경기도 수원시 장안구 송정로 83</t>
        </is>
      </c>
      <c r="AH4" s="0" t="n">
        <v>0</v>
      </c>
      <c r="AI4" s="0" t="n">
        <v>431</v>
      </c>
      <c r="AJ4" s="0" t="n">
        <v>82</v>
      </c>
      <c r="AK4" s="0" t="n">
        <v>765</v>
      </c>
      <c r="AL4" s="0" t="n">
        <v>1.25</v>
      </c>
    </row>
    <row r="5">
      <c r="A5" s="0" t="inlineStr">
        <is>
          <t>[송죽동]</t>
        </is>
      </c>
      <c r="B5" s="0" t="n">
        <v>13403</v>
      </c>
      <c r="C5" s="0" t="n">
        <v>3</v>
      </c>
      <c r="D5" s="0" t="inlineStr">
        <is>
          <t>수원로얄팰리스</t>
        </is>
      </c>
      <c r="E5" s="0" t="inlineStr">
        <is>
          <t>2006.01.</t>
        </is>
      </c>
      <c r="F5" s="0" t="n">
        <v>614</v>
      </c>
      <c r="G5" s="0" t="n">
        <v>15.93</v>
      </c>
      <c r="H5" s="0" t="n">
        <v>52.67</v>
      </c>
      <c r="I5" s="0" t="n">
        <v>12.18</v>
      </c>
      <c r="J5" s="0" t="n">
        <v>40.28</v>
      </c>
      <c r="K5" s="0" t="n">
        <v>14</v>
      </c>
      <c r="T5" s="0" t="n">
        <v>2</v>
      </c>
      <c r="U5" s="0" t="n">
        <v>1</v>
      </c>
      <c r="V5" s="0" t="inlineStr">
        <is>
          <t>계단식</t>
        </is>
      </c>
      <c r="W5" s="0" t="n">
        <v>52</v>
      </c>
      <c r="X5" s="0" t="n">
        <v>31</v>
      </c>
      <c r="Y5" s="0" t="n">
        <v>15</v>
      </c>
      <c r="Z5" s="0" t="inlineStr">
        <is>
          <t>https://new.land.naver.com/complexes/13403?tab=detail&amp;rf=Y</t>
        </is>
      </c>
      <c r="AA5" s="0" t="inlineStr">
        <is>
          <t>경기도 수원시 장안구 송죽동 514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장안구</t>
        </is>
      </c>
      <c r="AE5" s="0" t="inlineStr">
        <is>
          <t>송죽동</t>
        </is>
      </c>
      <c r="AG5" s="0" t="inlineStr">
        <is>
          <t>경기도 수원시 장안구 송정로 83</t>
        </is>
      </c>
      <c r="AH5" s="0" t="n">
        <v>0</v>
      </c>
      <c r="AI5" s="0" t="n">
        <v>431</v>
      </c>
      <c r="AJ5" s="0" t="n">
        <v>82</v>
      </c>
      <c r="AK5" s="0" t="n">
        <v>765</v>
      </c>
      <c r="AL5" s="0" t="n">
        <v>1.25</v>
      </c>
    </row>
    <row r="6">
      <c r="A6" s="0" t="inlineStr">
        <is>
          <t>[송죽동]</t>
        </is>
      </c>
      <c r="B6" s="0" t="n">
        <v>13403</v>
      </c>
      <c r="C6" s="0" t="n">
        <v>4</v>
      </c>
      <c r="D6" s="0" t="inlineStr">
        <is>
          <t>수원로얄팰리스</t>
        </is>
      </c>
      <c r="E6" s="0" t="inlineStr">
        <is>
          <t>2006.01.</t>
        </is>
      </c>
      <c r="F6" s="0" t="n">
        <v>614</v>
      </c>
      <c r="G6" s="0" t="n">
        <v>21.36</v>
      </c>
      <c r="H6" s="0" t="n">
        <v>70.64</v>
      </c>
      <c r="I6" s="0" t="n">
        <v>16.33</v>
      </c>
      <c r="J6" s="0" t="n">
        <v>54.01</v>
      </c>
      <c r="K6" s="0" t="n">
        <v>70</v>
      </c>
      <c r="T6" s="0" t="n">
        <v>2</v>
      </c>
      <c r="U6" s="0" t="n">
        <v>1</v>
      </c>
      <c r="V6" s="0" t="inlineStr">
        <is>
          <t>계단식</t>
        </is>
      </c>
      <c r="W6" s="0" t="n">
        <v>70</v>
      </c>
      <c r="X6" s="0" t="n">
        <v>31</v>
      </c>
      <c r="Y6" s="0" t="n">
        <v>15</v>
      </c>
      <c r="Z6" s="0" t="inlineStr">
        <is>
          <t>https://new.land.naver.com/complexes/13403?tab=detail&amp;rf=Y</t>
        </is>
      </c>
      <c r="AA6" s="0" t="inlineStr">
        <is>
          <t>경기도 수원시 장안구 송죽동 514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장안구</t>
        </is>
      </c>
      <c r="AE6" s="0" t="inlineStr">
        <is>
          <t>송죽동</t>
        </is>
      </c>
      <c r="AG6" s="0" t="inlineStr">
        <is>
          <t>경기도 수원시 장안구 송정로 83</t>
        </is>
      </c>
      <c r="AH6" s="0" t="n">
        <v>0</v>
      </c>
      <c r="AI6" s="0" t="n">
        <v>431</v>
      </c>
      <c r="AJ6" s="0" t="n">
        <v>82</v>
      </c>
      <c r="AK6" s="0" t="n">
        <v>765</v>
      </c>
      <c r="AL6" s="0" t="n">
        <v>1.25</v>
      </c>
    </row>
    <row r="7">
      <c r="A7" s="0" t="inlineStr">
        <is>
          <t>[송죽동]</t>
        </is>
      </c>
      <c r="B7" s="0" t="n">
        <v>13403</v>
      </c>
      <c r="C7" s="0" t="n">
        <v>5</v>
      </c>
      <c r="D7" s="0" t="inlineStr">
        <is>
          <t>수원로얄팰리스</t>
        </is>
      </c>
      <c r="E7" s="0" t="inlineStr">
        <is>
          <t>2006.01.</t>
        </is>
      </c>
      <c r="F7" s="0" t="n">
        <v>614</v>
      </c>
      <c r="G7" s="0" t="n">
        <v>24.28</v>
      </c>
      <c r="H7" s="0" t="n">
        <v>80.27</v>
      </c>
      <c r="I7" s="0" t="n">
        <v>18.57</v>
      </c>
      <c r="J7" s="0" t="n">
        <v>61.39</v>
      </c>
      <c r="K7" s="0" t="n">
        <v>14</v>
      </c>
      <c r="T7" s="0" t="n">
        <v>2</v>
      </c>
      <c r="U7" s="0" t="n">
        <v>1</v>
      </c>
      <c r="V7" s="0" t="inlineStr">
        <is>
          <t>계단식</t>
        </is>
      </c>
      <c r="W7" s="0" t="n">
        <v>80</v>
      </c>
      <c r="X7" s="0" t="n">
        <v>31</v>
      </c>
      <c r="Y7" s="0" t="n">
        <v>15</v>
      </c>
      <c r="Z7" s="0" t="inlineStr">
        <is>
          <t>https://new.land.naver.com/complexes/13403?tab=detail&amp;rf=Y</t>
        </is>
      </c>
      <c r="AA7" s="0" t="inlineStr">
        <is>
          <t>경기도 수원시 장안구 송죽동 514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장안구</t>
        </is>
      </c>
      <c r="AE7" s="0" t="inlineStr">
        <is>
          <t>송죽동</t>
        </is>
      </c>
      <c r="AG7" s="0" t="inlineStr">
        <is>
          <t>경기도 수원시 장안구 송정로 83</t>
        </is>
      </c>
      <c r="AH7" s="0" t="n">
        <v>0</v>
      </c>
      <c r="AI7" s="0" t="n">
        <v>431</v>
      </c>
      <c r="AJ7" s="0" t="n">
        <v>82</v>
      </c>
      <c r="AK7" s="0" t="n">
        <v>765</v>
      </c>
      <c r="AL7" s="0" t="n">
        <v>1.25</v>
      </c>
    </row>
    <row r="8">
      <c r="A8" s="0" t="inlineStr">
        <is>
          <t>[송죽동]</t>
        </is>
      </c>
      <c r="B8" s="0" t="n">
        <v>13403</v>
      </c>
      <c r="C8" s="0" t="n">
        <v>6</v>
      </c>
      <c r="D8" s="0" t="inlineStr">
        <is>
          <t>수원로얄팰리스</t>
        </is>
      </c>
      <c r="E8" s="0" t="inlineStr">
        <is>
          <t>2006.01.</t>
        </is>
      </c>
      <c r="F8" s="0" t="n">
        <v>614</v>
      </c>
      <c r="G8" s="0" t="n">
        <v>33.61</v>
      </c>
      <c r="H8" s="0" t="n">
        <v>111.12</v>
      </c>
      <c r="I8" s="0" t="n">
        <v>25.7</v>
      </c>
      <c r="J8" s="0" t="n">
        <v>84.97</v>
      </c>
      <c r="K8" s="0" t="n">
        <v>290</v>
      </c>
      <c r="T8" s="0" t="n">
        <v>3</v>
      </c>
      <c r="U8" s="0" t="n">
        <v>2</v>
      </c>
      <c r="V8" s="0" t="inlineStr">
        <is>
          <t>계단식</t>
        </is>
      </c>
      <c r="W8" s="0" t="n">
        <v>111</v>
      </c>
      <c r="X8" s="0" t="n">
        <v>31</v>
      </c>
      <c r="Y8" s="0" t="n">
        <v>15</v>
      </c>
      <c r="Z8" s="0" t="inlineStr">
        <is>
          <t>https://new.land.naver.com/complexes/13403?tab=detail&amp;rf=Y</t>
        </is>
      </c>
      <c r="AA8" s="0" t="inlineStr">
        <is>
          <t>경기도 수원시 장안구 송죽동 514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장안구</t>
        </is>
      </c>
      <c r="AE8" s="0" t="inlineStr">
        <is>
          <t>송죽동</t>
        </is>
      </c>
      <c r="AG8" s="0" t="inlineStr">
        <is>
          <t>경기도 수원시 장안구 송정로 83</t>
        </is>
      </c>
      <c r="AH8" s="0" t="n">
        <v>0</v>
      </c>
      <c r="AI8" s="0" t="n">
        <v>431</v>
      </c>
      <c r="AJ8" s="0" t="n">
        <v>82</v>
      </c>
      <c r="AK8" s="0" t="n">
        <v>765</v>
      </c>
      <c r="AL8" s="0" t="n">
        <v>1.25</v>
      </c>
    </row>
    <row r="9">
      <c r="A9" s="0" t="inlineStr">
        <is>
          <t>[송죽동]</t>
        </is>
      </c>
      <c r="B9" s="0" t="n">
        <v>13403</v>
      </c>
      <c r="C9" s="0" t="n">
        <v>7</v>
      </c>
      <c r="D9" s="0" t="inlineStr">
        <is>
          <t>수원로얄팰리스</t>
        </is>
      </c>
      <c r="E9" s="0" t="inlineStr">
        <is>
          <t>2006.01.</t>
        </is>
      </c>
      <c r="F9" s="0" t="n">
        <v>614</v>
      </c>
      <c r="G9" s="0" t="n">
        <v>44.01</v>
      </c>
      <c r="H9" s="0" t="n">
        <v>145.51</v>
      </c>
      <c r="I9" s="0" t="n">
        <v>33.65</v>
      </c>
      <c r="J9" s="0" t="n">
        <v>111.26</v>
      </c>
      <c r="K9" s="0" t="n">
        <v>100</v>
      </c>
      <c r="T9" s="0" t="n">
        <v>4</v>
      </c>
      <c r="U9" s="0" t="n">
        <v>2</v>
      </c>
      <c r="V9" s="0" t="inlineStr">
        <is>
          <t>계단식</t>
        </is>
      </c>
      <c r="W9" s="0" t="n">
        <v>145</v>
      </c>
      <c r="X9" s="0" t="n">
        <v>31</v>
      </c>
      <c r="Y9" s="0" t="n">
        <v>15</v>
      </c>
      <c r="Z9" s="0" t="inlineStr">
        <is>
          <t>https://new.land.naver.com/complexes/13403?tab=detail&amp;rf=Y</t>
        </is>
      </c>
      <c r="AA9" s="0" t="inlineStr">
        <is>
          <t>경기도 수원시 장안구 송죽동 514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장안구</t>
        </is>
      </c>
      <c r="AE9" s="0" t="inlineStr">
        <is>
          <t>송죽동</t>
        </is>
      </c>
      <c r="AG9" s="0" t="inlineStr">
        <is>
          <t>경기도 수원시 장안구 송정로 83</t>
        </is>
      </c>
      <c r="AH9" s="0" t="n">
        <v>0</v>
      </c>
      <c r="AI9" s="0" t="n">
        <v>431</v>
      </c>
      <c r="AJ9" s="0" t="n">
        <v>82</v>
      </c>
      <c r="AK9" s="0" t="n">
        <v>765</v>
      </c>
      <c r="AL9" s="0" t="n">
        <v>1.25</v>
      </c>
    </row>
    <row r="10">
      <c r="A10" s="0" t="inlineStr">
        <is>
          <t>[송죽동]</t>
        </is>
      </c>
      <c r="B10" s="0" t="n">
        <v>25970</v>
      </c>
      <c r="C10" s="0" t="n">
        <v>1</v>
      </c>
      <c r="D10" s="0" t="inlineStr">
        <is>
          <t>웰가</t>
        </is>
      </c>
      <c r="E10" s="0" t="inlineStr">
        <is>
          <t>2007.09.</t>
        </is>
      </c>
      <c r="F10" s="0" t="n">
        <v>31</v>
      </c>
      <c r="G10" s="0" t="n">
        <v>30.54</v>
      </c>
      <c r="H10" s="0" t="n">
        <v>100.98</v>
      </c>
      <c r="I10" s="0" t="n">
        <v>25.15</v>
      </c>
      <c r="J10" s="0" t="n">
        <v>83.16</v>
      </c>
      <c r="K10" s="0" t="n">
        <v>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100A</t>
        </is>
      </c>
      <c r="X10" s="0" t="n">
        <v>12</v>
      </c>
      <c r="Y10" s="0" t="n">
        <v>10</v>
      </c>
      <c r="Z10" s="0" t="inlineStr">
        <is>
          <t>https://new.land.naver.com/complexes/25970?tab=detail&amp;rf=Y</t>
        </is>
      </c>
      <c r="AA10" s="0" t="inlineStr">
        <is>
          <t>경기도 수원시 장안구 송죽동 395-14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장안구</t>
        </is>
      </c>
      <c r="AE10" s="0" t="inlineStr">
        <is>
          <t>송죽동</t>
        </is>
      </c>
      <c r="AG10" s="0" t="inlineStr">
        <is>
          <t>경기도 수원시 장안구 송원로 8</t>
        </is>
      </c>
      <c r="AH10" s="0" t="n">
        <v>9</v>
      </c>
      <c r="AI10" s="0" t="n">
        <v>424</v>
      </c>
      <c r="AJ10" s="0" t="n">
        <v>69</v>
      </c>
      <c r="AK10" s="0" t="n">
        <v>32</v>
      </c>
      <c r="AL10" s="0" t="n">
        <v>1.03</v>
      </c>
    </row>
    <row r="11">
      <c r="A11" s="0" t="inlineStr">
        <is>
          <t>[송죽동]</t>
        </is>
      </c>
      <c r="B11" s="0" t="n">
        <v>25970</v>
      </c>
      <c r="C11" s="0" t="n">
        <v>2</v>
      </c>
      <c r="D11" s="0" t="inlineStr">
        <is>
          <t>웰가</t>
        </is>
      </c>
      <c r="E11" s="0" t="inlineStr">
        <is>
          <t>2007.09.</t>
        </is>
      </c>
      <c r="F11" s="0" t="n">
        <v>31</v>
      </c>
      <c r="G11" s="0" t="n">
        <v>31.04</v>
      </c>
      <c r="H11" s="0" t="n">
        <v>102.62</v>
      </c>
      <c r="I11" s="0" t="n">
        <v>25.56</v>
      </c>
      <c r="J11" s="0" t="n">
        <v>84.51000000000001</v>
      </c>
      <c r="K11" s="0" t="n">
        <v>22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102B</t>
        </is>
      </c>
      <c r="X11" s="0" t="n">
        <v>12</v>
      </c>
      <c r="Y11" s="0" t="n">
        <v>10</v>
      </c>
      <c r="Z11" s="0" t="inlineStr">
        <is>
          <t>https://new.land.naver.com/complexes/25970?tab=detail&amp;rf=Y</t>
        </is>
      </c>
      <c r="AA11" s="0" t="inlineStr">
        <is>
          <t>경기도 수원시 장안구 송죽동 395-14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장안구</t>
        </is>
      </c>
      <c r="AE11" s="0" t="inlineStr">
        <is>
          <t>송죽동</t>
        </is>
      </c>
      <c r="AG11" s="0" t="inlineStr">
        <is>
          <t>경기도 수원시 장안구 송원로 8</t>
        </is>
      </c>
      <c r="AH11" s="0" t="n">
        <v>9</v>
      </c>
      <c r="AI11" s="0" t="n">
        <v>424</v>
      </c>
      <c r="AJ11" s="0" t="n">
        <v>69</v>
      </c>
      <c r="AK11" s="0" t="n">
        <v>32</v>
      </c>
      <c r="AL11" s="0" t="n">
        <v>1.03</v>
      </c>
    </row>
    <row r="12">
      <c r="A12" s="0" t="inlineStr">
        <is>
          <t>[송죽동]</t>
        </is>
      </c>
      <c r="B12" s="0" t="n">
        <v>107682</v>
      </c>
      <c r="C12" s="0" t="n">
        <v>1</v>
      </c>
      <c r="D12" s="0" t="inlineStr">
        <is>
          <t>수원아너스빌위즈</t>
        </is>
      </c>
      <c r="E12" s="0" t="inlineStr">
        <is>
          <t>2017.04.</t>
        </is>
      </c>
      <c r="F12" s="0" t="n">
        <v>798</v>
      </c>
      <c r="G12" s="0" t="n">
        <v>26.02</v>
      </c>
      <c r="H12" s="0" t="n">
        <v>86.03</v>
      </c>
      <c r="I12" s="0" t="n">
        <v>18.14</v>
      </c>
      <c r="J12" s="0" t="n">
        <v>59.98</v>
      </c>
      <c r="K12" s="0" t="n">
        <v>150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86A1</t>
        </is>
      </c>
      <c r="X12" s="0" t="n">
        <v>45</v>
      </c>
      <c r="Y12" s="0" t="n">
        <v>35</v>
      </c>
      <c r="Z12" s="0" t="inlineStr">
        <is>
          <t>https://new.land.naver.com/complexes/107682?tab=detail&amp;rf=Y</t>
        </is>
      </c>
      <c r="AA12" s="0" t="inlineStr">
        <is>
          <t>경기도 수원시 장안구 송죽동 517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장안구</t>
        </is>
      </c>
      <c r="AE12" s="0" t="inlineStr">
        <is>
          <t>송죽동</t>
        </is>
      </c>
      <c r="AG12" s="0" t="inlineStr">
        <is>
          <t>경기도 수원시 장안구 송원로 20</t>
        </is>
      </c>
      <c r="AH12" s="0" t="n">
        <v>0</v>
      </c>
      <c r="AI12" s="0" t="n">
        <v>557</v>
      </c>
      <c r="AJ12" s="0" t="n">
        <v>29</v>
      </c>
      <c r="AK12" s="0" t="n">
        <v>1191</v>
      </c>
      <c r="AL12" s="0" t="n">
        <v>1.49</v>
      </c>
    </row>
    <row r="13">
      <c r="A13" s="0" t="inlineStr">
        <is>
          <t>[송죽동]</t>
        </is>
      </c>
      <c r="B13" s="0" t="n">
        <v>107682</v>
      </c>
      <c r="C13" s="0" t="n">
        <v>2</v>
      </c>
      <c r="D13" s="0" t="inlineStr">
        <is>
          <t>수원아너스빌위즈</t>
        </is>
      </c>
      <c r="E13" s="0" t="inlineStr">
        <is>
          <t>2017.04.</t>
        </is>
      </c>
      <c r="F13" s="0" t="n">
        <v>798</v>
      </c>
      <c r="G13" s="0" t="n">
        <v>26.02</v>
      </c>
      <c r="H13" s="0" t="n">
        <v>86.03</v>
      </c>
      <c r="I13" s="0" t="n">
        <v>18.14</v>
      </c>
      <c r="J13" s="0" t="n">
        <v>59.98</v>
      </c>
      <c r="K13" s="0" t="n">
        <v>10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86A2</t>
        </is>
      </c>
      <c r="X13" s="0" t="n">
        <v>45</v>
      </c>
      <c r="Y13" s="0" t="n">
        <v>35</v>
      </c>
      <c r="Z13" s="0" t="inlineStr">
        <is>
          <t>https://new.land.naver.com/complexes/107682?tab=detail&amp;rf=Y</t>
        </is>
      </c>
      <c r="AA13" s="0" t="inlineStr">
        <is>
          <t>경기도 수원시 장안구 송죽동 517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장안구</t>
        </is>
      </c>
      <c r="AE13" s="0" t="inlineStr">
        <is>
          <t>송죽동</t>
        </is>
      </c>
      <c r="AG13" s="0" t="inlineStr">
        <is>
          <t>경기도 수원시 장안구 송원로 20</t>
        </is>
      </c>
      <c r="AH13" s="0" t="n">
        <v>0</v>
      </c>
      <c r="AI13" s="0" t="n">
        <v>557</v>
      </c>
      <c r="AJ13" s="0" t="n">
        <v>29</v>
      </c>
      <c r="AK13" s="0" t="n">
        <v>1191</v>
      </c>
      <c r="AL13" s="0" t="n">
        <v>1.49</v>
      </c>
    </row>
    <row r="14">
      <c r="A14" s="0" t="inlineStr">
        <is>
          <t>[송죽동]</t>
        </is>
      </c>
      <c r="B14" s="0" t="n">
        <v>107682</v>
      </c>
      <c r="C14" s="0" t="n">
        <v>3</v>
      </c>
      <c r="D14" s="0" t="inlineStr">
        <is>
          <t>수원아너스빌위즈</t>
        </is>
      </c>
      <c r="E14" s="0" t="inlineStr">
        <is>
          <t>2017.04.</t>
        </is>
      </c>
      <c r="F14" s="0" t="n">
        <v>798</v>
      </c>
      <c r="G14" s="0" t="n">
        <v>36.19</v>
      </c>
      <c r="H14" s="0" t="n">
        <v>119.65</v>
      </c>
      <c r="I14" s="0" t="n">
        <v>25.7</v>
      </c>
      <c r="J14" s="0" t="n">
        <v>84.97</v>
      </c>
      <c r="K14" s="0" t="n">
        <v>152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119C</t>
        </is>
      </c>
      <c r="X14" s="0" t="n">
        <v>45</v>
      </c>
      <c r="Y14" s="0" t="n">
        <v>35</v>
      </c>
      <c r="Z14" s="0" t="inlineStr">
        <is>
          <t>https://new.land.naver.com/complexes/107682?tab=detail&amp;rf=Y</t>
        </is>
      </c>
      <c r="AA14" s="0" t="inlineStr">
        <is>
          <t>경기도 수원시 장안구 송죽동 517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장안구</t>
        </is>
      </c>
      <c r="AE14" s="0" t="inlineStr">
        <is>
          <t>송죽동</t>
        </is>
      </c>
      <c r="AG14" s="0" t="inlineStr">
        <is>
          <t>경기도 수원시 장안구 송원로 20</t>
        </is>
      </c>
      <c r="AH14" s="0" t="n">
        <v>0</v>
      </c>
      <c r="AI14" s="0" t="n">
        <v>557</v>
      </c>
      <c r="AJ14" s="0" t="n">
        <v>29</v>
      </c>
      <c r="AK14" s="0" t="n">
        <v>1191</v>
      </c>
      <c r="AL14" s="0" t="n">
        <v>1.49</v>
      </c>
    </row>
    <row r="15">
      <c r="A15" s="0" t="inlineStr">
        <is>
          <t>[송죽동]</t>
        </is>
      </c>
      <c r="B15" s="0" t="n">
        <v>107682</v>
      </c>
      <c r="C15" s="0" t="n">
        <v>4</v>
      </c>
      <c r="D15" s="0" t="inlineStr">
        <is>
          <t>수원아너스빌위즈</t>
        </is>
      </c>
      <c r="E15" s="0" t="inlineStr">
        <is>
          <t>2017.04.</t>
        </is>
      </c>
      <c r="F15" s="0" t="n">
        <v>798</v>
      </c>
      <c r="G15" s="0" t="n">
        <v>36.21</v>
      </c>
      <c r="H15" s="0" t="n">
        <v>119.71</v>
      </c>
      <c r="I15" s="0" t="n">
        <v>25.68</v>
      </c>
      <c r="J15" s="0" t="n">
        <v>84.91</v>
      </c>
      <c r="K15" s="0" t="n">
        <v>148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119A</t>
        </is>
      </c>
      <c r="X15" s="0" t="n">
        <v>45</v>
      </c>
      <c r="Y15" s="0" t="n">
        <v>35</v>
      </c>
      <c r="Z15" s="0" t="inlineStr">
        <is>
          <t>https://new.land.naver.com/complexes/107682?tab=detail&amp;rf=Y</t>
        </is>
      </c>
      <c r="AA15" s="0" t="inlineStr">
        <is>
          <t>경기도 수원시 장안구 송죽동 517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장안구</t>
        </is>
      </c>
      <c r="AE15" s="0" t="inlineStr">
        <is>
          <t>송죽동</t>
        </is>
      </c>
      <c r="AG15" s="0" t="inlineStr">
        <is>
          <t>경기도 수원시 장안구 송원로 20</t>
        </is>
      </c>
      <c r="AH15" s="0" t="n">
        <v>0</v>
      </c>
      <c r="AI15" s="0" t="n">
        <v>557</v>
      </c>
      <c r="AJ15" s="0" t="n">
        <v>29</v>
      </c>
      <c r="AK15" s="0" t="n">
        <v>1191</v>
      </c>
      <c r="AL15" s="0" t="n">
        <v>1.49</v>
      </c>
    </row>
    <row r="16">
      <c r="A16" s="0" t="inlineStr">
        <is>
          <t>[송죽동]</t>
        </is>
      </c>
      <c r="B16" s="0" t="n">
        <v>107682</v>
      </c>
      <c r="C16" s="0" t="n">
        <v>5</v>
      </c>
      <c r="D16" s="0" t="inlineStr">
        <is>
          <t>수원아너스빌위즈</t>
        </is>
      </c>
      <c r="E16" s="0" t="inlineStr">
        <is>
          <t>2017.04.</t>
        </is>
      </c>
      <c r="F16" s="0" t="n">
        <v>798</v>
      </c>
      <c r="G16" s="0" t="n">
        <v>36.3</v>
      </c>
      <c r="H16" s="0" t="n">
        <v>120.03</v>
      </c>
      <c r="I16" s="0" t="n">
        <v>25.7</v>
      </c>
      <c r="J16" s="0" t="n">
        <v>84.95999999999999</v>
      </c>
      <c r="K16" s="0" t="n">
        <v>148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120B1</t>
        </is>
      </c>
      <c r="X16" s="0" t="n">
        <v>45</v>
      </c>
      <c r="Y16" s="0" t="n">
        <v>35</v>
      </c>
      <c r="Z16" s="0" t="inlineStr">
        <is>
          <t>https://new.land.naver.com/complexes/107682?tab=detail&amp;rf=Y</t>
        </is>
      </c>
      <c r="AA16" s="0" t="inlineStr">
        <is>
          <t>경기도 수원시 장안구 송죽동 517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장안구</t>
        </is>
      </c>
      <c r="AE16" s="0" t="inlineStr">
        <is>
          <t>송죽동</t>
        </is>
      </c>
      <c r="AG16" s="0" t="inlineStr">
        <is>
          <t>경기도 수원시 장안구 송원로 20</t>
        </is>
      </c>
      <c r="AH16" s="0" t="n">
        <v>0</v>
      </c>
      <c r="AI16" s="0" t="n">
        <v>557</v>
      </c>
      <c r="AJ16" s="0" t="n">
        <v>29</v>
      </c>
      <c r="AK16" s="0" t="n">
        <v>1191</v>
      </c>
      <c r="AL16" s="0" t="n">
        <v>1.49</v>
      </c>
    </row>
    <row r="17">
      <c r="A17" s="0" t="inlineStr">
        <is>
          <t>[송죽동]</t>
        </is>
      </c>
      <c r="B17" s="0" t="n">
        <v>107682</v>
      </c>
      <c r="C17" s="0" t="n">
        <v>6</v>
      </c>
      <c r="D17" s="0" t="inlineStr">
        <is>
          <t>수원아너스빌위즈</t>
        </is>
      </c>
      <c r="E17" s="0" t="inlineStr">
        <is>
          <t>2017.04.</t>
        </is>
      </c>
      <c r="F17" s="0" t="n">
        <v>798</v>
      </c>
      <c r="G17" s="0" t="n">
        <v>36.3</v>
      </c>
      <c r="H17" s="0" t="n">
        <v>120.03</v>
      </c>
      <c r="I17" s="0" t="n">
        <v>25.7</v>
      </c>
      <c r="J17" s="0" t="n">
        <v>84.95999999999999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120B2</t>
        </is>
      </c>
      <c r="X17" s="0" t="n">
        <v>45</v>
      </c>
      <c r="Y17" s="0" t="n">
        <v>35</v>
      </c>
      <c r="Z17" s="0" t="inlineStr">
        <is>
          <t>https://new.land.naver.com/complexes/107682?tab=detail&amp;rf=Y</t>
        </is>
      </c>
      <c r="AA17" s="0" t="inlineStr">
        <is>
          <t>경기도 수원시 장안구 송죽동 517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장안구</t>
        </is>
      </c>
      <c r="AE17" s="0" t="inlineStr">
        <is>
          <t>송죽동</t>
        </is>
      </c>
      <c r="AG17" s="0" t="inlineStr">
        <is>
          <t>경기도 수원시 장안구 송원로 20</t>
        </is>
      </c>
      <c r="AH17" s="0" t="n">
        <v>0</v>
      </c>
      <c r="AI17" s="0" t="n">
        <v>557</v>
      </c>
      <c r="AJ17" s="0" t="n">
        <v>29</v>
      </c>
      <c r="AK17" s="0" t="n">
        <v>1191</v>
      </c>
      <c r="AL17" s="0" t="n">
        <v>1.49</v>
      </c>
    </row>
    <row r="18">
      <c r="A18" s="0" t="inlineStr">
        <is>
          <t>[송죽동]</t>
        </is>
      </c>
      <c r="B18" s="0" t="n">
        <v>107682</v>
      </c>
      <c r="C18" s="0" t="n">
        <v>7</v>
      </c>
      <c r="D18" s="0" t="inlineStr">
        <is>
          <t>수원아너스빌위즈</t>
        </is>
      </c>
      <c r="E18" s="0" t="inlineStr">
        <is>
          <t>2017.04.</t>
        </is>
      </c>
      <c r="F18" s="0" t="n">
        <v>798</v>
      </c>
      <c r="G18" s="0" t="n">
        <v>42.83</v>
      </c>
      <c r="H18" s="0" t="n">
        <v>141.59</v>
      </c>
      <c r="I18" s="0" t="n">
        <v>30.43</v>
      </c>
      <c r="J18" s="0" t="n">
        <v>100.61</v>
      </c>
      <c r="K18" s="0" t="n">
        <v>160</v>
      </c>
      <c r="T18" s="0" t="n">
        <v>4</v>
      </c>
      <c r="U18" s="0" t="n">
        <v>2</v>
      </c>
      <c r="V18" s="0" t="inlineStr">
        <is>
          <t>계단식</t>
        </is>
      </c>
      <c r="W18" s="0" t="inlineStr">
        <is>
          <t>141A</t>
        </is>
      </c>
      <c r="X18" s="0" t="n">
        <v>45</v>
      </c>
      <c r="Y18" s="0" t="n">
        <v>35</v>
      </c>
      <c r="Z18" s="0" t="inlineStr">
        <is>
          <t>https://new.land.naver.com/complexes/107682?tab=detail&amp;rf=Y</t>
        </is>
      </c>
      <c r="AA18" s="0" t="inlineStr">
        <is>
          <t>경기도 수원시 장안구 송죽동 517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장안구</t>
        </is>
      </c>
      <c r="AE18" s="0" t="inlineStr">
        <is>
          <t>송죽동</t>
        </is>
      </c>
      <c r="AG18" s="0" t="inlineStr">
        <is>
          <t>경기도 수원시 장안구 송원로 20</t>
        </is>
      </c>
      <c r="AH18" s="0" t="n">
        <v>0</v>
      </c>
      <c r="AI18" s="0" t="n">
        <v>557</v>
      </c>
      <c r="AJ18" s="0" t="n">
        <v>29</v>
      </c>
      <c r="AK18" s="0" t="n">
        <v>1191</v>
      </c>
      <c r="AL18" s="0" t="n">
        <v>1.49</v>
      </c>
    </row>
    <row r="19">
      <c r="A19" s="0" t="inlineStr">
        <is>
          <t>[송죽동]</t>
        </is>
      </c>
      <c r="B19" s="0" t="n">
        <v>107682</v>
      </c>
      <c r="C19" s="0" t="n">
        <v>8</v>
      </c>
      <c r="D19" s="0" t="inlineStr">
        <is>
          <t>수원아너스빌위즈</t>
        </is>
      </c>
      <c r="E19" s="0" t="inlineStr">
        <is>
          <t>2017.04.</t>
        </is>
      </c>
      <c r="F19" s="0" t="n">
        <v>798</v>
      </c>
      <c r="G19" s="0" t="n">
        <v>54.18</v>
      </c>
      <c r="H19" s="0" t="n">
        <v>179.11</v>
      </c>
      <c r="I19" s="0" t="n">
        <v>38.78</v>
      </c>
      <c r="J19" s="0" t="n">
        <v>128.2</v>
      </c>
      <c r="K19" s="0" t="n">
        <v>10</v>
      </c>
      <c r="T19" s="0" t="n">
        <v>4</v>
      </c>
      <c r="U19" s="0" t="n">
        <v>2</v>
      </c>
      <c r="V19" s="0" t="inlineStr">
        <is>
          <t>계단식</t>
        </is>
      </c>
      <c r="W19" s="0" t="inlineStr">
        <is>
          <t>179A</t>
        </is>
      </c>
      <c r="X19" s="0" t="n">
        <v>45</v>
      </c>
      <c r="Y19" s="0" t="n">
        <v>35</v>
      </c>
      <c r="Z19" s="0" t="inlineStr">
        <is>
          <t>https://new.land.naver.com/complexes/107682?tab=detail&amp;rf=Y</t>
        </is>
      </c>
      <c r="AA19" s="0" t="inlineStr">
        <is>
          <t>경기도 수원시 장안구 송죽동 517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장안구</t>
        </is>
      </c>
      <c r="AE19" s="0" t="inlineStr">
        <is>
          <t>송죽동</t>
        </is>
      </c>
      <c r="AG19" s="0" t="inlineStr">
        <is>
          <t>경기도 수원시 장안구 송원로 20</t>
        </is>
      </c>
      <c r="AH19" s="0" t="n">
        <v>0</v>
      </c>
      <c r="AI19" s="0" t="n">
        <v>557</v>
      </c>
      <c r="AJ19" s="0" t="n">
        <v>29</v>
      </c>
      <c r="AK19" s="0" t="n">
        <v>1191</v>
      </c>
      <c r="AL19" s="0" t="n">
        <v>1.49</v>
      </c>
    </row>
    <row r="20">
      <c r="A20" s="0" t="inlineStr">
        <is>
          <t>[송죽동]</t>
        </is>
      </c>
      <c r="B20" s="0" t="n">
        <v>17764</v>
      </c>
      <c r="C20" s="0" t="n">
        <v>1</v>
      </c>
      <c r="D20" s="0" t="inlineStr">
        <is>
          <t>희훈루체팰리스</t>
        </is>
      </c>
      <c r="E20" s="0" t="inlineStr">
        <is>
          <t>2005.12.</t>
        </is>
      </c>
      <c r="F20" s="0" t="n">
        <v>176</v>
      </c>
      <c r="G20" s="0" t="n">
        <v>32.63</v>
      </c>
      <c r="H20" s="0" t="n">
        <v>107.87</v>
      </c>
      <c r="I20" s="0" t="n">
        <v>25.67</v>
      </c>
      <c r="J20" s="0" t="n">
        <v>84.86</v>
      </c>
      <c r="K20" s="0" t="n">
        <v>140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12</v>
      </c>
      <c r="Z20" s="0" t="inlineStr">
        <is>
          <t>https://new.land.naver.com/complexes/17764?tab=detail&amp;rf=Y</t>
        </is>
      </c>
      <c r="AA20" s="0" t="inlineStr">
        <is>
          <t>경기도 수원시 장안구 송죽동 513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장안구</t>
        </is>
      </c>
      <c r="AE20" s="0" t="inlineStr">
        <is>
          <t>송죽동</t>
        </is>
      </c>
      <c r="AG20" s="0" t="inlineStr">
        <is>
          <t>경기도 수원시 장안구 경수대로994번길 46</t>
        </is>
      </c>
      <c r="AH20" s="0" t="n">
        <v>0</v>
      </c>
      <c r="AI20" s="0" t="n">
        <v>229</v>
      </c>
      <c r="AJ20" s="0" t="n">
        <v>22</v>
      </c>
      <c r="AK20" s="0" t="n">
        <v>176</v>
      </c>
      <c r="AL20" s="0" t="n">
        <v>1</v>
      </c>
    </row>
    <row r="21">
      <c r="A21" s="0" t="inlineStr">
        <is>
          <t>[송죽동]</t>
        </is>
      </c>
      <c r="B21" s="0" t="n">
        <v>17764</v>
      </c>
      <c r="C21" s="0" t="n">
        <v>2</v>
      </c>
      <c r="D21" s="0" t="inlineStr">
        <is>
          <t>희훈루체팰리스</t>
        </is>
      </c>
      <c r="E21" s="0" t="inlineStr">
        <is>
          <t>2005.12.</t>
        </is>
      </c>
      <c r="F21" s="0" t="n">
        <v>176</v>
      </c>
      <c r="G21" s="0" t="n">
        <v>32.63</v>
      </c>
      <c r="H21" s="0" t="n">
        <v>107.87</v>
      </c>
      <c r="I21" s="0" t="n">
        <v>25.67</v>
      </c>
      <c r="J21" s="0" t="n">
        <v>84.86</v>
      </c>
      <c r="K21" s="0" t="n">
        <v>11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107B</t>
        </is>
      </c>
      <c r="X21" s="0" t="n">
        <v>15</v>
      </c>
      <c r="Y21" s="0" t="n">
        <v>12</v>
      </c>
      <c r="Z21" s="0" t="inlineStr">
        <is>
          <t>https://new.land.naver.com/complexes/17764?tab=detail&amp;rf=Y</t>
        </is>
      </c>
      <c r="AA21" s="0" t="inlineStr">
        <is>
          <t>경기도 수원시 장안구 송죽동 513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장안구</t>
        </is>
      </c>
      <c r="AE21" s="0" t="inlineStr">
        <is>
          <t>송죽동</t>
        </is>
      </c>
      <c r="AG21" s="0" t="inlineStr">
        <is>
          <t>경기도 수원시 장안구 경수대로994번길 46</t>
        </is>
      </c>
      <c r="AH21" s="0" t="n">
        <v>0</v>
      </c>
      <c r="AI21" s="0" t="n">
        <v>229</v>
      </c>
      <c r="AJ21" s="0" t="n">
        <v>22</v>
      </c>
      <c r="AK21" s="0" t="n">
        <v>176</v>
      </c>
      <c r="AL21" s="0" t="n">
        <v>1</v>
      </c>
    </row>
    <row r="22">
      <c r="A22" s="0" t="inlineStr">
        <is>
          <t>[송죽동]</t>
        </is>
      </c>
      <c r="B22" s="0" t="n">
        <v>17764</v>
      </c>
      <c r="C22" s="0" t="n">
        <v>3</v>
      </c>
      <c r="D22" s="0" t="inlineStr">
        <is>
          <t>희훈루체팰리스</t>
        </is>
      </c>
      <c r="E22" s="0" t="inlineStr">
        <is>
          <t>2005.12.</t>
        </is>
      </c>
      <c r="F22" s="0" t="n">
        <v>176</v>
      </c>
      <c r="G22" s="0" t="n">
        <v>33.15</v>
      </c>
      <c r="H22" s="0" t="n">
        <v>109.6</v>
      </c>
      <c r="I22" s="0" t="n">
        <v>25.59</v>
      </c>
      <c r="J22" s="0" t="n">
        <v>84.62</v>
      </c>
      <c r="K22" s="0" t="n">
        <v>13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109D</t>
        </is>
      </c>
      <c r="X22" s="0" t="n">
        <v>15</v>
      </c>
      <c r="Y22" s="0" t="n">
        <v>12</v>
      </c>
      <c r="Z22" s="0" t="inlineStr">
        <is>
          <t>https://new.land.naver.com/complexes/17764?tab=detail&amp;rf=Y</t>
        </is>
      </c>
      <c r="AA22" s="0" t="inlineStr">
        <is>
          <t>경기도 수원시 장안구 송죽동 513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장안구</t>
        </is>
      </c>
      <c r="AE22" s="0" t="inlineStr">
        <is>
          <t>송죽동</t>
        </is>
      </c>
      <c r="AG22" s="0" t="inlineStr">
        <is>
          <t>경기도 수원시 장안구 경수대로994번길 46</t>
        </is>
      </c>
      <c r="AH22" s="0" t="n">
        <v>0</v>
      </c>
      <c r="AI22" s="0" t="n">
        <v>229</v>
      </c>
      <c r="AJ22" s="0" t="n">
        <v>22</v>
      </c>
      <c r="AK22" s="0" t="n">
        <v>176</v>
      </c>
      <c r="AL22" s="0" t="n">
        <v>1</v>
      </c>
    </row>
    <row r="23">
      <c r="A23" s="0" t="inlineStr">
        <is>
          <t>[송죽동]</t>
        </is>
      </c>
      <c r="B23" s="0" t="n">
        <v>17764</v>
      </c>
      <c r="C23" s="0" t="n">
        <v>4</v>
      </c>
      <c r="D23" s="0" t="inlineStr">
        <is>
          <t>희훈루체팰리스</t>
        </is>
      </c>
      <c r="E23" s="0" t="inlineStr">
        <is>
          <t>2005.12.</t>
        </is>
      </c>
      <c r="F23" s="0" t="n">
        <v>176</v>
      </c>
      <c r="G23" s="0" t="n">
        <v>33.18</v>
      </c>
      <c r="H23" s="0" t="n">
        <v>109.69</v>
      </c>
      <c r="I23" s="0" t="n">
        <v>25.67</v>
      </c>
      <c r="J23" s="0" t="n">
        <v>84.89</v>
      </c>
      <c r="K23" s="0" t="n">
        <v>12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109C</t>
        </is>
      </c>
      <c r="X23" s="0" t="n">
        <v>15</v>
      </c>
      <c r="Y23" s="0" t="n">
        <v>12</v>
      </c>
      <c r="Z23" s="0" t="inlineStr">
        <is>
          <t>https://new.land.naver.com/complexes/17764?tab=detail&amp;rf=Y</t>
        </is>
      </c>
      <c r="AA23" s="0" t="inlineStr">
        <is>
          <t>경기도 수원시 장안구 송죽동 513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장안구</t>
        </is>
      </c>
      <c r="AE23" s="0" t="inlineStr">
        <is>
          <t>송죽동</t>
        </is>
      </c>
      <c r="AG23" s="0" t="inlineStr">
        <is>
          <t>경기도 수원시 장안구 경수대로994번길 46</t>
        </is>
      </c>
      <c r="AH23" s="0" t="n">
        <v>0</v>
      </c>
      <c r="AI23" s="0" t="n">
        <v>229</v>
      </c>
      <c r="AJ23" s="0" t="n">
        <v>22</v>
      </c>
      <c r="AK23" s="0" t="n">
        <v>176</v>
      </c>
      <c r="AL23" s="0" t="n">
        <v>1</v>
      </c>
    </row>
    <row r="24">
      <c r="A24" s="0" t="inlineStr">
        <is>
          <t>[송죽동]</t>
        </is>
      </c>
      <c r="B24" s="0" t="n">
        <v>132411</v>
      </c>
      <c r="C24" s="0" t="n">
        <v>1</v>
      </c>
      <c r="D24" s="0" t="inlineStr">
        <is>
          <t>삼아</t>
        </is>
      </c>
      <c r="E24" s="0" t="inlineStr">
        <is>
          <t>1985.04.</t>
        </is>
      </c>
      <c r="F24" s="0" t="n">
        <v>16</v>
      </c>
      <c r="G24" s="0" t="n">
        <v>22.65</v>
      </c>
      <c r="H24" s="0" t="n">
        <v>74.89</v>
      </c>
      <c r="I24" s="0" t="n">
        <v>16.57</v>
      </c>
      <c r="J24" s="0" t="n">
        <v>54.8</v>
      </c>
      <c r="K24" s="0" t="n">
        <v>16</v>
      </c>
      <c r="T24" s="0" t="n">
        <v>3</v>
      </c>
      <c r="U24" s="0" t="n">
        <v>1</v>
      </c>
      <c r="V24" s="0" t="inlineStr">
        <is>
          <t>복도식</t>
        </is>
      </c>
      <c r="W24" s="0" t="n">
        <v>74</v>
      </c>
      <c r="X24" s="0" t="n">
        <v>4</v>
      </c>
      <c r="Y24" s="0" t="n">
        <v>4</v>
      </c>
      <c r="Z24" s="0" t="inlineStr">
        <is>
          <t>https://new.land.naver.com/complexes/132411?tab=detail&amp;rf=Y</t>
        </is>
      </c>
      <c r="AA24" s="0" t="inlineStr">
        <is>
          <t>경기도 수원시 장안구 송죽동 377-12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장안구</t>
        </is>
      </c>
      <c r="AE24" s="0" t="inlineStr">
        <is>
          <t>송죽동</t>
        </is>
      </c>
      <c r="AG24" s="0" t="inlineStr">
        <is>
          <t>경기도 수원시 장안구 정조로1041번길 12-2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[송죽동]</t>
        </is>
      </c>
      <c r="B25" s="0" t="n">
        <v>2689</v>
      </c>
      <c r="C25" s="0" t="n">
        <v>1</v>
      </c>
      <c r="D25" s="0" t="inlineStr">
        <is>
          <t>선경아트빌</t>
        </is>
      </c>
      <c r="E25" s="0" t="inlineStr">
        <is>
          <t>1993.12.</t>
        </is>
      </c>
      <c r="F25" s="0" t="n">
        <v>68</v>
      </c>
      <c r="G25" s="0" t="n">
        <v>22.32</v>
      </c>
      <c r="H25" s="0" t="n">
        <v>73.79000000000001</v>
      </c>
      <c r="I25" s="0" t="n">
        <v>17.9</v>
      </c>
      <c r="J25" s="0" t="n">
        <v>59.18</v>
      </c>
      <c r="K25" s="0" t="n">
        <v>24</v>
      </c>
      <c r="T25" s="0" t="n">
        <v>2</v>
      </c>
      <c r="U25" s="0" t="n">
        <v>1</v>
      </c>
      <c r="V25" s="0" t="inlineStr">
        <is>
          <t>계단식</t>
        </is>
      </c>
      <c r="W25" s="0" t="n">
        <v>73</v>
      </c>
      <c r="X25" s="0" t="n">
        <v>12</v>
      </c>
      <c r="Y25" s="0" t="n">
        <v>10</v>
      </c>
      <c r="Z25" s="0" t="inlineStr">
        <is>
          <t>https://new.land.naver.com/complexes/2689?tab=detail&amp;rf=Y</t>
        </is>
      </c>
      <c r="AA25" s="0" t="inlineStr">
        <is>
          <t>경기도 수원시 장안구 송죽동 461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장안구</t>
        </is>
      </c>
      <c r="AE25" s="0" t="inlineStr">
        <is>
          <t>송죽동</t>
        </is>
      </c>
      <c r="AG25" s="0" t="inlineStr">
        <is>
          <t>경기도 수원시 장안구 정조로1074번길 16</t>
        </is>
      </c>
      <c r="AH25" s="0" t="n">
        <v>0</v>
      </c>
      <c r="AI25" s="0" t="n">
        <v>182</v>
      </c>
      <c r="AJ25" s="0" t="n">
        <v>20</v>
      </c>
      <c r="AK25" s="0" t="n">
        <v>44</v>
      </c>
      <c r="AL25" s="0" t="n">
        <v>0.65</v>
      </c>
    </row>
    <row r="26">
      <c r="A26" s="0" t="inlineStr">
        <is>
          <t>[송죽동]</t>
        </is>
      </c>
      <c r="B26" s="0" t="n">
        <v>2689</v>
      </c>
      <c r="C26" s="0" t="n">
        <v>2</v>
      </c>
      <c r="D26" s="0" t="inlineStr">
        <is>
          <t>선경아트빌</t>
        </is>
      </c>
      <c r="E26" s="0" t="inlineStr">
        <is>
          <t>1993.12.</t>
        </is>
      </c>
      <c r="F26" s="0" t="n">
        <v>68</v>
      </c>
      <c r="G26" s="0" t="n">
        <v>29.75</v>
      </c>
      <c r="H26" s="0" t="n">
        <v>98.37</v>
      </c>
      <c r="I26" s="0" t="n">
        <v>23.86</v>
      </c>
      <c r="J26" s="0" t="n">
        <v>78.89</v>
      </c>
      <c r="K26" s="0" t="n">
        <v>44</v>
      </c>
      <c r="T26" s="0" t="n">
        <v>3</v>
      </c>
      <c r="U26" s="0" t="n">
        <v>1</v>
      </c>
      <c r="V26" s="0" t="inlineStr">
        <is>
          <t>계단식</t>
        </is>
      </c>
      <c r="W26" s="0" t="n">
        <v>98</v>
      </c>
      <c r="X26" s="0" t="n">
        <v>12</v>
      </c>
      <c r="Y26" s="0" t="n">
        <v>10</v>
      </c>
      <c r="Z26" s="0" t="inlineStr">
        <is>
          <t>https://new.land.naver.com/complexes/2689?tab=detail&amp;rf=Y</t>
        </is>
      </c>
      <c r="AA26" s="0" t="inlineStr">
        <is>
          <t>경기도 수원시 장안구 송죽동 461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장안구</t>
        </is>
      </c>
      <c r="AE26" s="0" t="inlineStr">
        <is>
          <t>송죽동</t>
        </is>
      </c>
      <c r="AG26" s="0" t="inlineStr">
        <is>
          <t>경기도 수원시 장안구 정조로1074번길 16</t>
        </is>
      </c>
      <c r="AH26" s="0" t="n">
        <v>0</v>
      </c>
      <c r="AI26" s="0" t="n">
        <v>182</v>
      </c>
      <c r="AJ26" s="0" t="n">
        <v>20</v>
      </c>
      <c r="AK26" s="0" t="n">
        <v>44</v>
      </c>
      <c r="AL26" s="0" t="n">
        <v>0.65</v>
      </c>
    </row>
    <row r="27">
      <c r="A27" s="0" t="inlineStr">
        <is>
          <t>[송죽동]</t>
        </is>
      </c>
      <c r="B27" s="0" t="n">
        <v>8793</v>
      </c>
      <c r="C27" s="0" t="n">
        <v>1</v>
      </c>
      <c r="D27" s="0" t="inlineStr">
        <is>
          <t>은하</t>
        </is>
      </c>
      <c r="E27" s="0" t="inlineStr">
        <is>
          <t>1989.01.</t>
        </is>
      </c>
      <c r="F27" s="0" t="n">
        <v>50</v>
      </c>
      <c r="G27" s="0" t="n">
        <v>15.64</v>
      </c>
      <c r="H27" s="0" t="n">
        <v>51.72</v>
      </c>
      <c r="I27" s="0" t="n">
        <v>11.43</v>
      </c>
      <c r="J27" s="0" t="n">
        <v>37.8</v>
      </c>
      <c r="K27" s="0" t="n">
        <v>5</v>
      </c>
      <c r="T27" s="0" t="n">
        <v>3</v>
      </c>
      <c r="U27" s="0" t="n">
        <v>1</v>
      </c>
      <c r="V27" s="0" t="inlineStr">
        <is>
          <t>계단식</t>
        </is>
      </c>
      <c r="W27" s="0" t="n">
        <v>51</v>
      </c>
      <c r="X27" s="0" t="n">
        <v>5</v>
      </c>
      <c r="Y27" s="0" t="n">
        <v>5</v>
      </c>
      <c r="Z27" s="0" t="inlineStr">
        <is>
          <t>https://new.land.naver.com/complexes/8793?tab=detail&amp;rf=Y</t>
        </is>
      </c>
      <c r="AA27" s="0" t="inlineStr">
        <is>
          <t>경기도 수원시 장안구 송죽동 190-2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장안구</t>
        </is>
      </c>
      <c r="AE27" s="0" t="inlineStr">
        <is>
          <t>송죽동</t>
        </is>
      </c>
      <c r="AG27" s="0" t="inlineStr">
        <is>
          <t>경기도 수원시 장안구 경수대로994번길 11</t>
        </is>
      </c>
      <c r="AH27" s="0" t="n">
        <v>0</v>
      </c>
      <c r="AI27" s="0" t="n">
        <v>155</v>
      </c>
      <c r="AJ27" s="0" t="n">
        <v>32</v>
      </c>
      <c r="AK27" s="0" t="n">
        <v>12</v>
      </c>
      <c r="AL27" s="0" t="n">
        <v>0.24</v>
      </c>
    </row>
    <row r="28">
      <c r="A28" s="0" t="inlineStr">
        <is>
          <t>[송죽동]</t>
        </is>
      </c>
      <c r="B28" s="0" t="n">
        <v>8793</v>
      </c>
      <c r="C28" s="0" t="n">
        <v>2</v>
      </c>
      <c r="D28" s="0" t="inlineStr">
        <is>
          <t>은하</t>
        </is>
      </c>
      <c r="E28" s="0" t="inlineStr">
        <is>
          <t>1989.01.</t>
        </is>
      </c>
      <c r="F28" s="0" t="n">
        <v>50</v>
      </c>
      <c r="G28" s="0" t="n">
        <v>17.49</v>
      </c>
      <c r="H28" s="0" t="n">
        <v>57.84</v>
      </c>
      <c r="I28" s="0" t="n">
        <v>13.28</v>
      </c>
      <c r="J28" s="0" t="n">
        <v>43.92</v>
      </c>
      <c r="K28" s="0" t="n">
        <v>10</v>
      </c>
      <c r="T28" s="0" t="n">
        <v>2</v>
      </c>
      <c r="U28" s="0" t="n">
        <v>1</v>
      </c>
      <c r="V28" s="0" t="inlineStr">
        <is>
          <t>계단식</t>
        </is>
      </c>
      <c r="W28" s="0" t="n">
        <v>57</v>
      </c>
      <c r="X28" s="0" t="n">
        <v>5</v>
      </c>
      <c r="Y28" s="0" t="n">
        <v>5</v>
      </c>
      <c r="Z28" s="0" t="inlineStr">
        <is>
          <t>https://new.land.naver.com/complexes/8793?tab=detail&amp;rf=Y</t>
        </is>
      </c>
      <c r="AA28" s="0" t="inlineStr">
        <is>
          <t>경기도 수원시 장안구 송죽동 190-2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장안구</t>
        </is>
      </c>
      <c r="AE28" s="0" t="inlineStr">
        <is>
          <t>송죽동</t>
        </is>
      </c>
      <c r="AG28" s="0" t="inlineStr">
        <is>
          <t>경기도 수원시 장안구 경수대로994번길 11</t>
        </is>
      </c>
      <c r="AH28" s="0" t="n">
        <v>0</v>
      </c>
      <c r="AI28" s="0" t="n">
        <v>155</v>
      </c>
      <c r="AJ28" s="0" t="n">
        <v>32</v>
      </c>
      <c r="AK28" s="0" t="n">
        <v>12</v>
      </c>
      <c r="AL28" s="0" t="n">
        <v>0.24</v>
      </c>
    </row>
    <row r="29">
      <c r="A29" s="0" t="inlineStr">
        <is>
          <t>[송죽동]</t>
        </is>
      </c>
      <c r="B29" s="0" t="n">
        <v>8793</v>
      </c>
      <c r="C29" s="0" t="n">
        <v>3</v>
      </c>
      <c r="D29" s="0" t="inlineStr">
        <is>
          <t>은하</t>
        </is>
      </c>
      <c r="E29" s="0" t="inlineStr">
        <is>
          <t>1989.01.</t>
        </is>
      </c>
      <c r="F29" s="0" t="n">
        <v>50</v>
      </c>
      <c r="G29" s="0" t="n">
        <v>18.91</v>
      </c>
      <c r="H29" s="0" t="n">
        <v>62.52</v>
      </c>
      <c r="I29" s="0" t="n">
        <v>14.7</v>
      </c>
      <c r="J29" s="0" t="n">
        <v>48.6</v>
      </c>
      <c r="K29" s="0" t="n">
        <v>30</v>
      </c>
      <c r="T29" s="0" t="n">
        <v>2</v>
      </c>
      <c r="U29" s="0" t="n">
        <v>1</v>
      </c>
      <c r="V29" s="0" t="inlineStr">
        <is>
          <t>계단식</t>
        </is>
      </c>
      <c r="W29" s="0" t="inlineStr">
        <is>
          <t>62A</t>
        </is>
      </c>
      <c r="X29" s="0" t="n">
        <v>5</v>
      </c>
      <c r="Y29" s="0" t="n">
        <v>5</v>
      </c>
      <c r="Z29" s="0" t="inlineStr">
        <is>
          <t>https://new.land.naver.com/complexes/8793?tab=detail&amp;rf=Y</t>
        </is>
      </c>
      <c r="AA29" s="0" t="inlineStr">
        <is>
          <t>경기도 수원시 장안구 송죽동 190-2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장안구</t>
        </is>
      </c>
      <c r="AE29" s="0" t="inlineStr">
        <is>
          <t>송죽동</t>
        </is>
      </c>
      <c r="AG29" s="0" t="inlineStr">
        <is>
          <t>경기도 수원시 장안구 경수대로994번길 11</t>
        </is>
      </c>
      <c r="AH29" s="0" t="n">
        <v>0</v>
      </c>
      <c r="AI29" s="0" t="n">
        <v>155</v>
      </c>
      <c r="AJ29" s="0" t="n">
        <v>32</v>
      </c>
      <c r="AK29" s="0" t="n">
        <v>12</v>
      </c>
      <c r="AL29" s="0" t="n">
        <v>0.24</v>
      </c>
    </row>
    <row r="30">
      <c r="A30" s="0" t="inlineStr">
        <is>
          <t>[송죽동]</t>
        </is>
      </c>
      <c r="B30" s="0" t="n">
        <v>8793</v>
      </c>
      <c r="C30" s="0" t="n">
        <v>4</v>
      </c>
      <c r="D30" s="0" t="inlineStr">
        <is>
          <t>은하</t>
        </is>
      </c>
      <c r="E30" s="0" t="inlineStr">
        <is>
          <t>1989.01.</t>
        </is>
      </c>
      <c r="F30" s="0" t="n">
        <v>50</v>
      </c>
      <c r="G30" s="0" t="n">
        <v>19.02</v>
      </c>
      <c r="H30" s="0" t="n">
        <v>62.88</v>
      </c>
      <c r="I30" s="0" t="n">
        <v>14.81</v>
      </c>
      <c r="J30" s="0" t="n">
        <v>48.96</v>
      </c>
      <c r="K30" s="0" t="n">
        <v>5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62B</t>
        </is>
      </c>
      <c r="X30" s="0" t="n">
        <v>5</v>
      </c>
      <c r="Y30" s="0" t="n">
        <v>5</v>
      </c>
      <c r="Z30" s="0" t="inlineStr">
        <is>
          <t>https://new.land.naver.com/complexes/8793?tab=detail&amp;rf=Y</t>
        </is>
      </c>
      <c r="AA30" s="0" t="inlineStr">
        <is>
          <t>경기도 수원시 장안구 송죽동 190-2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장안구</t>
        </is>
      </c>
      <c r="AE30" s="0" t="inlineStr">
        <is>
          <t>송죽동</t>
        </is>
      </c>
      <c r="AG30" s="0" t="inlineStr">
        <is>
          <t>경기도 수원시 장안구 경수대로994번길 11</t>
        </is>
      </c>
      <c r="AH30" s="0" t="n">
        <v>0</v>
      </c>
      <c r="AI30" s="0" t="n">
        <v>155</v>
      </c>
      <c r="AJ30" s="0" t="n">
        <v>32</v>
      </c>
      <c r="AK30" s="0" t="n">
        <v>12</v>
      </c>
      <c r="AL30" s="0" t="n">
        <v>0.24</v>
      </c>
    </row>
    <row r="31">
      <c r="A31" s="0" t="inlineStr">
        <is>
          <t>[송죽동]</t>
        </is>
      </c>
      <c r="B31" s="0" t="n">
        <v>2688</v>
      </c>
      <c r="C31" s="0" t="n">
        <v>1</v>
      </c>
      <c r="D31" s="0" t="inlineStr">
        <is>
          <t>삼풍프라자빌라트</t>
        </is>
      </c>
      <c r="E31" s="0" t="inlineStr">
        <is>
          <t>1993.09.</t>
        </is>
      </c>
      <c r="F31" s="0" t="n">
        <v>18</v>
      </c>
      <c r="G31" s="0" t="n">
        <v>63.39</v>
      </c>
      <c r="H31" s="0" t="n">
        <v>209.57</v>
      </c>
      <c r="I31" s="0" t="n">
        <v>39.69</v>
      </c>
      <c r="J31" s="0" t="n">
        <v>131.22</v>
      </c>
      <c r="K31" s="0" t="n">
        <v>3</v>
      </c>
      <c r="T31" s="0" t="n">
        <v>5</v>
      </c>
      <c r="U31" s="0" t="n">
        <v>2</v>
      </c>
      <c r="V31" s="0" t="inlineStr">
        <is>
          <t>복도식</t>
        </is>
      </c>
      <c r="W31" s="0" t="n">
        <v>209</v>
      </c>
      <c r="X31" s="0" t="n">
        <v>8</v>
      </c>
      <c r="Y31" s="0" t="n">
        <v>6</v>
      </c>
      <c r="Z31" s="0" t="inlineStr">
        <is>
          <t>https://new.land.naver.com/complexes/2688?tab=detail&amp;rf=Y</t>
        </is>
      </c>
      <c r="AA31" s="0" t="inlineStr">
        <is>
          <t>경기도 수원시 장안구 송죽동 496-24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장안구</t>
        </is>
      </c>
      <c r="AE31" s="0" t="inlineStr">
        <is>
          <t>송죽동</t>
        </is>
      </c>
      <c r="AG31" s="0" t="inlineStr">
        <is>
          <t>경기도 수원시 장안구 만석로210번길 77</t>
        </is>
      </c>
      <c r="AH31" s="0" t="n">
        <v>0</v>
      </c>
      <c r="AI31" s="0" t="n">
        <v>297</v>
      </c>
      <c r="AJ31" s="0" t="n">
        <v>53</v>
      </c>
      <c r="AK31" s="0" t="n">
        <v>13</v>
      </c>
      <c r="AL31" s="0" t="n">
        <v>0.72</v>
      </c>
    </row>
    <row r="32">
      <c r="A32" s="0" t="inlineStr">
        <is>
          <t>[송죽동]</t>
        </is>
      </c>
      <c r="B32" s="0" t="n">
        <v>2688</v>
      </c>
      <c r="C32" s="0" t="n">
        <v>2</v>
      </c>
      <c r="D32" s="0" t="inlineStr">
        <is>
          <t>삼풍프라자빌라트</t>
        </is>
      </c>
      <c r="E32" s="0" t="inlineStr">
        <is>
          <t>1993.09.</t>
        </is>
      </c>
      <c r="F32" s="0" t="n">
        <v>18</v>
      </c>
      <c r="G32" s="0" t="n">
        <v>63.55</v>
      </c>
      <c r="H32" s="0" t="n">
        <v>210.11</v>
      </c>
      <c r="I32" s="0" t="n">
        <v>39.85</v>
      </c>
      <c r="J32" s="0" t="n">
        <v>131.76</v>
      </c>
      <c r="K32" s="0" t="n">
        <v>15</v>
      </c>
      <c r="T32" s="0" t="n">
        <v>3</v>
      </c>
      <c r="U32" s="0" t="n">
        <v>2</v>
      </c>
      <c r="V32" s="0" t="inlineStr">
        <is>
          <t>계단식</t>
        </is>
      </c>
      <c r="W32" s="0" t="n">
        <v>210</v>
      </c>
      <c r="X32" s="0" t="n">
        <v>8</v>
      </c>
      <c r="Y32" s="0" t="n">
        <v>6</v>
      </c>
      <c r="Z32" s="0" t="inlineStr">
        <is>
          <t>https://new.land.naver.com/complexes/2688?tab=detail&amp;rf=Y</t>
        </is>
      </c>
      <c r="AA32" s="0" t="inlineStr">
        <is>
          <t>경기도 수원시 장안구 송죽동 496-24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장안구</t>
        </is>
      </c>
      <c r="AE32" s="0" t="inlineStr">
        <is>
          <t>송죽동</t>
        </is>
      </c>
      <c r="AG32" s="0" t="inlineStr">
        <is>
          <t>경기도 수원시 장안구 만석로210번길 77</t>
        </is>
      </c>
      <c r="AH32" s="0" t="n">
        <v>0</v>
      </c>
      <c r="AI32" s="0" t="n">
        <v>297</v>
      </c>
      <c r="AJ32" s="0" t="n">
        <v>53</v>
      </c>
      <c r="AK32" s="0" t="n">
        <v>13</v>
      </c>
      <c r="AL32" s="0" t="n">
        <v>0.72</v>
      </c>
    </row>
    <row r="33">
      <c r="A33" s="0" t="inlineStr">
        <is>
          <t>[송죽동]</t>
        </is>
      </c>
      <c r="B33" s="0" t="n">
        <v>1797</v>
      </c>
      <c r="C33" s="0" t="n">
        <v>1</v>
      </c>
      <c r="D33" s="0" t="inlineStr">
        <is>
          <t>동진맨션</t>
        </is>
      </c>
      <c r="E33" s="0" t="inlineStr">
        <is>
          <t>1990.04.</t>
        </is>
      </c>
      <c r="F33" s="0" t="n">
        <v>180</v>
      </c>
      <c r="G33" s="0" t="n">
        <v>31.52</v>
      </c>
      <c r="H33" s="0" t="n">
        <v>104.2</v>
      </c>
      <c r="I33" s="0" t="n">
        <v>25.69</v>
      </c>
      <c r="J33" s="0" t="n">
        <v>84.93000000000001</v>
      </c>
      <c r="K33" s="0" t="n">
        <v>180</v>
      </c>
      <c r="T33" s="0" t="n">
        <v>3</v>
      </c>
      <c r="U33" s="0" t="n">
        <v>2</v>
      </c>
      <c r="V33" s="0" t="inlineStr">
        <is>
          <t>계단식</t>
        </is>
      </c>
      <c r="W33" s="0" t="n">
        <v>104</v>
      </c>
      <c r="X33" s="0" t="n">
        <v>15</v>
      </c>
      <c r="Y33" s="0" t="n">
        <v>15</v>
      </c>
      <c r="Z33" s="0" t="inlineStr">
        <is>
          <t>https://new.land.naver.com/complexes/1797?tab=detail&amp;rf=Y</t>
        </is>
      </c>
      <c r="AA33" s="0" t="inlineStr">
        <is>
          <t>경기도 수원시 장안구 송죽동 462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장안구</t>
        </is>
      </c>
      <c r="AE33" s="0" t="inlineStr">
        <is>
          <t>송죽동</t>
        </is>
      </c>
      <c r="AG33" s="0" t="inlineStr">
        <is>
          <t>경기도 수원시 장안구 정조로1060번길 5</t>
        </is>
      </c>
      <c r="AH33" s="0" t="n">
        <v>0</v>
      </c>
      <c r="AI33" s="0" t="n">
        <v>299</v>
      </c>
      <c r="AJ33" s="0" t="n">
        <v>35</v>
      </c>
      <c r="AK33" s="0" t="n">
        <v>81</v>
      </c>
      <c r="AL33" s="0" t="n">
        <v>0.45</v>
      </c>
    </row>
    <row r="34">
      <c r="A34" s="0" t="inlineStr">
        <is>
          <t>[송죽동]</t>
        </is>
      </c>
      <c r="B34" s="0" t="n">
        <v>8622</v>
      </c>
      <c r="C34" s="0" t="n">
        <v>1</v>
      </c>
      <c r="D34" s="0" t="inlineStr">
        <is>
          <t>대성</t>
        </is>
      </c>
      <c r="E34" s="0" t="inlineStr">
        <is>
          <t>1989.02.</t>
        </is>
      </c>
      <c r="F34" s="0" t="n">
        <v>80</v>
      </c>
      <c r="G34" s="0" t="n">
        <v>20.36</v>
      </c>
      <c r="H34" s="0" t="n">
        <v>67.31999999999999</v>
      </c>
      <c r="I34" s="0" t="n">
        <v>16.93</v>
      </c>
      <c r="J34" s="0" t="n">
        <v>55.98</v>
      </c>
      <c r="K34" s="0" t="n">
        <v>30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https://new.land.naver.com/complexes/8622?tab=detail&amp;rf=Y</t>
        </is>
      </c>
      <c r="AA34" s="0" t="inlineStr">
        <is>
          <t>경기도 수원시 장안구 송죽동 498-3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장안구</t>
        </is>
      </c>
      <c r="AE34" s="0" t="inlineStr">
        <is>
          <t>송죽동</t>
        </is>
      </c>
      <c r="AG34" s="0" t="inlineStr">
        <is>
          <t>경기도 수원시 장안구 경수대로939번길 12-6</t>
        </is>
      </c>
      <c r="AH34" s="0" t="n">
        <v>0</v>
      </c>
      <c r="AI34" s="0" t="n">
        <v>133</v>
      </c>
      <c r="AJ34" s="0" t="n">
        <v>27</v>
      </c>
      <c r="AK34" s="0" t="n">
        <v>23</v>
      </c>
      <c r="AL34" s="0" t="n">
        <v>0.29</v>
      </c>
    </row>
    <row r="35">
      <c r="A35" s="0" t="inlineStr">
        <is>
          <t>[송죽동]</t>
        </is>
      </c>
      <c r="B35" s="0" t="n">
        <v>8622</v>
      </c>
      <c r="C35" s="0" t="n">
        <v>2</v>
      </c>
      <c r="D35" s="0" t="inlineStr">
        <is>
          <t>대성</t>
        </is>
      </c>
      <c r="E35" s="0" t="inlineStr">
        <is>
          <t>1989.02.</t>
        </is>
      </c>
      <c r="F35" s="0" t="n">
        <v>80</v>
      </c>
      <c r="G35" s="0" t="n">
        <v>20.58</v>
      </c>
      <c r="H35" s="0" t="n">
        <v>68.04000000000001</v>
      </c>
      <c r="I35" s="0" t="n">
        <v>16.98</v>
      </c>
      <c r="J35" s="0" t="n">
        <v>56.16</v>
      </c>
      <c r="K35" s="0" t="n">
        <v>30</v>
      </c>
      <c r="T35" s="0" t="n">
        <v>2</v>
      </c>
      <c r="U35" s="0" t="n">
        <v>1</v>
      </c>
      <c r="V35" s="0" t="inlineStr">
        <is>
          <t>계단식</t>
        </is>
      </c>
      <c r="W35" s="0" t="inlineStr">
        <is>
          <t>68A</t>
        </is>
      </c>
      <c r="X35" s="0" t="n">
        <v>5</v>
      </c>
      <c r="Y35" s="0" t="n">
        <v>5</v>
      </c>
      <c r="Z35" s="0" t="inlineStr">
        <is>
          <t>https://new.land.naver.com/complexes/8622?tab=detail&amp;rf=Y</t>
        </is>
      </c>
      <c r="AA35" s="0" t="inlineStr">
        <is>
          <t>경기도 수원시 장안구 송죽동 498-3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장안구</t>
        </is>
      </c>
      <c r="AE35" s="0" t="inlineStr">
        <is>
          <t>송죽동</t>
        </is>
      </c>
      <c r="AG35" s="0" t="inlineStr">
        <is>
          <t>경기도 수원시 장안구 경수대로939번길 12-6</t>
        </is>
      </c>
      <c r="AH35" s="0" t="n">
        <v>0</v>
      </c>
      <c r="AI35" s="0" t="n">
        <v>133</v>
      </c>
      <c r="AJ35" s="0" t="n">
        <v>27</v>
      </c>
      <c r="AK35" s="0" t="n">
        <v>23</v>
      </c>
      <c r="AL35" s="0" t="n">
        <v>0.29</v>
      </c>
    </row>
    <row r="36">
      <c r="A36" s="0" t="inlineStr">
        <is>
          <t>[송죽동]</t>
        </is>
      </c>
      <c r="B36" s="0" t="n">
        <v>8622</v>
      </c>
      <c r="C36" s="0" t="n">
        <v>3</v>
      </c>
      <c r="D36" s="0" t="inlineStr">
        <is>
          <t>대성</t>
        </is>
      </c>
      <c r="E36" s="0" t="inlineStr">
        <is>
          <t>1989.02.</t>
        </is>
      </c>
      <c r="F36" s="0" t="n">
        <v>80</v>
      </c>
      <c r="G36" s="0" t="n">
        <v>20.65</v>
      </c>
      <c r="H36" s="0" t="n">
        <v>68.28</v>
      </c>
      <c r="I36" s="0" t="n">
        <v>17.2</v>
      </c>
      <c r="J36" s="0" t="n">
        <v>56.88</v>
      </c>
      <c r="K36" s="0" t="n">
        <v>20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68B</t>
        </is>
      </c>
      <c r="X36" s="0" t="n">
        <v>5</v>
      </c>
      <c r="Y36" s="0" t="n">
        <v>5</v>
      </c>
      <c r="Z36" s="0" t="inlineStr">
        <is>
          <t>https://new.land.naver.com/complexes/8622?tab=detail&amp;rf=Y</t>
        </is>
      </c>
      <c r="AA36" s="0" t="inlineStr">
        <is>
          <t>경기도 수원시 장안구 송죽동 498-3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장안구</t>
        </is>
      </c>
      <c r="AE36" s="0" t="inlineStr">
        <is>
          <t>송죽동</t>
        </is>
      </c>
      <c r="AG36" s="0" t="inlineStr">
        <is>
          <t>경기도 수원시 장안구 경수대로939번길 12-6</t>
        </is>
      </c>
      <c r="AH36" s="0" t="n">
        <v>0</v>
      </c>
      <c r="AI36" s="0" t="n">
        <v>133</v>
      </c>
      <c r="AJ36" s="0" t="n">
        <v>27</v>
      </c>
      <c r="AK36" s="0" t="n">
        <v>23</v>
      </c>
      <c r="AL36" s="0" t="n">
        <v>0.29</v>
      </c>
    </row>
    <row r="37">
      <c r="A37" s="0" t="inlineStr">
        <is>
          <t>[송죽동]</t>
        </is>
      </c>
      <c r="B37" s="0" t="n">
        <v>26468</v>
      </c>
      <c r="C37" s="0" t="n">
        <v>1</v>
      </c>
      <c r="D37" s="0" t="inlineStr">
        <is>
          <t>송죽희성연인</t>
        </is>
      </c>
      <c r="E37" s="0" t="inlineStr">
        <is>
          <t>2009.06.</t>
        </is>
      </c>
      <c r="F37" s="0" t="n">
        <v>99</v>
      </c>
      <c r="G37" s="0" t="n">
        <v>23.65</v>
      </c>
      <c r="H37" s="0" t="n">
        <v>78.2</v>
      </c>
      <c r="I37" s="0" t="n">
        <v>18.08</v>
      </c>
      <c r="J37" s="0" t="n">
        <v>59.78</v>
      </c>
      <c r="K37" s="0" t="n">
        <v>17</v>
      </c>
      <c r="T37" s="0" t="n">
        <v>3</v>
      </c>
      <c r="U37" s="0" t="n">
        <v>2</v>
      </c>
      <c r="V37" s="0" t="inlineStr">
        <is>
          <t>계단식</t>
        </is>
      </c>
      <c r="W37" s="0" t="n">
        <v>78</v>
      </c>
      <c r="X37" s="0" t="n">
        <v>15</v>
      </c>
      <c r="Y37" s="0" t="n">
        <v>10</v>
      </c>
      <c r="Z37" s="0" t="inlineStr">
        <is>
          <t>https://new.land.naver.com/complexes/26468?tab=detail&amp;rf=Y</t>
        </is>
      </c>
      <c r="AA37" s="0" t="inlineStr">
        <is>
          <t>경기도 수원시 장안구 송죽동 444-5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장안구</t>
        </is>
      </c>
      <c r="AE37" s="0" t="inlineStr">
        <is>
          <t>송죽동</t>
        </is>
      </c>
      <c r="AG37" s="0" t="inlineStr">
        <is>
          <t>경기도 수원시 장안구 파장로6번길 20</t>
        </is>
      </c>
      <c r="AH37" s="0" t="n">
        <v>0</v>
      </c>
      <c r="AI37" s="0" t="n">
        <v>245</v>
      </c>
      <c r="AJ37" s="0" t="n">
        <v>21</v>
      </c>
      <c r="AK37" s="0" t="n">
        <v>100</v>
      </c>
      <c r="AL37" s="0" t="n">
        <v>1.01</v>
      </c>
    </row>
    <row r="38">
      <c r="A38" s="0" t="inlineStr">
        <is>
          <t>[송죽동]</t>
        </is>
      </c>
      <c r="B38" s="0" t="n">
        <v>26468</v>
      </c>
      <c r="C38" s="0" t="n">
        <v>2</v>
      </c>
      <c r="D38" s="0" t="inlineStr">
        <is>
          <t>송죽희성연인</t>
        </is>
      </c>
      <c r="E38" s="0" t="inlineStr">
        <is>
          <t>2009.06.</t>
        </is>
      </c>
      <c r="F38" s="0" t="n">
        <v>99</v>
      </c>
      <c r="G38" s="0" t="n">
        <v>27.44</v>
      </c>
      <c r="H38" s="0" t="n">
        <v>90.72</v>
      </c>
      <c r="I38" s="0" t="n">
        <v>21.33</v>
      </c>
      <c r="J38" s="0" t="n">
        <v>70.53</v>
      </c>
      <c r="K38" s="0" t="n">
        <v>22</v>
      </c>
      <c r="T38" s="0" t="n">
        <v>3</v>
      </c>
      <c r="U38" s="0" t="n">
        <v>2</v>
      </c>
      <c r="V38" s="0" t="inlineStr">
        <is>
          <t>계단식</t>
        </is>
      </c>
      <c r="W38" s="0" t="n">
        <v>90</v>
      </c>
      <c r="X38" s="0" t="n">
        <v>15</v>
      </c>
      <c r="Y38" s="0" t="n">
        <v>10</v>
      </c>
      <c r="Z38" s="0" t="inlineStr">
        <is>
          <t>https://new.land.naver.com/complexes/26468?tab=detail&amp;rf=Y</t>
        </is>
      </c>
      <c r="AA38" s="0" t="inlineStr">
        <is>
          <t>경기도 수원시 장안구 송죽동 444-5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장안구</t>
        </is>
      </c>
      <c r="AE38" s="0" t="inlineStr">
        <is>
          <t>송죽동</t>
        </is>
      </c>
      <c r="AG38" s="0" t="inlineStr">
        <is>
          <t>경기도 수원시 장안구 파장로6번길 20</t>
        </is>
      </c>
      <c r="AH38" s="0" t="n">
        <v>0</v>
      </c>
      <c r="AI38" s="0" t="n">
        <v>245</v>
      </c>
      <c r="AJ38" s="0" t="n">
        <v>21</v>
      </c>
      <c r="AK38" s="0" t="n">
        <v>100</v>
      </c>
      <c r="AL38" s="0" t="n">
        <v>1.01</v>
      </c>
    </row>
    <row r="39">
      <c r="A39" s="0" t="inlineStr">
        <is>
          <t>[송죽동]</t>
        </is>
      </c>
      <c r="B39" s="0" t="n">
        <v>26468</v>
      </c>
      <c r="C39" s="0" t="n">
        <v>3</v>
      </c>
      <c r="D39" s="0" t="inlineStr">
        <is>
          <t>송죽희성연인</t>
        </is>
      </c>
      <c r="E39" s="0" t="inlineStr">
        <is>
          <t>2009.06.</t>
        </is>
      </c>
      <c r="F39" s="0" t="n">
        <v>99</v>
      </c>
      <c r="G39" s="0" t="n">
        <v>33.07</v>
      </c>
      <c r="H39" s="0" t="n">
        <v>109.34</v>
      </c>
      <c r="I39" s="0" t="n">
        <v>25.7</v>
      </c>
      <c r="J39" s="0" t="n">
        <v>84.97</v>
      </c>
      <c r="K39" s="0" t="n">
        <v>60</v>
      </c>
      <c r="T39" s="0" t="n">
        <v>3</v>
      </c>
      <c r="U39" s="0" t="n">
        <v>2</v>
      </c>
      <c r="V39" s="0" t="inlineStr">
        <is>
          <t>계단식</t>
        </is>
      </c>
      <c r="W39" s="0" t="n">
        <v>109</v>
      </c>
      <c r="X39" s="0" t="n">
        <v>15</v>
      </c>
      <c r="Y39" s="0" t="n">
        <v>10</v>
      </c>
      <c r="Z39" s="0" t="inlineStr">
        <is>
          <t>https://new.land.naver.com/complexes/26468?tab=detail&amp;rf=Y</t>
        </is>
      </c>
      <c r="AA39" s="0" t="inlineStr">
        <is>
          <t>경기도 수원시 장안구 송죽동 444-5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장안구</t>
        </is>
      </c>
      <c r="AE39" s="0" t="inlineStr">
        <is>
          <t>송죽동</t>
        </is>
      </c>
      <c r="AG39" s="0" t="inlineStr">
        <is>
          <t>경기도 수원시 장안구 파장로6번길 20</t>
        </is>
      </c>
      <c r="AH39" s="0" t="n">
        <v>0</v>
      </c>
      <c r="AI39" s="0" t="n">
        <v>245</v>
      </c>
      <c r="AJ39" s="0" t="n">
        <v>21</v>
      </c>
      <c r="AK39" s="0" t="n">
        <v>100</v>
      </c>
      <c r="AL39" s="0" t="n">
        <v>1.01</v>
      </c>
    </row>
    <row r="40">
      <c r="A40" s="0" t="inlineStr">
        <is>
          <t>[송죽동]</t>
        </is>
      </c>
      <c r="B40" s="0" t="n">
        <v>23805</v>
      </c>
      <c r="C40" s="0" t="n">
        <v>1</v>
      </c>
      <c r="D40" s="0" t="inlineStr">
        <is>
          <t>동양파라곤</t>
        </is>
      </c>
      <c r="E40" s="0" t="inlineStr">
        <is>
          <t>2006.02.</t>
        </is>
      </c>
      <c r="F40" s="0" t="n">
        <v>76</v>
      </c>
      <c r="G40" s="0" t="n">
        <v>33.75</v>
      </c>
      <c r="H40" s="0" t="n">
        <v>111.58</v>
      </c>
      <c r="I40" s="0" t="n">
        <v>25.7</v>
      </c>
      <c r="J40" s="0" t="n">
        <v>84.97</v>
      </c>
      <c r="K40" s="0" t="n">
        <v>52</v>
      </c>
      <c r="T40" s="0" t="n">
        <v>4</v>
      </c>
      <c r="U40" s="0" t="n">
        <v>2</v>
      </c>
      <c r="V40" s="0" t="inlineStr">
        <is>
          <t>계단식</t>
        </is>
      </c>
      <c r="W40" s="0" t="inlineStr">
        <is>
          <t>111B</t>
        </is>
      </c>
      <c r="X40" s="0" t="n">
        <v>15</v>
      </c>
      <c r="Y40" s="0" t="n">
        <v>8</v>
      </c>
      <c r="Z40" s="0" t="inlineStr">
        <is>
          <t>https://new.land.naver.com/complexes/23805?tab=detail&amp;rf=Y</t>
        </is>
      </c>
      <c r="AA40" s="0" t="inlineStr">
        <is>
          <t>경기도 수원시 장안구 송죽동 499-3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장안구</t>
        </is>
      </c>
      <c r="AE40" s="0" t="inlineStr">
        <is>
          <t>송죽동</t>
        </is>
      </c>
      <c r="AG40" s="0" t="inlineStr">
        <is>
          <t>경기도 수원시 장안구 경수대로 935</t>
        </is>
      </c>
      <c r="AH40" s="0" t="n">
        <v>0</v>
      </c>
      <c r="AI40" s="0" t="n">
        <v>398</v>
      </c>
      <c r="AJ40" s="0" t="n">
        <v>78</v>
      </c>
      <c r="AK40" s="0" t="n">
        <v>134</v>
      </c>
      <c r="AL40" s="0" t="n">
        <v>1.76</v>
      </c>
    </row>
    <row r="41">
      <c r="A41" s="0" t="inlineStr">
        <is>
          <t>[송죽동]</t>
        </is>
      </c>
      <c r="B41" s="0" t="n">
        <v>23805</v>
      </c>
      <c r="C41" s="0" t="n">
        <v>2</v>
      </c>
      <c r="D41" s="0" t="inlineStr">
        <is>
          <t>동양파라곤</t>
        </is>
      </c>
      <c r="E41" s="0" t="inlineStr">
        <is>
          <t>2006.02.</t>
        </is>
      </c>
      <c r="F41" s="0" t="n">
        <v>76</v>
      </c>
      <c r="G41" s="0" t="n">
        <v>33.78</v>
      </c>
      <c r="H41" s="0" t="n">
        <v>111.68</v>
      </c>
      <c r="I41" s="0" t="n">
        <v>25.7</v>
      </c>
      <c r="J41" s="0" t="n">
        <v>84.97</v>
      </c>
      <c r="K41" s="0" t="n">
        <v>24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111A</t>
        </is>
      </c>
      <c r="X41" s="0" t="n">
        <v>15</v>
      </c>
      <c r="Y41" s="0" t="n">
        <v>8</v>
      </c>
      <c r="Z41" s="0" t="inlineStr">
        <is>
          <t>https://new.land.naver.com/complexes/23805?tab=detail&amp;rf=Y</t>
        </is>
      </c>
      <c r="AA41" s="0" t="inlineStr">
        <is>
          <t>경기도 수원시 장안구 송죽동 499-3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장안구</t>
        </is>
      </c>
      <c r="AE41" s="0" t="inlineStr">
        <is>
          <t>송죽동</t>
        </is>
      </c>
      <c r="AG41" s="0" t="inlineStr">
        <is>
          <t>경기도 수원시 장안구 경수대로 935</t>
        </is>
      </c>
      <c r="AH41" s="0" t="n">
        <v>0</v>
      </c>
      <c r="AI41" s="0" t="n">
        <v>398</v>
      </c>
      <c r="AJ41" s="0" t="n">
        <v>78</v>
      </c>
      <c r="AK41" s="0" t="n">
        <v>134</v>
      </c>
      <c r="AL41" s="0" t="n">
        <v>1.76</v>
      </c>
    </row>
    <row r="42">
      <c r="A42" s="0" t="inlineStr">
        <is>
          <t>[송죽동]</t>
        </is>
      </c>
      <c r="B42" s="0" t="n">
        <v>16051</v>
      </c>
      <c r="C42" s="0" t="n">
        <v>1</v>
      </c>
      <c r="D42" s="0" t="inlineStr">
        <is>
          <t>성화빌라트</t>
        </is>
      </c>
      <c r="E42" s="0" t="inlineStr">
        <is>
          <t>1996.11.</t>
        </is>
      </c>
      <c r="F42" s="0" t="n">
        <v>80</v>
      </c>
      <c r="G42" s="0" t="n">
        <v>22.02</v>
      </c>
      <c r="H42" s="0" t="n">
        <v>72.81999999999999</v>
      </c>
      <c r="I42" s="0" t="n">
        <v>20.18</v>
      </c>
      <c r="J42" s="0" t="n">
        <v>66.72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72</v>
      </c>
      <c r="X42" s="0" t="n">
        <v>4</v>
      </c>
      <c r="Y42" s="0" t="n">
        <v>4</v>
      </c>
      <c r="Z42" s="0" t="inlineStr">
        <is>
          <t>https://new.land.naver.com/complexes/16051?tab=detail&amp;rf=Y</t>
        </is>
      </c>
      <c r="AA42" s="0" t="inlineStr">
        <is>
          <t>경기도 수원시 장안구 송죽동 100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장안구</t>
        </is>
      </c>
      <c r="AE42" s="0" t="inlineStr">
        <is>
          <t>송죽동</t>
        </is>
      </c>
      <c r="AG42" s="0" t="inlineStr">
        <is>
          <t>경기도 수원시 장안구 수일로107번길 4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[송죽동]</t>
        </is>
      </c>
      <c r="B43" s="0" t="n">
        <v>16051</v>
      </c>
      <c r="C43" s="0" t="n">
        <v>2</v>
      </c>
      <c r="D43" s="0" t="inlineStr">
        <is>
          <t>성화빌라트</t>
        </is>
      </c>
      <c r="E43" s="0" t="inlineStr">
        <is>
          <t>1996.11.</t>
        </is>
      </c>
      <c r="F43" s="0" t="n">
        <v>80</v>
      </c>
      <c r="G43" s="0" t="n">
        <v>23.01</v>
      </c>
      <c r="H43" s="0" t="n">
        <v>76.09</v>
      </c>
      <c r="I43" s="0" t="n">
        <v>21.08</v>
      </c>
      <c r="J43" s="0" t="n">
        <v>69.70999999999999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n">
        <v>76</v>
      </c>
      <c r="X43" s="0" t="n">
        <v>4</v>
      </c>
      <c r="Y43" s="0" t="n">
        <v>4</v>
      </c>
      <c r="Z43" s="0" t="inlineStr">
        <is>
          <t>https://new.land.naver.com/complexes/16051?tab=detail&amp;rf=Y</t>
        </is>
      </c>
      <c r="AA43" s="0" t="inlineStr">
        <is>
          <t>경기도 수원시 장안구 송죽동 100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장안구</t>
        </is>
      </c>
      <c r="AE43" s="0" t="inlineStr">
        <is>
          <t>송죽동</t>
        </is>
      </c>
      <c r="AG43" s="0" t="inlineStr">
        <is>
          <t>경기도 수원시 장안구 수일로107번길 4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[송죽동]</t>
        </is>
      </c>
      <c r="B44" s="0" t="n">
        <v>16051</v>
      </c>
      <c r="C44" s="0" t="n">
        <v>3</v>
      </c>
      <c r="D44" s="0" t="inlineStr">
        <is>
          <t>성화빌라트</t>
        </is>
      </c>
      <c r="E44" s="0" t="inlineStr">
        <is>
          <t>1996.11.</t>
        </is>
      </c>
      <c r="F44" s="0" t="n">
        <v>80</v>
      </c>
      <c r="G44" s="0" t="n">
        <v>23.99</v>
      </c>
      <c r="H44" s="0" t="n">
        <v>79.31999999999999</v>
      </c>
      <c r="I44" s="0" t="n">
        <v>22.22</v>
      </c>
      <c r="J44" s="0" t="n">
        <v>73.47</v>
      </c>
      <c r="K44" s="0" t="n">
        <v>7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79A</t>
        </is>
      </c>
      <c r="X44" s="0" t="n">
        <v>4</v>
      </c>
      <c r="Y44" s="0" t="n">
        <v>4</v>
      </c>
      <c r="Z44" s="0" t="inlineStr">
        <is>
          <t>https://new.land.naver.com/complexes/16051?tab=detail&amp;rf=Y</t>
        </is>
      </c>
      <c r="AA44" s="0" t="inlineStr">
        <is>
          <t>경기도 수원시 장안구 송죽동 100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장안구</t>
        </is>
      </c>
      <c r="AE44" s="0" t="inlineStr">
        <is>
          <t>송죽동</t>
        </is>
      </c>
      <c r="AG44" s="0" t="inlineStr">
        <is>
          <t>경기도 수원시 장안구 수일로107번길 4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[송죽동]</t>
        </is>
      </c>
      <c r="B45" s="0" t="n">
        <v>16051</v>
      </c>
      <c r="C45" s="0" t="n">
        <v>4</v>
      </c>
      <c r="D45" s="0" t="inlineStr">
        <is>
          <t>성화빌라트</t>
        </is>
      </c>
      <c r="E45" s="0" t="inlineStr">
        <is>
          <t>1996.11.</t>
        </is>
      </c>
      <c r="F45" s="0" t="n">
        <v>80</v>
      </c>
      <c r="G45" s="0" t="n">
        <v>24.18</v>
      </c>
      <c r="H45" s="0" t="n">
        <v>79.94</v>
      </c>
      <c r="I45" s="0" t="n">
        <v>22.53</v>
      </c>
      <c r="J45" s="0" t="n">
        <v>74.48</v>
      </c>
      <c r="K45" s="0" t="n">
        <v>3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79B</t>
        </is>
      </c>
      <c r="X45" s="0" t="n">
        <v>4</v>
      </c>
      <c r="Y45" s="0" t="n">
        <v>4</v>
      </c>
      <c r="Z45" s="0" t="inlineStr">
        <is>
          <t>https://new.land.naver.com/complexes/16051?tab=detail&amp;rf=Y</t>
        </is>
      </c>
      <c r="AA45" s="0" t="inlineStr">
        <is>
          <t>경기도 수원시 장안구 송죽동 100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장안구</t>
        </is>
      </c>
      <c r="AE45" s="0" t="inlineStr">
        <is>
          <t>송죽동</t>
        </is>
      </c>
      <c r="AG45" s="0" t="inlineStr">
        <is>
          <t>경기도 수원시 장안구 수일로107번길 4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[송죽동]</t>
        </is>
      </c>
      <c r="B46" s="0" t="n">
        <v>16051</v>
      </c>
      <c r="C46" s="0" t="n">
        <v>5</v>
      </c>
      <c r="D46" s="0" t="inlineStr">
        <is>
          <t>성화빌라트</t>
        </is>
      </c>
      <c r="E46" s="0" t="inlineStr">
        <is>
          <t>1996.11.</t>
        </is>
      </c>
      <c r="F46" s="0" t="n">
        <v>80</v>
      </c>
      <c r="G46" s="0" t="n">
        <v>25.22</v>
      </c>
      <c r="H46" s="0" t="n">
        <v>83.39</v>
      </c>
      <c r="I46" s="0" t="n">
        <v>23.45</v>
      </c>
      <c r="J46" s="0" t="n">
        <v>77.54000000000001</v>
      </c>
      <c r="K46" s="0" t="n">
        <v>12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83A</t>
        </is>
      </c>
      <c r="X46" s="0" t="n">
        <v>4</v>
      </c>
      <c r="Y46" s="0" t="n">
        <v>4</v>
      </c>
      <c r="Z46" s="0" t="inlineStr">
        <is>
          <t>https://new.land.naver.com/complexes/16051?tab=detail&amp;rf=Y</t>
        </is>
      </c>
      <c r="AA46" s="0" t="inlineStr">
        <is>
          <t>경기도 수원시 장안구 송죽동 100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장안구</t>
        </is>
      </c>
      <c r="AE46" s="0" t="inlineStr">
        <is>
          <t>송죽동</t>
        </is>
      </c>
      <c r="AG46" s="0" t="inlineStr">
        <is>
          <t>경기도 수원시 장안구 수일로107번길 4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[송죽동]</t>
        </is>
      </c>
      <c r="B47" s="0" t="n">
        <v>16051</v>
      </c>
      <c r="C47" s="0" t="n">
        <v>6</v>
      </c>
      <c r="D47" s="0" t="inlineStr">
        <is>
          <t>성화빌라트</t>
        </is>
      </c>
      <c r="E47" s="0" t="inlineStr">
        <is>
          <t>1996.11.</t>
        </is>
      </c>
      <c r="F47" s="0" t="n">
        <v>80</v>
      </c>
      <c r="G47" s="0" t="n">
        <v>25.33</v>
      </c>
      <c r="H47" s="0" t="n">
        <v>83.73999999999999</v>
      </c>
      <c r="I47" s="0" t="n">
        <v>23.67</v>
      </c>
      <c r="J47" s="0" t="n">
        <v>78.28</v>
      </c>
      <c r="K47" s="0" t="n">
        <v>5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83B</t>
        </is>
      </c>
      <c r="X47" s="0" t="n">
        <v>4</v>
      </c>
      <c r="Y47" s="0" t="n">
        <v>4</v>
      </c>
      <c r="Z47" s="0" t="inlineStr">
        <is>
          <t>https://new.land.naver.com/complexes/16051?tab=detail&amp;rf=Y</t>
        </is>
      </c>
      <c r="AA47" s="0" t="inlineStr">
        <is>
          <t>경기도 수원시 장안구 송죽동 100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장안구</t>
        </is>
      </c>
      <c r="AE47" s="0" t="inlineStr">
        <is>
          <t>송죽동</t>
        </is>
      </c>
      <c r="AG47" s="0" t="inlineStr">
        <is>
          <t>경기도 수원시 장안구 수일로107번길 4</t>
        </is>
      </c>
      <c r="AH47" s="0" t="n">
        <v>0</v>
      </c>
      <c r="AI47" s="0" t="n">
        <v>0</v>
      </c>
      <c r="AJ47" s="0" t="n">
        <v>0</v>
      </c>
      <c r="AK47" s="0" t="n">
        <v>0</v>
      </c>
      <c r="AL47" s="0" t="n">
        <v>0</v>
      </c>
    </row>
    <row r="48">
      <c r="A48" s="0" t="inlineStr">
        <is>
          <t>[송죽동]</t>
        </is>
      </c>
      <c r="B48" s="0" t="n">
        <v>16051</v>
      </c>
      <c r="C48" s="0" t="n">
        <v>7</v>
      </c>
      <c r="D48" s="0" t="inlineStr">
        <is>
          <t>성화빌라트</t>
        </is>
      </c>
      <c r="E48" s="0" t="inlineStr">
        <is>
          <t>1996.11.</t>
        </is>
      </c>
      <c r="F48" s="0" t="n">
        <v>80</v>
      </c>
      <c r="G48" s="0" t="n">
        <v>25.41</v>
      </c>
      <c r="H48" s="0" t="n">
        <v>84.01000000000001</v>
      </c>
      <c r="I48" s="0" t="n">
        <v>23.76</v>
      </c>
      <c r="J48" s="0" t="n">
        <v>78.55</v>
      </c>
      <c r="K48" s="0" t="n">
        <v>5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84C</t>
        </is>
      </c>
      <c r="X48" s="0" t="n">
        <v>4</v>
      </c>
      <c r="Y48" s="0" t="n">
        <v>4</v>
      </c>
      <c r="Z48" s="0" t="inlineStr">
        <is>
          <t>https://new.land.naver.com/complexes/16051?tab=detail&amp;rf=Y</t>
        </is>
      </c>
      <c r="AA48" s="0" t="inlineStr">
        <is>
          <t>경기도 수원시 장안구 송죽동 100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장안구</t>
        </is>
      </c>
      <c r="AE48" s="0" t="inlineStr">
        <is>
          <t>송죽동</t>
        </is>
      </c>
      <c r="AG48" s="0" t="inlineStr">
        <is>
          <t>경기도 수원시 장안구 수일로107번길 4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[송죽동]</t>
        </is>
      </c>
      <c r="B49" s="0" t="n">
        <v>16051</v>
      </c>
      <c r="C49" s="0" t="n">
        <v>8</v>
      </c>
      <c r="D49" s="0" t="inlineStr">
        <is>
          <t>성화빌라트</t>
        </is>
      </c>
      <c r="E49" s="0" t="inlineStr">
        <is>
          <t>1996.11.</t>
        </is>
      </c>
      <c r="F49" s="0" t="n">
        <v>80</v>
      </c>
      <c r="G49" s="0" t="n">
        <v>26.91</v>
      </c>
      <c r="H49" s="0" t="n">
        <v>88.98</v>
      </c>
      <c r="I49" s="0" t="n">
        <v>25.38</v>
      </c>
      <c r="J49" s="0" t="n">
        <v>83.92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n">
        <v>88</v>
      </c>
      <c r="X49" s="0" t="n">
        <v>4</v>
      </c>
      <c r="Y49" s="0" t="n">
        <v>4</v>
      </c>
      <c r="Z49" s="0" t="inlineStr">
        <is>
          <t>https://new.land.naver.com/complexes/16051?tab=detail&amp;rf=Y</t>
        </is>
      </c>
      <c r="AA49" s="0" t="inlineStr">
        <is>
          <t>경기도 수원시 장안구 송죽동 100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장안구</t>
        </is>
      </c>
      <c r="AE49" s="0" t="inlineStr">
        <is>
          <t>송죽동</t>
        </is>
      </c>
      <c r="AG49" s="0" t="inlineStr">
        <is>
          <t>경기도 수원시 장안구 수일로107번길 4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[송죽동]</t>
        </is>
      </c>
      <c r="B50" s="0" t="n">
        <v>16051</v>
      </c>
      <c r="C50" s="0" t="n">
        <v>9</v>
      </c>
      <c r="D50" s="0" t="inlineStr">
        <is>
          <t>성화빌라트</t>
        </is>
      </c>
      <c r="E50" s="0" t="inlineStr">
        <is>
          <t>1996.11.</t>
        </is>
      </c>
      <c r="F50" s="0" t="n">
        <v>80</v>
      </c>
      <c r="G50" s="0" t="n">
        <v>28.8</v>
      </c>
      <c r="H50" s="0" t="n">
        <v>95.23</v>
      </c>
      <c r="I50" s="0" t="n">
        <v>27.01</v>
      </c>
      <c r="J50" s="0" t="n">
        <v>89.31</v>
      </c>
      <c r="K50" s="0" t="n">
        <v>16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95A</t>
        </is>
      </c>
      <c r="X50" s="0" t="n">
        <v>4</v>
      </c>
      <c r="Y50" s="0" t="n">
        <v>4</v>
      </c>
      <c r="Z50" s="0" t="inlineStr">
        <is>
          <t>https://new.land.naver.com/complexes/16051?tab=detail&amp;rf=Y</t>
        </is>
      </c>
      <c r="AA50" s="0" t="inlineStr">
        <is>
          <t>경기도 수원시 장안구 송죽동 100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장안구</t>
        </is>
      </c>
      <c r="AE50" s="0" t="inlineStr">
        <is>
          <t>송죽동</t>
        </is>
      </c>
      <c r="AG50" s="0" t="inlineStr">
        <is>
          <t>경기도 수원시 장안구 수일로107번길 4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[송죽동]</t>
        </is>
      </c>
      <c r="B51" s="0" t="n">
        <v>16051</v>
      </c>
      <c r="C51" s="0" t="n">
        <v>10</v>
      </c>
      <c r="D51" s="0" t="inlineStr">
        <is>
          <t>성화빌라트</t>
        </is>
      </c>
      <c r="E51" s="0" t="inlineStr">
        <is>
          <t>1996.11.</t>
        </is>
      </c>
      <c r="F51" s="0" t="n">
        <v>80</v>
      </c>
      <c r="G51" s="0" t="n">
        <v>29</v>
      </c>
      <c r="H51" s="0" t="n">
        <v>95.89</v>
      </c>
      <c r="I51" s="0" t="n">
        <v>27.23</v>
      </c>
      <c r="J51" s="0" t="n">
        <v>90.04000000000001</v>
      </c>
      <c r="K51" s="0" t="n">
        <v>8</v>
      </c>
      <c r="T51" s="0" t="n">
        <v>4</v>
      </c>
      <c r="U51" s="0" t="n">
        <v>2</v>
      </c>
      <c r="V51" s="0" t="inlineStr">
        <is>
          <t>계단식</t>
        </is>
      </c>
      <c r="W51" s="0" t="inlineStr">
        <is>
          <t>95B</t>
        </is>
      </c>
      <c r="X51" s="0" t="n">
        <v>4</v>
      </c>
      <c r="Y51" s="0" t="n">
        <v>4</v>
      </c>
      <c r="Z51" s="0" t="inlineStr">
        <is>
          <t>https://new.land.naver.com/complexes/16051?tab=detail&amp;rf=Y</t>
        </is>
      </c>
      <c r="AA51" s="0" t="inlineStr">
        <is>
          <t>경기도 수원시 장안구 송죽동 100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장안구</t>
        </is>
      </c>
      <c r="AE51" s="0" t="inlineStr">
        <is>
          <t>송죽동</t>
        </is>
      </c>
      <c r="AG51" s="0" t="inlineStr">
        <is>
          <t>경기도 수원시 장안구 수일로107번길 4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[송죽동]</t>
        </is>
      </c>
      <c r="B52" s="0" t="n">
        <v>16051</v>
      </c>
      <c r="C52" s="0" t="n">
        <v>11</v>
      </c>
      <c r="D52" s="0" t="inlineStr">
        <is>
          <t>성화빌라트</t>
        </is>
      </c>
      <c r="E52" s="0" t="inlineStr">
        <is>
          <t>1996.11.</t>
        </is>
      </c>
      <c r="F52" s="0" t="n">
        <v>80</v>
      </c>
      <c r="G52" s="0" t="n">
        <v>29.31</v>
      </c>
      <c r="H52" s="0" t="n">
        <v>96.91</v>
      </c>
      <c r="I52" s="0" t="n">
        <v>27.64</v>
      </c>
      <c r="J52" s="0" t="n">
        <v>91.39</v>
      </c>
      <c r="K52" s="0" t="n">
        <v>1</v>
      </c>
      <c r="T52" s="0" t="n">
        <v>4</v>
      </c>
      <c r="U52" s="0" t="n">
        <v>2</v>
      </c>
      <c r="V52" s="0" t="inlineStr">
        <is>
          <t>계단식</t>
        </is>
      </c>
      <c r="W52" s="0" t="inlineStr">
        <is>
          <t>96C</t>
        </is>
      </c>
      <c r="X52" s="0" t="n">
        <v>4</v>
      </c>
      <c r="Y52" s="0" t="n">
        <v>4</v>
      </c>
      <c r="Z52" s="0" t="inlineStr">
        <is>
          <t>https://new.land.naver.com/complexes/16051?tab=detail&amp;rf=Y</t>
        </is>
      </c>
      <c r="AA52" s="0" t="inlineStr">
        <is>
          <t>경기도 수원시 장안구 송죽동 100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장안구</t>
        </is>
      </c>
      <c r="AE52" s="0" t="inlineStr">
        <is>
          <t>송죽동</t>
        </is>
      </c>
      <c r="AG52" s="0" t="inlineStr">
        <is>
          <t>경기도 수원시 장안구 수일로107번길 4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[송죽동]</t>
        </is>
      </c>
      <c r="B53" s="0" t="n">
        <v>16051</v>
      </c>
      <c r="C53" s="0" t="n">
        <v>12</v>
      </c>
      <c r="D53" s="0" t="inlineStr">
        <is>
          <t>성화빌라트</t>
        </is>
      </c>
      <c r="E53" s="0" t="inlineStr">
        <is>
          <t>1996.11.</t>
        </is>
      </c>
      <c r="F53" s="0" t="n">
        <v>80</v>
      </c>
      <c r="G53" s="0" t="n">
        <v>30.91</v>
      </c>
      <c r="H53" s="0" t="n">
        <v>102.21</v>
      </c>
      <c r="I53" s="0" t="n">
        <v>29.14</v>
      </c>
      <c r="J53" s="0" t="n">
        <v>96.36</v>
      </c>
      <c r="K53" s="0" t="n">
        <v>8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102A</t>
        </is>
      </c>
      <c r="X53" s="0" t="n">
        <v>4</v>
      </c>
      <c r="Y53" s="0" t="n">
        <v>4</v>
      </c>
      <c r="Z53" s="0" t="inlineStr">
        <is>
          <t>https://new.land.naver.com/complexes/16051?tab=detail&amp;rf=Y</t>
        </is>
      </c>
      <c r="AA53" s="0" t="inlineStr">
        <is>
          <t>경기도 수원시 장안구 송죽동 100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장안구</t>
        </is>
      </c>
      <c r="AE53" s="0" t="inlineStr">
        <is>
          <t>송죽동</t>
        </is>
      </c>
      <c r="AG53" s="0" t="inlineStr">
        <is>
          <t>경기도 수원시 장안구 수일로107번길 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[송죽동]</t>
        </is>
      </c>
      <c r="B54" s="0" t="n">
        <v>16051</v>
      </c>
      <c r="C54" s="0" t="n">
        <v>13</v>
      </c>
      <c r="D54" s="0" t="inlineStr">
        <is>
          <t>성화빌라트</t>
        </is>
      </c>
      <c r="E54" s="0" t="inlineStr">
        <is>
          <t>1996.11.</t>
        </is>
      </c>
      <c r="F54" s="0" t="n">
        <v>80</v>
      </c>
      <c r="G54" s="0" t="n">
        <v>31.13</v>
      </c>
      <c r="H54" s="0" t="n">
        <v>102.91</v>
      </c>
      <c r="I54" s="0" t="n">
        <v>29.35</v>
      </c>
      <c r="J54" s="0" t="n">
        <v>97.05</v>
      </c>
      <c r="K54" s="0" t="n">
        <v>1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102B</t>
        </is>
      </c>
      <c r="X54" s="0" t="n">
        <v>4</v>
      </c>
      <c r="Y54" s="0" t="n">
        <v>4</v>
      </c>
      <c r="Z54" s="0" t="inlineStr">
        <is>
          <t>https://new.land.naver.com/complexes/16051?tab=detail&amp;rf=Y</t>
        </is>
      </c>
      <c r="AA54" s="0" t="inlineStr">
        <is>
          <t>경기도 수원시 장안구 송죽동 100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장안구</t>
        </is>
      </c>
      <c r="AE54" s="0" t="inlineStr">
        <is>
          <t>송죽동</t>
        </is>
      </c>
      <c r="AG54" s="0" t="inlineStr">
        <is>
          <t>경기도 수원시 장안구 수일로107번길 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[송죽동]</t>
        </is>
      </c>
      <c r="B55" s="0" t="n">
        <v>16051</v>
      </c>
      <c r="C55" s="0" t="n">
        <v>14</v>
      </c>
      <c r="D55" s="0" t="inlineStr">
        <is>
          <t>성화빌라트</t>
        </is>
      </c>
      <c r="E55" s="0" t="inlineStr">
        <is>
          <t>1996.11.</t>
        </is>
      </c>
      <c r="F55" s="0" t="n">
        <v>80</v>
      </c>
      <c r="G55" s="0" t="n">
        <v>32.01</v>
      </c>
      <c r="H55" s="0" t="n">
        <v>105.83</v>
      </c>
      <c r="I55" s="0" t="n">
        <v>30.19</v>
      </c>
      <c r="J55" s="0" t="n">
        <v>99.81</v>
      </c>
      <c r="K55" s="0" t="n">
        <v>5</v>
      </c>
      <c r="T55" s="0" t="n">
        <v>4</v>
      </c>
      <c r="U55" s="0" t="n">
        <v>2</v>
      </c>
      <c r="V55" s="0" t="inlineStr">
        <is>
          <t>계단식</t>
        </is>
      </c>
      <c r="W55" s="0" t="n">
        <v>105</v>
      </c>
      <c r="X55" s="0" t="n">
        <v>4</v>
      </c>
      <c r="Y55" s="0" t="n">
        <v>4</v>
      </c>
      <c r="Z55" s="0" t="inlineStr">
        <is>
          <t>https://new.land.naver.com/complexes/16051?tab=detail&amp;rf=Y</t>
        </is>
      </c>
      <c r="AA55" s="0" t="inlineStr">
        <is>
          <t>경기도 수원시 장안구 송죽동 100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장안구</t>
        </is>
      </c>
      <c r="AE55" s="0" t="inlineStr">
        <is>
          <t>송죽동</t>
        </is>
      </c>
      <c r="AG55" s="0" t="inlineStr">
        <is>
          <t>경기도 수원시 장안구 수일로107번길 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[송죽동]</t>
        </is>
      </c>
      <c r="B56" s="0" t="n">
        <v>130968</v>
      </c>
      <c r="C56" s="0" t="n">
        <v>1</v>
      </c>
      <c r="D56" s="0" t="inlineStr">
        <is>
          <t>행복한우리집(도시형)</t>
        </is>
      </c>
      <c r="E56" s="0" t="inlineStr">
        <is>
          <t>2012.12.</t>
        </is>
      </c>
      <c r="F56" s="0" t="n">
        <v>14</v>
      </c>
      <c r="G56" s="0" t="n">
        <v>9.25</v>
      </c>
      <c r="H56" s="0" t="n">
        <v>30.6</v>
      </c>
      <c r="I56" s="0" t="n">
        <v>7.26</v>
      </c>
      <c r="J56" s="0" t="n">
        <v>24</v>
      </c>
      <c r="K56" s="0" t="n">
        <v>3</v>
      </c>
      <c r="T56" s="0" t="n">
        <v>1</v>
      </c>
      <c r="U56" s="0" t="n">
        <v>1</v>
      </c>
      <c r="V56" s="0" t="inlineStr">
        <is>
          <t>계단식</t>
        </is>
      </c>
      <c r="W56" s="0" t="inlineStr">
        <is>
          <t>30B</t>
        </is>
      </c>
      <c r="X56" s="0" t="n">
        <v>5</v>
      </c>
      <c r="Y56" s="0" t="n">
        <v>5</v>
      </c>
      <c r="Z56" s="0" t="inlineStr">
        <is>
          <t>https://new.land.naver.com/complexes/130968?tab=detail&amp;rf=Y</t>
        </is>
      </c>
      <c r="AA56" s="0" t="inlineStr">
        <is>
          <t>경기도 수원시 장안구 송죽동 391-6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장안구</t>
        </is>
      </c>
      <c r="AE56" s="0" t="inlineStr">
        <is>
          <t>송죽동</t>
        </is>
      </c>
      <c r="AG56" s="0" t="inlineStr">
        <is>
          <t>경기도 수원시 장안구 송정로47번길 38</t>
        </is>
      </c>
      <c r="AH56" s="0" t="n">
        <v>14</v>
      </c>
      <c r="AI56" s="0" t="n">
        <v>217</v>
      </c>
      <c r="AJ56" s="0" t="n">
        <v>59</v>
      </c>
      <c r="AK56" s="0" t="n">
        <v>7</v>
      </c>
      <c r="AL56" s="0" t="n">
        <v>0.5</v>
      </c>
    </row>
    <row r="57">
      <c r="A57" s="0" t="inlineStr">
        <is>
          <t>[송죽동]</t>
        </is>
      </c>
      <c r="B57" s="0" t="n">
        <v>130968</v>
      </c>
      <c r="C57" s="0" t="n">
        <v>2</v>
      </c>
      <c r="D57" s="0" t="inlineStr">
        <is>
          <t>행복한우리집(도시형)</t>
        </is>
      </c>
      <c r="E57" s="0" t="inlineStr">
        <is>
          <t>2012.12.</t>
        </is>
      </c>
      <c r="F57" s="0" t="n">
        <v>14</v>
      </c>
      <c r="G57" s="0" t="n">
        <v>9.18</v>
      </c>
      <c r="H57" s="0" t="n">
        <v>30.38</v>
      </c>
      <c r="I57" s="0" t="n">
        <v>7.2</v>
      </c>
      <c r="J57" s="0" t="n">
        <v>23.83</v>
      </c>
      <c r="K57" s="0" t="n">
        <v>1</v>
      </c>
      <c r="T57" s="0" t="n">
        <v>1</v>
      </c>
      <c r="U57" s="0" t="n">
        <v>1</v>
      </c>
      <c r="V57" s="0" t="inlineStr">
        <is>
          <t>계단식</t>
        </is>
      </c>
      <c r="W57" s="0" t="inlineStr">
        <is>
          <t>30A</t>
        </is>
      </c>
      <c r="X57" s="0" t="n">
        <v>5</v>
      </c>
      <c r="Y57" s="0" t="n">
        <v>5</v>
      </c>
      <c r="Z57" s="0" t="inlineStr">
        <is>
          <t>https://new.land.naver.com/complexes/130968?tab=detail&amp;rf=Y</t>
        </is>
      </c>
      <c r="AA57" s="0" t="inlineStr">
        <is>
          <t>경기도 수원시 장안구 송죽동 391-6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장안구</t>
        </is>
      </c>
      <c r="AE57" s="0" t="inlineStr">
        <is>
          <t>송죽동</t>
        </is>
      </c>
      <c r="AG57" s="0" t="inlineStr">
        <is>
          <t>경기도 수원시 장안구 송정로47번길 38</t>
        </is>
      </c>
      <c r="AH57" s="0" t="n">
        <v>14</v>
      </c>
      <c r="AI57" s="0" t="n">
        <v>217</v>
      </c>
      <c r="AJ57" s="0" t="n">
        <v>59</v>
      </c>
      <c r="AK57" s="0" t="n">
        <v>7</v>
      </c>
      <c r="AL57" s="0" t="n">
        <v>0.5</v>
      </c>
    </row>
    <row r="58">
      <c r="A58" s="0" t="inlineStr">
        <is>
          <t>[송죽동]</t>
        </is>
      </c>
      <c r="B58" s="0" t="n">
        <v>130968</v>
      </c>
      <c r="C58" s="0" t="n">
        <v>3</v>
      </c>
      <c r="D58" s="0" t="inlineStr">
        <is>
          <t>행복한우리집(도시형)</t>
        </is>
      </c>
      <c r="E58" s="0" t="inlineStr">
        <is>
          <t>2012.12.</t>
        </is>
      </c>
      <c r="F58" s="0" t="n">
        <v>14</v>
      </c>
      <c r="G58" s="0" t="n">
        <v>9.27</v>
      </c>
      <c r="H58" s="0" t="n">
        <v>30.66</v>
      </c>
      <c r="I58" s="0" t="n">
        <v>7.27</v>
      </c>
      <c r="J58" s="0" t="n">
        <v>24.05</v>
      </c>
      <c r="K58" s="0" t="n">
        <v>1</v>
      </c>
      <c r="T58" s="0" t="n">
        <v>1</v>
      </c>
      <c r="U58" s="0" t="n">
        <v>1</v>
      </c>
      <c r="V58" s="0" t="inlineStr">
        <is>
          <t>계단식</t>
        </is>
      </c>
      <c r="W58" s="0" t="inlineStr">
        <is>
          <t>30C</t>
        </is>
      </c>
      <c r="X58" s="0" t="n">
        <v>5</v>
      </c>
      <c r="Y58" s="0" t="n">
        <v>5</v>
      </c>
      <c r="Z58" s="0" t="inlineStr">
        <is>
          <t>https://new.land.naver.com/complexes/130968?tab=detail&amp;rf=Y</t>
        </is>
      </c>
      <c r="AA58" s="0" t="inlineStr">
        <is>
          <t>경기도 수원시 장안구 송죽동 391-6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장안구</t>
        </is>
      </c>
      <c r="AE58" s="0" t="inlineStr">
        <is>
          <t>송죽동</t>
        </is>
      </c>
      <c r="AG58" s="0" t="inlineStr">
        <is>
          <t>경기도 수원시 장안구 송정로47번길 38</t>
        </is>
      </c>
      <c r="AH58" s="0" t="n">
        <v>14</v>
      </c>
      <c r="AI58" s="0" t="n">
        <v>217</v>
      </c>
      <c r="AJ58" s="0" t="n">
        <v>59</v>
      </c>
      <c r="AK58" s="0" t="n">
        <v>7</v>
      </c>
      <c r="AL58" s="0" t="n">
        <v>0.5</v>
      </c>
    </row>
    <row r="59">
      <c r="A59" s="0" t="inlineStr">
        <is>
          <t>[송죽동]</t>
        </is>
      </c>
      <c r="B59" s="0" t="n">
        <v>130968</v>
      </c>
      <c r="C59" s="0" t="n">
        <v>4</v>
      </c>
      <c r="D59" s="0" t="inlineStr">
        <is>
          <t>행복한우리집(도시형)</t>
        </is>
      </c>
      <c r="E59" s="0" t="inlineStr">
        <is>
          <t>2012.12.</t>
        </is>
      </c>
      <c r="F59" s="0" t="n">
        <v>14</v>
      </c>
      <c r="G59" s="0" t="n">
        <v>9.92</v>
      </c>
      <c r="H59" s="0" t="n">
        <v>32.82</v>
      </c>
      <c r="I59" s="0" t="n">
        <v>7.78</v>
      </c>
      <c r="J59" s="0" t="n">
        <v>25.74</v>
      </c>
      <c r="K59" s="0" t="n">
        <v>2</v>
      </c>
      <c r="T59" s="0" t="n">
        <v>1</v>
      </c>
      <c r="U59" s="0" t="n">
        <v>1</v>
      </c>
      <c r="V59" s="0" t="inlineStr">
        <is>
          <t>계단식</t>
        </is>
      </c>
      <c r="W59" s="0" t="inlineStr">
        <is>
          <t>32A</t>
        </is>
      </c>
      <c r="X59" s="0" t="n">
        <v>5</v>
      </c>
      <c r="Y59" s="0" t="n">
        <v>5</v>
      </c>
      <c r="Z59" s="0" t="inlineStr">
        <is>
          <t>https://new.land.naver.com/complexes/130968?tab=detail&amp;rf=Y</t>
        </is>
      </c>
      <c r="AA59" s="0" t="inlineStr">
        <is>
          <t>경기도 수원시 장안구 송죽동 391-6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장안구</t>
        </is>
      </c>
      <c r="AE59" s="0" t="inlineStr">
        <is>
          <t>송죽동</t>
        </is>
      </c>
      <c r="AG59" s="0" t="inlineStr">
        <is>
          <t>경기도 수원시 장안구 송정로47번길 38</t>
        </is>
      </c>
      <c r="AH59" s="0" t="n">
        <v>14</v>
      </c>
      <c r="AI59" s="0" t="n">
        <v>217</v>
      </c>
      <c r="AJ59" s="0" t="n">
        <v>59</v>
      </c>
      <c r="AK59" s="0" t="n">
        <v>7</v>
      </c>
      <c r="AL59" s="0" t="n">
        <v>0.5</v>
      </c>
    </row>
    <row r="60">
      <c r="A60" s="0" t="inlineStr">
        <is>
          <t>[송죽동]</t>
        </is>
      </c>
      <c r="B60" s="0" t="n">
        <v>130968</v>
      </c>
      <c r="C60" s="0" t="n">
        <v>5</v>
      </c>
      <c r="D60" s="0" t="inlineStr">
        <is>
          <t>행복한우리집(도시형)</t>
        </is>
      </c>
      <c r="E60" s="0" t="inlineStr">
        <is>
          <t>2012.12.</t>
        </is>
      </c>
      <c r="F60" s="0" t="n">
        <v>14</v>
      </c>
      <c r="G60" s="0" t="n">
        <v>10.11</v>
      </c>
      <c r="H60" s="0" t="n">
        <v>33.44</v>
      </c>
      <c r="I60" s="0" t="n">
        <v>7.93</v>
      </c>
      <c r="J60" s="0" t="n">
        <v>26.23</v>
      </c>
      <c r="K60" s="0" t="n">
        <v>2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33B</t>
        </is>
      </c>
      <c r="X60" s="0" t="n">
        <v>5</v>
      </c>
      <c r="Y60" s="0" t="n">
        <v>5</v>
      </c>
      <c r="Z60" s="0" t="inlineStr">
        <is>
          <t>https://new.land.naver.com/complexes/130968?tab=detail&amp;rf=Y</t>
        </is>
      </c>
      <c r="AA60" s="0" t="inlineStr">
        <is>
          <t>경기도 수원시 장안구 송죽동 391-6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장안구</t>
        </is>
      </c>
      <c r="AE60" s="0" t="inlineStr">
        <is>
          <t>송죽동</t>
        </is>
      </c>
      <c r="AG60" s="0" t="inlineStr">
        <is>
          <t>경기도 수원시 장안구 송정로47번길 38</t>
        </is>
      </c>
      <c r="AH60" s="0" t="n">
        <v>14</v>
      </c>
      <c r="AI60" s="0" t="n">
        <v>217</v>
      </c>
      <c r="AJ60" s="0" t="n">
        <v>59</v>
      </c>
      <c r="AK60" s="0" t="n">
        <v>7</v>
      </c>
      <c r="AL60" s="0" t="n">
        <v>0.5</v>
      </c>
    </row>
    <row r="61">
      <c r="A61" s="0" t="inlineStr">
        <is>
          <t>[송죽동]</t>
        </is>
      </c>
      <c r="B61" s="0" t="n">
        <v>130968</v>
      </c>
      <c r="C61" s="0" t="n">
        <v>6</v>
      </c>
      <c r="D61" s="0" t="inlineStr">
        <is>
          <t>행복한우리집(도시형)</t>
        </is>
      </c>
      <c r="E61" s="0" t="inlineStr">
        <is>
          <t>2012.12.</t>
        </is>
      </c>
      <c r="F61" s="0" t="n">
        <v>14</v>
      </c>
      <c r="G61" s="0" t="n">
        <v>13.08</v>
      </c>
      <c r="H61" s="0" t="n">
        <v>43.26</v>
      </c>
      <c r="I61" s="0" t="n">
        <v>10.26</v>
      </c>
      <c r="J61" s="0" t="n">
        <v>33.93</v>
      </c>
      <c r="K61" s="0" t="n">
        <v>3</v>
      </c>
      <c r="T61" s="0" t="n">
        <v>1</v>
      </c>
      <c r="U61" s="0" t="n">
        <v>1</v>
      </c>
      <c r="V61" s="0" t="inlineStr">
        <is>
          <t>복도식</t>
        </is>
      </c>
      <c r="W61" s="0" t="n">
        <v>43</v>
      </c>
      <c r="X61" s="0" t="n">
        <v>5</v>
      </c>
      <c r="Y61" s="0" t="n">
        <v>5</v>
      </c>
      <c r="Z61" s="0" t="inlineStr">
        <is>
          <t>https://new.land.naver.com/complexes/130968?tab=detail&amp;rf=Y</t>
        </is>
      </c>
      <c r="AA61" s="0" t="inlineStr">
        <is>
          <t>경기도 수원시 장안구 송죽동 391-6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장안구</t>
        </is>
      </c>
      <c r="AE61" s="0" t="inlineStr">
        <is>
          <t>송죽동</t>
        </is>
      </c>
      <c r="AG61" s="0" t="inlineStr">
        <is>
          <t>경기도 수원시 장안구 송정로47번길 38</t>
        </is>
      </c>
      <c r="AH61" s="0" t="n">
        <v>14</v>
      </c>
      <c r="AI61" s="0" t="n">
        <v>217</v>
      </c>
      <c r="AJ61" s="0" t="n">
        <v>59</v>
      </c>
      <c r="AK61" s="0" t="n">
        <v>7</v>
      </c>
      <c r="AL61" s="0" t="n">
        <v>0.5</v>
      </c>
    </row>
    <row r="62">
      <c r="A62" s="0" t="inlineStr">
        <is>
          <t>[송죽동]</t>
        </is>
      </c>
      <c r="B62" s="0" t="n">
        <v>130968</v>
      </c>
      <c r="C62" s="0" t="n">
        <v>7</v>
      </c>
      <c r="D62" s="0" t="inlineStr">
        <is>
          <t>행복한우리집(도시형)</t>
        </is>
      </c>
      <c r="E62" s="0" t="inlineStr">
        <is>
          <t>2012.12.</t>
        </is>
      </c>
      <c r="F62" s="0" t="n">
        <v>14</v>
      </c>
      <c r="G62" s="0" t="n">
        <v>17.82</v>
      </c>
      <c r="H62" s="0" t="n">
        <v>58.92</v>
      </c>
      <c r="I62" s="0" t="n">
        <v>13.97</v>
      </c>
      <c r="J62" s="0" t="n">
        <v>46.21</v>
      </c>
      <c r="K62" s="0" t="n">
        <v>1</v>
      </c>
      <c r="T62" s="0" t="n">
        <v>2</v>
      </c>
      <c r="U62" s="0" t="n">
        <v>1</v>
      </c>
      <c r="V62" s="0" t="inlineStr">
        <is>
          <t>계단식</t>
        </is>
      </c>
      <c r="W62" s="0" t="n">
        <v>58</v>
      </c>
      <c r="X62" s="0" t="n">
        <v>5</v>
      </c>
      <c r="Y62" s="0" t="n">
        <v>5</v>
      </c>
      <c r="Z62" s="0" t="inlineStr">
        <is>
          <t>https://new.land.naver.com/complexes/130968?tab=detail&amp;rf=Y</t>
        </is>
      </c>
      <c r="AA62" s="0" t="inlineStr">
        <is>
          <t>경기도 수원시 장안구 송죽동 391-6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장안구</t>
        </is>
      </c>
      <c r="AE62" s="0" t="inlineStr">
        <is>
          <t>송죽동</t>
        </is>
      </c>
      <c r="AG62" s="0" t="inlineStr">
        <is>
          <t>경기도 수원시 장안구 송정로47번길 38</t>
        </is>
      </c>
      <c r="AH62" s="0" t="n">
        <v>14</v>
      </c>
      <c r="AI62" s="0" t="n">
        <v>217</v>
      </c>
      <c r="AJ62" s="0" t="n">
        <v>59</v>
      </c>
      <c r="AK62" s="0" t="n">
        <v>7</v>
      </c>
      <c r="AL62" s="0" t="n">
        <v>0.5</v>
      </c>
    </row>
    <row r="63">
      <c r="A63" s="0" t="inlineStr">
        <is>
          <t>[송죽동]</t>
        </is>
      </c>
      <c r="B63" s="0" t="n">
        <v>130968</v>
      </c>
      <c r="C63" s="0" t="n">
        <v>8</v>
      </c>
      <c r="D63" s="0" t="inlineStr">
        <is>
          <t>행복한우리집(도시형)</t>
        </is>
      </c>
      <c r="E63" s="0" t="inlineStr">
        <is>
          <t>2012.12.</t>
        </is>
      </c>
      <c r="F63" s="0" t="n">
        <v>14</v>
      </c>
      <c r="G63" s="0" t="n">
        <v>18.53</v>
      </c>
      <c r="H63" s="0" t="n">
        <v>61.28</v>
      </c>
      <c r="I63" s="0" t="n">
        <v>14.53</v>
      </c>
      <c r="J63" s="0" t="n">
        <v>48.06</v>
      </c>
      <c r="K63" s="0" t="n">
        <v>1</v>
      </c>
      <c r="T63" s="0" t="n">
        <v>2</v>
      </c>
      <c r="U63" s="0" t="n">
        <v>1</v>
      </c>
      <c r="V63" s="0" t="inlineStr">
        <is>
          <t>복도식</t>
        </is>
      </c>
      <c r="W63" s="0" t="n">
        <v>61</v>
      </c>
      <c r="X63" s="0" t="n">
        <v>5</v>
      </c>
      <c r="Y63" s="0" t="n">
        <v>5</v>
      </c>
      <c r="Z63" s="0" t="inlineStr">
        <is>
          <t>https://new.land.naver.com/complexes/130968?tab=detail&amp;rf=Y</t>
        </is>
      </c>
      <c r="AA63" s="0" t="inlineStr">
        <is>
          <t>경기도 수원시 장안구 송죽동 391-6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장안구</t>
        </is>
      </c>
      <c r="AE63" s="0" t="inlineStr">
        <is>
          <t>송죽동</t>
        </is>
      </c>
      <c r="AG63" s="0" t="inlineStr">
        <is>
          <t>경기도 수원시 장안구 송정로47번길 38</t>
        </is>
      </c>
      <c r="AH63" s="0" t="n">
        <v>14</v>
      </c>
      <c r="AI63" s="0" t="n">
        <v>217</v>
      </c>
      <c r="AJ63" s="0" t="n">
        <v>59</v>
      </c>
      <c r="AK63" s="0" t="n">
        <v>7</v>
      </c>
      <c r="AL63" s="0" t="n">
        <v>0.5</v>
      </c>
    </row>
    <row r="64">
      <c r="A64" s="0" t="inlineStr">
        <is>
          <t>[송죽동]</t>
        </is>
      </c>
      <c r="B64" s="0" t="n">
        <v>8623</v>
      </c>
      <c r="C64" s="0" t="n">
        <v>1</v>
      </c>
      <c r="D64" s="0" t="inlineStr">
        <is>
          <t>삼우</t>
        </is>
      </c>
      <c r="E64" s="0" t="inlineStr">
        <is>
          <t>1989.11.</t>
        </is>
      </c>
      <c r="F64" s="0" t="n">
        <v>59</v>
      </c>
      <c r="G64" s="0" t="n">
        <v>29.06</v>
      </c>
      <c r="H64" s="0" t="n">
        <v>96.06999999999999</v>
      </c>
      <c r="I64" s="0" t="n">
        <v>22.86</v>
      </c>
      <c r="J64" s="0" t="n">
        <v>75.59999999999999</v>
      </c>
      <c r="K64" s="0" t="n">
        <v>12</v>
      </c>
      <c r="T64" s="0" t="n">
        <v>3</v>
      </c>
      <c r="U64" s="0" t="n">
        <v>2</v>
      </c>
      <c r="V64" s="0" t="inlineStr">
        <is>
          <t>복도식</t>
        </is>
      </c>
      <c r="W64" s="0" t="n">
        <v>96</v>
      </c>
      <c r="X64" s="0" t="n">
        <v>7</v>
      </c>
      <c r="Y64" s="0" t="n">
        <v>6</v>
      </c>
      <c r="Z64" s="0" t="inlineStr">
        <is>
          <t>https://new.land.naver.com/complexes/8623?tab=detail&amp;rf=Y</t>
        </is>
      </c>
      <c r="AA64" s="0" t="inlineStr">
        <is>
          <t>경기도 수원시 장안구 송죽동 458-3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장안구</t>
        </is>
      </c>
      <c r="AE64" s="0" t="inlineStr">
        <is>
          <t>송죽동</t>
        </is>
      </c>
      <c r="AG64" s="0" t="inlineStr">
        <is>
          <t>경기도 수원시 장안구 정조로1088번길 18-22</t>
        </is>
      </c>
      <c r="AH64" s="0" t="n">
        <v>0</v>
      </c>
      <c r="AI64" s="0" t="n">
        <v>262</v>
      </c>
      <c r="AJ64" s="0" t="n">
        <v>39</v>
      </c>
      <c r="AK64" s="0" t="n">
        <v>25</v>
      </c>
      <c r="AL64" s="0" t="n">
        <v>0.42</v>
      </c>
    </row>
    <row r="65">
      <c r="A65" s="0" t="inlineStr">
        <is>
          <t>[송죽동]</t>
        </is>
      </c>
      <c r="B65" s="0" t="n">
        <v>8623</v>
      </c>
      <c r="C65" s="0" t="n">
        <v>2</v>
      </c>
      <c r="D65" s="0" t="inlineStr">
        <is>
          <t>삼우</t>
        </is>
      </c>
      <c r="E65" s="0" t="inlineStr">
        <is>
          <t>1989.11.</t>
        </is>
      </c>
      <c r="F65" s="0" t="n">
        <v>59</v>
      </c>
      <c r="G65" s="0" t="n">
        <v>30.89</v>
      </c>
      <c r="H65" s="0" t="n">
        <v>102.14</v>
      </c>
      <c r="I65" s="0" t="n">
        <v>24.31</v>
      </c>
      <c r="J65" s="0" t="n">
        <v>80.37</v>
      </c>
      <c r="K65" s="0" t="n">
        <v>35</v>
      </c>
      <c r="T65" s="0" t="n">
        <v>3</v>
      </c>
      <c r="U65" s="0" t="n">
        <v>2</v>
      </c>
      <c r="V65" s="0" t="inlineStr">
        <is>
          <t>복도식</t>
        </is>
      </c>
      <c r="W65" s="0" t="n">
        <v>102</v>
      </c>
      <c r="X65" s="0" t="n">
        <v>7</v>
      </c>
      <c r="Y65" s="0" t="n">
        <v>6</v>
      </c>
      <c r="Z65" s="0" t="inlineStr">
        <is>
          <t>https://new.land.naver.com/complexes/8623?tab=detail&amp;rf=Y</t>
        </is>
      </c>
      <c r="AA65" s="0" t="inlineStr">
        <is>
          <t>경기도 수원시 장안구 송죽동 458-3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장안구</t>
        </is>
      </c>
      <c r="AE65" s="0" t="inlineStr">
        <is>
          <t>송죽동</t>
        </is>
      </c>
      <c r="AG65" s="0" t="inlineStr">
        <is>
          <t>경기도 수원시 장안구 정조로1088번길 18-22</t>
        </is>
      </c>
      <c r="AH65" s="0" t="n">
        <v>0</v>
      </c>
      <c r="AI65" s="0" t="n">
        <v>262</v>
      </c>
      <c r="AJ65" s="0" t="n">
        <v>39</v>
      </c>
      <c r="AK65" s="0" t="n">
        <v>25</v>
      </c>
      <c r="AL65" s="0" t="n">
        <v>0.42</v>
      </c>
    </row>
    <row r="66">
      <c r="A66" s="0" t="inlineStr">
        <is>
          <t>[송죽동]</t>
        </is>
      </c>
      <c r="B66" s="0" t="n">
        <v>8623</v>
      </c>
      <c r="C66" s="0" t="n">
        <v>3</v>
      </c>
      <c r="D66" s="0" t="inlineStr">
        <is>
          <t>삼우</t>
        </is>
      </c>
      <c r="E66" s="0" t="inlineStr">
        <is>
          <t>1989.11.</t>
        </is>
      </c>
      <c r="F66" s="0" t="n">
        <v>59</v>
      </c>
      <c r="G66" s="0" t="n">
        <v>31.76</v>
      </c>
      <c r="H66" s="0" t="n">
        <v>105.01</v>
      </c>
      <c r="I66" s="0" t="n">
        <v>25</v>
      </c>
      <c r="J66" s="0" t="n">
        <v>82.65000000000001</v>
      </c>
      <c r="K66" s="0" t="n">
        <v>5</v>
      </c>
      <c r="T66" s="0" t="n">
        <v>3</v>
      </c>
      <c r="U66" s="0" t="n">
        <v>2</v>
      </c>
      <c r="V66" s="0" t="inlineStr">
        <is>
          <t>계단식</t>
        </is>
      </c>
      <c r="W66" s="0" t="n">
        <v>105</v>
      </c>
      <c r="X66" s="0" t="n">
        <v>7</v>
      </c>
      <c r="Y66" s="0" t="n">
        <v>6</v>
      </c>
      <c r="Z66" s="0" t="inlineStr">
        <is>
          <t>https://new.land.naver.com/complexes/8623?tab=detail&amp;rf=Y</t>
        </is>
      </c>
      <c r="AA66" s="0" t="inlineStr">
        <is>
          <t>경기도 수원시 장안구 송죽동 458-3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장안구</t>
        </is>
      </c>
      <c r="AE66" s="0" t="inlineStr">
        <is>
          <t>송죽동</t>
        </is>
      </c>
      <c r="AG66" s="0" t="inlineStr">
        <is>
          <t>경기도 수원시 장안구 정조로1088번길 18-22</t>
        </is>
      </c>
      <c r="AH66" s="0" t="n">
        <v>0</v>
      </c>
      <c r="AI66" s="0" t="n">
        <v>262</v>
      </c>
      <c r="AJ66" s="0" t="n">
        <v>39</v>
      </c>
      <c r="AK66" s="0" t="n">
        <v>25</v>
      </c>
      <c r="AL66" s="0" t="n">
        <v>0.42</v>
      </c>
    </row>
    <row r="67">
      <c r="A67" s="0" t="inlineStr">
        <is>
          <t>[송죽동]</t>
        </is>
      </c>
      <c r="B67" s="0" t="n">
        <v>8623</v>
      </c>
      <c r="C67" s="0" t="n">
        <v>4</v>
      </c>
      <c r="D67" s="0" t="inlineStr">
        <is>
          <t>삼우</t>
        </is>
      </c>
      <c r="E67" s="0" t="inlineStr">
        <is>
          <t>1989.11.</t>
        </is>
      </c>
      <c r="F67" s="0" t="n">
        <v>59</v>
      </c>
      <c r="G67" s="0" t="n">
        <v>32.65</v>
      </c>
      <c r="H67" s="0" t="n">
        <v>107.94</v>
      </c>
      <c r="I67" s="0" t="n">
        <v>25.69</v>
      </c>
      <c r="J67" s="0" t="n">
        <v>84.94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n">
        <v>107</v>
      </c>
      <c r="X67" s="0" t="n">
        <v>7</v>
      </c>
      <c r="Y67" s="0" t="n">
        <v>6</v>
      </c>
      <c r="Z67" s="0" t="inlineStr">
        <is>
          <t>https://new.land.naver.com/complexes/8623?tab=detail&amp;rf=Y</t>
        </is>
      </c>
      <c r="AA67" s="0" t="inlineStr">
        <is>
          <t>경기도 수원시 장안구 송죽동 458-3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장안구</t>
        </is>
      </c>
      <c r="AE67" s="0" t="inlineStr">
        <is>
          <t>송죽동</t>
        </is>
      </c>
      <c r="AG67" s="0" t="inlineStr">
        <is>
          <t>경기도 수원시 장안구 정조로1088번길 18-22</t>
        </is>
      </c>
      <c r="AH67" s="0" t="n">
        <v>0</v>
      </c>
      <c r="AI67" s="0" t="n">
        <v>262</v>
      </c>
      <c r="AJ67" s="0" t="n">
        <v>39</v>
      </c>
      <c r="AK67" s="0" t="n">
        <v>25</v>
      </c>
      <c r="AL67" s="0" t="n">
        <v>0.42</v>
      </c>
    </row>
    <row r="68">
      <c r="A68" s="0" t="inlineStr">
        <is>
          <t>[송죽동]</t>
        </is>
      </c>
      <c r="B68" s="0" t="n">
        <v>2691</v>
      </c>
      <c r="C68" s="0" t="n">
        <v>1</v>
      </c>
      <c r="D68" s="0" t="inlineStr">
        <is>
          <t>영광</t>
        </is>
      </c>
      <c r="E68" s="0" t="inlineStr">
        <is>
          <t>1995.05.</t>
        </is>
      </c>
      <c r="F68" s="0" t="n">
        <v>139</v>
      </c>
      <c r="G68" s="0" t="n">
        <v>24.12</v>
      </c>
      <c r="H68" s="0" t="n">
        <v>79.73999999999999</v>
      </c>
      <c r="I68" s="0" t="n">
        <v>18.1</v>
      </c>
      <c r="J68" s="0" t="n">
        <v>59.86</v>
      </c>
      <c r="K68" s="0" t="n">
        <v>72</v>
      </c>
      <c r="T68" s="0" t="n">
        <v>3</v>
      </c>
      <c r="U68" s="0" t="n">
        <v>1</v>
      </c>
      <c r="V68" s="0" t="inlineStr">
        <is>
          <t>복도식</t>
        </is>
      </c>
      <c r="W68" s="0" t="n">
        <v>79</v>
      </c>
      <c r="X68" s="0" t="n">
        <v>17</v>
      </c>
      <c r="Y68" s="0" t="n">
        <v>9</v>
      </c>
      <c r="Z68" s="0" t="inlineStr">
        <is>
          <t>https://new.land.naver.com/complexes/2691?tab=detail&amp;rf=Y</t>
        </is>
      </c>
      <c r="AA68" s="0" t="inlineStr">
        <is>
          <t>경기도 수원시 장안구 송죽동 65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장안구</t>
        </is>
      </c>
      <c r="AE68" s="0" t="inlineStr">
        <is>
          <t>송죽동</t>
        </is>
      </c>
      <c r="AG68" s="0" t="inlineStr">
        <is>
          <t>경기도 수원시 장안구 만석로 250-9</t>
        </is>
      </c>
      <c r="AH68" s="0" t="n">
        <v>0</v>
      </c>
      <c r="AI68" s="0" t="n">
        <v>331</v>
      </c>
      <c r="AJ68" s="0" t="n">
        <v>33</v>
      </c>
      <c r="AK68" s="0" t="n">
        <v>111</v>
      </c>
      <c r="AL68" s="0" t="n">
        <v>0.8</v>
      </c>
    </row>
    <row r="69">
      <c r="A69" s="0" t="inlineStr">
        <is>
          <t>[송죽동]</t>
        </is>
      </c>
      <c r="B69" s="0" t="n">
        <v>2691</v>
      </c>
      <c r="C69" s="0" t="n">
        <v>2</v>
      </c>
      <c r="D69" s="0" t="inlineStr">
        <is>
          <t>영광</t>
        </is>
      </c>
      <c r="E69" s="0" t="inlineStr">
        <is>
          <t>1995.05.</t>
        </is>
      </c>
      <c r="F69" s="0" t="n">
        <v>139</v>
      </c>
      <c r="G69" s="0" t="n">
        <v>34.24</v>
      </c>
      <c r="H69" s="0" t="n">
        <v>113.2</v>
      </c>
      <c r="I69" s="0" t="n">
        <v>25.7</v>
      </c>
      <c r="J69" s="0" t="n">
        <v>84.98</v>
      </c>
      <c r="K69" s="0" t="n">
        <v>67</v>
      </c>
      <c r="T69" s="0" t="n">
        <v>3</v>
      </c>
      <c r="U69" s="0" t="n">
        <v>2</v>
      </c>
      <c r="V69" s="0" t="inlineStr">
        <is>
          <t>복도식</t>
        </is>
      </c>
      <c r="W69" s="0" t="n">
        <v>113</v>
      </c>
      <c r="X69" s="0" t="n">
        <v>17</v>
      </c>
      <c r="Y69" s="0" t="n">
        <v>9</v>
      </c>
      <c r="Z69" s="0" t="inlineStr">
        <is>
          <t>https://new.land.naver.com/complexes/2691?tab=detail&amp;rf=Y</t>
        </is>
      </c>
      <c r="AA69" s="0" t="inlineStr">
        <is>
          <t>경기도 수원시 장안구 송죽동 65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장안구</t>
        </is>
      </c>
      <c r="AE69" s="0" t="inlineStr">
        <is>
          <t>송죽동</t>
        </is>
      </c>
      <c r="AG69" s="0" t="inlineStr">
        <is>
          <t>경기도 수원시 장안구 만석로 250-9</t>
        </is>
      </c>
      <c r="AH69" s="0" t="n">
        <v>0</v>
      </c>
      <c r="AI69" s="0" t="n">
        <v>331</v>
      </c>
      <c r="AJ69" s="0" t="n">
        <v>33</v>
      </c>
      <c r="AK69" s="0" t="n">
        <v>111</v>
      </c>
      <c r="AL69" s="0" t="n">
        <v>0.8</v>
      </c>
    </row>
    <row r="70">
      <c r="A70" s="0" t="inlineStr">
        <is>
          <t>[연무동]</t>
        </is>
      </c>
      <c r="B70" s="0" t="n">
        <v>2694</v>
      </c>
      <c r="C70" s="0" t="n">
        <v>1</v>
      </c>
      <c r="D70" s="0" t="inlineStr">
        <is>
          <t>목화</t>
        </is>
      </c>
      <c r="E70" s="0" t="inlineStr">
        <is>
          <t>1994.09.</t>
        </is>
      </c>
      <c r="F70" s="0" t="n">
        <v>112</v>
      </c>
      <c r="G70" s="0" t="n">
        <v>22.39</v>
      </c>
      <c r="H70" s="0" t="n">
        <v>74.03</v>
      </c>
      <c r="I70" s="0" t="n">
        <v>17.09</v>
      </c>
      <c r="J70" s="0" t="n">
        <v>56.52</v>
      </c>
      <c r="K70" s="0" t="n">
        <v>2</v>
      </c>
      <c r="T70" s="0" t="n">
        <v>3</v>
      </c>
      <c r="U70" s="0" t="n">
        <v>2</v>
      </c>
      <c r="V70" s="0" t="inlineStr">
        <is>
          <t>복도식</t>
        </is>
      </c>
      <c r="W70" s="0" t="n">
        <v>74</v>
      </c>
      <c r="X70" s="0" t="n">
        <v>9</v>
      </c>
      <c r="Y70" s="0" t="n">
        <v>7</v>
      </c>
      <c r="Z70" s="0" t="inlineStr">
        <is>
          <t>https://new.land.naver.com/complexes/2694?tab=detail&amp;rf=Y</t>
        </is>
      </c>
      <c r="AA70" s="0" t="inlineStr">
        <is>
          <t>경기도 수원시 장안구 연무동 214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장안구</t>
        </is>
      </c>
      <c r="AE70" s="0" t="inlineStr">
        <is>
          <t>연무동</t>
        </is>
      </c>
      <c r="AG70" s="0" t="inlineStr">
        <is>
          <t>경기도 수원시 장안구 창훈로 57-11</t>
        </is>
      </c>
      <c r="AH70" s="0" t="n">
        <v>0</v>
      </c>
      <c r="AI70" s="0" t="n">
        <v>295</v>
      </c>
      <c r="AJ70" s="0" t="n">
        <v>35</v>
      </c>
      <c r="AK70" s="0" t="n">
        <v>78</v>
      </c>
      <c r="AL70" s="0" t="n">
        <v>0.7</v>
      </c>
    </row>
    <row r="71">
      <c r="A71" s="0" t="inlineStr">
        <is>
          <t>[연무동]</t>
        </is>
      </c>
      <c r="B71" s="0" t="n">
        <v>2694</v>
      </c>
      <c r="C71" s="0" t="n">
        <v>2</v>
      </c>
      <c r="D71" s="0" t="inlineStr">
        <is>
          <t>목화</t>
        </is>
      </c>
      <c r="E71" s="0" t="inlineStr">
        <is>
          <t>1994.09.</t>
        </is>
      </c>
      <c r="F71" s="0" t="n">
        <v>112</v>
      </c>
      <c r="G71" s="0" t="n">
        <v>23.53</v>
      </c>
      <c r="H71" s="0" t="n">
        <v>77.81</v>
      </c>
      <c r="I71" s="0" t="n">
        <v>17.96</v>
      </c>
      <c r="J71" s="0" t="n">
        <v>59.4</v>
      </c>
      <c r="K71" s="0" t="n">
        <v>23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77A</t>
        </is>
      </c>
      <c r="X71" s="0" t="n">
        <v>9</v>
      </c>
      <c r="Y71" s="0" t="n">
        <v>7</v>
      </c>
      <c r="Z71" s="0" t="inlineStr">
        <is>
          <t>https://new.land.naver.com/complexes/2694?tab=detail&amp;rf=Y</t>
        </is>
      </c>
      <c r="AA71" s="0" t="inlineStr">
        <is>
          <t>경기도 수원시 장안구 연무동 214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장안구</t>
        </is>
      </c>
      <c r="AE71" s="0" t="inlineStr">
        <is>
          <t>연무동</t>
        </is>
      </c>
      <c r="AG71" s="0" t="inlineStr">
        <is>
          <t>경기도 수원시 장안구 창훈로 57-11</t>
        </is>
      </c>
      <c r="AH71" s="0" t="n">
        <v>0</v>
      </c>
      <c r="AI71" s="0" t="n">
        <v>295</v>
      </c>
      <c r="AJ71" s="0" t="n">
        <v>35</v>
      </c>
      <c r="AK71" s="0" t="n">
        <v>78</v>
      </c>
      <c r="AL71" s="0" t="n">
        <v>0.7</v>
      </c>
    </row>
    <row r="72">
      <c r="A72" s="0" t="inlineStr">
        <is>
          <t>[연무동]</t>
        </is>
      </c>
      <c r="B72" s="0" t="n">
        <v>2694</v>
      </c>
      <c r="C72" s="0" t="n">
        <v>3</v>
      </c>
      <c r="D72" s="0" t="inlineStr">
        <is>
          <t>목화</t>
        </is>
      </c>
      <c r="E72" s="0" t="inlineStr">
        <is>
          <t>1994.09.</t>
        </is>
      </c>
      <c r="F72" s="0" t="n">
        <v>112</v>
      </c>
      <c r="G72" s="0" t="n">
        <v>23.75</v>
      </c>
      <c r="H72" s="0" t="n">
        <v>78.53</v>
      </c>
      <c r="I72" s="0" t="n">
        <v>18.13</v>
      </c>
      <c r="J72" s="0" t="n">
        <v>59.95</v>
      </c>
      <c r="K72" s="0" t="n">
        <v>24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78B</t>
        </is>
      </c>
      <c r="X72" s="0" t="n">
        <v>9</v>
      </c>
      <c r="Y72" s="0" t="n">
        <v>7</v>
      </c>
      <c r="Z72" s="0" t="inlineStr">
        <is>
          <t>https://new.land.naver.com/complexes/2694?tab=detail&amp;rf=Y</t>
        </is>
      </c>
      <c r="AA72" s="0" t="inlineStr">
        <is>
          <t>경기도 수원시 장안구 연무동 214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장안구</t>
        </is>
      </c>
      <c r="AE72" s="0" t="inlineStr">
        <is>
          <t>연무동</t>
        </is>
      </c>
      <c r="AG72" s="0" t="inlineStr">
        <is>
          <t>경기도 수원시 장안구 창훈로 57-11</t>
        </is>
      </c>
      <c r="AH72" s="0" t="n">
        <v>0</v>
      </c>
      <c r="AI72" s="0" t="n">
        <v>295</v>
      </c>
      <c r="AJ72" s="0" t="n">
        <v>35</v>
      </c>
      <c r="AK72" s="0" t="n">
        <v>78</v>
      </c>
      <c r="AL72" s="0" t="n">
        <v>0.7</v>
      </c>
    </row>
    <row r="73">
      <c r="A73" s="0" t="inlineStr">
        <is>
          <t>[연무동]</t>
        </is>
      </c>
      <c r="B73" s="0" t="n">
        <v>2694</v>
      </c>
      <c r="C73" s="0" t="n">
        <v>4</v>
      </c>
      <c r="D73" s="0" t="inlineStr">
        <is>
          <t>목화</t>
        </is>
      </c>
      <c r="E73" s="0" t="inlineStr">
        <is>
          <t>1994.09.</t>
        </is>
      </c>
      <c r="F73" s="0" t="n">
        <v>112</v>
      </c>
      <c r="G73" s="0" t="n">
        <v>29.02</v>
      </c>
      <c r="H73" s="0" t="n">
        <v>95.95999999999999</v>
      </c>
      <c r="I73" s="0" t="n">
        <v>22.16</v>
      </c>
      <c r="J73" s="0" t="n">
        <v>73.26000000000001</v>
      </c>
      <c r="K73" s="0" t="n">
        <v>27</v>
      </c>
      <c r="T73" s="0" t="n">
        <v>3</v>
      </c>
      <c r="U73" s="0" t="n">
        <v>1</v>
      </c>
      <c r="V73" s="0" t="inlineStr">
        <is>
          <t>복도식</t>
        </is>
      </c>
      <c r="W73" s="0" t="n">
        <v>95</v>
      </c>
      <c r="X73" s="0" t="n">
        <v>9</v>
      </c>
      <c r="Y73" s="0" t="n">
        <v>7</v>
      </c>
      <c r="Z73" s="0" t="inlineStr">
        <is>
          <t>https://new.land.naver.com/complexes/2694?tab=detail&amp;rf=Y</t>
        </is>
      </c>
      <c r="AA73" s="0" t="inlineStr">
        <is>
          <t>경기도 수원시 장안구 연무동 214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장안구</t>
        </is>
      </c>
      <c r="AE73" s="0" t="inlineStr">
        <is>
          <t>연무동</t>
        </is>
      </c>
      <c r="AG73" s="0" t="inlineStr">
        <is>
          <t>경기도 수원시 장안구 창훈로 57-11</t>
        </is>
      </c>
      <c r="AH73" s="0" t="n">
        <v>0</v>
      </c>
      <c r="AI73" s="0" t="n">
        <v>295</v>
      </c>
      <c r="AJ73" s="0" t="n">
        <v>35</v>
      </c>
      <c r="AK73" s="0" t="n">
        <v>78</v>
      </c>
      <c r="AL73" s="0" t="n">
        <v>0.7</v>
      </c>
    </row>
    <row r="74">
      <c r="A74" s="0" t="inlineStr">
        <is>
          <t>[연무동]</t>
        </is>
      </c>
      <c r="B74" s="0" t="n">
        <v>2694</v>
      </c>
      <c r="C74" s="0" t="n">
        <v>5</v>
      </c>
      <c r="D74" s="0" t="inlineStr">
        <is>
          <t>목화</t>
        </is>
      </c>
      <c r="E74" s="0" t="inlineStr">
        <is>
          <t>1994.09.</t>
        </is>
      </c>
      <c r="F74" s="0" t="n">
        <v>112</v>
      </c>
      <c r="G74" s="0" t="n">
        <v>31.54</v>
      </c>
      <c r="H74" s="0" t="n">
        <v>104.27</v>
      </c>
      <c r="I74" s="0" t="n">
        <v>24.07</v>
      </c>
      <c r="J74" s="0" t="n">
        <v>79.59999999999999</v>
      </c>
      <c r="K74" s="0" t="n">
        <v>4</v>
      </c>
      <c r="T74" s="0" t="n">
        <v>3</v>
      </c>
      <c r="U74" s="0" t="n">
        <v>2</v>
      </c>
      <c r="V74" s="0" t="inlineStr">
        <is>
          <t>복도식</t>
        </is>
      </c>
      <c r="W74" s="0" t="n">
        <v>104</v>
      </c>
      <c r="X74" s="0" t="n">
        <v>9</v>
      </c>
      <c r="Y74" s="0" t="n">
        <v>7</v>
      </c>
      <c r="Z74" s="0" t="inlineStr">
        <is>
          <t>https://new.land.naver.com/complexes/2694?tab=detail&amp;rf=Y</t>
        </is>
      </c>
      <c r="AA74" s="0" t="inlineStr">
        <is>
          <t>경기도 수원시 장안구 연무동 214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장안구</t>
        </is>
      </c>
      <c r="AE74" s="0" t="inlineStr">
        <is>
          <t>연무동</t>
        </is>
      </c>
      <c r="AG74" s="0" t="inlineStr">
        <is>
          <t>경기도 수원시 장안구 창훈로 57-11</t>
        </is>
      </c>
      <c r="AH74" s="0" t="n">
        <v>0</v>
      </c>
      <c r="AI74" s="0" t="n">
        <v>295</v>
      </c>
      <c r="AJ74" s="0" t="n">
        <v>35</v>
      </c>
      <c r="AK74" s="0" t="n">
        <v>78</v>
      </c>
      <c r="AL74" s="0" t="n">
        <v>0.7</v>
      </c>
    </row>
    <row r="75">
      <c r="A75" s="0" t="inlineStr">
        <is>
          <t>[연무동]</t>
        </is>
      </c>
      <c r="B75" s="0" t="n">
        <v>2694</v>
      </c>
      <c r="C75" s="0" t="n">
        <v>6</v>
      </c>
      <c r="D75" s="0" t="inlineStr">
        <is>
          <t>목화</t>
        </is>
      </c>
      <c r="E75" s="0" t="inlineStr">
        <is>
          <t>1994.09.</t>
        </is>
      </c>
      <c r="F75" s="0" t="n">
        <v>112</v>
      </c>
      <c r="G75" s="0" t="n">
        <v>33.6</v>
      </c>
      <c r="H75" s="0" t="n">
        <v>111.1</v>
      </c>
      <c r="I75" s="0" t="n">
        <v>25.65</v>
      </c>
      <c r="J75" s="0" t="n">
        <v>84.81999999999999</v>
      </c>
      <c r="K75" s="0" t="n">
        <v>32</v>
      </c>
      <c r="T75" s="0" t="n">
        <v>3</v>
      </c>
      <c r="U75" s="0" t="n">
        <v>2</v>
      </c>
      <c r="V75" s="0" t="inlineStr">
        <is>
          <t>복도식</t>
        </is>
      </c>
      <c r="W75" s="0" t="n">
        <v>111</v>
      </c>
      <c r="X75" s="0" t="n">
        <v>9</v>
      </c>
      <c r="Y75" s="0" t="n">
        <v>7</v>
      </c>
      <c r="Z75" s="0" t="inlineStr">
        <is>
          <t>https://new.land.naver.com/complexes/2694?tab=detail&amp;rf=Y</t>
        </is>
      </c>
      <c r="AA75" s="0" t="inlineStr">
        <is>
          <t>경기도 수원시 장안구 연무동 214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장안구</t>
        </is>
      </c>
      <c r="AE75" s="0" t="inlineStr">
        <is>
          <t>연무동</t>
        </is>
      </c>
      <c r="AG75" s="0" t="inlineStr">
        <is>
          <t>경기도 수원시 장안구 창훈로 57-11</t>
        </is>
      </c>
      <c r="AH75" s="0" t="n">
        <v>0</v>
      </c>
      <c r="AI75" s="0" t="n">
        <v>295</v>
      </c>
      <c r="AJ75" s="0" t="n">
        <v>35</v>
      </c>
      <c r="AK75" s="0" t="n">
        <v>78</v>
      </c>
      <c r="AL75" s="0" t="n">
        <v>0.7</v>
      </c>
    </row>
    <row r="76">
      <c r="A76" s="0" t="inlineStr">
        <is>
          <t>[연무동]</t>
        </is>
      </c>
      <c r="B76" s="0" t="n">
        <v>104691</v>
      </c>
      <c r="C76" s="0" t="n">
        <v>1</v>
      </c>
      <c r="D76" s="0" t="inlineStr">
        <is>
          <t>효준</t>
        </is>
      </c>
      <c r="E76" s="0" t="inlineStr">
        <is>
          <t>2003.10.</t>
        </is>
      </c>
      <c r="F76" s="0" t="n">
        <v>19</v>
      </c>
      <c r="G76" s="0" t="n">
        <v>25.87</v>
      </c>
      <c r="H76" s="0" t="n">
        <v>85.54000000000001</v>
      </c>
      <c r="I76" s="0" t="n">
        <v>21.93</v>
      </c>
      <c r="J76" s="0" t="n">
        <v>72.52</v>
      </c>
      <c r="K76" s="0" t="n">
        <v>1</v>
      </c>
      <c r="T76" s="0" t="n">
        <v>3</v>
      </c>
      <c r="U76" s="0" t="n">
        <v>2</v>
      </c>
      <c r="V76" s="0" t="inlineStr">
        <is>
          <t>복도식</t>
        </is>
      </c>
      <c r="W76" s="0" t="n">
        <v>85</v>
      </c>
      <c r="X76" s="0" t="n">
        <v>8</v>
      </c>
      <c r="Y76" s="0" t="n">
        <v>6</v>
      </c>
      <c r="Z76" s="0" t="inlineStr">
        <is>
          <t>https://new.land.naver.com/complexes/104691?tab=detail&amp;rf=Y</t>
        </is>
      </c>
      <c r="AA76" s="0" t="inlineStr">
        <is>
          <t>경기도 수원시 장안구 연무동 9-4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장안구</t>
        </is>
      </c>
      <c r="AE76" s="0" t="inlineStr">
        <is>
          <t>연무동</t>
        </is>
      </c>
      <c r="AG76" s="0" t="inlineStr">
        <is>
          <t>경기도 수원시 장안구 창훈로80번길 50</t>
        </is>
      </c>
      <c r="AH76" s="0" t="n">
        <v>0</v>
      </c>
      <c r="AI76" s="0" t="n">
        <v>230</v>
      </c>
      <c r="AJ76" s="0" t="n">
        <v>35</v>
      </c>
      <c r="AK76" s="0" t="n">
        <v>24</v>
      </c>
      <c r="AL76" s="0" t="n">
        <v>1.26</v>
      </c>
    </row>
    <row r="77">
      <c r="A77" s="0" t="inlineStr">
        <is>
          <t>[연무동]</t>
        </is>
      </c>
      <c r="B77" s="0" t="n">
        <v>104691</v>
      </c>
      <c r="C77" s="0" t="n">
        <v>2</v>
      </c>
      <c r="D77" s="0" t="inlineStr">
        <is>
          <t>효준</t>
        </is>
      </c>
      <c r="E77" s="0" t="inlineStr">
        <is>
          <t>2003.10.</t>
        </is>
      </c>
      <c r="F77" s="0" t="n">
        <v>19</v>
      </c>
      <c r="G77" s="0" t="n">
        <v>26.65</v>
      </c>
      <c r="H77" s="0" t="n">
        <v>88.12</v>
      </c>
      <c r="I77" s="0" t="n">
        <v>22.76</v>
      </c>
      <c r="J77" s="0" t="n">
        <v>75.25</v>
      </c>
      <c r="K77" s="0" t="n">
        <v>3</v>
      </c>
      <c r="T77" s="0" t="n">
        <v>3</v>
      </c>
      <c r="U77" s="0" t="n">
        <v>2</v>
      </c>
      <c r="V77" s="0" t="inlineStr">
        <is>
          <t>계단식</t>
        </is>
      </c>
      <c r="W77" s="0" t="n">
        <v>88</v>
      </c>
      <c r="X77" s="0" t="n">
        <v>8</v>
      </c>
      <c r="Y77" s="0" t="n">
        <v>6</v>
      </c>
      <c r="Z77" s="0" t="inlineStr">
        <is>
          <t>https://new.land.naver.com/complexes/104691?tab=detail&amp;rf=Y</t>
        </is>
      </c>
      <c r="AA77" s="0" t="inlineStr">
        <is>
          <t>경기도 수원시 장안구 연무동 9-4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장안구</t>
        </is>
      </c>
      <c r="AE77" s="0" t="inlineStr">
        <is>
          <t>연무동</t>
        </is>
      </c>
      <c r="AG77" s="0" t="inlineStr">
        <is>
          <t>경기도 수원시 장안구 창훈로80번길 50</t>
        </is>
      </c>
      <c r="AH77" s="0" t="n">
        <v>0</v>
      </c>
      <c r="AI77" s="0" t="n">
        <v>230</v>
      </c>
      <c r="AJ77" s="0" t="n">
        <v>35</v>
      </c>
      <c r="AK77" s="0" t="n">
        <v>24</v>
      </c>
      <c r="AL77" s="0" t="n">
        <v>1.26</v>
      </c>
    </row>
    <row r="78">
      <c r="A78" s="0" t="inlineStr">
        <is>
          <t>[연무동]</t>
        </is>
      </c>
      <c r="B78" s="0" t="n">
        <v>104691</v>
      </c>
      <c r="C78" s="0" t="n">
        <v>3</v>
      </c>
      <c r="D78" s="0" t="inlineStr">
        <is>
          <t>효준</t>
        </is>
      </c>
      <c r="E78" s="0" t="inlineStr">
        <is>
          <t>2003.10.</t>
        </is>
      </c>
      <c r="F78" s="0" t="n">
        <v>19</v>
      </c>
      <c r="G78" s="0" t="n">
        <v>29.79</v>
      </c>
      <c r="H78" s="0" t="n">
        <v>98.51000000000001</v>
      </c>
      <c r="I78" s="0" t="n">
        <v>25.44</v>
      </c>
      <c r="J78" s="0" t="n">
        <v>84.12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98A</t>
        </is>
      </c>
      <c r="X78" s="0" t="n">
        <v>8</v>
      </c>
      <c r="Y78" s="0" t="n">
        <v>6</v>
      </c>
      <c r="Z78" s="0" t="inlineStr">
        <is>
          <t>https://new.land.naver.com/complexes/104691?tab=detail&amp;rf=Y</t>
        </is>
      </c>
      <c r="AA78" s="0" t="inlineStr">
        <is>
          <t>경기도 수원시 장안구 연무동 9-4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장안구</t>
        </is>
      </c>
      <c r="AE78" s="0" t="inlineStr">
        <is>
          <t>연무동</t>
        </is>
      </c>
      <c r="AG78" s="0" t="inlineStr">
        <is>
          <t>경기도 수원시 장안구 창훈로80번길 50</t>
        </is>
      </c>
      <c r="AH78" s="0" t="n">
        <v>0</v>
      </c>
      <c r="AI78" s="0" t="n">
        <v>230</v>
      </c>
      <c r="AJ78" s="0" t="n">
        <v>35</v>
      </c>
      <c r="AK78" s="0" t="n">
        <v>24</v>
      </c>
      <c r="AL78" s="0" t="n">
        <v>1.26</v>
      </c>
    </row>
    <row r="79">
      <c r="A79" s="0" t="inlineStr">
        <is>
          <t>[연무동]</t>
        </is>
      </c>
      <c r="B79" s="0" t="n">
        <v>104691</v>
      </c>
      <c r="C79" s="0" t="n">
        <v>4</v>
      </c>
      <c r="D79" s="0" t="inlineStr">
        <is>
          <t>효준</t>
        </is>
      </c>
      <c r="E79" s="0" t="inlineStr">
        <is>
          <t>2003.10.</t>
        </is>
      </c>
      <c r="F79" s="0" t="n">
        <v>19</v>
      </c>
      <c r="G79" s="0" t="n">
        <v>29.92</v>
      </c>
      <c r="H79" s="0" t="n">
        <v>98.91</v>
      </c>
      <c r="I79" s="0" t="n">
        <v>25.55</v>
      </c>
      <c r="J79" s="0" t="n">
        <v>84.48</v>
      </c>
      <c r="K79" s="0" t="n">
        <v>6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98B</t>
        </is>
      </c>
      <c r="X79" s="0" t="n">
        <v>8</v>
      </c>
      <c r="Y79" s="0" t="n">
        <v>6</v>
      </c>
      <c r="Z79" s="0" t="inlineStr">
        <is>
          <t>https://new.land.naver.com/complexes/104691?tab=detail&amp;rf=Y</t>
        </is>
      </c>
      <c r="AA79" s="0" t="inlineStr">
        <is>
          <t>경기도 수원시 장안구 연무동 9-4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장안구</t>
        </is>
      </c>
      <c r="AE79" s="0" t="inlineStr">
        <is>
          <t>연무동</t>
        </is>
      </c>
      <c r="AG79" s="0" t="inlineStr">
        <is>
          <t>경기도 수원시 장안구 창훈로80번길 50</t>
        </is>
      </c>
      <c r="AH79" s="0" t="n">
        <v>0</v>
      </c>
      <c r="AI79" s="0" t="n">
        <v>230</v>
      </c>
      <c r="AJ79" s="0" t="n">
        <v>35</v>
      </c>
      <c r="AK79" s="0" t="n">
        <v>24</v>
      </c>
      <c r="AL79" s="0" t="n">
        <v>1.26</v>
      </c>
    </row>
    <row r="80">
      <c r="A80" s="0" t="inlineStr">
        <is>
          <t>[연무동]</t>
        </is>
      </c>
      <c r="B80" s="0" t="n">
        <v>104691</v>
      </c>
      <c r="C80" s="0" t="n">
        <v>5</v>
      </c>
      <c r="D80" s="0" t="inlineStr">
        <is>
          <t>효준</t>
        </is>
      </c>
      <c r="E80" s="0" t="inlineStr">
        <is>
          <t>2003.10.</t>
        </is>
      </c>
      <c r="F80" s="0" t="n">
        <v>19</v>
      </c>
      <c r="G80" s="0" t="n">
        <v>33.96</v>
      </c>
      <c r="H80" s="0" t="n">
        <v>112.27</v>
      </c>
      <c r="I80" s="0" t="n">
        <v>29</v>
      </c>
      <c r="J80" s="0" t="n">
        <v>95.88</v>
      </c>
      <c r="K80" s="0" t="n">
        <v>1</v>
      </c>
      <c r="T80" s="0" t="n">
        <v>3</v>
      </c>
      <c r="U80" s="0" t="n">
        <v>2</v>
      </c>
      <c r="V80" s="0" t="inlineStr">
        <is>
          <t>계단식</t>
        </is>
      </c>
      <c r="W80" s="0" t="n">
        <v>112</v>
      </c>
      <c r="X80" s="0" t="n">
        <v>8</v>
      </c>
      <c r="Y80" s="0" t="n">
        <v>6</v>
      </c>
      <c r="Z80" s="0" t="inlineStr">
        <is>
          <t>https://new.land.naver.com/complexes/104691?tab=detail&amp;rf=Y</t>
        </is>
      </c>
      <c r="AA80" s="0" t="inlineStr">
        <is>
          <t>경기도 수원시 장안구 연무동 9-4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장안구</t>
        </is>
      </c>
      <c r="AE80" s="0" t="inlineStr">
        <is>
          <t>연무동</t>
        </is>
      </c>
      <c r="AG80" s="0" t="inlineStr">
        <is>
          <t>경기도 수원시 장안구 창훈로80번길 50</t>
        </is>
      </c>
      <c r="AH80" s="0" t="n">
        <v>0</v>
      </c>
      <c r="AI80" s="0" t="n">
        <v>230</v>
      </c>
      <c r="AJ80" s="0" t="n">
        <v>35</v>
      </c>
      <c r="AK80" s="0" t="n">
        <v>24</v>
      </c>
      <c r="AL80" s="0" t="n">
        <v>1.26</v>
      </c>
    </row>
    <row r="81">
      <c r="A81" s="0" t="inlineStr">
        <is>
          <t>[연무동]</t>
        </is>
      </c>
      <c r="B81" s="0" t="n">
        <v>104691</v>
      </c>
      <c r="C81" s="0" t="n">
        <v>6</v>
      </c>
      <c r="D81" s="0" t="inlineStr">
        <is>
          <t>효준</t>
        </is>
      </c>
      <c r="E81" s="0" t="inlineStr">
        <is>
          <t>2003.10.</t>
        </is>
      </c>
      <c r="F81" s="0" t="n">
        <v>19</v>
      </c>
      <c r="G81" s="0" t="n">
        <v>51.75</v>
      </c>
      <c r="H81" s="0" t="n">
        <v>171.08</v>
      </c>
      <c r="I81" s="0" t="n">
        <v>44.19</v>
      </c>
      <c r="J81" s="0" t="n">
        <v>146.09</v>
      </c>
      <c r="K81" s="0" t="n">
        <v>1</v>
      </c>
      <c r="T81" s="0" t="n">
        <v>4</v>
      </c>
      <c r="U81" s="0" t="n">
        <v>2</v>
      </c>
      <c r="V81" s="0" t="inlineStr">
        <is>
          <t>계단식</t>
        </is>
      </c>
      <c r="W81" s="0" t="n">
        <v>171</v>
      </c>
      <c r="X81" s="0" t="n">
        <v>8</v>
      </c>
      <c r="Y81" s="0" t="n">
        <v>6</v>
      </c>
      <c r="Z81" s="0" t="inlineStr">
        <is>
          <t>https://new.land.naver.com/complexes/104691?tab=detail&amp;rf=Y</t>
        </is>
      </c>
      <c r="AA81" s="0" t="inlineStr">
        <is>
          <t>경기도 수원시 장안구 연무동 9-4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장안구</t>
        </is>
      </c>
      <c r="AE81" s="0" t="inlineStr">
        <is>
          <t>연무동</t>
        </is>
      </c>
      <c r="AG81" s="0" t="inlineStr">
        <is>
          <t>경기도 수원시 장안구 창훈로80번길 50</t>
        </is>
      </c>
      <c r="AH81" s="0" t="n">
        <v>0</v>
      </c>
      <c r="AI81" s="0" t="n">
        <v>230</v>
      </c>
      <c r="AJ81" s="0" t="n">
        <v>35</v>
      </c>
      <c r="AK81" s="0" t="n">
        <v>24</v>
      </c>
      <c r="AL81" s="0" t="n">
        <v>1.26</v>
      </c>
    </row>
    <row r="82">
      <c r="A82" s="0" t="inlineStr">
        <is>
          <t>[연무동]</t>
        </is>
      </c>
      <c r="B82" s="0" t="n">
        <v>104691</v>
      </c>
      <c r="C82" s="0" t="n">
        <v>7</v>
      </c>
      <c r="D82" s="0" t="inlineStr">
        <is>
          <t>효준</t>
        </is>
      </c>
      <c r="E82" s="0" t="inlineStr">
        <is>
          <t>2003.10.</t>
        </is>
      </c>
      <c r="F82" s="0" t="n">
        <v>19</v>
      </c>
      <c r="G82" s="0" t="n">
        <v>52.54</v>
      </c>
      <c r="H82" s="0" t="n">
        <v>173.71</v>
      </c>
      <c r="I82" s="0" t="n">
        <v>44.87</v>
      </c>
      <c r="J82" s="0" t="n">
        <v>148.35</v>
      </c>
      <c r="K82" s="0" t="n">
        <v>1</v>
      </c>
      <c r="T82" s="0" t="n">
        <v>4</v>
      </c>
      <c r="U82" s="0" t="n">
        <v>2</v>
      </c>
      <c r="V82" s="0" t="inlineStr">
        <is>
          <t>계단식</t>
        </is>
      </c>
      <c r="W82" s="0" t="n">
        <v>173</v>
      </c>
      <c r="X82" s="0" t="n">
        <v>8</v>
      </c>
      <c r="Y82" s="0" t="n">
        <v>6</v>
      </c>
      <c r="Z82" s="0" t="inlineStr">
        <is>
          <t>https://new.land.naver.com/complexes/104691?tab=detail&amp;rf=Y</t>
        </is>
      </c>
      <c r="AA82" s="0" t="inlineStr">
        <is>
          <t>경기도 수원시 장안구 연무동 9-4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장안구</t>
        </is>
      </c>
      <c r="AE82" s="0" t="inlineStr">
        <is>
          <t>연무동</t>
        </is>
      </c>
      <c r="AG82" s="0" t="inlineStr">
        <is>
          <t>경기도 수원시 장안구 창훈로80번길 50</t>
        </is>
      </c>
      <c r="AH82" s="0" t="n">
        <v>0</v>
      </c>
      <c r="AI82" s="0" t="n">
        <v>230</v>
      </c>
      <c r="AJ82" s="0" t="n">
        <v>35</v>
      </c>
      <c r="AK82" s="0" t="n">
        <v>24</v>
      </c>
      <c r="AL82" s="0" t="n">
        <v>1.26</v>
      </c>
    </row>
    <row r="83">
      <c r="A83" s="0" t="inlineStr">
        <is>
          <t>[연무동]</t>
        </is>
      </c>
      <c r="B83" s="0" t="n">
        <v>2695</v>
      </c>
      <c r="C83" s="0" t="n">
        <v>1</v>
      </c>
      <c r="D83" s="0" t="inlineStr">
        <is>
          <t>신미주</t>
        </is>
      </c>
      <c r="E83" s="0" t="inlineStr">
        <is>
          <t>1997.12.</t>
        </is>
      </c>
      <c r="F83" s="0" t="n">
        <v>300</v>
      </c>
      <c r="G83" s="0" t="n">
        <v>25.73</v>
      </c>
      <c r="H83" s="0" t="n">
        <v>85.08</v>
      </c>
      <c r="I83" s="0" t="n">
        <v>18.13</v>
      </c>
      <c r="J83" s="0" t="n">
        <v>59.94</v>
      </c>
      <c r="K83" s="0" t="n">
        <v>140</v>
      </c>
      <c r="T83" s="0" t="n">
        <v>3</v>
      </c>
      <c r="U83" s="0" t="n">
        <v>1</v>
      </c>
      <c r="V83" s="0" t="inlineStr">
        <is>
          <t>복도식</t>
        </is>
      </c>
      <c r="W83" s="0" t="n">
        <v>85</v>
      </c>
      <c r="X83" s="0" t="n">
        <v>20</v>
      </c>
      <c r="Y83" s="0" t="n">
        <v>20</v>
      </c>
      <c r="Z83" s="0" t="inlineStr">
        <is>
          <t>https://new.land.naver.com/complexes/2695?tab=detail&amp;rf=Y</t>
        </is>
      </c>
      <c r="AA83" s="0" t="inlineStr">
        <is>
          <t>경기도 수원시 장안구 연무동 4-20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장안구</t>
        </is>
      </c>
      <c r="AE83" s="0" t="inlineStr">
        <is>
          <t>연무동</t>
        </is>
      </c>
      <c r="AG83" s="0" t="inlineStr">
        <is>
          <t>경기도 수원시 장안구 광교산로 148</t>
        </is>
      </c>
      <c r="AH83" s="0" t="n">
        <v>0</v>
      </c>
      <c r="AI83" s="0" t="n">
        <v>358</v>
      </c>
      <c r="AJ83" s="0" t="n">
        <v>20</v>
      </c>
      <c r="AK83" s="0" t="n">
        <v>301</v>
      </c>
      <c r="AL83" s="0" t="n">
        <v>1</v>
      </c>
    </row>
    <row r="84">
      <c r="A84" s="0" t="inlineStr">
        <is>
          <t>[연무동]</t>
        </is>
      </c>
      <c r="B84" s="0" t="n">
        <v>2695</v>
      </c>
      <c r="C84" s="0" t="n">
        <v>2</v>
      </c>
      <c r="D84" s="0" t="inlineStr">
        <is>
          <t>신미주</t>
        </is>
      </c>
      <c r="E84" s="0" t="inlineStr">
        <is>
          <t>1997.12.</t>
        </is>
      </c>
      <c r="F84" s="0" t="n">
        <v>300</v>
      </c>
      <c r="G84" s="0" t="n">
        <v>31.96</v>
      </c>
      <c r="H84" s="0" t="n">
        <v>105.66</v>
      </c>
      <c r="I84" s="0" t="n">
        <v>25.67</v>
      </c>
      <c r="J84" s="0" t="n">
        <v>84.89</v>
      </c>
      <c r="K84" s="0" t="n">
        <v>160</v>
      </c>
      <c r="T84" s="0" t="n">
        <v>3</v>
      </c>
      <c r="U84" s="0" t="n">
        <v>2</v>
      </c>
      <c r="V84" s="0" t="inlineStr">
        <is>
          <t>복도식</t>
        </is>
      </c>
      <c r="W84" s="0" t="n">
        <v>105</v>
      </c>
      <c r="X84" s="0" t="n">
        <v>20</v>
      </c>
      <c r="Y84" s="0" t="n">
        <v>20</v>
      </c>
      <c r="Z84" s="0" t="inlineStr">
        <is>
          <t>https://new.land.naver.com/complexes/2695?tab=detail&amp;rf=Y</t>
        </is>
      </c>
      <c r="AA84" s="0" t="inlineStr">
        <is>
          <t>경기도 수원시 장안구 연무동 4-20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장안구</t>
        </is>
      </c>
      <c r="AE84" s="0" t="inlineStr">
        <is>
          <t>연무동</t>
        </is>
      </c>
      <c r="AG84" s="0" t="inlineStr">
        <is>
          <t>경기도 수원시 장안구 광교산로 148</t>
        </is>
      </c>
      <c r="AH84" s="0" t="n">
        <v>0</v>
      </c>
      <c r="AI84" s="0" t="n">
        <v>358</v>
      </c>
      <c r="AJ84" s="0" t="n">
        <v>20</v>
      </c>
      <c r="AK84" s="0" t="n">
        <v>301</v>
      </c>
      <c r="AL84" s="0" t="n">
        <v>1</v>
      </c>
    </row>
    <row r="85">
      <c r="A85" s="0" t="inlineStr">
        <is>
          <t>[연무동]</t>
        </is>
      </c>
      <c r="B85" s="0" t="n">
        <v>113375</v>
      </c>
      <c r="C85" s="0" t="n">
        <v>1</v>
      </c>
      <c r="D85" s="0" t="inlineStr">
        <is>
          <t>피카소힐</t>
        </is>
      </c>
      <c r="E85" s="0" t="inlineStr">
        <is>
          <t>2016.04.</t>
        </is>
      </c>
      <c r="F85" s="0" t="n">
        <v>11</v>
      </c>
      <c r="G85" s="0" t="n">
        <v>14.88</v>
      </c>
      <c r="H85" s="0" t="n">
        <v>49.21</v>
      </c>
      <c r="I85" s="0" t="n">
        <v>12.68</v>
      </c>
      <c r="J85" s="0" t="n">
        <v>41.92</v>
      </c>
      <c r="K85" s="0" t="n">
        <v>1</v>
      </c>
      <c r="T85" s="0" t="n">
        <v>2</v>
      </c>
      <c r="U85" s="0" t="n">
        <v>1</v>
      </c>
      <c r="V85" s="0" t="inlineStr">
        <is>
          <t>계단식</t>
        </is>
      </c>
      <c r="W85" s="0" t="inlineStr">
        <is>
          <t>49A</t>
        </is>
      </c>
      <c r="X85" s="0" t="n">
        <v>6</v>
      </c>
      <c r="Y85" s="0" t="n">
        <v>5</v>
      </c>
      <c r="Z85" s="0" t="inlineStr">
        <is>
          <t>https://new.land.naver.com/complexes/113375?tab=detail&amp;rf=Y</t>
        </is>
      </c>
      <c r="AA85" s="0" t="inlineStr">
        <is>
          <t>경기도 수원시 장안구 연무동 239-34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장안구</t>
        </is>
      </c>
      <c r="AE85" s="0" t="inlineStr">
        <is>
          <t>연무동</t>
        </is>
      </c>
      <c r="AG85" s="0" t="inlineStr">
        <is>
          <t>경기도 수원시 장안구 연무로7번길 40</t>
        </is>
      </c>
      <c r="AH85" s="0" t="n">
        <v>0</v>
      </c>
      <c r="AI85" s="0" t="n">
        <v>178</v>
      </c>
      <c r="AJ85" s="0" t="n">
        <v>48</v>
      </c>
      <c r="AK85" s="0" t="n">
        <v>10</v>
      </c>
      <c r="AL85" s="0" t="n">
        <v>0.91</v>
      </c>
    </row>
    <row r="86">
      <c r="A86" s="0" t="inlineStr">
        <is>
          <t>[연무동]</t>
        </is>
      </c>
      <c r="B86" s="0" t="n">
        <v>113375</v>
      </c>
      <c r="C86" s="0" t="n">
        <v>2</v>
      </c>
      <c r="D86" s="0" t="inlineStr">
        <is>
          <t>피카소힐</t>
        </is>
      </c>
      <c r="E86" s="0" t="inlineStr">
        <is>
          <t>2016.04.</t>
        </is>
      </c>
      <c r="F86" s="0" t="n">
        <v>11</v>
      </c>
      <c r="G86" s="0" t="n">
        <v>14.94</v>
      </c>
      <c r="H86" s="0" t="n">
        <v>49.42</v>
      </c>
      <c r="I86" s="0" t="n">
        <v>12.73</v>
      </c>
      <c r="J86" s="0" t="n">
        <v>42.1</v>
      </c>
      <c r="K86" s="0" t="n">
        <v>1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49B</t>
        </is>
      </c>
      <c r="X86" s="0" t="n">
        <v>6</v>
      </c>
      <c r="Y86" s="0" t="n">
        <v>5</v>
      </c>
      <c r="Z86" s="0" t="inlineStr">
        <is>
          <t>https://new.land.naver.com/complexes/113375?tab=detail&amp;rf=Y</t>
        </is>
      </c>
      <c r="AA86" s="0" t="inlineStr">
        <is>
          <t>경기도 수원시 장안구 연무동 239-34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장안구</t>
        </is>
      </c>
      <c r="AE86" s="0" t="inlineStr">
        <is>
          <t>연무동</t>
        </is>
      </c>
      <c r="AG86" s="0" t="inlineStr">
        <is>
          <t>경기도 수원시 장안구 연무로7번길 40</t>
        </is>
      </c>
      <c r="AH86" s="0" t="n">
        <v>0</v>
      </c>
      <c r="AI86" s="0" t="n">
        <v>178</v>
      </c>
      <c r="AJ86" s="0" t="n">
        <v>48</v>
      </c>
      <c r="AK86" s="0" t="n">
        <v>10</v>
      </c>
      <c r="AL86" s="0" t="n">
        <v>0.91</v>
      </c>
    </row>
    <row r="87">
      <c r="A87" s="0" t="inlineStr">
        <is>
          <t>[연무동]</t>
        </is>
      </c>
      <c r="B87" s="0" t="n">
        <v>113375</v>
      </c>
      <c r="C87" s="0" t="n">
        <v>3</v>
      </c>
      <c r="D87" s="0" t="inlineStr">
        <is>
          <t>피카소힐</t>
        </is>
      </c>
      <c r="E87" s="0" t="inlineStr">
        <is>
          <t>2016.04.</t>
        </is>
      </c>
      <c r="F87" s="0" t="n">
        <v>11</v>
      </c>
      <c r="G87" s="0" t="n">
        <v>17.48</v>
      </c>
      <c r="H87" s="0" t="n">
        <v>57.79</v>
      </c>
      <c r="I87" s="0" t="n">
        <v>14.89</v>
      </c>
      <c r="J87" s="0" t="n">
        <v>49.23</v>
      </c>
      <c r="K87" s="0" t="n">
        <v>3</v>
      </c>
      <c r="T87" s="0" t="n">
        <v>2</v>
      </c>
      <c r="U87" s="0" t="n">
        <v>1</v>
      </c>
      <c r="V87" s="0" t="inlineStr">
        <is>
          <t>계단식</t>
        </is>
      </c>
      <c r="W87" s="0" t="n">
        <v>57</v>
      </c>
      <c r="X87" s="0" t="n">
        <v>6</v>
      </c>
      <c r="Y87" s="0" t="n">
        <v>5</v>
      </c>
      <c r="Z87" s="0" t="inlineStr">
        <is>
          <t>https://new.land.naver.com/complexes/113375?tab=detail&amp;rf=Y</t>
        </is>
      </c>
      <c r="AA87" s="0" t="inlineStr">
        <is>
          <t>경기도 수원시 장안구 연무동 239-34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장안구</t>
        </is>
      </c>
      <c r="AE87" s="0" t="inlineStr">
        <is>
          <t>연무동</t>
        </is>
      </c>
      <c r="AG87" s="0" t="inlineStr">
        <is>
          <t>경기도 수원시 장안구 연무로7번길 40</t>
        </is>
      </c>
      <c r="AH87" s="0" t="n">
        <v>0</v>
      </c>
      <c r="AI87" s="0" t="n">
        <v>178</v>
      </c>
      <c r="AJ87" s="0" t="n">
        <v>48</v>
      </c>
      <c r="AK87" s="0" t="n">
        <v>10</v>
      </c>
      <c r="AL87" s="0" t="n">
        <v>0.91</v>
      </c>
    </row>
    <row r="88">
      <c r="A88" s="0" t="inlineStr">
        <is>
          <t>[연무동]</t>
        </is>
      </c>
      <c r="B88" s="0" t="n">
        <v>113375</v>
      </c>
      <c r="C88" s="0" t="n">
        <v>4</v>
      </c>
      <c r="D88" s="0" t="inlineStr">
        <is>
          <t>피카소힐</t>
        </is>
      </c>
      <c r="E88" s="0" t="inlineStr">
        <is>
          <t>2016.04.</t>
        </is>
      </c>
      <c r="F88" s="0" t="n">
        <v>11</v>
      </c>
      <c r="G88" s="0" t="n">
        <v>18.54</v>
      </c>
      <c r="H88" s="0" t="n">
        <v>61.31</v>
      </c>
      <c r="I88" s="0" t="n">
        <v>15.79</v>
      </c>
      <c r="J88" s="0" t="n">
        <v>52.23</v>
      </c>
      <c r="K88" s="0" t="n">
        <v>2</v>
      </c>
      <c r="T88" s="0" t="n">
        <v>2</v>
      </c>
      <c r="U88" s="0" t="n">
        <v>1</v>
      </c>
      <c r="V88" s="0" t="inlineStr">
        <is>
          <t>계단식</t>
        </is>
      </c>
      <c r="W88" s="0" t="inlineStr">
        <is>
          <t>61A</t>
        </is>
      </c>
      <c r="X88" s="0" t="n">
        <v>6</v>
      </c>
      <c r="Y88" s="0" t="n">
        <v>5</v>
      </c>
      <c r="Z88" s="0" t="inlineStr">
        <is>
          <t>https://new.land.naver.com/complexes/113375?tab=detail&amp;rf=Y</t>
        </is>
      </c>
      <c r="AA88" s="0" t="inlineStr">
        <is>
          <t>경기도 수원시 장안구 연무동 239-34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장안구</t>
        </is>
      </c>
      <c r="AE88" s="0" t="inlineStr">
        <is>
          <t>연무동</t>
        </is>
      </c>
      <c r="AG88" s="0" t="inlineStr">
        <is>
          <t>경기도 수원시 장안구 연무로7번길 40</t>
        </is>
      </c>
      <c r="AH88" s="0" t="n">
        <v>0</v>
      </c>
      <c r="AI88" s="0" t="n">
        <v>178</v>
      </c>
      <c r="AJ88" s="0" t="n">
        <v>48</v>
      </c>
      <c r="AK88" s="0" t="n">
        <v>10</v>
      </c>
      <c r="AL88" s="0" t="n">
        <v>0.91</v>
      </c>
    </row>
    <row r="89">
      <c r="A89" s="0" t="inlineStr">
        <is>
          <t>[연무동]</t>
        </is>
      </c>
      <c r="B89" s="0" t="n">
        <v>113375</v>
      </c>
      <c r="C89" s="0" t="n">
        <v>5</v>
      </c>
      <c r="D89" s="0" t="inlineStr">
        <is>
          <t>피카소힐</t>
        </is>
      </c>
      <c r="E89" s="0" t="inlineStr">
        <is>
          <t>2016.04.</t>
        </is>
      </c>
      <c r="F89" s="0" t="n">
        <v>11</v>
      </c>
      <c r="G89" s="0" t="n">
        <v>19.09</v>
      </c>
      <c r="H89" s="0" t="n">
        <v>63.14</v>
      </c>
      <c r="I89" s="0" t="n">
        <v>16.27</v>
      </c>
      <c r="J89" s="0" t="n">
        <v>53.79</v>
      </c>
      <c r="K89" s="0" t="n">
        <v>1</v>
      </c>
      <c r="T89" s="0" t="n">
        <v>3</v>
      </c>
      <c r="U89" s="0" t="n">
        <v>1</v>
      </c>
      <c r="V89" s="0" t="inlineStr">
        <is>
          <t>계단식</t>
        </is>
      </c>
      <c r="W89" s="0" t="inlineStr">
        <is>
          <t>63B</t>
        </is>
      </c>
      <c r="X89" s="0" t="n">
        <v>6</v>
      </c>
      <c r="Y89" s="0" t="n">
        <v>5</v>
      </c>
      <c r="Z89" s="0" t="inlineStr">
        <is>
          <t>https://new.land.naver.com/complexes/113375?tab=detail&amp;rf=Y</t>
        </is>
      </c>
      <c r="AA89" s="0" t="inlineStr">
        <is>
          <t>경기도 수원시 장안구 연무동 239-34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장안구</t>
        </is>
      </c>
      <c r="AE89" s="0" t="inlineStr">
        <is>
          <t>연무동</t>
        </is>
      </c>
      <c r="AG89" s="0" t="inlineStr">
        <is>
          <t>경기도 수원시 장안구 연무로7번길 40</t>
        </is>
      </c>
      <c r="AH89" s="0" t="n">
        <v>0</v>
      </c>
      <c r="AI89" s="0" t="n">
        <v>178</v>
      </c>
      <c r="AJ89" s="0" t="n">
        <v>48</v>
      </c>
      <c r="AK89" s="0" t="n">
        <v>10</v>
      </c>
      <c r="AL89" s="0" t="n">
        <v>0.91</v>
      </c>
    </row>
    <row r="90">
      <c r="A90" s="0" t="inlineStr">
        <is>
          <t>[연무동]</t>
        </is>
      </c>
      <c r="B90" s="0" t="n">
        <v>113375</v>
      </c>
      <c r="C90" s="0" t="n">
        <v>6</v>
      </c>
      <c r="D90" s="0" t="inlineStr">
        <is>
          <t>피카소힐</t>
        </is>
      </c>
      <c r="E90" s="0" t="inlineStr">
        <is>
          <t>2016.04.</t>
        </is>
      </c>
      <c r="F90" s="0" t="n">
        <v>11</v>
      </c>
      <c r="G90" s="0" t="n">
        <v>19.57</v>
      </c>
      <c r="H90" s="0" t="n">
        <v>64.7</v>
      </c>
      <c r="I90" s="0" t="n">
        <v>16.67</v>
      </c>
      <c r="J90" s="0" t="n">
        <v>55.12</v>
      </c>
      <c r="K90" s="0" t="n">
        <v>1</v>
      </c>
      <c r="T90" s="0" t="n">
        <v>3</v>
      </c>
      <c r="U90" s="0" t="n">
        <v>1</v>
      </c>
      <c r="V90" s="0" t="inlineStr">
        <is>
          <t>계단식</t>
        </is>
      </c>
      <c r="W90" s="0" t="n">
        <v>64</v>
      </c>
      <c r="X90" s="0" t="n">
        <v>6</v>
      </c>
      <c r="Y90" s="0" t="n">
        <v>5</v>
      </c>
      <c r="Z90" s="0" t="inlineStr">
        <is>
          <t>https://new.land.naver.com/complexes/113375?tab=detail&amp;rf=Y</t>
        </is>
      </c>
      <c r="AA90" s="0" t="inlineStr">
        <is>
          <t>경기도 수원시 장안구 연무동 239-34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장안구</t>
        </is>
      </c>
      <c r="AE90" s="0" t="inlineStr">
        <is>
          <t>연무동</t>
        </is>
      </c>
      <c r="AG90" s="0" t="inlineStr">
        <is>
          <t>경기도 수원시 장안구 연무로7번길 40</t>
        </is>
      </c>
      <c r="AH90" s="0" t="n">
        <v>0</v>
      </c>
      <c r="AI90" s="0" t="n">
        <v>178</v>
      </c>
      <c r="AJ90" s="0" t="n">
        <v>48</v>
      </c>
      <c r="AK90" s="0" t="n">
        <v>10</v>
      </c>
      <c r="AL90" s="0" t="n">
        <v>0.91</v>
      </c>
    </row>
    <row r="91">
      <c r="A91" s="0" t="inlineStr">
        <is>
          <t>[연무동]</t>
        </is>
      </c>
      <c r="B91" s="0" t="n">
        <v>113375</v>
      </c>
      <c r="C91" s="0" t="n">
        <v>7</v>
      </c>
      <c r="D91" s="0" t="inlineStr">
        <is>
          <t>피카소힐</t>
        </is>
      </c>
      <c r="E91" s="0" t="inlineStr">
        <is>
          <t>2016.04.</t>
        </is>
      </c>
      <c r="F91" s="0" t="n">
        <v>11</v>
      </c>
      <c r="G91" s="0" t="n">
        <v>20.55</v>
      </c>
      <c r="H91" s="0" t="n">
        <v>67.95</v>
      </c>
      <c r="I91" s="0" t="n">
        <v>17.5</v>
      </c>
      <c r="J91" s="0" t="n">
        <v>57.88</v>
      </c>
      <c r="K91" s="0" t="n">
        <v>2</v>
      </c>
      <c r="T91" s="0" t="n">
        <v>3</v>
      </c>
      <c r="U91" s="0" t="n">
        <v>1</v>
      </c>
      <c r="V91" s="0" t="inlineStr">
        <is>
          <t>계단식</t>
        </is>
      </c>
      <c r="W91" s="0" t="n">
        <v>67</v>
      </c>
      <c r="X91" s="0" t="n">
        <v>6</v>
      </c>
      <c r="Y91" s="0" t="n">
        <v>5</v>
      </c>
      <c r="Z91" s="0" t="inlineStr">
        <is>
          <t>https://new.land.naver.com/complexes/113375?tab=detail&amp;rf=Y</t>
        </is>
      </c>
      <c r="AA91" s="0" t="inlineStr">
        <is>
          <t>경기도 수원시 장안구 연무동 239-34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장안구</t>
        </is>
      </c>
      <c r="AE91" s="0" t="inlineStr">
        <is>
          <t>연무동</t>
        </is>
      </c>
      <c r="AG91" s="0" t="inlineStr">
        <is>
          <t>경기도 수원시 장안구 연무로7번길 40</t>
        </is>
      </c>
      <c r="AH91" s="0" t="n">
        <v>0</v>
      </c>
      <c r="AI91" s="0" t="n">
        <v>178</v>
      </c>
      <c r="AJ91" s="0" t="n">
        <v>48</v>
      </c>
      <c r="AK91" s="0" t="n">
        <v>10</v>
      </c>
      <c r="AL91" s="0" t="n">
        <v>0.91</v>
      </c>
    </row>
    <row r="92">
      <c r="A92" s="0" t="inlineStr">
        <is>
          <t>[연무동]</t>
        </is>
      </c>
      <c r="B92" s="0" t="n">
        <v>11995</v>
      </c>
      <c r="C92" s="0" t="n">
        <v>1</v>
      </c>
      <c r="D92" s="0" t="inlineStr">
        <is>
          <t>대명2차</t>
        </is>
      </c>
      <c r="E92" s="0" t="inlineStr">
        <is>
          <t>1989.12.</t>
        </is>
      </c>
      <c r="F92" s="0" t="n">
        <v>70</v>
      </c>
      <c r="G92" s="0" t="n">
        <v>25.94</v>
      </c>
      <c r="H92" s="0" t="n">
        <v>85.78</v>
      </c>
      <c r="I92" s="0" t="n">
        <v>21.68</v>
      </c>
      <c r="J92" s="0" t="n">
        <v>71.69</v>
      </c>
      <c r="K92" s="0" t="n">
        <v>20</v>
      </c>
      <c r="T92" s="0" t="n">
        <v>3</v>
      </c>
      <c r="U92" s="0" t="n">
        <v>1</v>
      </c>
      <c r="V92" s="0" t="inlineStr">
        <is>
          <t>계단식</t>
        </is>
      </c>
      <c r="W92" s="0" t="n">
        <v>85</v>
      </c>
      <c r="X92" s="0" t="n">
        <v>5</v>
      </c>
      <c r="Y92" s="0" t="n">
        <v>5</v>
      </c>
      <c r="Z92" s="0" t="inlineStr">
        <is>
          <t>https://new.land.naver.com/complexes/11995?tab=detail&amp;rf=Y</t>
        </is>
      </c>
      <c r="AA92" s="0" t="inlineStr">
        <is>
          <t>경기도 수원시 장안구 연무동 221-2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장안구</t>
        </is>
      </c>
      <c r="AE92" s="0" t="inlineStr">
        <is>
          <t>연무동</t>
        </is>
      </c>
      <c r="AG92" s="0" t="inlineStr">
        <is>
          <t>경기도 수원시 장안구 창훈로40번길 6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[연무동]</t>
        </is>
      </c>
      <c r="B93" s="0" t="n">
        <v>11995</v>
      </c>
      <c r="C93" s="0" t="n">
        <v>2</v>
      </c>
      <c r="D93" s="0" t="inlineStr">
        <is>
          <t>대명2차</t>
        </is>
      </c>
      <c r="E93" s="0" t="inlineStr">
        <is>
          <t>1989.12.</t>
        </is>
      </c>
      <c r="F93" s="0" t="n">
        <v>70</v>
      </c>
      <c r="G93" s="0" t="n">
        <v>30.37</v>
      </c>
      <c r="H93" s="0" t="n">
        <v>100.42</v>
      </c>
      <c r="I93" s="0" t="n">
        <v>25.7</v>
      </c>
      <c r="J93" s="0" t="n">
        <v>84.97</v>
      </c>
      <c r="K93" s="0" t="n">
        <v>30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100B</t>
        </is>
      </c>
      <c r="X93" s="0" t="n">
        <v>5</v>
      </c>
      <c r="Y93" s="0" t="n">
        <v>5</v>
      </c>
      <c r="Z93" s="0" t="inlineStr">
        <is>
          <t>https://new.land.naver.com/complexes/11995?tab=detail&amp;rf=Y</t>
        </is>
      </c>
      <c r="AA93" s="0" t="inlineStr">
        <is>
          <t>경기도 수원시 장안구 연무동 221-2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장안구</t>
        </is>
      </c>
      <c r="AE93" s="0" t="inlineStr">
        <is>
          <t>연무동</t>
        </is>
      </c>
      <c r="AG93" s="0" t="inlineStr">
        <is>
          <t>경기도 수원시 장안구 창훈로40번길 6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[연무동]</t>
        </is>
      </c>
      <c r="B94" s="0" t="n">
        <v>11995</v>
      </c>
      <c r="C94" s="0" t="n">
        <v>3</v>
      </c>
      <c r="D94" s="0" t="inlineStr">
        <is>
          <t>대명2차</t>
        </is>
      </c>
      <c r="E94" s="0" t="inlineStr">
        <is>
          <t>1989.12.</t>
        </is>
      </c>
      <c r="F94" s="0" t="n">
        <v>70</v>
      </c>
      <c r="G94" s="0" t="n">
        <v>30.36</v>
      </c>
      <c r="H94" s="0" t="n">
        <v>100.39</v>
      </c>
      <c r="I94" s="0" t="n">
        <v>25.69</v>
      </c>
      <c r="J94" s="0" t="n">
        <v>84.94</v>
      </c>
      <c r="K94" s="0" t="n">
        <v>20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100A</t>
        </is>
      </c>
      <c r="X94" s="0" t="n">
        <v>5</v>
      </c>
      <c r="Y94" s="0" t="n">
        <v>5</v>
      </c>
      <c r="Z94" s="0" t="inlineStr">
        <is>
          <t>https://new.land.naver.com/complexes/11995?tab=detail&amp;rf=Y</t>
        </is>
      </c>
      <c r="AA94" s="0" t="inlineStr">
        <is>
          <t>경기도 수원시 장안구 연무동 221-2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장안구</t>
        </is>
      </c>
      <c r="AE94" s="0" t="inlineStr">
        <is>
          <t>연무동</t>
        </is>
      </c>
      <c r="AG94" s="0" t="inlineStr">
        <is>
          <t>경기도 수원시 장안구 창훈로40번길 6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[연무동]</t>
        </is>
      </c>
      <c r="B95" s="0" t="n">
        <v>138944</v>
      </c>
      <c r="C95" s="0" t="n">
        <v>1</v>
      </c>
      <c r="D95" s="0" t="inlineStr">
        <is>
          <t>DM빌리지(212-23)</t>
        </is>
      </c>
      <c r="E95" s="0" t="inlineStr">
        <is>
          <t>2019.07.</t>
        </is>
      </c>
      <c r="F95" s="0" t="n">
        <v>8</v>
      </c>
      <c r="G95" s="0" t="n">
        <v>18.22</v>
      </c>
      <c r="H95" s="0" t="n">
        <v>60.26</v>
      </c>
      <c r="I95" s="0" t="n">
        <v>15.81</v>
      </c>
      <c r="J95" s="0" t="n">
        <v>52.29</v>
      </c>
      <c r="K95" s="0" t="n">
        <v>4</v>
      </c>
      <c r="T95" s="0" t="n">
        <v>3</v>
      </c>
      <c r="U95" s="0" t="n">
        <v>2</v>
      </c>
      <c r="V95" s="0" t="inlineStr">
        <is>
          <t>계단식</t>
        </is>
      </c>
      <c r="W95" s="0" t="n">
        <v>60</v>
      </c>
      <c r="X95" s="0" t="n">
        <v>5</v>
      </c>
      <c r="Y95" s="0" t="n">
        <v>5</v>
      </c>
      <c r="Z95" s="0" t="inlineStr">
        <is>
          <t>https://new.land.naver.com/complexes/138944?tab=detail&amp;rf=Y</t>
        </is>
      </c>
      <c r="AA95" s="0" t="inlineStr">
        <is>
          <t>경기도 수원시 장안구 연무동 212-23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장안구</t>
        </is>
      </c>
      <c r="AE95" s="0" t="inlineStr">
        <is>
          <t>연무동</t>
        </is>
      </c>
      <c r="AG95" s="0" t="inlineStr">
        <is>
          <t>경기도 수원시 장안구 연무로56번길 46-29</t>
        </is>
      </c>
      <c r="AH95" s="0" t="n">
        <v>0</v>
      </c>
      <c r="AI95" s="0" t="n">
        <v>330</v>
      </c>
      <c r="AJ95" s="0" t="n">
        <v>62</v>
      </c>
      <c r="AK95" s="0" t="n">
        <v>9</v>
      </c>
      <c r="AL95" s="0" t="n">
        <v>1.12</v>
      </c>
    </row>
    <row r="96">
      <c r="A96" s="0" t="inlineStr">
        <is>
          <t>[연무동]</t>
        </is>
      </c>
      <c r="B96" s="0" t="n">
        <v>138944</v>
      </c>
      <c r="C96" s="0" t="n">
        <v>2</v>
      </c>
      <c r="D96" s="0" t="inlineStr">
        <is>
          <t>DM빌리지(212-23)</t>
        </is>
      </c>
      <c r="E96" s="0" t="inlineStr">
        <is>
          <t>2019.07.</t>
        </is>
      </c>
      <c r="F96" s="0" t="n">
        <v>8</v>
      </c>
      <c r="G96" s="0" t="n">
        <v>19.92</v>
      </c>
      <c r="H96" s="0" t="n">
        <v>65.86</v>
      </c>
      <c r="I96" s="0" t="n">
        <v>17.28</v>
      </c>
      <c r="J96" s="0" t="n">
        <v>57.15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n">
        <v>65</v>
      </c>
      <c r="X96" s="0" t="n">
        <v>5</v>
      </c>
      <c r="Y96" s="0" t="n">
        <v>5</v>
      </c>
      <c r="Z96" s="0" t="inlineStr">
        <is>
          <t>https://new.land.naver.com/complexes/138944?tab=detail&amp;rf=Y</t>
        </is>
      </c>
      <c r="AA96" s="0" t="inlineStr">
        <is>
          <t>경기도 수원시 장안구 연무동 212-23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장안구</t>
        </is>
      </c>
      <c r="AE96" s="0" t="inlineStr">
        <is>
          <t>연무동</t>
        </is>
      </c>
      <c r="AG96" s="0" t="inlineStr">
        <is>
          <t>경기도 수원시 장안구 연무로56번길 46-29</t>
        </is>
      </c>
      <c r="AH96" s="0" t="n">
        <v>0</v>
      </c>
      <c r="AI96" s="0" t="n">
        <v>330</v>
      </c>
      <c r="AJ96" s="0" t="n">
        <v>62</v>
      </c>
      <c r="AK96" s="0" t="n">
        <v>9</v>
      </c>
      <c r="AL96" s="0" t="n">
        <v>1.12</v>
      </c>
    </row>
    <row r="97">
      <c r="A97" s="0" t="inlineStr">
        <is>
          <t>[연무동]</t>
        </is>
      </c>
      <c r="B97" s="0" t="n">
        <v>138945</v>
      </c>
      <c r="C97" s="0" t="n">
        <v>1</v>
      </c>
      <c r="D97" s="0" t="inlineStr">
        <is>
          <t>디엠빌리지(212-26)</t>
        </is>
      </c>
      <c r="E97" s="0" t="inlineStr">
        <is>
          <t>2016.05.</t>
        </is>
      </c>
      <c r="F97" s="0" t="n">
        <v>8</v>
      </c>
      <c r="G97" s="0" t="n">
        <v>22.07</v>
      </c>
      <c r="H97" s="0" t="n">
        <v>72.98</v>
      </c>
      <c r="I97" s="0" t="n">
        <v>18.05</v>
      </c>
      <c r="J97" s="0" t="n">
        <v>59.7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https://new.land.naver.com/complexes/138945?tab=detail&amp;rf=Y</t>
        </is>
      </c>
      <c r="AA97" s="0" t="inlineStr">
        <is>
          <t>경기도 수원시 장안구 연무동 212-26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장안구</t>
        </is>
      </c>
      <c r="AE97" s="0" t="inlineStr">
        <is>
          <t>연무동</t>
        </is>
      </c>
      <c r="AG97" s="0" t="inlineStr">
        <is>
          <t>경기도 수원시 장안구 연무로56번길 46-25</t>
        </is>
      </c>
      <c r="AH97" s="0" t="n">
        <v>0</v>
      </c>
      <c r="AI97" s="0" t="n">
        <v>260</v>
      </c>
      <c r="AJ97" s="0" t="n">
        <v>69</v>
      </c>
      <c r="AK97" s="0" t="n">
        <v>8</v>
      </c>
      <c r="AL97" s="0" t="n">
        <v>1</v>
      </c>
    </row>
    <row r="98">
      <c r="A98" s="0" t="inlineStr">
        <is>
          <t>[연무동]</t>
        </is>
      </c>
      <c r="B98" s="0" t="n">
        <v>138945</v>
      </c>
      <c r="C98" s="0" t="n">
        <v>2</v>
      </c>
      <c r="D98" s="0" t="inlineStr">
        <is>
          <t>디엠빌리지(212-26)</t>
        </is>
      </c>
      <c r="E98" s="0" t="inlineStr">
        <is>
          <t>2016.05.</t>
        </is>
      </c>
      <c r="F98" s="0" t="n">
        <v>8</v>
      </c>
      <c r="G98" s="0" t="n">
        <v>22.94</v>
      </c>
      <c r="H98" s="0" t="n">
        <v>75.84</v>
      </c>
      <c r="I98" s="0" t="n">
        <v>18.76</v>
      </c>
      <c r="J98" s="0" t="n">
        <v>62.04</v>
      </c>
      <c r="K98" s="0" t="n">
        <v>4</v>
      </c>
      <c r="T98" s="0" t="n">
        <v>3</v>
      </c>
      <c r="U98" s="0" t="n">
        <v>2</v>
      </c>
      <c r="V98" s="0" t="inlineStr">
        <is>
          <t>계단식</t>
        </is>
      </c>
      <c r="W98" s="0" t="n">
        <v>75</v>
      </c>
      <c r="X98" s="0" t="n">
        <v>5</v>
      </c>
      <c r="Y98" s="0" t="n">
        <v>5</v>
      </c>
      <c r="Z98" s="0" t="inlineStr">
        <is>
          <t>https://new.land.naver.com/complexes/138945?tab=detail&amp;rf=Y</t>
        </is>
      </c>
      <c r="AA98" s="0" t="inlineStr">
        <is>
          <t>경기도 수원시 장안구 연무동 212-26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장안구</t>
        </is>
      </c>
      <c r="AE98" s="0" t="inlineStr">
        <is>
          <t>연무동</t>
        </is>
      </c>
      <c r="AG98" s="0" t="inlineStr">
        <is>
          <t>경기도 수원시 장안구 연무로56번길 46-25</t>
        </is>
      </c>
      <c r="AH98" s="0" t="n">
        <v>0</v>
      </c>
      <c r="AI98" s="0" t="n">
        <v>260</v>
      </c>
      <c r="AJ98" s="0" t="n">
        <v>69</v>
      </c>
      <c r="AK98" s="0" t="n">
        <v>8</v>
      </c>
      <c r="AL98" s="0" t="n">
        <v>1</v>
      </c>
    </row>
    <row r="99">
      <c r="A99" s="0" t="inlineStr">
        <is>
          <t>[연무동]</t>
        </is>
      </c>
      <c r="B99" s="0" t="n">
        <v>142243</v>
      </c>
      <c r="C99" s="0" t="n">
        <v>1</v>
      </c>
      <c r="D99" s="0" t="inlineStr">
        <is>
          <t>광교빌</t>
        </is>
      </c>
      <c r="E99" s="0" t="inlineStr">
        <is>
          <t>2020.12.</t>
        </is>
      </c>
      <c r="F99" s="0" t="n">
        <v>9</v>
      </c>
      <c r="G99" s="0" t="n">
        <v>19.63</v>
      </c>
      <c r="H99" s="0" t="n">
        <v>64.90000000000001</v>
      </c>
      <c r="I99" s="0" t="n">
        <v>16.55</v>
      </c>
      <c r="J99" s="0" t="n">
        <v>54.74</v>
      </c>
      <c r="K99" s="0" t="n">
        <v>3</v>
      </c>
      <c r="T99" s="0" t="n">
        <v>3</v>
      </c>
      <c r="U99" s="0" t="n">
        <v>2</v>
      </c>
      <c r="V99" s="0" t="inlineStr">
        <is>
          <t>계단식</t>
        </is>
      </c>
      <c r="W99" s="0" t="n">
        <v>64</v>
      </c>
      <c r="X99" s="0" t="n">
        <v>5</v>
      </c>
      <c r="Y99" s="0" t="n">
        <v>5</v>
      </c>
      <c r="Z99" s="0" t="inlineStr">
        <is>
          <t>https://new.land.naver.com/complexes/142243?tab=detail&amp;rf=Y</t>
        </is>
      </c>
      <c r="AA99" s="0" t="inlineStr">
        <is>
          <t>경기도 수원시 장안구 연무동 216-34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장안구</t>
        </is>
      </c>
      <c r="AE99" s="0" t="inlineStr">
        <is>
          <t>연무동</t>
        </is>
      </c>
      <c r="AG99" s="0" t="inlineStr">
        <is>
          <t>경기도 수원시 장안구 창훈로39번길 62-5</t>
        </is>
      </c>
      <c r="AH99" s="0" t="n">
        <v>0</v>
      </c>
      <c r="AI99" s="0" t="n">
        <v>231</v>
      </c>
      <c r="AJ99" s="0" t="n">
        <v>66</v>
      </c>
      <c r="AK99" s="0" t="n">
        <v>8</v>
      </c>
      <c r="AL99" s="0" t="n">
        <v>0.89</v>
      </c>
    </row>
    <row r="100">
      <c r="A100" s="0" t="inlineStr">
        <is>
          <t>[연무동]</t>
        </is>
      </c>
      <c r="B100" s="0" t="n">
        <v>142243</v>
      </c>
      <c r="C100" s="0" t="n">
        <v>2</v>
      </c>
      <c r="D100" s="0" t="inlineStr">
        <is>
          <t>광교빌</t>
        </is>
      </c>
      <c r="E100" s="0" t="inlineStr">
        <is>
          <t>2020.12.</t>
        </is>
      </c>
      <c r="F100" s="0" t="n">
        <v>9</v>
      </c>
      <c r="G100" s="0" t="n">
        <v>23.08</v>
      </c>
      <c r="H100" s="0" t="n">
        <v>76.3</v>
      </c>
      <c r="I100" s="0" t="n">
        <v>19.46</v>
      </c>
      <c r="J100" s="0" t="n">
        <v>64.34999999999999</v>
      </c>
      <c r="K100" s="0" t="n">
        <v>3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76A</t>
        </is>
      </c>
      <c r="X100" s="0" t="n">
        <v>5</v>
      </c>
      <c r="Y100" s="0" t="n">
        <v>5</v>
      </c>
      <c r="Z100" s="0" t="inlineStr">
        <is>
          <t>https://new.land.naver.com/complexes/142243?tab=detail&amp;rf=Y</t>
        </is>
      </c>
      <c r="AA100" s="0" t="inlineStr">
        <is>
          <t>경기도 수원시 장안구 연무동 216-34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장안구</t>
        </is>
      </c>
      <c r="AE100" s="0" t="inlineStr">
        <is>
          <t>연무동</t>
        </is>
      </c>
      <c r="AG100" s="0" t="inlineStr">
        <is>
          <t>경기도 수원시 장안구 창훈로39번길 62-5</t>
        </is>
      </c>
      <c r="AH100" s="0" t="n">
        <v>0</v>
      </c>
      <c r="AI100" s="0" t="n">
        <v>231</v>
      </c>
      <c r="AJ100" s="0" t="n">
        <v>66</v>
      </c>
      <c r="AK100" s="0" t="n">
        <v>8</v>
      </c>
      <c r="AL100" s="0" t="n">
        <v>0.89</v>
      </c>
    </row>
    <row r="101">
      <c r="A101" s="0" t="inlineStr">
        <is>
          <t>[연무동]</t>
        </is>
      </c>
      <c r="B101" s="0" t="n">
        <v>142243</v>
      </c>
      <c r="C101" s="0" t="n">
        <v>3</v>
      </c>
      <c r="D101" s="0" t="inlineStr">
        <is>
          <t>광교빌</t>
        </is>
      </c>
      <c r="E101" s="0" t="inlineStr">
        <is>
          <t>2020.12.</t>
        </is>
      </c>
      <c r="F101" s="0" t="n">
        <v>9</v>
      </c>
      <c r="G101" s="0" t="n">
        <v>23.46</v>
      </c>
      <c r="H101" s="0" t="n">
        <v>77.56</v>
      </c>
      <c r="I101" s="0" t="n">
        <v>19.78</v>
      </c>
      <c r="J101" s="0" t="n">
        <v>65.42</v>
      </c>
      <c r="K101" s="0" t="n">
        <v>3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77B</t>
        </is>
      </c>
      <c r="X101" s="0" t="n">
        <v>5</v>
      </c>
      <c r="Y101" s="0" t="n">
        <v>5</v>
      </c>
      <c r="Z101" s="0" t="inlineStr">
        <is>
          <t>https://new.land.naver.com/complexes/142243?tab=detail&amp;rf=Y</t>
        </is>
      </c>
      <c r="AA101" s="0" t="inlineStr">
        <is>
          <t>경기도 수원시 장안구 연무동 216-34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장안구</t>
        </is>
      </c>
      <c r="AE101" s="0" t="inlineStr">
        <is>
          <t>연무동</t>
        </is>
      </c>
      <c r="AG101" s="0" t="inlineStr">
        <is>
          <t>경기도 수원시 장안구 창훈로39번길 62-5</t>
        </is>
      </c>
      <c r="AH101" s="0" t="n">
        <v>0</v>
      </c>
      <c r="AI101" s="0" t="n">
        <v>231</v>
      </c>
      <c r="AJ101" s="0" t="n">
        <v>66</v>
      </c>
      <c r="AK101" s="0" t="n">
        <v>8</v>
      </c>
      <c r="AL101" s="0" t="n">
        <v>0.89</v>
      </c>
    </row>
    <row r="102">
      <c r="A102" s="0" t="inlineStr">
        <is>
          <t>[연무동]</t>
        </is>
      </c>
      <c r="B102" s="0" t="n">
        <v>14771</v>
      </c>
      <c r="C102" s="0" t="n">
        <v>1</v>
      </c>
      <c r="D102" s="0" t="inlineStr">
        <is>
          <t>익주</t>
        </is>
      </c>
      <c r="E102" s="0" t="inlineStr">
        <is>
          <t>1995.03.</t>
        </is>
      </c>
      <c r="F102" s="0" t="n">
        <v>56</v>
      </c>
      <c r="G102" s="0" t="n">
        <v>19.83</v>
      </c>
      <c r="H102" s="0" t="n">
        <v>65.58</v>
      </c>
      <c r="I102" s="0" t="n">
        <v>14.86</v>
      </c>
      <c r="J102" s="0" t="n">
        <v>49.13</v>
      </c>
      <c r="K102" s="0" t="n">
        <v>1</v>
      </c>
      <c r="T102" s="0" t="n">
        <v>2</v>
      </c>
      <c r="U102" s="0" t="n">
        <v>1</v>
      </c>
      <c r="V102" s="0" t="inlineStr">
        <is>
          <t>계단식</t>
        </is>
      </c>
      <c r="W102" s="0" t="n">
        <v>65</v>
      </c>
      <c r="X102" s="0" t="n">
        <v>9</v>
      </c>
      <c r="Y102" s="0" t="n">
        <v>9</v>
      </c>
      <c r="Z102" s="0" t="inlineStr">
        <is>
          <t>https://new.land.naver.com/complexes/14771?tab=detail&amp;rf=Y</t>
        </is>
      </c>
      <c r="AA102" s="0" t="inlineStr">
        <is>
          <t>경기도 수원시 장안구 연무동 248-17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장안구</t>
        </is>
      </c>
      <c r="AE102" s="0" t="inlineStr">
        <is>
          <t>연무동</t>
        </is>
      </c>
      <c r="AG102" s="0" t="inlineStr">
        <is>
          <t>경기도 수원시 장안구 월드컵로 410</t>
        </is>
      </c>
      <c r="AH102" s="0" t="n">
        <v>0</v>
      </c>
      <c r="AI102" s="0" t="n">
        <v>309</v>
      </c>
      <c r="AJ102" s="0" t="n">
        <v>53</v>
      </c>
      <c r="AK102" s="0" t="n">
        <v>40</v>
      </c>
      <c r="AL102" s="0" t="n">
        <v>0.71</v>
      </c>
    </row>
    <row r="103">
      <c r="A103" s="0" t="inlineStr">
        <is>
          <t>[연무동]</t>
        </is>
      </c>
      <c r="B103" s="0" t="n">
        <v>14771</v>
      </c>
      <c r="C103" s="0" t="n">
        <v>2</v>
      </c>
      <c r="D103" s="0" t="inlineStr">
        <is>
          <t>익주</t>
        </is>
      </c>
      <c r="E103" s="0" t="inlineStr">
        <is>
          <t>1995.03.</t>
        </is>
      </c>
      <c r="F103" s="0" t="n">
        <v>56</v>
      </c>
      <c r="G103" s="0" t="n">
        <v>23.46</v>
      </c>
      <c r="H103" s="0" t="n">
        <v>77.56999999999999</v>
      </c>
      <c r="I103" s="0" t="n">
        <v>17.62</v>
      </c>
      <c r="J103" s="0" t="n">
        <v>58.28</v>
      </c>
      <c r="K103" s="0" t="n">
        <v>23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77</v>
      </c>
      <c r="X103" s="0" t="n">
        <v>9</v>
      </c>
      <c r="Y103" s="0" t="n">
        <v>9</v>
      </c>
      <c r="Z103" s="0" t="inlineStr">
        <is>
          <t>https://new.land.naver.com/complexes/14771?tab=detail&amp;rf=Y</t>
        </is>
      </c>
      <c r="AA103" s="0" t="inlineStr">
        <is>
          <t>경기도 수원시 장안구 연무동 248-17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장안구</t>
        </is>
      </c>
      <c r="AE103" s="0" t="inlineStr">
        <is>
          <t>연무동</t>
        </is>
      </c>
      <c r="AG103" s="0" t="inlineStr">
        <is>
          <t>경기도 수원시 장안구 월드컵로 410</t>
        </is>
      </c>
      <c r="AH103" s="0" t="n">
        <v>0</v>
      </c>
      <c r="AI103" s="0" t="n">
        <v>309</v>
      </c>
      <c r="AJ103" s="0" t="n">
        <v>53</v>
      </c>
      <c r="AK103" s="0" t="n">
        <v>40</v>
      </c>
      <c r="AL103" s="0" t="n">
        <v>0.71</v>
      </c>
    </row>
    <row r="104">
      <c r="A104" s="0" t="inlineStr">
        <is>
          <t>[연무동]</t>
        </is>
      </c>
      <c r="B104" s="0" t="n">
        <v>14771</v>
      </c>
      <c r="C104" s="0" t="n">
        <v>3</v>
      </c>
      <c r="D104" s="0" t="inlineStr">
        <is>
          <t>익주</t>
        </is>
      </c>
      <c r="E104" s="0" t="inlineStr">
        <is>
          <t>1995.03.</t>
        </is>
      </c>
      <c r="F104" s="0" t="n">
        <v>56</v>
      </c>
      <c r="G104" s="0" t="n">
        <v>29.04</v>
      </c>
      <c r="H104" s="0" t="n">
        <v>96</v>
      </c>
      <c r="I104" s="0" t="n">
        <v>21.81</v>
      </c>
      <c r="J104" s="0" t="n">
        <v>72.12</v>
      </c>
      <c r="K104" s="0" t="n">
        <v>32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96</v>
      </c>
      <c r="X104" s="0" t="n">
        <v>9</v>
      </c>
      <c r="Y104" s="0" t="n">
        <v>9</v>
      </c>
      <c r="Z104" s="0" t="inlineStr">
        <is>
          <t>https://new.land.naver.com/complexes/14771?tab=detail&amp;rf=Y</t>
        </is>
      </c>
      <c r="AA104" s="0" t="inlineStr">
        <is>
          <t>경기도 수원시 장안구 연무동 248-17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장안구</t>
        </is>
      </c>
      <c r="AE104" s="0" t="inlineStr">
        <is>
          <t>연무동</t>
        </is>
      </c>
      <c r="AG104" s="0" t="inlineStr">
        <is>
          <t>경기도 수원시 장안구 월드컵로 410</t>
        </is>
      </c>
      <c r="AH104" s="0" t="n">
        <v>0</v>
      </c>
      <c r="AI104" s="0" t="n">
        <v>309</v>
      </c>
      <c r="AJ104" s="0" t="n">
        <v>53</v>
      </c>
      <c r="AK104" s="0" t="n">
        <v>40</v>
      </c>
      <c r="AL104" s="0" t="n">
        <v>0.71</v>
      </c>
    </row>
    <row r="105">
      <c r="A105" s="0" t="inlineStr">
        <is>
          <t>[연무동]</t>
        </is>
      </c>
      <c r="B105" s="0" t="n">
        <v>14772</v>
      </c>
      <c r="C105" s="0" t="n">
        <v>1</v>
      </c>
      <c r="D105" s="0" t="inlineStr">
        <is>
          <t>청호</t>
        </is>
      </c>
      <c r="E105" s="0" t="inlineStr">
        <is>
          <t>1995.09.</t>
        </is>
      </c>
      <c r="F105" s="0" t="n">
        <v>72</v>
      </c>
      <c r="G105" s="0" t="n">
        <v>23.59</v>
      </c>
      <c r="H105" s="0" t="n">
        <v>78.01000000000001</v>
      </c>
      <c r="I105" s="0" t="n">
        <v>17.65</v>
      </c>
      <c r="J105" s="0" t="n">
        <v>58.38</v>
      </c>
      <c r="K105" s="0" t="n">
        <v>56</v>
      </c>
      <c r="T105" s="0" t="n">
        <v>3</v>
      </c>
      <c r="U105" s="0" t="n">
        <v>1</v>
      </c>
      <c r="V105" s="0" t="inlineStr">
        <is>
          <t>복도식</t>
        </is>
      </c>
      <c r="W105" s="0" t="n">
        <v>78</v>
      </c>
      <c r="X105" s="0" t="n">
        <v>9</v>
      </c>
      <c r="Y105" s="0" t="n">
        <v>9</v>
      </c>
      <c r="Z105" s="0" t="inlineStr">
        <is>
          <t>https://new.land.naver.com/complexes/14772?tab=detail&amp;rf=Y</t>
        </is>
      </c>
      <c r="AA105" s="0" t="inlineStr">
        <is>
          <t>경기도 수원시 장안구 연무동 244-1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장안구</t>
        </is>
      </c>
      <c r="AE105" s="0" t="inlineStr">
        <is>
          <t>연무동</t>
        </is>
      </c>
      <c r="AG105" s="0" t="inlineStr">
        <is>
          <t>경기도 수원시 장안구 창훈로20번길 30</t>
        </is>
      </c>
      <c r="AH105" s="0" t="n">
        <v>0</v>
      </c>
      <c r="AI105" s="0" t="n">
        <v>271</v>
      </c>
      <c r="AJ105" s="0" t="n">
        <v>35</v>
      </c>
      <c r="AK105" s="0" t="n">
        <v>75</v>
      </c>
      <c r="AL105" s="0" t="n">
        <v>1.04</v>
      </c>
    </row>
    <row r="106">
      <c r="A106" s="0" t="inlineStr">
        <is>
          <t>[연무동]</t>
        </is>
      </c>
      <c r="B106" s="0" t="n">
        <v>14772</v>
      </c>
      <c r="C106" s="0" t="n">
        <v>2</v>
      </c>
      <c r="D106" s="0" t="inlineStr">
        <is>
          <t>청호</t>
        </is>
      </c>
      <c r="E106" s="0" t="inlineStr">
        <is>
          <t>1995.09.</t>
        </is>
      </c>
      <c r="F106" s="0" t="n">
        <v>72</v>
      </c>
      <c r="G106" s="0" t="n">
        <v>28.93</v>
      </c>
      <c r="H106" s="0" t="n">
        <v>95.64</v>
      </c>
      <c r="I106" s="0" t="n">
        <v>21.65</v>
      </c>
      <c r="J106" s="0" t="n">
        <v>71.58</v>
      </c>
      <c r="K106" s="0" t="n">
        <v>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95A</t>
        </is>
      </c>
      <c r="X106" s="0" t="n">
        <v>9</v>
      </c>
      <c r="Y106" s="0" t="n">
        <v>9</v>
      </c>
      <c r="Z106" s="0" t="inlineStr">
        <is>
          <t>https://new.land.naver.com/complexes/14772?tab=detail&amp;rf=Y</t>
        </is>
      </c>
      <c r="AA106" s="0" t="inlineStr">
        <is>
          <t>경기도 수원시 장안구 연무동 244-1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장안구</t>
        </is>
      </c>
      <c r="AE106" s="0" t="inlineStr">
        <is>
          <t>연무동</t>
        </is>
      </c>
      <c r="AG106" s="0" t="inlineStr">
        <is>
          <t>경기도 수원시 장안구 창훈로20번길 30</t>
        </is>
      </c>
      <c r="AH106" s="0" t="n">
        <v>0</v>
      </c>
      <c r="AI106" s="0" t="n">
        <v>271</v>
      </c>
      <c r="AJ106" s="0" t="n">
        <v>35</v>
      </c>
      <c r="AK106" s="0" t="n">
        <v>75</v>
      </c>
      <c r="AL106" s="0" t="n">
        <v>1.04</v>
      </c>
    </row>
    <row r="107">
      <c r="A107" s="0" t="inlineStr">
        <is>
          <t>[연무동]</t>
        </is>
      </c>
      <c r="B107" s="0" t="n">
        <v>14772</v>
      </c>
      <c r="C107" s="0" t="n">
        <v>3</v>
      </c>
      <c r="D107" s="0" t="inlineStr">
        <is>
          <t>청호</t>
        </is>
      </c>
      <c r="E107" s="0" t="inlineStr">
        <is>
          <t>1995.09.</t>
        </is>
      </c>
      <c r="F107" s="0" t="n">
        <v>72</v>
      </c>
      <c r="G107" s="0" t="n">
        <v>29.05</v>
      </c>
      <c r="H107" s="0" t="n">
        <v>96.04000000000001</v>
      </c>
      <c r="I107" s="0" t="n">
        <v>21.74</v>
      </c>
      <c r="J107" s="0" t="n">
        <v>71.88</v>
      </c>
      <c r="K107" s="0" t="n">
        <v>8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96B</t>
        </is>
      </c>
      <c r="X107" s="0" t="n">
        <v>9</v>
      </c>
      <c r="Y107" s="0" t="n">
        <v>9</v>
      </c>
      <c r="Z107" s="0" t="inlineStr">
        <is>
          <t>https://new.land.naver.com/complexes/14772?tab=detail&amp;rf=Y</t>
        </is>
      </c>
      <c r="AA107" s="0" t="inlineStr">
        <is>
          <t>경기도 수원시 장안구 연무동 244-1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장안구</t>
        </is>
      </c>
      <c r="AE107" s="0" t="inlineStr">
        <is>
          <t>연무동</t>
        </is>
      </c>
      <c r="AG107" s="0" t="inlineStr">
        <is>
          <t>경기도 수원시 장안구 창훈로20번길 30</t>
        </is>
      </c>
      <c r="AH107" s="0" t="n">
        <v>0</v>
      </c>
      <c r="AI107" s="0" t="n">
        <v>271</v>
      </c>
      <c r="AJ107" s="0" t="n">
        <v>35</v>
      </c>
      <c r="AK107" s="0" t="n">
        <v>75</v>
      </c>
      <c r="AL107" s="0" t="n">
        <v>1.04</v>
      </c>
    </row>
    <row r="108">
      <c r="A108" s="0" t="inlineStr">
        <is>
          <t>[연무동]</t>
        </is>
      </c>
      <c r="B108" s="0" t="n">
        <v>101407</v>
      </c>
      <c r="C108" s="0" t="n">
        <v>1</v>
      </c>
      <c r="D108" s="0" t="inlineStr">
        <is>
          <t>유천프라자</t>
        </is>
      </c>
      <c r="E108" s="0" t="inlineStr">
        <is>
          <t>1991.01.</t>
        </is>
      </c>
      <c r="F108" s="0" t="n">
        <v>100</v>
      </c>
      <c r="G108" s="0" t="n">
        <v>22.68</v>
      </c>
      <c r="H108" s="0" t="n">
        <v>74.98</v>
      </c>
      <c r="I108" s="0" t="n">
        <v>18.02</v>
      </c>
      <c r="J108" s="0" t="n">
        <v>59.58</v>
      </c>
      <c r="K108" s="0" t="n">
        <v>5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74A</t>
        </is>
      </c>
      <c r="X108" s="0" t="n">
        <v>9</v>
      </c>
      <c r="Y108" s="0" t="n">
        <v>5</v>
      </c>
      <c r="Z108" s="0" t="inlineStr">
        <is>
          <t>https://new.land.naver.com/complexes/101407?tab=detail&amp;rf=Y</t>
        </is>
      </c>
      <c r="AA108" s="0" t="inlineStr">
        <is>
          <t>경기도 수원시 장안구 연무동 21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장안구</t>
        </is>
      </c>
      <c r="AE108" s="0" t="inlineStr">
        <is>
          <t>연무동</t>
        </is>
      </c>
      <c r="AG108" s="0" t="inlineStr">
        <is>
          <t>경기도 수원시 장안구 창훈로66번길 11-3</t>
        </is>
      </c>
      <c r="AH108" s="0" t="n">
        <v>0</v>
      </c>
      <c r="AI108" s="0" t="n">
        <v>294</v>
      </c>
      <c r="AJ108" s="0" t="n">
        <v>53</v>
      </c>
      <c r="AK108" s="0" t="n">
        <v>69</v>
      </c>
      <c r="AL108" s="0" t="n">
        <v>0.6899999999999999</v>
      </c>
    </row>
    <row r="109">
      <c r="A109" s="0" t="inlineStr">
        <is>
          <t>[연무동]</t>
        </is>
      </c>
      <c r="B109" s="0" t="n">
        <v>101407</v>
      </c>
      <c r="C109" s="0" t="n">
        <v>2</v>
      </c>
      <c r="D109" s="0" t="inlineStr">
        <is>
          <t>유천프라자</t>
        </is>
      </c>
      <c r="E109" s="0" t="inlineStr">
        <is>
          <t>1991.01.</t>
        </is>
      </c>
      <c r="F109" s="0" t="n">
        <v>100</v>
      </c>
      <c r="G109" s="0" t="n">
        <v>23.44</v>
      </c>
      <c r="H109" s="0" t="n">
        <v>77.48999999999999</v>
      </c>
      <c r="I109" s="0" t="n">
        <v>18.05</v>
      </c>
      <c r="J109" s="0" t="n">
        <v>59.67</v>
      </c>
      <c r="K109" s="0" t="n">
        <v>66</v>
      </c>
      <c r="T109" s="0" t="n">
        <v>2</v>
      </c>
      <c r="U109" s="0" t="n">
        <v>1</v>
      </c>
      <c r="V109" s="0" t="inlineStr">
        <is>
          <t>계단식</t>
        </is>
      </c>
      <c r="W109" s="0" t="inlineStr">
        <is>
          <t>77B</t>
        </is>
      </c>
      <c r="X109" s="0" t="n">
        <v>9</v>
      </c>
      <c r="Y109" s="0" t="n">
        <v>5</v>
      </c>
      <c r="Z109" s="0" t="inlineStr">
        <is>
          <t>https://new.land.naver.com/complexes/101407?tab=detail&amp;rf=Y</t>
        </is>
      </c>
      <c r="AA109" s="0" t="inlineStr">
        <is>
          <t>경기도 수원시 장안구 연무동 21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장안구</t>
        </is>
      </c>
      <c r="AE109" s="0" t="inlineStr">
        <is>
          <t>연무동</t>
        </is>
      </c>
      <c r="AG109" s="0" t="inlineStr">
        <is>
          <t>경기도 수원시 장안구 창훈로66번길 11-3</t>
        </is>
      </c>
      <c r="AH109" s="0" t="n">
        <v>0</v>
      </c>
      <c r="AI109" s="0" t="n">
        <v>294</v>
      </c>
      <c r="AJ109" s="0" t="n">
        <v>53</v>
      </c>
      <c r="AK109" s="0" t="n">
        <v>69</v>
      </c>
      <c r="AL109" s="0" t="n">
        <v>0.6899999999999999</v>
      </c>
    </row>
    <row r="110">
      <c r="A110" s="0" t="inlineStr">
        <is>
          <t>[연무동]</t>
        </is>
      </c>
      <c r="B110" s="0" t="n">
        <v>101407</v>
      </c>
      <c r="C110" s="0" t="n">
        <v>3</v>
      </c>
      <c r="D110" s="0" t="inlineStr">
        <is>
          <t>유천프라자</t>
        </is>
      </c>
      <c r="E110" s="0" t="inlineStr">
        <is>
          <t>1991.01.</t>
        </is>
      </c>
      <c r="F110" s="0" t="n">
        <v>100</v>
      </c>
      <c r="G110" s="0" t="n">
        <v>24.15</v>
      </c>
      <c r="H110" s="0" t="n">
        <v>79.84999999999999</v>
      </c>
      <c r="I110" s="0" t="n">
        <v>19.19</v>
      </c>
      <c r="J110" s="0" t="n">
        <v>63.45</v>
      </c>
      <c r="K110" s="0" t="n">
        <v>18</v>
      </c>
      <c r="T110" s="0" t="n">
        <v>3</v>
      </c>
      <c r="U110" s="0" t="n">
        <v>2</v>
      </c>
      <c r="V110" s="0" t="inlineStr">
        <is>
          <t>복도식</t>
        </is>
      </c>
      <c r="W110" s="0" t="n">
        <v>79</v>
      </c>
      <c r="X110" s="0" t="n">
        <v>9</v>
      </c>
      <c r="Y110" s="0" t="n">
        <v>5</v>
      </c>
      <c r="Z110" s="0" t="inlineStr">
        <is>
          <t>https://new.land.naver.com/complexes/101407?tab=detail&amp;rf=Y</t>
        </is>
      </c>
      <c r="AA110" s="0" t="inlineStr">
        <is>
          <t>경기도 수원시 장안구 연무동 21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장안구</t>
        </is>
      </c>
      <c r="AE110" s="0" t="inlineStr">
        <is>
          <t>연무동</t>
        </is>
      </c>
      <c r="AG110" s="0" t="inlineStr">
        <is>
          <t>경기도 수원시 장안구 창훈로66번길 11-3</t>
        </is>
      </c>
      <c r="AH110" s="0" t="n">
        <v>0</v>
      </c>
      <c r="AI110" s="0" t="n">
        <v>294</v>
      </c>
      <c r="AJ110" s="0" t="n">
        <v>53</v>
      </c>
      <c r="AK110" s="0" t="n">
        <v>69</v>
      </c>
      <c r="AL110" s="0" t="n">
        <v>0.6899999999999999</v>
      </c>
    </row>
    <row r="111">
      <c r="A111" s="0" t="inlineStr">
        <is>
          <t>[연무동]</t>
        </is>
      </c>
      <c r="B111" s="0" t="n">
        <v>101407</v>
      </c>
      <c r="C111" s="0" t="n">
        <v>4</v>
      </c>
      <c r="D111" s="0" t="inlineStr">
        <is>
          <t>유천프라자</t>
        </is>
      </c>
      <c r="E111" s="0" t="inlineStr">
        <is>
          <t>1991.01.</t>
        </is>
      </c>
      <c r="F111" s="0" t="n">
        <v>100</v>
      </c>
      <c r="G111" s="0" t="n">
        <v>25.31</v>
      </c>
      <c r="H111" s="0" t="n">
        <v>83.7</v>
      </c>
      <c r="I111" s="0" t="n">
        <v>20.11</v>
      </c>
      <c r="J111" s="0" t="n">
        <v>66.51000000000001</v>
      </c>
      <c r="K111" s="0" t="n">
        <v>11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83</v>
      </c>
      <c r="X111" s="0" t="n">
        <v>9</v>
      </c>
      <c r="Y111" s="0" t="n">
        <v>5</v>
      </c>
      <c r="Z111" s="0" t="inlineStr">
        <is>
          <t>https://new.land.naver.com/complexes/101407?tab=detail&amp;rf=Y</t>
        </is>
      </c>
      <c r="AA111" s="0" t="inlineStr">
        <is>
          <t>경기도 수원시 장안구 연무동 21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장안구</t>
        </is>
      </c>
      <c r="AE111" s="0" t="inlineStr">
        <is>
          <t>연무동</t>
        </is>
      </c>
      <c r="AG111" s="0" t="inlineStr">
        <is>
          <t>경기도 수원시 장안구 창훈로66번길 11-3</t>
        </is>
      </c>
      <c r="AH111" s="0" t="n">
        <v>0</v>
      </c>
      <c r="AI111" s="0" t="n">
        <v>294</v>
      </c>
      <c r="AJ111" s="0" t="n">
        <v>53</v>
      </c>
      <c r="AK111" s="0" t="n">
        <v>69</v>
      </c>
      <c r="AL111" s="0" t="n">
        <v>0.6899999999999999</v>
      </c>
    </row>
    <row r="112">
      <c r="A112" s="0" t="inlineStr">
        <is>
          <t>[연무동]</t>
        </is>
      </c>
      <c r="B112" s="0" t="n">
        <v>138947</v>
      </c>
      <c r="C112" s="0" t="n">
        <v>1</v>
      </c>
      <c r="D112" s="0" t="inlineStr">
        <is>
          <t>DM빌리지(212-34,도시형)</t>
        </is>
      </c>
      <c r="E112" s="0" t="inlineStr">
        <is>
          <t>2017.08.</t>
        </is>
      </c>
      <c r="F112" s="0" t="n">
        <v>8</v>
      </c>
      <c r="G112" s="0" t="n">
        <v>15.83</v>
      </c>
      <c r="H112" s="0" t="n">
        <v>52.36</v>
      </c>
      <c r="I112" s="0" t="n">
        <v>12.36</v>
      </c>
      <c r="J112" s="0" t="n">
        <v>40.88</v>
      </c>
      <c r="K112" s="0" t="n">
        <v>4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52</v>
      </c>
      <c r="X112" s="0" t="n">
        <v>5</v>
      </c>
      <c r="Y112" s="0" t="n">
        <v>5</v>
      </c>
      <c r="Z112" s="0" t="inlineStr">
        <is>
          <t>https://new.land.naver.com/complexes/138947?tab=detail&amp;rf=Y</t>
        </is>
      </c>
      <c r="AA112" s="0" t="inlineStr">
        <is>
          <t>경기도 수원시 장안구 연무동 212-34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장안구</t>
        </is>
      </c>
      <c r="AE112" s="0" t="inlineStr">
        <is>
          <t>연무동</t>
        </is>
      </c>
      <c r="AG112" s="0" t="inlineStr">
        <is>
          <t>경기도 수원시 장안구 연무로56번길 46-5</t>
        </is>
      </c>
      <c r="AH112" s="0" t="n">
        <v>0</v>
      </c>
      <c r="AI112" s="0" t="n">
        <v>494</v>
      </c>
      <c r="AJ112" s="0" t="n">
        <v>68</v>
      </c>
      <c r="AK112" s="0" t="n">
        <v>8</v>
      </c>
      <c r="AL112" s="0" t="n">
        <v>1</v>
      </c>
    </row>
    <row r="113">
      <c r="A113" s="0" t="inlineStr">
        <is>
          <t>[연무동]</t>
        </is>
      </c>
      <c r="B113" s="0" t="n">
        <v>138947</v>
      </c>
      <c r="C113" s="0" t="n">
        <v>2</v>
      </c>
      <c r="D113" s="0" t="inlineStr">
        <is>
          <t>DM빌리지(212-34,도시형)</t>
        </is>
      </c>
      <c r="E113" s="0" t="inlineStr">
        <is>
          <t>2017.08.</t>
        </is>
      </c>
      <c r="F113" s="0" t="n">
        <v>8</v>
      </c>
      <c r="G113" s="0" t="n">
        <v>16.99</v>
      </c>
      <c r="H113" s="0" t="n">
        <v>56.19</v>
      </c>
      <c r="I113" s="0" t="n">
        <v>13.27</v>
      </c>
      <c r="J113" s="0" t="n">
        <v>43.87</v>
      </c>
      <c r="K113" s="0" t="n">
        <v>4</v>
      </c>
      <c r="T113" s="0" t="n">
        <v>2</v>
      </c>
      <c r="U113" s="0" t="n">
        <v>1</v>
      </c>
      <c r="V113" s="0" t="inlineStr">
        <is>
          <t>계단식</t>
        </is>
      </c>
      <c r="W113" s="0" t="n">
        <v>56</v>
      </c>
      <c r="X113" s="0" t="n">
        <v>5</v>
      </c>
      <c r="Y113" s="0" t="n">
        <v>5</v>
      </c>
      <c r="Z113" s="0" t="inlineStr">
        <is>
          <t>https://new.land.naver.com/complexes/138947?tab=detail&amp;rf=Y</t>
        </is>
      </c>
      <c r="AA113" s="0" t="inlineStr">
        <is>
          <t>경기도 수원시 장안구 연무동 212-34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장안구</t>
        </is>
      </c>
      <c r="AE113" s="0" t="inlineStr">
        <is>
          <t>연무동</t>
        </is>
      </c>
      <c r="AG113" s="0" t="inlineStr">
        <is>
          <t>경기도 수원시 장안구 연무로56번길 46-5</t>
        </is>
      </c>
      <c r="AH113" s="0" t="n">
        <v>0</v>
      </c>
      <c r="AI113" s="0" t="n">
        <v>494</v>
      </c>
      <c r="AJ113" s="0" t="n">
        <v>68</v>
      </c>
      <c r="AK113" s="0" t="n">
        <v>8</v>
      </c>
      <c r="AL113" s="0" t="n">
        <v>1</v>
      </c>
    </row>
    <row r="114">
      <c r="A114" s="0" t="inlineStr">
        <is>
          <t>[연무동]</t>
        </is>
      </c>
      <c r="B114" s="0" t="n">
        <v>123474</v>
      </c>
      <c r="C114" s="0" t="n">
        <v>1</v>
      </c>
      <c r="D114" s="0" t="inlineStr">
        <is>
          <t>방림</t>
        </is>
      </c>
      <c r="E114" s="0" t="inlineStr">
        <is>
          <t>1990.01.</t>
        </is>
      </c>
      <c r="F114" s="0" t="n">
        <v>19</v>
      </c>
      <c r="G114" s="0" t="n">
        <v>31.21</v>
      </c>
      <c r="H114" s="0" t="n">
        <v>103.18</v>
      </c>
      <c r="I114" s="0" t="n">
        <v>24.82</v>
      </c>
      <c r="J114" s="0" t="n">
        <v>82.08</v>
      </c>
      <c r="K114" s="0" t="n">
        <v>19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103</v>
      </c>
      <c r="X114" s="0" t="n">
        <v>5</v>
      </c>
      <c r="Y114" s="0" t="n">
        <v>4</v>
      </c>
      <c r="Z114" s="0" t="inlineStr">
        <is>
          <t>https://new.land.naver.com/complexes/123474?tab=detail&amp;rf=Y</t>
        </is>
      </c>
      <c r="AA114" s="0" t="inlineStr">
        <is>
          <t>경기도 수원시 장안구 연무동 193-1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장안구</t>
        </is>
      </c>
      <c r="AE114" s="0" t="inlineStr">
        <is>
          <t>연무동</t>
        </is>
      </c>
      <c r="AG114" s="0" t="inlineStr">
        <is>
          <t>경기도 수원시 장안구 경수대로753번길 46</t>
        </is>
      </c>
      <c r="AH114" s="0" t="n">
        <v>0</v>
      </c>
      <c r="AI114" s="0" t="n">
        <v>224</v>
      </c>
      <c r="AJ114" s="0" t="n">
        <v>52</v>
      </c>
      <c r="AK114" s="0" t="n">
        <v>7</v>
      </c>
      <c r="AL114" s="0" t="n">
        <v>0.37</v>
      </c>
    </row>
    <row r="115">
      <c r="A115" s="0" t="inlineStr">
        <is>
          <t>[연무동]</t>
        </is>
      </c>
      <c r="B115" s="0" t="n">
        <v>13184</v>
      </c>
      <c r="C115" s="0" t="n">
        <v>1</v>
      </c>
      <c r="D115" s="0" t="inlineStr">
        <is>
          <t>광교프라자</t>
        </is>
      </c>
      <c r="E115" s="0" t="inlineStr">
        <is>
          <t>1997.02.</t>
        </is>
      </c>
      <c r="F115" s="0" t="n">
        <v>19</v>
      </c>
      <c r="G115" s="0" t="n">
        <v>54.37</v>
      </c>
      <c r="H115" s="0" t="n">
        <v>179.76</v>
      </c>
      <c r="I115" s="0" t="n">
        <v>48.83</v>
      </c>
      <c r="J115" s="0" t="n">
        <v>161.44</v>
      </c>
      <c r="K115" s="0" t="n">
        <v>9</v>
      </c>
      <c r="T115" s="0" t="n">
        <v>4</v>
      </c>
      <c r="U115" s="0" t="n">
        <v>2</v>
      </c>
      <c r="V115" s="0" t="inlineStr">
        <is>
          <t>계단식</t>
        </is>
      </c>
      <c r="W115" s="0" t="n">
        <v>179</v>
      </c>
      <c r="X115" s="0" t="n">
        <v>14</v>
      </c>
      <c r="Y115" s="0" t="n">
        <v>13</v>
      </c>
      <c r="Z115" s="0" t="inlineStr">
        <is>
          <t>https://new.land.naver.com/complexes/13184?tab=detail&amp;rf=Y</t>
        </is>
      </c>
      <c r="AA115" s="0" t="inlineStr">
        <is>
          <t>경기도 수원시 장안구 연무동 251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장안구</t>
        </is>
      </c>
      <c r="AE115" s="0" t="inlineStr">
        <is>
          <t>연무동</t>
        </is>
      </c>
      <c r="AG115" s="0" t="inlineStr">
        <is>
          <t>경기도 수원시 장안구 월드컵로 441</t>
        </is>
      </c>
      <c r="AH115" s="0" t="n">
        <v>0</v>
      </c>
      <c r="AI115" s="0" t="n">
        <v>382</v>
      </c>
      <c r="AJ115" s="0" t="n">
        <v>59</v>
      </c>
      <c r="AK115" s="0" t="n">
        <v>24</v>
      </c>
      <c r="AL115" s="0" t="n">
        <v>1.26</v>
      </c>
    </row>
    <row r="116">
      <c r="A116" s="0" t="inlineStr">
        <is>
          <t>[연무동]</t>
        </is>
      </c>
      <c r="B116" s="0" t="n">
        <v>13184</v>
      </c>
      <c r="C116" s="0" t="n">
        <v>2</v>
      </c>
      <c r="D116" s="0" t="inlineStr">
        <is>
          <t>광교프라자</t>
        </is>
      </c>
      <c r="E116" s="0" t="inlineStr">
        <is>
          <t>1997.02.</t>
        </is>
      </c>
      <c r="F116" s="0" t="n">
        <v>19</v>
      </c>
      <c r="G116" s="0" t="n">
        <v>59.61</v>
      </c>
      <c r="H116" s="0" t="n">
        <v>197.06</v>
      </c>
      <c r="I116" s="0" t="n">
        <v>53.53</v>
      </c>
      <c r="J116" s="0" t="n">
        <v>176.98</v>
      </c>
      <c r="K116" s="0" t="n">
        <v>1</v>
      </c>
      <c r="T116" s="0" t="n">
        <v>3</v>
      </c>
      <c r="U116" s="0" t="n">
        <v>2</v>
      </c>
      <c r="V116" s="0" t="inlineStr">
        <is>
          <t>복도식</t>
        </is>
      </c>
      <c r="W116" s="0" t="n">
        <v>197</v>
      </c>
      <c r="X116" s="0" t="n">
        <v>14</v>
      </c>
      <c r="Y116" s="0" t="n">
        <v>13</v>
      </c>
      <c r="Z116" s="0" t="inlineStr">
        <is>
          <t>https://new.land.naver.com/complexes/13184?tab=detail&amp;rf=Y</t>
        </is>
      </c>
      <c r="AA116" s="0" t="inlineStr">
        <is>
          <t>경기도 수원시 장안구 연무동 251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장안구</t>
        </is>
      </c>
      <c r="AE116" s="0" t="inlineStr">
        <is>
          <t>연무동</t>
        </is>
      </c>
      <c r="AG116" s="0" t="inlineStr">
        <is>
          <t>경기도 수원시 장안구 월드컵로 441</t>
        </is>
      </c>
      <c r="AH116" s="0" t="n">
        <v>0</v>
      </c>
      <c r="AI116" s="0" t="n">
        <v>382</v>
      </c>
      <c r="AJ116" s="0" t="n">
        <v>59</v>
      </c>
      <c r="AK116" s="0" t="n">
        <v>24</v>
      </c>
      <c r="AL116" s="0" t="n">
        <v>1.26</v>
      </c>
    </row>
    <row r="117">
      <c r="A117" s="0" t="inlineStr">
        <is>
          <t>[연무동]</t>
        </is>
      </c>
      <c r="B117" s="0" t="n">
        <v>13184</v>
      </c>
      <c r="C117" s="0" t="n">
        <v>3</v>
      </c>
      <c r="D117" s="0" t="inlineStr">
        <is>
          <t>광교프라자</t>
        </is>
      </c>
      <c r="E117" s="0" t="inlineStr">
        <is>
          <t>1997.02.</t>
        </is>
      </c>
      <c r="F117" s="0" t="n">
        <v>19</v>
      </c>
      <c r="G117" s="0" t="n">
        <v>64.64</v>
      </c>
      <c r="H117" s="0" t="n">
        <v>213.7</v>
      </c>
      <c r="I117" s="0" t="n">
        <v>58.05</v>
      </c>
      <c r="J117" s="0" t="n">
        <v>191.92</v>
      </c>
      <c r="K117" s="0" t="n">
        <v>1</v>
      </c>
      <c r="T117" s="0" t="n">
        <v>3</v>
      </c>
      <c r="U117" s="0" t="n">
        <v>2</v>
      </c>
      <c r="V117" s="0" t="inlineStr">
        <is>
          <t>복도식</t>
        </is>
      </c>
      <c r="W117" s="0" t="n">
        <v>213</v>
      </c>
      <c r="X117" s="0" t="n">
        <v>14</v>
      </c>
      <c r="Y117" s="0" t="n">
        <v>13</v>
      </c>
      <c r="Z117" s="0" t="inlineStr">
        <is>
          <t>https://new.land.naver.com/complexes/13184?tab=detail&amp;rf=Y</t>
        </is>
      </c>
      <c r="AA117" s="0" t="inlineStr">
        <is>
          <t>경기도 수원시 장안구 연무동 251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장안구</t>
        </is>
      </c>
      <c r="AE117" s="0" t="inlineStr">
        <is>
          <t>연무동</t>
        </is>
      </c>
      <c r="AG117" s="0" t="inlineStr">
        <is>
          <t>경기도 수원시 장안구 월드컵로 441</t>
        </is>
      </c>
      <c r="AH117" s="0" t="n">
        <v>0</v>
      </c>
      <c r="AI117" s="0" t="n">
        <v>382</v>
      </c>
      <c r="AJ117" s="0" t="n">
        <v>59</v>
      </c>
      <c r="AK117" s="0" t="n">
        <v>24</v>
      </c>
      <c r="AL117" s="0" t="n">
        <v>1.26</v>
      </c>
    </row>
    <row r="118">
      <c r="A118" s="0" t="inlineStr">
        <is>
          <t>[연무동]</t>
        </is>
      </c>
      <c r="B118" s="0" t="n">
        <v>13184</v>
      </c>
      <c r="C118" s="0" t="n">
        <v>4</v>
      </c>
      <c r="D118" s="0" t="inlineStr">
        <is>
          <t>광교프라자</t>
        </is>
      </c>
      <c r="E118" s="0" t="inlineStr">
        <is>
          <t>1997.02.</t>
        </is>
      </c>
      <c r="F118" s="0" t="n">
        <v>19</v>
      </c>
      <c r="G118" s="0" t="n">
        <v>65.64</v>
      </c>
      <c r="H118" s="0" t="n">
        <v>217</v>
      </c>
      <c r="I118" s="0" t="n">
        <v>58.95</v>
      </c>
      <c r="J118" s="0" t="n">
        <v>194.89</v>
      </c>
      <c r="K118" s="0" t="n">
        <v>8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217</v>
      </c>
      <c r="X118" s="0" t="n">
        <v>14</v>
      </c>
      <c r="Y118" s="0" t="n">
        <v>13</v>
      </c>
      <c r="Z118" s="0" t="inlineStr">
        <is>
          <t>https://new.land.naver.com/complexes/13184?tab=detail&amp;rf=Y</t>
        </is>
      </c>
      <c r="AA118" s="0" t="inlineStr">
        <is>
          <t>경기도 수원시 장안구 연무동 251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장안구</t>
        </is>
      </c>
      <c r="AE118" s="0" t="inlineStr">
        <is>
          <t>연무동</t>
        </is>
      </c>
      <c r="AG118" s="0" t="inlineStr">
        <is>
          <t>경기도 수원시 장안구 월드컵로 441</t>
        </is>
      </c>
      <c r="AH118" s="0" t="n">
        <v>0</v>
      </c>
      <c r="AI118" s="0" t="n">
        <v>382</v>
      </c>
      <c r="AJ118" s="0" t="n">
        <v>59</v>
      </c>
      <c r="AK118" s="0" t="n">
        <v>24</v>
      </c>
      <c r="AL118" s="0" t="n">
        <v>1.26</v>
      </c>
    </row>
    <row r="119">
      <c r="A119" s="0" t="inlineStr">
        <is>
          <t>[연무동]</t>
        </is>
      </c>
      <c r="B119" s="0" t="n">
        <v>9621</v>
      </c>
      <c r="C119" s="0" t="n">
        <v>1</v>
      </c>
      <c r="D119" s="0" t="inlineStr">
        <is>
          <t>성원</t>
        </is>
      </c>
      <c r="E119" s="0" t="inlineStr">
        <is>
          <t>1999.02.</t>
        </is>
      </c>
      <c r="F119" s="0" t="n">
        <v>177</v>
      </c>
      <c r="G119" s="0" t="n">
        <v>14.57</v>
      </c>
      <c r="H119" s="0" t="n">
        <v>48.18</v>
      </c>
      <c r="I119" s="0" t="n">
        <v>10.06</v>
      </c>
      <c r="J119" s="0" t="n">
        <v>33.27</v>
      </c>
      <c r="K119" s="0" t="n">
        <v>135</v>
      </c>
      <c r="T119" s="0" t="n">
        <v>1</v>
      </c>
      <c r="U119" s="0" t="n">
        <v>1</v>
      </c>
      <c r="V119" s="0" t="inlineStr">
        <is>
          <t>복도식</t>
        </is>
      </c>
      <c r="W119" s="0" t="n">
        <v>48</v>
      </c>
      <c r="X119" s="0" t="n">
        <v>13</v>
      </c>
      <c r="Y119" s="0" t="n">
        <v>10</v>
      </c>
      <c r="Z119" s="0" t="inlineStr">
        <is>
          <t>https://new.land.naver.com/complexes/9621?tab=detail&amp;rf=Y</t>
        </is>
      </c>
      <c r="AA119" s="0" t="inlineStr">
        <is>
          <t>경기도 수원시 장안구 연무동 10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장안구</t>
        </is>
      </c>
      <c r="AE119" s="0" t="inlineStr">
        <is>
          <t>연무동</t>
        </is>
      </c>
      <c r="AG119" s="0" t="inlineStr">
        <is>
          <t>경기도 수원시 장안구 창훈로60번길 31</t>
        </is>
      </c>
      <c r="AH119" s="0" t="n">
        <v>0</v>
      </c>
      <c r="AI119" s="0" t="n">
        <v>299</v>
      </c>
      <c r="AJ119" s="0" t="n">
        <v>32</v>
      </c>
      <c r="AK119" s="0" t="n">
        <v>177</v>
      </c>
      <c r="AL119" s="0" t="n">
        <v>1</v>
      </c>
    </row>
    <row r="120">
      <c r="A120" s="0" t="inlineStr">
        <is>
          <t>[연무동]</t>
        </is>
      </c>
      <c r="B120" s="0" t="n">
        <v>9621</v>
      </c>
      <c r="C120" s="0" t="n">
        <v>2</v>
      </c>
      <c r="D120" s="0" t="inlineStr">
        <is>
          <t>성원</t>
        </is>
      </c>
      <c r="E120" s="0" t="inlineStr">
        <is>
          <t>1999.02.</t>
        </is>
      </c>
      <c r="F120" s="0" t="n">
        <v>177</v>
      </c>
      <c r="G120" s="0" t="n">
        <v>22.48</v>
      </c>
      <c r="H120" s="0" t="n">
        <v>74.33</v>
      </c>
      <c r="I120" s="0" t="n">
        <v>15.75</v>
      </c>
      <c r="J120" s="0" t="n">
        <v>52.07</v>
      </c>
      <c r="K120" s="0" t="n">
        <v>22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74</v>
      </c>
      <c r="X120" s="0" t="n">
        <v>13</v>
      </c>
      <c r="Y120" s="0" t="n">
        <v>10</v>
      </c>
      <c r="Z120" s="0" t="inlineStr">
        <is>
          <t>https://new.land.naver.com/complexes/9621?tab=detail&amp;rf=Y</t>
        </is>
      </c>
      <c r="AA120" s="0" t="inlineStr">
        <is>
          <t>경기도 수원시 장안구 연무동 10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장안구</t>
        </is>
      </c>
      <c r="AE120" s="0" t="inlineStr">
        <is>
          <t>연무동</t>
        </is>
      </c>
      <c r="AG120" s="0" t="inlineStr">
        <is>
          <t>경기도 수원시 장안구 창훈로60번길 31</t>
        </is>
      </c>
      <c r="AH120" s="0" t="n">
        <v>0</v>
      </c>
      <c r="AI120" s="0" t="n">
        <v>299</v>
      </c>
      <c r="AJ120" s="0" t="n">
        <v>32</v>
      </c>
      <c r="AK120" s="0" t="n">
        <v>177</v>
      </c>
      <c r="AL120" s="0" t="n">
        <v>1</v>
      </c>
    </row>
    <row r="121">
      <c r="A121" s="0" t="inlineStr">
        <is>
          <t>[연무동]</t>
        </is>
      </c>
      <c r="B121" s="0" t="n">
        <v>9621</v>
      </c>
      <c r="C121" s="0" t="n">
        <v>3</v>
      </c>
      <c r="D121" s="0" t="inlineStr">
        <is>
          <t>성원</t>
        </is>
      </c>
      <c r="E121" s="0" t="inlineStr">
        <is>
          <t>1999.02.</t>
        </is>
      </c>
      <c r="F121" s="0" t="n">
        <v>177</v>
      </c>
      <c r="G121" s="0" t="n">
        <v>32.8</v>
      </c>
      <c r="H121" s="0" t="n">
        <v>108.45</v>
      </c>
      <c r="I121" s="0" t="n">
        <v>25.65</v>
      </c>
      <c r="J121" s="0" t="n">
        <v>84.81999999999999</v>
      </c>
      <c r="K121" s="0" t="n">
        <v>20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108</v>
      </c>
      <c r="X121" s="0" t="n">
        <v>13</v>
      </c>
      <c r="Y121" s="0" t="n">
        <v>10</v>
      </c>
      <c r="Z121" s="0" t="inlineStr">
        <is>
          <t>https://new.land.naver.com/complexes/9621?tab=detail&amp;rf=Y</t>
        </is>
      </c>
      <c r="AA121" s="0" t="inlineStr">
        <is>
          <t>경기도 수원시 장안구 연무동 10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장안구</t>
        </is>
      </c>
      <c r="AE121" s="0" t="inlineStr">
        <is>
          <t>연무동</t>
        </is>
      </c>
      <c r="AG121" s="0" t="inlineStr">
        <is>
          <t>경기도 수원시 장안구 창훈로60번길 31</t>
        </is>
      </c>
      <c r="AH121" s="0" t="n">
        <v>0</v>
      </c>
      <c r="AI121" s="0" t="n">
        <v>299</v>
      </c>
      <c r="AJ121" s="0" t="n">
        <v>32</v>
      </c>
      <c r="AK121" s="0" t="n">
        <v>177</v>
      </c>
      <c r="AL121" s="0" t="n">
        <v>1</v>
      </c>
    </row>
    <row r="122">
      <c r="A122" s="0" t="inlineStr">
        <is>
          <t>[연무동]</t>
        </is>
      </c>
      <c r="B122" s="0" t="n">
        <v>132600</v>
      </c>
      <c r="C122" s="0" t="n">
        <v>1</v>
      </c>
      <c r="D122" s="0" t="inlineStr">
        <is>
          <t>서광교파크스위첸</t>
        </is>
      </c>
      <c r="E122" s="0" t="inlineStr">
        <is>
          <t>2023.05.</t>
        </is>
      </c>
      <c r="F122" s="0" t="n">
        <v>1130</v>
      </c>
      <c r="G122" s="0" t="n">
        <v>21.02</v>
      </c>
      <c r="H122" s="0" t="n">
        <v>69.48999999999999</v>
      </c>
      <c r="I122" s="0" t="n">
        <v>15.93</v>
      </c>
      <c r="J122" s="0" t="n">
        <v>52.68</v>
      </c>
      <c r="K122" s="0" t="n">
        <v>204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69</v>
      </c>
      <c r="X122" s="0" t="n">
        <v>29</v>
      </c>
      <c r="Y122" s="0" t="n">
        <v>10</v>
      </c>
      <c r="Z122" s="0" t="inlineStr">
        <is>
          <t>https://new.land.naver.com/complexes/132600?tab=detail&amp;rf=Y</t>
        </is>
      </c>
      <c r="AA122" s="0" t="inlineStr">
        <is>
          <t>경기도 수원시 장안구 연무동 224번지 일원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장안구</t>
        </is>
      </c>
      <c r="AE122" s="0" t="inlineStr">
        <is>
          <t>연무동</t>
        </is>
      </c>
      <c r="AG122" s="0" t="inlineStr">
        <is>
          <t>경기도 수원시 장안구</t>
        </is>
      </c>
      <c r="AH122" s="0" t="n">
        <v>0</v>
      </c>
      <c r="AI122" s="0" t="n">
        <v>249</v>
      </c>
      <c r="AJ122" s="0" t="n">
        <v>17</v>
      </c>
      <c r="AK122" s="0" t="n">
        <v>1568</v>
      </c>
      <c r="AL122" s="0" t="n">
        <v>1.39</v>
      </c>
    </row>
    <row r="123">
      <c r="A123" s="0" t="inlineStr">
        <is>
          <t>[연무동]</t>
        </is>
      </c>
      <c r="B123" s="0" t="n">
        <v>132600</v>
      </c>
      <c r="C123" s="0" t="n">
        <v>2</v>
      </c>
      <c r="D123" s="0" t="inlineStr">
        <is>
          <t>서광교파크스위첸</t>
        </is>
      </c>
      <c r="E123" s="0" t="inlineStr">
        <is>
          <t>2023.05.</t>
        </is>
      </c>
      <c r="F123" s="0" t="n">
        <v>1130</v>
      </c>
      <c r="G123" s="0" t="n">
        <v>23.83</v>
      </c>
      <c r="H123" s="0" t="n">
        <v>78.79000000000001</v>
      </c>
      <c r="I123" s="0" t="n">
        <v>17.88</v>
      </c>
      <c r="J123" s="0" t="n">
        <v>59.14</v>
      </c>
      <c r="K123" s="0" t="n">
        <v>17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78A</t>
        </is>
      </c>
      <c r="X123" s="0" t="n">
        <v>29</v>
      </c>
      <c r="Y123" s="0" t="n">
        <v>10</v>
      </c>
      <c r="Z123" s="0" t="inlineStr">
        <is>
          <t>https://new.land.naver.com/complexes/132600?tab=detail&amp;rf=Y</t>
        </is>
      </c>
      <c r="AA123" s="0" t="inlineStr">
        <is>
          <t>경기도 수원시 장안구 연무동 224번지 일원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장안구</t>
        </is>
      </c>
      <c r="AE123" s="0" t="inlineStr">
        <is>
          <t>연무동</t>
        </is>
      </c>
      <c r="AG123" s="0" t="inlineStr">
        <is>
          <t>경기도 수원시 장안구</t>
        </is>
      </c>
      <c r="AH123" s="0" t="n">
        <v>0</v>
      </c>
      <c r="AI123" s="0" t="n">
        <v>249</v>
      </c>
      <c r="AJ123" s="0" t="n">
        <v>17</v>
      </c>
      <c r="AK123" s="0" t="n">
        <v>1568</v>
      </c>
      <c r="AL123" s="0" t="n">
        <v>1.39</v>
      </c>
    </row>
    <row r="124">
      <c r="A124" s="0" t="inlineStr">
        <is>
          <t>[연무동]</t>
        </is>
      </c>
      <c r="B124" s="0" t="n">
        <v>132600</v>
      </c>
      <c r="C124" s="0" t="n">
        <v>3</v>
      </c>
      <c r="D124" s="0" t="inlineStr">
        <is>
          <t>서광교파크스위첸</t>
        </is>
      </c>
      <c r="E124" s="0" t="inlineStr">
        <is>
          <t>2023.05.</t>
        </is>
      </c>
      <c r="F124" s="0" t="n">
        <v>1130</v>
      </c>
      <c r="G124" s="0" t="n">
        <v>23.8</v>
      </c>
      <c r="H124" s="0" t="n">
        <v>78.7</v>
      </c>
      <c r="I124" s="0" t="n">
        <v>17.95</v>
      </c>
      <c r="J124" s="0" t="n">
        <v>59.36</v>
      </c>
      <c r="K124" s="0" t="n">
        <v>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78D</t>
        </is>
      </c>
      <c r="X124" s="0" t="n">
        <v>29</v>
      </c>
      <c r="Y124" s="0" t="n">
        <v>10</v>
      </c>
      <c r="Z124" s="0" t="inlineStr">
        <is>
          <t>https://new.land.naver.com/complexes/132600?tab=detail&amp;rf=Y</t>
        </is>
      </c>
      <c r="AA124" s="0" t="inlineStr">
        <is>
          <t>경기도 수원시 장안구 연무동 224번지 일원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장안구</t>
        </is>
      </c>
      <c r="AE124" s="0" t="inlineStr">
        <is>
          <t>연무동</t>
        </is>
      </c>
      <c r="AG124" s="0" t="inlineStr">
        <is>
          <t>경기도 수원시 장안구</t>
        </is>
      </c>
      <c r="AH124" s="0" t="n">
        <v>0</v>
      </c>
      <c r="AI124" s="0" t="n">
        <v>249</v>
      </c>
      <c r="AJ124" s="0" t="n">
        <v>17</v>
      </c>
      <c r="AK124" s="0" t="n">
        <v>1568</v>
      </c>
      <c r="AL124" s="0" t="n">
        <v>1.39</v>
      </c>
    </row>
    <row r="125">
      <c r="A125" s="0" t="inlineStr">
        <is>
          <t>[연무동]</t>
        </is>
      </c>
      <c r="B125" s="0" t="n">
        <v>132600</v>
      </c>
      <c r="C125" s="0" t="n">
        <v>4</v>
      </c>
      <c r="D125" s="0" t="inlineStr">
        <is>
          <t>서광교파크스위첸</t>
        </is>
      </c>
      <c r="E125" s="0" t="inlineStr">
        <is>
          <t>2023.05.</t>
        </is>
      </c>
      <c r="F125" s="0" t="n">
        <v>1130</v>
      </c>
      <c r="G125" s="0" t="n">
        <v>23.99</v>
      </c>
      <c r="H125" s="0" t="n">
        <v>79.31999999999999</v>
      </c>
      <c r="I125" s="0" t="n">
        <v>18.08</v>
      </c>
      <c r="J125" s="0" t="n">
        <v>59.77</v>
      </c>
      <c r="K125" s="0" t="n">
        <v>24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79E</t>
        </is>
      </c>
      <c r="X125" s="0" t="n">
        <v>29</v>
      </c>
      <c r="Y125" s="0" t="n">
        <v>10</v>
      </c>
      <c r="Z125" s="0" t="inlineStr">
        <is>
          <t>https://new.land.naver.com/complexes/132600?tab=detail&amp;rf=Y</t>
        </is>
      </c>
      <c r="AA125" s="0" t="inlineStr">
        <is>
          <t>경기도 수원시 장안구 연무동 224번지 일원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장안구</t>
        </is>
      </c>
      <c r="AE125" s="0" t="inlineStr">
        <is>
          <t>연무동</t>
        </is>
      </c>
      <c r="AG125" s="0" t="inlineStr">
        <is>
          <t>경기도 수원시 장안구</t>
        </is>
      </c>
      <c r="AH125" s="0" t="n">
        <v>0</v>
      </c>
      <c r="AI125" s="0" t="n">
        <v>249</v>
      </c>
      <c r="AJ125" s="0" t="n">
        <v>17</v>
      </c>
      <c r="AK125" s="0" t="n">
        <v>1568</v>
      </c>
      <c r="AL125" s="0" t="n">
        <v>1.39</v>
      </c>
    </row>
    <row r="126">
      <c r="A126" s="0" t="inlineStr">
        <is>
          <t>[연무동]</t>
        </is>
      </c>
      <c r="B126" s="0" t="n">
        <v>132600</v>
      </c>
      <c r="C126" s="0" t="n">
        <v>5</v>
      </c>
      <c r="D126" s="0" t="inlineStr">
        <is>
          <t>서광교파크스위첸</t>
        </is>
      </c>
      <c r="E126" s="0" t="inlineStr">
        <is>
          <t>2023.05.</t>
        </is>
      </c>
      <c r="F126" s="0" t="n">
        <v>1130</v>
      </c>
      <c r="G126" s="0" t="n">
        <v>23.9</v>
      </c>
      <c r="H126" s="0" t="n">
        <v>79.04000000000001</v>
      </c>
      <c r="I126" s="0" t="n">
        <v>18.07</v>
      </c>
      <c r="J126" s="0" t="n">
        <v>59.75</v>
      </c>
      <c r="K126" s="0" t="n">
        <v>20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79B</t>
        </is>
      </c>
      <c r="X126" s="0" t="n">
        <v>29</v>
      </c>
      <c r="Y126" s="0" t="n">
        <v>10</v>
      </c>
      <c r="Z126" s="0" t="inlineStr">
        <is>
          <t>https://new.land.naver.com/complexes/132600?tab=detail&amp;rf=Y</t>
        </is>
      </c>
      <c r="AA126" s="0" t="inlineStr">
        <is>
          <t>경기도 수원시 장안구 연무동 224번지 일원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장안구</t>
        </is>
      </c>
      <c r="AE126" s="0" t="inlineStr">
        <is>
          <t>연무동</t>
        </is>
      </c>
      <c r="AG126" s="0" t="inlineStr">
        <is>
          <t>경기도 수원시 장안구</t>
        </is>
      </c>
      <c r="AH126" s="0" t="n">
        <v>0</v>
      </c>
      <c r="AI126" s="0" t="n">
        <v>249</v>
      </c>
      <c r="AJ126" s="0" t="n">
        <v>17</v>
      </c>
      <c r="AK126" s="0" t="n">
        <v>1568</v>
      </c>
      <c r="AL126" s="0" t="n">
        <v>1.39</v>
      </c>
    </row>
    <row r="127">
      <c r="A127" s="0" t="inlineStr">
        <is>
          <t>[연무동]</t>
        </is>
      </c>
      <c r="B127" s="0" t="n">
        <v>132600</v>
      </c>
      <c r="C127" s="0" t="n">
        <v>6</v>
      </c>
      <c r="D127" s="0" t="inlineStr">
        <is>
          <t>서광교파크스위첸</t>
        </is>
      </c>
      <c r="E127" s="0" t="inlineStr">
        <is>
          <t>2023.05.</t>
        </is>
      </c>
      <c r="F127" s="0" t="n">
        <v>1130</v>
      </c>
      <c r="G127" s="0" t="n">
        <v>24.11</v>
      </c>
      <c r="H127" s="0" t="n">
        <v>79.73</v>
      </c>
      <c r="I127" s="0" t="n">
        <v>18.05</v>
      </c>
      <c r="J127" s="0" t="n">
        <v>59.68</v>
      </c>
      <c r="K127" s="0" t="n">
        <v>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79C</t>
        </is>
      </c>
      <c r="X127" s="0" t="n">
        <v>29</v>
      </c>
      <c r="Y127" s="0" t="n">
        <v>10</v>
      </c>
      <c r="Z127" s="0" t="inlineStr">
        <is>
          <t>https://new.land.naver.com/complexes/132600?tab=detail&amp;rf=Y</t>
        </is>
      </c>
      <c r="AA127" s="0" t="inlineStr">
        <is>
          <t>경기도 수원시 장안구 연무동 224번지 일원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장안구</t>
        </is>
      </c>
      <c r="AE127" s="0" t="inlineStr">
        <is>
          <t>연무동</t>
        </is>
      </c>
      <c r="AG127" s="0" t="inlineStr">
        <is>
          <t>경기도 수원시 장안구</t>
        </is>
      </c>
      <c r="AH127" s="0" t="n">
        <v>0</v>
      </c>
      <c r="AI127" s="0" t="n">
        <v>249</v>
      </c>
      <c r="AJ127" s="0" t="n">
        <v>17</v>
      </c>
      <c r="AK127" s="0" t="n">
        <v>1568</v>
      </c>
      <c r="AL127" s="0" t="n">
        <v>1.39</v>
      </c>
    </row>
    <row r="128">
      <c r="A128" s="0" t="inlineStr">
        <is>
          <t>[연무동]</t>
        </is>
      </c>
      <c r="B128" s="0" t="n">
        <v>132600</v>
      </c>
      <c r="C128" s="0" t="n">
        <v>7</v>
      </c>
      <c r="D128" s="0" t="inlineStr">
        <is>
          <t>서광교파크스위첸</t>
        </is>
      </c>
      <c r="E128" s="0" t="inlineStr">
        <is>
          <t>2023.05.</t>
        </is>
      </c>
      <c r="F128" s="0" t="n">
        <v>1130</v>
      </c>
      <c r="G128" s="0" t="n">
        <v>30.09</v>
      </c>
      <c r="H128" s="0" t="n">
        <v>99.48999999999999</v>
      </c>
      <c r="I128" s="0" t="n">
        <v>22.76</v>
      </c>
      <c r="J128" s="0" t="n">
        <v>75.25</v>
      </c>
      <c r="K128" s="0" t="n">
        <v>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99B</t>
        </is>
      </c>
      <c r="X128" s="0" t="n">
        <v>29</v>
      </c>
      <c r="Y128" s="0" t="n">
        <v>10</v>
      </c>
      <c r="Z128" s="0" t="inlineStr">
        <is>
          <t>https://new.land.naver.com/complexes/132600?tab=detail&amp;rf=Y</t>
        </is>
      </c>
      <c r="AA128" s="0" t="inlineStr">
        <is>
          <t>경기도 수원시 장안구 연무동 224번지 일원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장안구</t>
        </is>
      </c>
      <c r="AE128" s="0" t="inlineStr">
        <is>
          <t>연무동</t>
        </is>
      </c>
      <c r="AG128" s="0" t="inlineStr">
        <is>
          <t>경기도 수원시 장안구</t>
        </is>
      </c>
      <c r="AH128" s="0" t="n">
        <v>0</v>
      </c>
      <c r="AI128" s="0" t="n">
        <v>249</v>
      </c>
      <c r="AJ128" s="0" t="n">
        <v>17</v>
      </c>
      <c r="AK128" s="0" t="n">
        <v>1568</v>
      </c>
      <c r="AL128" s="0" t="n">
        <v>1.39</v>
      </c>
    </row>
    <row r="129">
      <c r="A129" s="0" t="inlineStr">
        <is>
          <t>[연무동]</t>
        </is>
      </c>
      <c r="B129" s="0" t="n">
        <v>132600</v>
      </c>
      <c r="C129" s="0" t="n">
        <v>8</v>
      </c>
      <c r="D129" s="0" t="inlineStr">
        <is>
          <t>서광교파크스위첸</t>
        </is>
      </c>
      <c r="E129" s="0" t="inlineStr">
        <is>
          <t>2023.05.</t>
        </is>
      </c>
      <c r="F129" s="0" t="n">
        <v>1130</v>
      </c>
      <c r="G129" s="0" t="n">
        <v>30.44</v>
      </c>
      <c r="H129" s="0" t="n">
        <v>100.65</v>
      </c>
      <c r="I129" s="0" t="n">
        <v>22.93</v>
      </c>
      <c r="J129" s="0" t="n">
        <v>75.81999999999999</v>
      </c>
      <c r="K129" s="0" t="n">
        <v>36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100A</t>
        </is>
      </c>
      <c r="X129" s="0" t="n">
        <v>29</v>
      </c>
      <c r="Y129" s="0" t="n">
        <v>10</v>
      </c>
      <c r="Z129" s="0" t="inlineStr">
        <is>
          <t>https://new.land.naver.com/complexes/132600?tab=detail&amp;rf=Y</t>
        </is>
      </c>
      <c r="AA129" s="0" t="inlineStr">
        <is>
          <t>경기도 수원시 장안구 연무동 224번지 일원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장안구</t>
        </is>
      </c>
      <c r="AE129" s="0" t="inlineStr">
        <is>
          <t>연무동</t>
        </is>
      </c>
      <c r="AG129" s="0" t="inlineStr">
        <is>
          <t>경기도 수원시 장안구</t>
        </is>
      </c>
      <c r="AH129" s="0" t="n">
        <v>0</v>
      </c>
      <c r="AI129" s="0" t="n">
        <v>249</v>
      </c>
      <c r="AJ129" s="0" t="n">
        <v>17</v>
      </c>
      <c r="AK129" s="0" t="n">
        <v>1568</v>
      </c>
      <c r="AL129" s="0" t="n">
        <v>1.39</v>
      </c>
    </row>
    <row r="130">
      <c r="A130" s="0" t="inlineStr">
        <is>
          <t>[연무동]</t>
        </is>
      </c>
      <c r="B130" s="0" t="n">
        <v>132600</v>
      </c>
      <c r="C130" s="0" t="n">
        <v>9</v>
      </c>
      <c r="D130" s="0" t="inlineStr">
        <is>
          <t>서광교파크스위첸</t>
        </is>
      </c>
      <c r="E130" s="0" t="inlineStr">
        <is>
          <t>2023.05.</t>
        </is>
      </c>
      <c r="F130" s="0" t="n">
        <v>1130</v>
      </c>
      <c r="G130" s="0" t="n">
        <v>33.79</v>
      </c>
      <c r="H130" s="0" t="n">
        <v>111.73</v>
      </c>
      <c r="I130" s="0" t="n">
        <v>25.66</v>
      </c>
      <c r="J130" s="0" t="n">
        <v>84.84999999999999</v>
      </c>
      <c r="K130" s="0" t="n">
        <v>53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111</v>
      </c>
      <c r="X130" s="0" t="n">
        <v>29</v>
      </c>
      <c r="Y130" s="0" t="n">
        <v>10</v>
      </c>
      <c r="Z130" s="0" t="inlineStr">
        <is>
          <t>https://new.land.naver.com/complexes/132600?tab=detail&amp;rf=Y</t>
        </is>
      </c>
      <c r="AA130" s="0" t="inlineStr">
        <is>
          <t>경기도 수원시 장안구 연무동 224번지 일원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장안구</t>
        </is>
      </c>
      <c r="AE130" s="0" t="inlineStr">
        <is>
          <t>연무동</t>
        </is>
      </c>
      <c r="AG130" s="0" t="inlineStr">
        <is>
          <t>경기도 수원시 장안구</t>
        </is>
      </c>
      <c r="AH130" s="0" t="n">
        <v>0</v>
      </c>
      <c r="AI130" s="0" t="n">
        <v>249</v>
      </c>
      <c r="AJ130" s="0" t="n">
        <v>17</v>
      </c>
      <c r="AK130" s="0" t="n">
        <v>1568</v>
      </c>
      <c r="AL130" s="0" t="n">
        <v>1.39</v>
      </c>
    </row>
    <row r="131">
      <c r="A131" s="0" t="inlineStr">
        <is>
          <t>[연무동]</t>
        </is>
      </c>
      <c r="B131" s="0" t="n">
        <v>138949</v>
      </c>
      <c r="C131" s="0" t="n">
        <v>1</v>
      </c>
      <c r="D131" s="0" t="inlineStr">
        <is>
          <t>디엠빌리지(216-38)</t>
        </is>
      </c>
      <c r="E131" s="0" t="inlineStr">
        <is>
          <t>2015.12.</t>
        </is>
      </c>
      <c r="F131" s="0" t="n">
        <v>8</v>
      </c>
      <c r="G131" s="0" t="n">
        <v>23.9</v>
      </c>
      <c r="H131" s="0" t="n">
        <v>79.02</v>
      </c>
      <c r="I131" s="0" t="n">
        <v>20.21</v>
      </c>
      <c r="J131" s="0" t="n">
        <v>66.81</v>
      </c>
      <c r="K131" s="0" t="n">
        <v>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79A</t>
        </is>
      </c>
      <c r="X131" s="0" t="n">
        <v>5</v>
      </c>
      <c r="Y131" s="0" t="n">
        <v>5</v>
      </c>
      <c r="Z131" s="0" t="inlineStr">
        <is>
          <t>https://new.land.naver.com/complexes/138949?tab=detail&amp;rf=Y</t>
        </is>
      </c>
      <c r="AA131" s="0" t="inlineStr">
        <is>
          <t>경기도 수원시 장안구 연무동 216-38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장안구</t>
        </is>
      </c>
      <c r="AE131" s="0" t="inlineStr">
        <is>
          <t>연무동</t>
        </is>
      </c>
      <c r="AG131" s="0" t="inlineStr">
        <is>
          <t>경기도 수원시 장안구 창훈로39번길 66</t>
        </is>
      </c>
      <c r="AH131" s="0" t="n">
        <v>0</v>
      </c>
      <c r="AI131" s="0" t="n">
        <v>315</v>
      </c>
      <c r="AJ131" s="0" t="n">
        <v>69</v>
      </c>
      <c r="AK131" s="0" t="n">
        <v>8</v>
      </c>
      <c r="AL131" s="0" t="n">
        <v>1</v>
      </c>
    </row>
    <row r="132">
      <c r="A132" s="0" t="inlineStr">
        <is>
          <t>[연무동]</t>
        </is>
      </c>
      <c r="B132" s="0" t="n">
        <v>138949</v>
      </c>
      <c r="C132" s="0" t="n">
        <v>2</v>
      </c>
      <c r="D132" s="0" t="inlineStr">
        <is>
          <t>디엠빌리지(216-38)</t>
        </is>
      </c>
      <c r="E132" s="0" t="inlineStr">
        <is>
          <t>2015.12.</t>
        </is>
      </c>
      <c r="F132" s="0" t="n">
        <v>8</v>
      </c>
      <c r="G132" s="0" t="n">
        <v>24.44</v>
      </c>
      <c r="H132" s="0" t="n">
        <v>80.8</v>
      </c>
      <c r="I132" s="0" t="n">
        <v>20.66</v>
      </c>
      <c r="J132" s="0" t="n">
        <v>68.31</v>
      </c>
      <c r="K132" s="0" t="n">
        <v>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80B</t>
        </is>
      </c>
      <c r="X132" s="0" t="n">
        <v>5</v>
      </c>
      <c r="Y132" s="0" t="n">
        <v>5</v>
      </c>
      <c r="Z132" s="0" t="inlineStr">
        <is>
          <t>https://new.land.naver.com/complexes/138949?tab=detail&amp;rf=Y</t>
        </is>
      </c>
      <c r="AA132" s="0" t="inlineStr">
        <is>
          <t>경기도 수원시 장안구 연무동 216-38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장안구</t>
        </is>
      </c>
      <c r="AE132" s="0" t="inlineStr">
        <is>
          <t>연무동</t>
        </is>
      </c>
      <c r="AG132" s="0" t="inlineStr">
        <is>
          <t>경기도 수원시 장안구 창훈로39번길 66</t>
        </is>
      </c>
      <c r="AH132" s="0" t="n">
        <v>0</v>
      </c>
      <c r="AI132" s="0" t="n">
        <v>315</v>
      </c>
      <c r="AJ132" s="0" t="n">
        <v>69</v>
      </c>
      <c r="AK132" s="0" t="n">
        <v>8</v>
      </c>
      <c r="AL132" s="0" t="n">
        <v>1</v>
      </c>
    </row>
    <row r="133">
      <c r="A133" s="0" t="inlineStr">
        <is>
          <t>[연무동]</t>
        </is>
      </c>
      <c r="B133" s="0" t="n">
        <v>138949</v>
      </c>
      <c r="C133" s="0" t="n">
        <v>3</v>
      </c>
      <c r="D133" s="0" t="inlineStr">
        <is>
          <t>디엠빌리지(216-38)</t>
        </is>
      </c>
      <c r="E133" s="0" t="inlineStr">
        <is>
          <t>2015.12.</t>
        </is>
      </c>
      <c r="F133" s="0" t="n">
        <v>8</v>
      </c>
      <c r="G133" s="0" t="n">
        <v>26.12</v>
      </c>
      <c r="H133" s="0" t="n">
        <v>86.34999999999999</v>
      </c>
      <c r="I133" s="0" t="n">
        <v>22.08</v>
      </c>
      <c r="J133" s="0" t="n">
        <v>73</v>
      </c>
      <c r="K133" s="0" t="n">
        <v>3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86</v>
      </c>
      <c r="X133" s="0" t="n">
        <v>5</v>
      </c>
      <c r="Y133" s="0" t="n">
        <v>5</v>
      </c>
      <c r="Z133" s="0" t="inlineStr">
        <is>
          <t>https://new.land.naver.com/complexes/138949?tab=detail&amp;rf=Y</t>
        </is>
      </c>
      <c r="AA133" s="0" t="inlineStr">
        <is>
          <t>경기도 수원시 장안구 연무동 216-38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장안구</t>
        </is>
      </c>
      <c r="AE133" s="0" t="inlineStr">
        <is>
          <t>연무동</t>
        </is>
      </c>
      <c r="AG133" s="0" t="inlineStr">
        <is>
          <t>경기도 수원시 장안구 창훈로39번길 66</t>
        </is>
      </c>
      <c r="AH133" s="0" t="n">
        <v>0</v>
      </c>
      <c r="AI133" s="0" t="n">
        <v>315</v>
      </c>
      <c r="AJ133" s="0" t="n">
        <v>69</v>
      </c>
      <c r="AK133" s="0" t="n">
        <v>8</v>
      </c>
      <c r="AL133" s="0" t="n">
        <v>1</v>
      </c>
    </row>
    <row r="134">
      <c r="A134" s="0" t="inlineStr">
        <is>
          <t>[연무동]</t>
        </is>
      </c>
      <c r="B134" s="0" t="n">
        <v>18479</v>
      </c>
      <c r="C134" s="0" t="n">
        <v>1</v>
      </c>
      <c r="D134" s="0" t="inlineStr">
        <is>
          <t>경성</t>
        </is>
      </c>
      <c r="E134" s="0" t="inlineStr">
        <is>
          <t>1987.10.</t>
        </is>
      </c>
      <c r="F134" s="0" t="n">
        <v>125</v>
      </c>
      <c r="G134" s="0" t="n">
        <v>18.04</v>
      </c>
      <c r="H134" s="0" t="n">
        <v>59.65</v>
      </c>
      <c r="I134" s="0" t="n">
        <v>14.59</v>
      </c>
      <c r="J134" s="0" t="n">
        <v>48.24</v>
      </c>
      <c r="K134" s="0" t="n">
        <v>20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59</v>
      </c>
      <c r="X134" s="0" t="n">
        <v>5</v>
      </c>
      <c r="Y134" s="0" t="n">
        <v>5</v>
      </c>
      <c r="Z134" s="0" t="inlineStr">
        <is>
          <t>https://new.land.naver.com/complexes/18479?tab=detail&amp;rf=Y</t>
        </is>
      </c>
      <c r="AA134" s="0" t="inlineStr">
        <is>
          <t>경기도 수원시 장안구 연무동 252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장안구</t>
        </is>
      </c>
      <c r="AE134" s="0" t="inlineStr">
        <is>
          <t>연무동</t>
        </is>
      </c>
      <c r="AG134" s="0" t="inlineStr">
        <is>
          <t>경기도 수원시 장안구 수원천로472번길 8</t>
        </is>
      </c>
      <c r="AH134" s="0" t="n">
        <v>0</v>
      </c>
      <c r="AI134" s="0" t="n">
        <v>167</v>
      </c>
      <c r="AJ134" s="0" t="n">
        <v>35</v>
      </c>
      <c r="AK134" s="0" t="n">
        <v>0</v>
      </c>
      <c r="AL134" s="0" t="n">
        <v>0</v>
      </c>
    </row>
    <row r="135">
      <c r="A135" s="0" t="inlineStr">
        <is>
          <t>[연무동]</t>
        </is>
      </c>
      <c r="B135" s="0" t="n">
        <v>18479</v>
      </c>
      <c r="C135" s="0" t="n">
        <v>2</v>
      </c>
      <c r="D135" s="0" t="inlineStr">
        <is>
          <t>경성</t>
        </is>
      </c>
      <c r="E135" s="0" t="inlineStr">
        <is>
          <t>1987.10.</t>
        </is>
      </c>
      <c r="F135" s="0" t="n">
        <v>125</v>
      </c>
      <c r="G135" s="0" t="n">
        <v>19.49</v>
      </c>
      <c r="H135" s="0" t="n">
        <v>64.43000000000001</v>
      </c>
      <c r="I135" s="0" t="n">
        <v>15.89</v>
      </c>
      <c r="J135" s="0" t="n">
        <v>52.56</v>
      </c>
      <c r="K135" s="0" t="n">
        <v>10</v>
      </c>
      <c r="T135" s="0" t="n">
        <v>2</v>
      </c>
      <c r="U135" s="0" t="n">
        <v>1</v>
      </c>
      <c r="V135" s="0" t="inlineStr">
        <is>
          <t>복도식</t>
        </is>
      </c>
      <c r="W135" s="0" t="n">
        <v>64</v>
      </c>
      <c r="X135" s="0" t="n">
        <v>5</v>
      </c>
      <c r="Y135" s="0" t="n">
        <v>5</v>
      </c>
      <c r="Z135" s="0" t="inlineStr">
        <is>
          <t>https://new.land.naver.com/complexes/18479?tab=detail&amp;rf=Y</t>
        </is>
      </c>
      <c r="AA135" s="0" t="inlineStr">
        <is>
          <t>경기도 수원시 장안구 연무동 252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장안구</t>
        </is>
      </c>
      <c r="AE135" s="0" t="inlineStr">
        <is>
          <t>연무동</t>
        </is>
      </c>
      <c r="AG135" s="0" t="inlineStr">
        <is>
          <t>경기도 수원시 장안구 수원천로472번길 8</t>
        </is>
      </c>
      <c r="AH135" s="0" t="n">
        <v>0</v>
      </c>
      <c r="AI135" s="0" t="n">
        <v>167</v>
      </c>
      <c r="AJ135" s="0" t="n">
        <v>35</v>
      </c>
      <c r="AK135" s="0" t="n">
        <v>0</v>
      </c>
      <c r="AL135" s="0" t="n">
        <v>0</v>
      </c>
    </row>
    <row r="136">
      <c r="A136" s="0" t="inlineStr">
        <is>
          <t>[연무동]</t>
        </is>
      </c>
      <c r="B136" s="0" t="n">
        <v>18479</v>
      </c>
      <c r="C136" s="0" t="n">
        <v>3</v>
      </c>
      <c r="D136" s="0" t="inlineStr">
        <is>
          <t>경성</t>
        </is>
      </c>
      <c r="E136" s="0" t="inlineStr">
        <is>
          <t>1987.10.</t>
        </is>
      </c>
      <c r="F136" s="0" t="n">
        <v>125</v>
      </c>
      <c r="G136" s="0" t="n">
        <v>19.62</v>
      </c>
      <c r="H136" s="0" t="n">
        <v>64.89</v>
      </c>
      <c r="I136" s="0" t="n">
        <v>16.33</v>
      </c>
      <c r="J136" s="0" t="n">
        <v>54</v>
      </c>
      <c r="K136" s="0" t="n">
        <v>5</v>
      </c>
      <c r="T136" s="0" t="n">
        <v>2</v>
      </c>
      <c r="U136" s="0" t="n">
        <v>1</v>
      </c>
      <c r="V136" s="0" t="inlineStr">
        <is>
          <t>계단식</t>
        </is>
      </c>
      <c r="W136" s="0" t="n">
        <v>64</v>
      </c>
      <c r="X136" s="0" t="n">
        <v>5</v>
      </c>
      <c r="Y136" s="0" t="n">
        <v>5</v>
      </c>
      <c r="Z136" s="0" t="inlineStr">
        <is>
          <t>https://new.land.naver.com/complexes/18479?tab=detail&amp;rf=Y</t>
        </is>
      </c>
      <c r="AA136" s="0" t="inlineStr">
        <is>
          <t>경기도 수원시 장안구 연무동 252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장안구</t>
        </is>
      </c>
      <c r="AE136" s="0" t="inlineStr">
        <is>
          <t>연무동</t>
        </is>
      </c>
      <c r="AG136" s="0" t="inlineStr">
        <is>
          <t>경기도 수원시 장안구 수원천로472번길 8</t>
        </is>
      </c>
      <c r="AH136" s="0" t="n">
        <v>0</v>
      </c>
      <c r="AI136" s="0" t="n">
        <v>167</v>
      </c>
      <c r="AJ136" s="0" t="n">
        <v>35</v>
      </c>
      <c r="AK136" s="0" t="n">
        <v>0</v>
      </c>
      <c r="AL136" s="0" t="n">
        <v>0</v>
      </c>
    </row>
    <row r="137">
      <c r="A137" s="0" t="inlineStr">
        <is>
          <t>[연무동]</t>
        </is>
      </c>
      <c r="B137" s="0" t="n">
        <v>18479</v>
      </c>
      <c r="C137" s="0" t="n">
        <v>4</v>
      </c>
      <c r="D137" s="0" t="inlineStr">
        <is>
          <t>경성</t>
        </is>
      </c>
      <c r="E137" s="0" t="inlineStr">
        <is>
          <t>1987.10.</t>
        </is>
      </c>
      <c r="F137" s="0" t="n">
        <v>125</v>
      </c>
      <c r="G137" s="0" t="n">
        <v>20.78</v>
      </c>
      <c r="H137" s="0" t="n">
        <v>68.72</v>
      </c>
      <c r="I137" s="0" t="n">
        <v>17.42</v>
      </c>
      <c r="J137" s="0" t="n">
        <v>57.6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inlineStr">
        <is>
          <t>68A</t>
        </is>
      </c>
      <c r="X137" s="0" t="n">
        <v>5</v>
      </c>
      <c r="Y137" s="0" t="n">
        <v>5</v>
      </c>
      <c r="Z137" s="0" t="inlineStr">
        <is>
          <t>https://new.land.naver.com/complexes/18479?tab=detail&amp;rf=Y</t>
        </is>
      </c>
      <c r="AA137" s="0" t="inlineStr">
        <is>
          <t>경기도 수원시 장안구 연무동 252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장안구</t>
        </is>
      </c>
      <c r="AE137" s="0" t="inlineStr">
        <is>
          <t>연무동</t>
        </is>
      </c>
      <c r="AG137" s="0" t="inlineStr">
        <is>
          <t>경기도 수원시 장안구 수원천로472번길 8</t>
        </is>
      </c>
      <c r="AH137" s="0" t="n">
        <v>0</v>
      </c>
      <c r="AI137" s="0" t="n">
        <v>167</v>
      </c>
      <c r="AJ137" s="0" t="n">
        <v>35</v>
      </c>
      <c r="AK137" s="0" t="n">
        <v>0</v>
      </c>
      <c r="AL137" s="0" t="n">
        <v>0</v>
      </c>
    </row>
    <row r="138">
      <c r="A138" s="0" t="inlineStr">
        <is>
          <t>[연무동]</t>
        </is>
      </c>
      <c r="B138" s="0" t="n">
        <v>18479</v>
      </c>
      <c r="C138" s="0" t="n">
        <v>5</v>
      </c>
      <c r="D138" s="0" t="inlineStr">
        <is>
          <t>경성</t>
        </is>
      </c>
      <c r="E138" s="0" t="inlineStr">
        <is>
          <t>1987.10.</t>
        </is>
      </c>
      <c r="F138" s="0" t="n">
        <v>125</v>
      </c>
      <c r="G138" s="0" t="n">
        <v>20.93</v>
      </c>
      <c r="H138" s="0" t="n">
        <v>69.20999999999999</v>
      </c>
      <c r="I138" s="0" t="n">
        <v>17.42</v>
      </c>
      <c r="J138" s="0" t="n">
        <v>57.6</v>
      </c>
      <c r="K138" s="0" t="n">
        <v>10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69D</t>
        </is>
      </c>
      <c r="X138" s="0" t="n">
        <v>5</v>
      </c>
      <c r="Y138" s="0" t="n">
        <v>5</v>
      </c>
      <c r="Z138" s="0" t="inlineStr">
        <is>
          <t>https://new.land.naver.com/complexes/18479?tab=detail&amp;rf=Y</t>
        </is>
      </c>
      <c r="AA138" s="0" t="inlineStr">
        <is>
          <t>경기도 수원시 장안구 연무동 252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장안구</t>
        </is>
      </c>
      <c r="AE138" s="0" t="inlineStr">
        <is>
          <t>연무동</t>
        </is>
      </c>
      <c r="AG138" s="0" t="inlineStr">
        <is>
          <t>경기도 수원시 장안구 수원천로472번길 8</t>
        </is>
      </c>
      <c r="AH138" s="0" t="n">
        <v>0</v>
      </c>
      <c r="AI138" s="0" t="n">
        <v>167</v>
      </c>
      <c r="AJ138" s="0" t="n">
        <v>35</v>
      </c>
      <c r="AK138" s="0" t="n">
        <v>0</v>
      </c>
      <c r="AL138" s="0" t="n">
        <v>0</v>
      </c>
    </row>
    <row r="139">
      <c r="A139" s="0" t="inlineStr">
        <is>
          <t>[연무동]</t>
        </is>
      </c>
      <c r="B139" s="0" t="n">
        <v>18479</v>
      </c>
      <c r="C139" s="0" t="n">
        <v>6</v>
      </c>
      <c r="D139" s="0" t="inlineStr">
        <is>
          <t>경성</t>
        </is>
      </c>
      <c r="E139" s="0" t="inlineStr">
        <is>
          <t>1987.10.</t>
        </is>
      </c>
      <c r="F139" s="0" t="n">
        <v>125</v>
      </c>
      <c r="G139" s="0" t="n">
        <v>21.45</v>
      </c>
      <c r="H139" s="0" t="n">
        <v>70.91</v>
      </c>
      <c r="I139" s="0" t="n">
        <v>17.61</v>
      </c>
      <c r="J139" s="0" t="n">
        <v>58.23</v>
      </c>
      <c r="K139" s="0" t="n">
        <v>30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70E</t>
        </is>
      </c>
      <c r="X139" s="0" t="n">
        <v>5</v>
      </c>
      <c r="Y139" s="0" t="n">
        <v>5</v>
      </c>
      <c r="Z139" s="0" t="inlineStr">
        <is>
          <t>https://new.land.naver.com/complexes/18479?tab=detail&amp;rf=Y</t>
        </is>
      </c>
      <c r="AA139" s="0" t="inlineStr">
        <is>
          <t>경기도 수원시 장안구 연무동 252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장안구</t>
        </is>
      </c>
      <c r="AE139" s="0" t="inlineStr">
        <is>
          <t>연무동</t>
        </is>
      </c>
      <c r="AG139" s="0" t="inlineStr">
        <is>
          <t>경기도 수원시 장안구 수원천로472번길 8</t>
        </is>
      </c>
      <c r="AH139" s="0" t="n">
        <v>0</v>
      </c>
      <c r="AI139" s="0" t="n">
        <v>167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[연무동]</t>
        </is>
      </c>
      <c r="B140" s="0" t="n">
        <v>18479</v>
      </c>
      <c r="C140" s="0" t="n">
        <v>7</v>
      </c>
      <c r="D140" s="0" t="inlineStr">
        <is>
          <t>경성</t>
        </is>
      </c>
      <c r="E140" s="0" t="inlineStr">
        <is>
          <t>1987.10.</t>
        </is>
      </c>
      <c r="F140" s="0" t="n">
        <v>125</v>
      </c>
      <c r="G140" s="0" t="n">
        <v>21.44</v>
      </c>
      <c r="H140" s="0" t="n">
        <v>70.89</v>
      </c>
      <c r="I140" s="0" t="n">
        <v>17.61</v>
      </c>
      <c r="J140" s="0" t="n">
        <v>58.23</v>
      </c>
      <c r="K140" s="0" t="n">
        <v>20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70B</t>
        </is>
      </c>
      <c r="X140" s="0" t="n">
        <v>5</v>
      </c>
      <c r="Y140" s="0" t="n">
        <v>5</v>
      </c>
      <c r="Z140" s="0" t="inlineStr">
        <is>
          <t>https://new.land.naver.com/complexes/18479?tab=detail&amp;rf=Y</t>
        </is>
      </c>
      <c r="AA140" s="0" t="inlineStr">
        <is>
          <t>경기도 수원시 장안구 연무동 252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장안구</t>
        </is>
      </c>
      <c r="AE140" s="0" t="inlineStr">
        <is>
          <t>연무동</t>
        </is>
      </c>
      <c r="AG140" s="0" t="inlineStr">
        <is>
          <t>경기도 수원시 장안구 수원천로472번길 8</t>
        </is>
      </c>
      <c r="AH140" s="0" t="n">
        <v>0</v>
      </c>
      <c r="AI140" s="0" t="n">
        <v>167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[연무동]</t>
        </is>
      </c>
      <c r="B141" s="0" t="n">
        <v>18479</v>
      </c>
      <c r="C141" s="0" t="n">
        <v>8</v>
      </c>
      <c r="D141" s="0" t="inlineStr">
        <is>
          <t>경성</t>
        </is>
      </c>
      <c r="E141" s="0" t="inlineStr">
        <is>
          <t>1987.10.</t>
        </is>
      </c>
      <c r="F141" s="0" t="n">
        <v>125</v>
      </c>
      <c r="G141" s="0" t="n">
        <v>21.61</v>
      </c>
      <c r="H141" s="0" t="n">
        <v>71.45</v>
      </c>
      <c r="I141" s="0" t="n">
        <v>17.31</v>
      </c>
      <c r="J141" s="0" t="n">
        <v>57.24</v>
      </c>
      <c r="K141" s="0" t="n">
        <v>5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71A</t>
        </is>
      </c>
      <c r="X141" s="0" t="n">
        <v>5</v>
      </c>
      <c r="Y141" s="0" t="n">
        <v>5</v>
      </c>
      <c r="Z141" s="0" t="inlineStr">
        <is>
          <t>https://new.land.naver.com/complexes/18479?tab=detail&amp;rf=Y</t>
        </is>
      </c>
      <c r="AA141" s="0" t="inlineStr">
        <is>
          <t>경기도 수원시 장안구 연무동 252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장안구</t>
        </is>
      </c>
      <c r="AE141" s="0" t="inlineStr">
        <is>
          <t>연무동</t>
        </is>
      </c>
      <c r="AG141" s="0" t="inlineStr">
        <is>
          <t>경기도 수원시 장안구 수원천로472번길 8</t>
        </is>
      </c>
      <c r="AH141" s="0" t="n">
        <v>0</v>
      </c>
      <c r="AI141" s="0" t="n">
        <v>167</v>
      </c>
      <c r="AJ141" s="0" t="n">
        <v>35</v>
      </c>
      <c r="AK141" s="0" t="n">
        <v>0</v>
      </c>
      <c r="AL141" s="0" t="n">
        <v>0</v>
      </c>
    </row>
    <row r="142">
      <c r="A142" s="0" t="inlineStr">
        <is>
          <t>[연무동]</t>
        </is>
      </c>
      <c r="B142" s="0" t="n">
        <v>18479</v>
      </c>
      <c r="C142" s="0" t="n">
        <v>9</v>
      </c>
      <c r="D142" s="0" t="inlineStr">
        <is>
          <t>경성</t>
        </is>
      </c>
      <c r="E142" s="0" t="inlineStr">
        <is>
          <t>1987.10.</t>
        </is>
      </c>
      <c r="F142" s="0" t="n">
        <v>125</v>
      </c>
      <c r="G142" s="0" t="n">
        <v>21.47</v>
      </c>
      <c r="H142" s="0" t="n">
        <v>71</v>
      </c>
      <c r="I142" s="0" t="n">
        <v>17.61</v>
      </c>
      <c r="J142" s="0" t="n">
        <v>58.23</v>
      </c>
      <c r="K142" s="0" t="n">
        <v>5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71C</t>
        </is>
      </c>
      <c r="X142" s="0" t="n">
        <v>5</v>
      </c>
      <c r="Y142" s="0" t="n">
        <v>5</v>
      </c>
      <c r="Z142" s="0" t="inlineStr">
        <is>
          <t>https://new.land.naver.com/complexes/18479?tab=detail&amp;rf=Y</t>
        </is>
      </c>
      <c r="AA142" s="0" t="inlineStr">
        <is>
          <t>경기도 수원시 장안구 연무동 252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장안구</t>
        </is>
      </c>
      <c r="AE142" s="0" t="inlineStr">
        <is>
          <t>연무동</t>
        </is>
      </c>
      <c r="AG142" s="0" t="inlineStr">
        <is>
          <t>경기도 수원시 장안구 수원천로472번길 8</t>
        </is>
      </c>
      <c r="AH142" s="0" t="n">
        <v>0</v>
      </c>
      <c r="AI142" s="0" t="n">
        <v>167</v>
      </c>
      <c r="AJ142" s="0" t="n">
        <v>35</v>
      </c>
      <c r="AK142" s="0" t="n">
        <v>0</v>
      </c>
      <c r="AL142" s="0" t="n">
        <v>0</v>
      </c>
    </row>
    <row r="143">
      <c r="A143" s="0" t="inlineStr">
        <is>
          <t>[연무동]</t>
        </is>
      </c>
      <c r="B143" s="0" t="n">
        <v>18479</v>
      </c>
      <c r="C143" s="0" t="n">
        <v>10</v>
      </c>
      <c r="D143" s="0" t="inlineStr">
        <is>
          <t>경성</t>
        </is>
      </c>
      <c r="E143" s="0" t="inlineStr">
        <is>
          <t>1987.10.</t>
        </is>
      </c>
      <c r="F143" s="0" t="n">
        <v>125</v>
      </c>
      <c r="G143" s="0" t="n">
        <v>21.93</v>
      </c>
      <c r="H143" s="0" t="n">
        <v>72.51000000000001</v>
      </c>
      <c r="I143" s="0" t="n">
        <v>17.85</v>
      </c>
      <c r="J143" s="0" t="n">
        <v>59.04</v>
      </c>
      <c r="K143" s="0" t="n">
        <v>5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72B</t>
        </is>
      </c>
      <c r="X143" s="0" t="n">
        <v>5</v>
      </c>
      <c r="Y143" s="0" t="n">
        <v>5</v>
      </c>
      <c r="Z143" s="0" t="inlineStr">
        <is>
          <t>https://new.land.naver.com/complexes/18479?tab=detail&amp;rf=Y</t>
        </is>
      </c>
      <c r="AA143" s="0" t="inlineStr">
        <is>
          <t>경기도 수원시 장안구 연무동 252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장안구</t>
        </is>
      </c>
      <c r="AE143" s="0" t="inlineStr">
        <is>
          <t>연무동</t>
        </is>
      </c>
      <c r="AG143" s="0" t="inlineStr">
        <is>
          <t>경기도 수원시 장안구 수원천로472번길 8</t>
        </is>
      </c>
      <c r="AH143" s="0" t="n">
        <v>0</v>
      </c>
      <c r="AI143" s="0" t="n">
        <v>167</v>
      </c>
      <c r="AJ143" s="0" t="n">
        <v>35</v>
      </c>
      <c r="AK143" s="0" t="n">
        <v>0</v>
      </c>
      <c r="AL143" s="0" t="n">
        <v>0</v>
      </c>
    </row>
    <row r="144">
      <c r="A144" s="0" t="inlineStr">
        <is>
          <t>[연무동]</t>
        </is>
      </c>
      <c r="B144" s="0" t="n">
        <v>18479</v>
      </c>
      <c r="C144" s="0" t="n">
        <v>11</v>
      </c>
      <c r="D144" s="0" t="inlineStr">
        <is>
          <t>경성</t>
        </is>
      </c>
      <c r="E144" s="0" t="inlineStr">
        <is>
          <t>1987.10.</t>
        </is>
      </c>
      <c r="F144" s="0" t="n">
        <v>125</v>
      </c>
      <c r="G144" s="0" t="n">
        <v>28.01</v>
      </c>
      <c r="H144" s="0" t="n">
        <v>92.61</v>
      </c>
      <c r="I144" s="0" t="n">
        <v>20.69</v>
      </c>
      <c r="J144" s="0" t="n">
        <v>68.40000000000001</v>
      </c>
      <c r="K144" s="0" t="n">
        <v>5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92</v>
      </c>
      <c r="X144" s="0" t="n">
        <v>5</v>
      </c>
      <c r="Y144" s="0" t="n">
        <v>5</v>
      </c>
      <c r="Z144" s="0" t="inlineStr">
        <is>
          <t>https://new.land.naver.com/complexes/18479?tab=detail&amp;rf=Y</t>
        </is>
      </c>
      <c r="AA144" s="0" t="inlineStr">
        <is>
          <t>경기도 수원시 장안구 연무동 252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장안구</t>
        </is>
      </c>
      <c r="AE144" s="0" t="inlineStr">
        <is>
          <t>연무동</t>
        </is>
      </c>
      <c r="AG144" s="0" t="inlineStr">
        <is>
          <t>경기도 수원시 장안구 수원천로472번길 8</t>
        </is>
      </c>
      <c r="AH144" s="0" t="n">
        <v>0</v>
      </c>
      <c r="AI144" s="0" t="n">
        <v>167</v>
      </c>
      <c r="AJ144" s="0" t="n">
        <v>35</v>
      </c>
      <c r="AK144" s="0" t="n">
        <v>0</v>
      </c>
      <c r="AL144" s="0" t="n">
        <v>0</v>
      </c>
    </row>
    <row r="145">
      <c r="A145" s="0" t="inlineStr">
        <is>
          <t>[연무동]</t>
        </is>
      </c>
      <c r="B145" s="0" t="n">
        <v>18479</v>
      </c>
      <c r="C145" s="0" t="n">
        <v>12</v>
      </c>
      <c r="D145" s="0" t="inlineStr">
        <is>
          <t>경성</t>
        </is>
      </c>
      <c r="E145" s="0" t="inlineStr">
        <is>
          <t>1987.10.</t>
        </is>
      </c>
      <c r="F145" s="0" t="n">
        <v>125</v>
      </c>
      <c r="G145" s="0" t="n">
        <v>28.57</v>
      </c>
      <c r="H145" s="0" t="n">
        <v>94.45999999999999</v>
      </c>
      <c r="I145" s="0" t="n">
        <v>24.17</v>
      </c>
      <c r="J145" s="0" t="n">
        <v>79.92</v>
      </c>
      <c r="K145" s="0" t="n">
        <v>5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94</v>
      </c>
      <c r="X145" s="0" t="n">
        <v>5</v>
      </c>
      <c r="Y145" s="0" t="n">
        <v>5</v>
      </c>
      <c r="Z145" s="0" t="inlineStr">
        <is>
          <t>https://new.land.naver.com/complexes/18479?tab=detail&amp;rf=Y</t>
        </is>
      </c>
      <c r="AA145" s="0" t="inlineStr">
        <is>
          <t>경기도 수원시 장안구 연무동 252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장안구</t>
        </is>
      </c>
      <c r="AE145" s="0" t="inlineStr">
        <is>
          <t>연무동</t>
        </is>
      </c>
      <c r="AG145" s="0" t="inlineStr">
        <is>
          <t>경기도 수원시 장안구 수원천로472번길 8</t>
        </is>
      </c>
      <c r="AH145" s="0" t="n">
        <v>0</v>
      </c>
      <c r="AI145" s="0" t="n">
        <v>167</v>
      </c>
      <c r="AJ145" s="0" t="n">
        <v>35</v>
      </c>
      <c r="AK145" s="0" t="n">
        <v>0</v>
      </c>
      <c r="AL145" s="0" t="n">
        <v>0</v>
      </c>
    </row>
    <row r="146">
      <c r="A146" s="0" t="inlineStr">
        <is>
          <t>[연무동]</t>
        </is>
      </c>
      <c r="B146" s="0" t="n">
        <v>120256</v>
      </c>
      <c r="C146" s="0" t="n">
        <v>1</v>
      </c>
      <c r="D146" s="0" t="inlineStr">
        <is>
          <t>선율(도시형)</t>
        </is>
      </c>
      <c r="E146" s="0" t="inlineStr">
        <is>
          <t>2018.01.</t>
        </is>
      </c>
      <c r="F146" s="0" t="n">
        <v>8</v>
      </c>
      <c r="G146" s="0" t="n">
        <v>18.24</v>
      </c>
      <c r="H146" s="0" t="n">
        <v>60.33</v>
      </c>
      <c r="I146" s="0" t="n">
        <v>14.62</v>
      </c>
      <c r="J146" s="0" t="n">
        <v>48.34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n">
        <v>60</v>
      </c>
      <c r="X146" s="0" t="n">
        <v>5</v>
      </c>
      <c r="Y146" s="0" t="n">
        <v>5</v>
      </c>
      <c r="Z146" s="0" t="inlineStr">
        <is>
          <t>https://new.land.naver.com/complexes/120256?tab=detail&amp;rf=Y</t>
        </is>
      </c>
      <c r="AA146" s="0" t="inlineStr">
        <is>
          <t>경기도 수원시 장안구 연무동 215-3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장안구</t>
        </is>
      </c>
      <c r="AE146" s="0" t="inlineStr">
        <is>
          <t>연무동</t>
        </is>
      </c>
      <c r="AG146" s="0" t="inlineStr">
        <is>
          <t>경기도 수원시 장안구 연무로42번길 52-12</t>
        </is>
      </c>
      <c r="AH146" s="0" t="n">
        <v>0</v>
      </c>
      <c r="AI146" s="0" t="n">
        <v>465</v>
      </c>
      <c r="AJ146" s="0" t="n">
        <v>68</v>
      </c>
      <c r="AK146" s="0" t="n">
        <v>5</v>
      </c>
      <c r="AL146" s="0" t="n">
        <v>0.62</v>
      </c>
    </row>
    <row r="147">
      <c r="A147" s="0" t="inlineStr">
        <is>
          <t>[연무동]</t>
        </is>
      </c>
      <c r="B147" s="0" t="n">
        <v>120256</v>
      </c>
      <c r="C147" s="0" t="n">
        <v>2</v>
      </c>
      <c r="D147" s="0" t="inlineStr">
        <is>
          <t>선율(도시형)</t>
        </is>
      </c>
      <c r="E147" s="0" t="inlineStr">
        <is>
          <t>2018.01.</t>
        </is>
      </c>
      <c r="F147" s="0" t="n">
        <v>8</v>
      </c>
      <c r="G147" s="0" t="n">
        <v>18.81</v>
      </c>
      <c r="H147" s="0" t="n">
        <v>62.2</v>
      </c>
      <c r="I147" s="0" t="n">
        <v>15.07</v>
      </c>
      <c r="J147" s="0" t="n">
        <v>49.84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n">
        <v>62</v>
      </c>
      <c r="X147" s="0" t="n">
        <v>5</v>
      </c>
      <c r="Y147" s="0" t="n">
        <v>5</v>
      </c>
      <c r="Z147" s="0" t="inlineStr">
        <is>
          <t>https://new.land.naver.com/complexes/120256?tab=detail&amp;rf=Y</t>
        </is>
      </c>
      <c r="AA147" s="0" t="inlineStr">
        <is>
          <t>경기도 수원시 장안구 연무동 215-3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장안구</t>
        </is>
      </c>
      <c r="AE147" s="0" t="inlineStr">
        <is>
          <t>연무동</t>
        </is>
      </c>
      <c r="AG147" s="0" t="inlineStr">
        <is>
          <t>경기도 수원시 장안구 연무로42번길 52-12</t>
        </is>
      </c>
      <c r="AH147" s="0" t="n">
        <v>0</v>
      </c>
      <c r="AI147" s="0" t="n">
        <v>465</v>
      </c>
      <c r="AJ147" s="0" t="n">
        <v>68</v>
      </c>
      <c r="AK147" s="0" t="n">
        <v>5</v>
      </c>
      <c r="AL147" s="0" t="n">
        <v>0.62</v>
      </c>
    </row>
    <row r="148">
      <c r="A148" s="0" t="inlineStr">
        <is>
          <t>[연무동]</t>
        </is>
      </c>
      <c r="B148" s="0" t="n">
        <v>16056</v>
      </c>
      <c r="C148" s="0" t="n">
        <v>1</v>
      </c>
      <c r="D148" s="0" t="inlineStr">
        <is>
          <t>동우</t>
        </is>
      </c>
      <c r="E148" s="0" t="inlineStr">
        <is>
          <t>1989.07.</t>
        </is>
      </c>
      <c r="F148" s="0" t="n">
        <v>36</v>
      </c>
      <c r="G148" s="0" t="n">
        <v>28.41</v>
      </c>
      <c r="H148" s="0" t="n">
        <v>93.94</v>
      </c>
      <c r="I148" s="0" t="n">
        <v>24.25</v>
      </c>
      <c r="J148" s="0" t="n">
        <v>80.19</v>
      </c>
      <c r="K148" s="0" t="n">
        <v>12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93</v>
      </c>
      <c r="X148" s="0" t="n">
        <v>6</v>
      </c>
      <c r="Y148" s="0" t="n">
        <v>6</v>
      </c>
      <c r="Z148" s="0" t="inlineStr">
        <is>
          <t>https://new.land.naver.com/complexes/16056?tab=detail&amp;rf=Y</t>
        </is>
      </c>
      <c r="AA148" s="0" t="inlineStr">
        <is>
          <t>경기도 수원시 장안구 연무동 258-43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장안구</t>
        </is>
      </c>
      <c r="AE148" s="0" t="inlineStr">
        <is>
          <t>연무동</t>
        </is>
      </c>
      <c r="AG148" s="0" t="inlineStr">
        <is>
          <t>경기도 수원시 장안구 월드컵로 417-10</t>
        </is>
      </c>
      <c r="AH148" s="0" t="n">
        <v>0</v>
      </c>
      <c r="AI148" s="0" t="n">
        <v>187</v>
      </c>
      <c r="AJ148" s="0" t="n">
        <v>31</v>
      </c>
      <c r="AK148" s="0" t="n">
        <v>13</v>
      </c>
      <c r="AL148" s="0" t="n">
        <v>0.36</v>
      </c>
    </row>
    <row r="149">
      <c r="A149" s="0" t="inlineStr">
        <is>
          <t>[연무동]</t>
        </is>
      </c>
      <c r="B149" s="0" t="n">
        <v>16056</v>
      </c>
      <c r="C149" s="0" t="n">
        <v>2</v>
      </c>
      <c r="D149" s="0" t="inlineStr">
        <is>
          <t>동우</t>
        </is>
      </c>
      <c r="E149" s="0" t="inlineStr">
        <is>
          <t>1989.07.</t>
        </is>
      </c>
      <c r="F149" s="0" t="n">
        <v>36</v>
      </c>
      <c r="G149" s="0" t="n">
        <v>28.49</v>
      </c>
      <c r="H149" s="0" t="n">
        <v>94.20999999999999</v>
      </c>
      <c r="I149" s="0" t="n">
        <v>23.19</v>
      </c>
      <c r="J149" s="0" t="n">
        <v>76.68000000000001</v>
      </c>
      <c r="K149" s="0" t="n">
        <v>6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94</v>
      </c>
      <c r="X149" s="0" t="n">
        <v>6</v>
      </c>
      <c r="Y149" s="0" t="n">
        <v>6</v>
      </c>
      <c r="Z149" s="0" t="inlineStr">
        <is>
          <t>https://new.land.naver.com/complexes/16056?tab=detail&amp;rf=Y</t>
        </is>
      </c>
      <c r="AA149" s="0" t="inlineStr">
        <is>
          <t>경기도 수원시 장안구 연무동 258-43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장안구</t>
        </is>
      </c>
      <c r="AE149" s="0" t="inlineStr">
        <is>
          <t>연무동</t>
        </is>
      </c>
      <c r="AG149" s="0" t="inlineStr">
        <is>
          <t>경기도 수원시 장안구 월드컵로 417-10</t>
        </is>
      </c>
      <c r="AH149" s="0" t="n">
        <v>0</v>
      </c>
      <c r="AI149" s="0" t="n">
        <v>187</v>
      </c>
      <c r="AJ149" s="0" t="n">
        <v>31</v>
      </c>
      <c r="AK149" s="0" t="n">
        <v>13</v>
      </c>
      <c r="AL149" s="0" t="n">
        <v>0.36</v>
      </c>
    </row>
    <row r="150">
      <c r="A150" s="0" t="inlineStr">
        <is>
          <t>[연무동]</t>
        </is>
      </c>
      <c r="B150" s="0" t="n">
        <v>16056</v>
      </c>
      <c r="C150" s="0" t="n">
        <v>3</v>
      </c>
      <c r="D150" s="0" t="inlineStr">
        <is>
          <t>동우</t>
        </is>
      </c>
      <c r="E150" s="0" t="inlineStr">
        <is>
          <t>1989.07.</t>
        </is>
      </c>
      <c r="F150" s="0" t="n">
        <v>36</v>
      </c>
      <c r="G150" s="0" t="n">
        <v>29.5</v>
      </c>
      <c r="H150" s="0" t="n">
        <v>97.53</v>
      </c>
      <c r="I150" s="0" t="n">
        <v>24.01</v>
      </c>
      <c r="J150" s="0" t="n">
        <v>79.38</v>
      </c>
      <c r="K150" s="0" t="n">
        <v>6</v>
      </c>
      <c r="T150" s="0" t="n">
        <v>3</v>
      </c>
      <c r="U150" s="0" t="n">
        <v>1</v>
      </c>
      <c r="V150" s="0" t="inlineStr">
        <is>
          <t>복도식</t>
        </is>
      </c>
      <c r="W150" s="0" t="n">
        <v>97</v>
      </c>
      <c r="X150" s="0" t="n">
        <v>6</v>
      </c>
      <c r="Y150" s="0" t="n">
        <v>6</v>
      </c>
      <c r="Z150" s="0" t="inlineStr">
        <is>
          <t>https://new.land.naver.com/complexes/16056?tab=detail&amp;rf=Y</t>
        </is>
      </c>
      <c r="AA150" s="0" t="inlineStr">
        <is>
          <t>경기도 수원시 장안구 연무동 258-43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장안구</t>
        </is>
      </c>
      <c r="AE150" s="0" t="inlineStr">
        <is>
          <t>연무동</t>
        </is>
      </c>
      <c r="AG150" s="0" t="inlineStr">
        <is>
          <t>경기도 수원시 장안구 월드컵로 417-10</t>
        </is>
      </c>
      <c r="AH150" s="0" t="n">
        <v>0</v>
      </c>
      <c r="AI150" s="0" t="n">
        <v>187</v>
      </c>
      <c r="AJ150" s="0" t="n">
        <v>31</v>
      </c>
      <c r="AK150" s="0" t="n">
        <v>13</v>
      </c>
      <c r="AL150" s="0" t="n">
        <v>0.36</v>
      </c>
    </row>
    <row r="151">
      <c r="A151" s="0" t="inlineStr">
        <is>
          <t>[연무동]</t>
        </is>
      </c>
      <c r="B151" s="0" t="n">
        <v>16056</v>
      </c>
      <c r="C151" s="0" t="n">
        <v>4</v>
      </c>
      <c r="D151" s="0" t="inlineStr">
        <is>
          <t>동우</t>
        </is>
      </c>
      <c r="E151" s="0" t="inlineStr">
        <is>
          <t>1989.07.</t>
        </is>
      </c>
      <c r="F151" s="0" t="n">
        <v>36</v>
      </c>
      <c r="G151" s="0" t="n">
        <v>31.57</v>
      </c>
      <c r="H151" s="0" t="n">
        <v>104.38</v>
      </c>
      <c r="I151" s="0" t="n">
        <v>25.7</v>
      </c>
      <c r="J151" s="0" t="n">
        <v>84.95999999999999</v>
      </c>
      <c r="K151" s="0" t="n">
        <v>12</v>
      </c>
      <c r="T151" s="0" t="n">
        <v>3</v>
      </c>
      <c r="U151" s="0" t="n">
        <v>1</v>
      </c>
      <c r="V151" s="0" t="inlineStr">
        <is>
          <t>복도식</t>
        </is>
      </c>
      <c r="W151" s="0" t="n">
        <v>104</v>
      </c>
      <c r="X151" s="0" t="n">
        <v>6</v>
      </c>
      <c r="Y151" s="0" t="n">
        <v>6</v>
      </c>
      <c r="Z151" s="0" t="inlineStr">
        <is>
          <t>https://new.land.naver.com/complexes/16056?tab=detail&amp;rf=Y</t>
        </is>
      </c>
      <c r="AA151" s="0" t="inlineStr">
        <is>
          <t>경기도 수원시 장안구 연무동 258-43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장안구</t>
        </is>
      </c>
      <c r="AE151" s="0" t="inlineStr">
        <is>
          <t>연무동</t>
        </is>
      </c>
      <c r="AG151" s="0" t="inlineStr">
        <is>
          <t>경기도 수원시 장안구 월드컵로 417-10</t>
        </is>
      </c>
      <c r="AH151" s="0" t="n">
        <v>0</v>
      </c>
      <c r="AI151" s="0" t="n">
        <v>187</v>
      </c>
      <c r="AJ151" s="0" t="n">
        <v>31</v>
      </c>
      <c r="AK151" s="0" t="n">
        <v>13</v>
      </c>
      <c r="AL151" s="0" t="n">
        <v>0.36</v>
      </c>
    </row>
    <row r="152">
      <c r="A152" s="0" t="inlineStr">
        <is>
          <t>[연무동]</t>
        </is>
      </c>
      <c r="B152" s="0" t="n">
        <v>122238</v>
      </c>
      <c r="C152" s="0" t="n">
        <v>1</v>
      </c>
      <c r="D152" s="0" t="inlineStr">
        <is>
          <t>디엠빌리지(216-2,도시형)</t>
        </is>
      </c>
      <c r="E152" s="0" t="inlineStr">
        <is>
          <t>2016.04.</t>
        </is>
      </c>
      <c r="F152" s="0" t="n">
        <v>8</v>
      </c>
      <c r="G152" s="0" t="n">
        <v>17.02</v>
      </c>
      <c r="H152" s="0" t="n">
        <v>56.29</v>
      </c>
      <c r="I152" s="0" t="n">
        <v>13.09</v>
      </c>
      <c r="J152" s="0" t="n">
        <v>43.3</v>
      </c>
      <c r="K152" s="0" t="n">
        <v>4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56</v>
      </c>
      <c r="X152" s="0" t="n">
        <v>5</v>
      </c>
      <c r="Y152" s="0" t="n">
        <v>5</v>
      </c>
      <c r="Z152" s="0" t="inlineStr">
        <is>
          <t>https://new.land.naver.com/complexes/122238?tab=detail&amp;rf=Y</t>
        </is>
      </c>
      <c r="AA152" s="0" t="inlineStr">
        <is>
          <t>경기도 수원시 장안구 연무동 216-2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장안구</t>
        </is>
      </c>
      <c r="AE152" s="0" t="inlineStr">
        <is>
          <t>연무동</t>
        </is>
      </c>
      <c r="AG152" s="0" t="inlineStr">
        <is>
          <t>경기도 수원시 장안구 연무로56번길 46-6</t>
        </is>
      </c>
      <c r="AH152" s="0" t="n">
        <v>0</v>
      </c>
      <c r="AI152" s="0" t="n">
        <v>422</v>
      </c>
      <c r="AJ152" s="0" t="n">
        <v>69</v>
      </c>
      <c r="AK152" s="0" t="n">
        <v>5</v>
      </c>
      <c r="AL152" s="0" t="n">
        <v>0.62</v>
      </c>
    </row>
    <row r="153">
      <c r="A153" s="0" t="inlineStr">
        <is>
          <t>[연무동]</t>
        </is>
      </c>
      <c r="B153" s="0" t="n">
        <v>122238</v>
      </c>
      <c r="C153" s="0" t="n">
        <v>2</v>
      </c>
      <c r="D153" s="0" t="inlineStr">
        <is>
          <t>디엠빌리지(216-2,도시형)</t>
        </is>
      </c>
      <c r="E153" s="0" t="inlineStr">
        <is>
          <t>2016.04.</t>
        </is>
      </c>
      <c r="F153" s="0" t="n">
        <v>8</v>
      </c>
      <c r="G153" s="0" t="n">
        <v>17.97</v>
      </c>
      <c r="H153" s="0" t="n">
        <v>59.42</v>
      </c>
      <c r="I153" s="0" t="n">
        <v>13.82</v>
      </c>
      <c r="J153" s="0" t="n">
        <v>45.71</v>
      </c>
      <c r="K153" s="0" t="n">
        <v>4</v>
      </c>
      <c r="T153" s="0" t="n">
        <v>2</v>
      </c>
      <c r="U153" s="0" t="n">
        <v>1</v>
      </c>
      <c r="V153" s="0" t="inlineStr">
        <is>
          <t>복도식</t>
        </is>
      </c>
      <c r="W153" s="0" t="n">
        <v>59</v>
      </c>
      <c r="X153" s="0" t="n">
        <v>5</v>
      </c>
      <c r="Y153" s="0" t="n">
        <v>5</v>
      </c>
      <c r="Z153" s="0" t="inlineStr">
        <is>
          <t>https://new.land.naver.com/complexes/122238?tab=detail&amp;rf=Y</t>
        </is>
      </c>
      <c r="AA153" s="0" t="inlineStr">
        <is>
          <t>경기도 수원시 장안구 연무동 216-2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장안구</t>
        </is>
      </c>
      <c r="AE153" s="0" t="inlineStr">
        <is>
          <t>연무동</t>
        </is>
      </c>
      <c r="AG153" s="0" t="inlineStr">
        <is>
          <t>경기도 수원시 장안구 연무로56번길 46-6</t>
        </is>
      </c>
      <c r="AH153" s="0" t="n">
        <v>0</v>
      </c>
      <c r="AI153" s="0" t="n">
        <v>422</v>
      </c>
      <c r="AJ153" s="0" t="n">
        <v>69</v>
      </c>
      <c r="AK153" s="0" t="n">
        <v>5</v>
      </c>
      <c r="AL153" s="0" t="n">
        <v>0.62</v>
      </c>
    </row>
    <row r="154">
      <c r="A154" s="0" t="inlineStr">
        <is>
          <t>[영화동]</t>
        </is>
      </c>
      <c r="B154" s="0" t="n">
        <v>27461</v>
      </c>
      <c r="C154" s="0" t="n">
        <v>1</v>
      </c>
      <c r="D154" s="0" t="inlineStr">
        <is>
          <t>삼원</t>
        </is>
      </c>
      <c r="E154" s="0" t="inlineStr">
        <is>
          <t>1986.04.</t>
        </is>
      </c>
      <c r="F154" s="0" t="n">
        <v>60</v>
      </c>
      <c r="G154" s="0" t="n">
        <v>20.48</v>
      </c>
      <c r="H154" s="0" t="n">
        <v>67.72</v>
      </c>
      <c r="I154" s="0" t="n">
        <v>16.67</v>
      </c>
      <c r="J154" s="0" t="n">
        <v>55.14</v>
      </c>
      <c r="K154" s="0" t="n">
        <v>12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67</v>
      </c>
      <c r="X154" s="0" t="n">
        <v>6</v>
      </c>
      <c r="Y154" s="0" t="n">
        <v>6</v>
      </c>
      <c r="Z154" s="0" t="inlineStr">
        <is>
          <t>https://new.land.naver.com/complexes/27461?tab=detail&amp;rf=Y</t>
        </is>
      </c>
      <c r="AA154" s="0" t="inlineStr">
        <is>
          <t>경기도 수원시 장안구 영화동 31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장안구</t>
        </is>
      </c>
      <c r="AE154" s="0" t="inlineStr">
        <is>
          <t>영화동</t>
        </is>
      </c>
      <c r="AG154" s="0" t="inlineStr">
        <is>
          <t>경기도 수원시 장안구 광교산로 36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[영화동]</t>
        </is>
      </c>
      <c r="B155" s="0" t="n">
        <v>27461</v>
      </c>
      <c r="C155" s="0" t="n">
        <v>2</v>
      </c>
      <c r="D155" s="0" t="inlineStr">
        <is>
          <t>삼원</t>
        </is>
      </c>
      <c r="E155" s="0" t="inlineStr">
        <is>
          <t>1986.04.</t>
        </is>
      </c>
      <c r="F155" s="0" t="n">
        <v>60</v>
      </c>
      <c r="G155" s="0" t="n">
        <v>27.09</v>
      </c>
      <c r="H155" s="0" t="n">
        <v>89.56</v>
      </c>
      <c r="I155" s="0" t="n">
        <v>23.28</v>
      </c>
      <c r="J155" s="0" t="n">
        <v>76.98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89B</t>
        </is>
      </c>
      <c r="X155" s="0" t="n">
        <v>6</v>
      </c>
      <c r="Y155" s="0" t="n">
        <v>6</v>
      </c>
      <c r="Z155" s="0" t="inlineStr">
        <is>
          <t>https://new.land.naver.com/complexes/27461?tab=detail&amp;rf=Y</t>
        </is>
      </c>
      <c r="AA155" s="0" t="inlineStr">
        <is>
          <t>경기도 수원시 장안구 영화동 31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장안구</t>
        </is>
      </c>
      <c r="AE155" s="0" t="inlineStr">
        <is>
          <t>영화동</t>
        </is>
      </c>
      <c r="AG155" s="0" t="inlineStr">
        <is>
          <t>경기도 수원시 장안구 광교산로 36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[영화동]</t>
        </is>
      </c>
      <c r="B156" s="0" t="n">
        <v>27461</v>
      </c>
      <c r="C156" s="0" t="n">
        <v>3</v>
      </c>
      <c r="D156" s="0" t="inlineStr">
        <is>
          <t>삼원</t>
        </is>
      </c>
      <c r="E156" s="0" t="inlineStr">
        <is>
          <t>1986.04.</t>
        </is>
      </c>
      <c r="F156" s="0" t="n">
        <v>60</v>
      </c>
      <c r="G156" s="0" t="n">
        <v>27.25</v>
      </c>
      <c r="H156" s="0" t="n">
        <v>90.09</v>
      </c>
      <c r="I156" s="0" t="n">
        <v>22.86</v>
      </c>
      <c r="J156" s="0" t="n">
        <v>75.59999999999999</v>
      </c>
      <c r="K156" s="0" t="n">
        <v>24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90A</t>
        </is>
      </c>
      <c r="X156" s="0" t="n">
        <v>6</v>
      </c>
      <c r="Y156" s="0" t="n">
        <v>6</v>
      </c>
      <c r="Z156" s="0" t="inlineStr">
        <is>
          <t>https://new.land.naver.com/complexes/27461?tab=detail&amp;rf=Y</t>
        </is>
      </c>
      <c r="AA156" s="0" t="inlineStr">
        <is>
          <t>경기도 수원시 장안구 영화동 31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장안구</t>
        </is>
      </c>
      <c r="AE156" s="0" t="inlineStr">
        <is>
          <t>영화동</t>
        </is>
      </c>
      <c r="AG156" s="0" t="inlineStr">
        <is>
          <t>경기도 수원시 장안구 광교산로 36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[영화동]</t>
        </is>
      </c>
      <c r="B157" s="0" t="n">
        <v>104302</v>
      </c>
      <c r="C157" s="0" t="n">
        <v>1</v>
      </c>
      <c r="D157" s="0" t="inlineStr">
        <is>
          <t>구림해피타운</t>
        </is>
      </c>
      <c r="E157" s="0" t="inlineStr">
        <is>
          <t>2009.03.</t>
        </is>
      </c>
      <c r="F157" s="0" t="n">
        <v>40</v>
      </c>
      <c r="G157" s="0" t="n">
        <v>33.42</v>
      </c>
      <c r="H157" s="0" t="n">
        <v>110.51</v>
      </c>
      <c r="I157" s="0" t="n">
        <v>25.66</v>
      </c>
      <c r="J157" s="0" t="n">
        <v>84.83</v>
      </c>
      <c r="K157" s="0" t="n">
        <v>40</v>
      </c>
      <c r="T157" s="0" t="n">
        <v>3</v>
      </c>
      <c r="U157" s="0" t="n">
        <v>2</v>
      </c>
      <c r="V157" s="0" t="inlineStr">
        <is>
          <t>복도식</t>
        </is>
      </c>
      <c r="W157" s="0" t="n">
        <v>110</v>
      </c>
      <c r="X157" s="0" t="n">
        <v>11</v>
      </c>
      <c r="Y157" s="0" t="n">
        <v>11</v>
      </c>
      <c r="Z157" s="0" t="inlineStr">
        <is>
          <t>https://new.land.naver.com/complexes/104302?tab=detail&amp;rf=Y</t>
        </is>
      </c>
      <c r="AA157" s="0" t="inlineStr">
        <is>
          <t>경기도 수원시 장안구 영화동 272-7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장안구</t>
        </is>
      </c>
      <c r="AE157" s="0" t="inlineStr">
        <is>
          <t>영화동</t>
        </is>
      </c>
      <c r="AG157" s="0" t="inlineStr">
        <is>
          <t>경기도 수원시 장안구 수성로364번길 15</t>
        </is>
      </c>
      <c r="AH157" s="0" t="n">
        <v>0</v>
      </c>
      <c r="AI157" s="0" t="n">
        <v>361</v>
      </c>
      <c r="AJ157" s="0" t="n">
        <v>71</v>
      </c>
      <c r="AK157" s="0" t="n">
        <v>44</v>
      </c>
      <c r="AL157" s="0" t="n">
        <v>1.1</v>
      </c>
    </row>
    <row r="158">
      <c r="A158" s="0" t="inlineStr">
        <is>
          <t>[영화동]</t>
        </is>
      </c>
      <c r="B158" s="0" t="n">
        <v>26477</v>
      </c>
      <c r="C158" s="0" t="n">
        <v>1</v>
      </c>
      <c r="D158" s="0" t="inlineStr">
        <is>
          <t>금송</t>
        </is>
      </c>
      <c r="E158" s="0" t="inlineStr">
        <is>
          <t>2004.04.</t>
        </is>
      </c>
      <c r="F158" s="0" t="n">
        <v>18</v>
      </c>
      <c r="G158" s="0" t="n">
        <v>30.13</v>
      </c>
      <c r="H158" s="0" t="n">
        <v>99.61</v>
      </c>
      <c r="I158" s="0" t="n">
        <v>25.57</v>
      </c>
      <c r="J158" s="0" t="n">
        <v>84.53</v>
      </c>
      <c r="K158" s="0" t="n">
        <v>18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99</v>
      </c>
      <c r="X158" s="0" t="n">
        <v>7</v>
      </c>
      <c r="Y158" s="0" t="n">
        <v>7</v>
      </c>
      <c r="Z158" s="0" t="inlineStr">
        <is>
          <t>https://new.land.naver.com/complexes/26477?tab=detail&amp;rf=Y</t>
        </is>
      </c>
      <c r="AA158" s="0" t="inlineStr">
        <is>
          <t>경기도 수원시 장안구 영화동 389-4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장안구</t>
        </is>
      </c>
      <c r="AE158" s="0" t="inlineStr">
        <is>
          <t>영화동</t>
        </is>
      </c>
      <c r="AG158" s="0" t="inlineStr">
        <is>
          <t>경기도 수원시 장안구 수성로316번길 2</t>
        </is>
      </c>
      <c r="AH158" s="0" t="n">
        <v>0</v>
      </c>
      <c r="AI158" s="0" t="n">
        <v>247</v>
      </c>
      <c r="AJ158" s="0" t="n">
        <v>45</v>
      </c>
      <c r="AK158" s="0" t="n">
        <v>18</v>
      </c>
      <c r="AL158" s="0" t="n">
        <v>1</v>
      </c>
    </row>
    <row r="159">
      <c r="A159" s="0" t="inlineStr">
        <is>
          <t>[영화동]</t>
        </is>
      </c>
      <c r="B159" s="0" t="n">
        <v>113509</v>
      </c>
      <c r="C159" s="0" t="n">
        <v>1</v>
      </c>
      <c r="D159" s="0" t="inlineStr">
        <is>
          <t>대진빌(도시형)</t>
        </is>
      </c>
      <c r="E159" s="0" t="inlineStr">
        <is>
          <t>2013.11.</t>
        </is>
      </c>
      <c r="F159" s="0" t="n">
        <v>18</v>
      </c>
      <c r="G159" s="0" t="n">
        <v>7.44</v>
      </c>
      <c r="H159" s="0" t="n">
        <v>24.6</v>
      </c>
      <c r="I159" s="0" t="n">
        <v>5.34</v>
      </c>
      <c r="J159" s="0" t="n">
        <v>17.68</v>
      </c>
      <c r="K159" s="0" t="n">
        <v>3</v>
      </c>
      <c r="T159" s="0" t="n">
        <v>1</v>
      </c>
      <c r="U159" s="0" t="n">
        <v>1</v>
      </c>
      <c r="V159" s="0" t="inlineStr">
        <is>
          <t>계단식</t>
        </is>
      </c>
      <c r="W159" s="0" t="n">
        <v>24</v>
      </c>
      <c r="X159" s="0" t="n">
        <v>4</v>
      </c>
      <c r="Y159" s="0" t="n">
        <v>4</v>
      </c>
      <c r="Z159" s="0" t="inlineStr">
        <is>
          <t>https://new.land.naver.com/complexes/113509?tab=detail&amp;rf=Y</t>
        </is>
      </c>
      <c r="AA159" s="0" t="inlineStr">
        <is>
          <t>경기도 수원시 장안구 영화동 390-3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장안구</t>
        </is>
      </c>
      <c r="AE159" s="0" t="inlineStr">
        <is>
          <t>영화동</t>
        </is>
      </c>
      <c r="AG159" s="0" t="inlineStr">
        <is>
          <t>경기도 수원시 장안구 수성로 294</t>
        </is>
      </c>
      <c r="AH159" s="0" t="n">
        <v>0</v>
      </c>
      <c r="AI159" s="0" t="n">
        <v>149</v>
      </c>
      <c r="AJ159" s="0" t="n">
        <v>56</v>
      </c>
      <c r="AK159" s="0" t="n">
        <v>9</v>
      </c>
      <c r="AL159" s="0" t="n">
        <v>0.5</v>
      </c>
    </row>
    <row r="160">
      <c r="A160" s="0" t="inlineStr">
        <is>
          <t>[영화동]</t>
        </is>
      </c>
      <c r="B160" s="0" t="n">
        <v>113509</v>
      </c>
      <c r="C160" s="0" t="n">
        <v>2</v>
      </c>
      <c r="D160" s="0" t="inlineStr">
        <is>
          <t>대진빌(도시형)</t>
        </is>
      </c>
      <c r="E160" s="0" t="inlineStr">
        <is>
          <t>2013.11.</t>
        </is>
      </c>
      <c r="F160" s="0" t="n">
        <v>18</v>
      </c>
      <c r="G160" s="0" t="n">
        <v>7.91</v>
      </c>
      <c r="H160" s="0" t="n">
        <v>26.17</v>
      </c>
      <c r="I160" s="0" t="n">
        <v>5.69</v>
      </c>
      <c r="J160" s="0" t="n">
        <v>18.81</v>
      </c>
      <c r="K160" s="0" t="n">
        <v>3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26A</t>
        </is>
      </c>
      <c r="X160" s="0" t="n">
        <v>4</v>
      </c>
      <c r="Y160" s="0" t="n">
        <v>4</v>
      </c>
      <c r="Z160" s="0" t="inlineStr">
        <is>
          <t>https://new.land.naver.com/complexes/113509?tab=detail&amp;rf=Y</t>
        </is>
      </c>
      <c r="AA160" s="0" t="inlineStr">
        <is>
          <t>경기도 수원시 장안구 영화동 390-3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장안구</t>
        </is>
      </c>
      <c r="AE160" s="0" t="inlineStr">
        <is>
          <t>영화동</t>
        </is>
      </c>
      <c r="AG160" s="0" t="inlineStr">
        <is>
          <t>경기도 수원시 장안구 수성로 294</t>
        </is>
      </c>
      <c r="AH160" s="0" t="n">
        <v>0</v>
      </c>
      <c r="AI160" s="0" t="n">
        <v>149</v>
      </c>
      <c r="AJ160" s="0" t="n">
        <v>56</v>
      </c>
      <c r="AK160" s="0" t="n">
        <v>9</v>
      </c>
      <c r="AL160" s="0" t="n">
        <v>0.5</v>
      </c>
    </row>
    <row r="161">
      <c r="A161" s="0" t="inlineStr">
        <is>
          <t>[영화동]</t>
        </is>
      </c>
      <c r="B161" s="0" t="n">
        <v>113509</v>
      </c>
      <c r="C161" s="0" t="n">
        <v>3</v>
      </c>
      <c r="D161" s="0" t="inlineStr">
        <is>
          <t>대진빌(도시형)</t>
        </is>
      </c>
      <c r="E161" s="0" t="inlineStr">
        <is>
          <t>2013.11.</t>
        </is>
      </c>
      <c r="F161" s="0" t="n">
        <v>18</v>
      </c>
      <c r="G161" s="0" t="n">
        <v>8.19</v>
      </c>
      <c r="H161" s="0" t="n">
        <v>27.09</v>
      </c>
      <c r="I161" s="0" t="n">
        <v>5.88</v>
      </c>
      <c r="J161" s="0" t="n">
        <v>19.47</v>
      </c>
      <c r="K161" s="0" t="n">
        <v>3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27B</t>
        </is>
      </c>
      <c r="X161" s="0" t="n">
        <v>4</v>
      </c>
      <c r="Y161" s="0" t="n">
        <v>4</v>
      </c>
      <c r="Z161" s="0" t="inlineStr">
        <is>
          <t>https://new.land.naver.com/complexes/113509?tab=detail&amp;rf=Y</t>
        </is>
      </c>
      <c r="AA161" s="0" t="inlineStr">
        <is>
          <t>경기도 수원시 장안구 영화동 390-3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장안구</t>
        </is>
      </c>
      <c r="AE161" s="0" t="inlineStr">
        <is>
          <t>영화동</t>
        </is>
      </c>
      <c r="AG161" s="0" t="inlineStr">
        <is>
          <t>경기도 수원시 장안구 수성로 294</t>
        </is>
      </c>
      <c r="AH161" s="0" t="n">
        <v>0</v>
      </c>
      <c r="AI161" s="0" t="n">
        <v>149</v>
      </c>
      <c r="AJ161" s="0" t="n">
        <v>56</v>
      </c>
      <c r="AK161" s="0" t="n">
        <v>9</v>
      </c>
      <c r="AL161" s="0" t="n">
        <v>0.5</v>
      </c>
    </row>
    <row r="162">
      <c r="A162" s="0" t="inlineStr">
        <is>
          <t>[영화동]</t>
        </is>
      </c>
      <c r="B162" s="0" t="n">
        <v>113509</v>
      </c>
      <c r="C162" s="0" t="n">
        <v>4</v>
      </c>
      <c r="D162" s="0" t="inlineStr">
        <is>
          <t>대진빌(도시형)</t>
        </is>
      </c>
      <c r="E162" s="0" t="inlineStr">
        <is>
          <t>2013.11.</t>
        </is>
      </c>
      <c r="F162" s="0" t="n">
        <v>18</v>
      </c>
      <c r="G162" s="0" t="n">
        <v>8.24</v>
      </c>
      <c r="H162" s="0" t="n">
        <v>27.25</v>
      </c>
      <c r="I162" s="0" t="n">
        <v>5.92</v>
      </c>
      <c r="J162" s="0" t="n">
        <v>19.59</v>
      </c>
      <c r="K162" s="0" t="n">
        <v>3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27C</t>
        </is>
      </c>
      <c r="X162" s="0" t="n">
        <v>4</v>
      </c>
      <c r="Y162" s="0" t="n">
        <v>4</v>
      </c>
      <c r="Z162" s="0" t="inlineStr">
        <is>
          <t>https://new.land.naver.com/complexes/113509?tab=detail&amp;rf=Y</t>
        </is>
      </c>
      <c r="AA162" s="0" t="inlineStr">
        <is>
          <t>경기도 수원시 장안구 영화동 390-3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장안구</t>
        </is>
      </c>
      <c r="AE162" s="0" t="inlineStr">
        <is>
          <t>영화동</t>
        </is>
      </c>
      <c r="AG162" s="0" t="inlineStr">
        <is>
          <t>경기도 수원시 장안구 수성로 294</t>
        </is>
      </c>
      <c r="AH162" s="0" t="n">
        <v>0</v>
      </c>
      <c r="AI162" s="0" t="n">
        <v>149</v>
      </c>
      <c r="AJ162" s="0" t="n">
        <v>56</v>
      </c>
      <c r="AK162" s="0" t="n">
        <v>9</v>
      </c>
      <c r="AL162" s="0" t="n">
        <v>0.5</v>
      </c>
    </row>
    <row r="163">
      <c r="A163" s="0" t="inlineStr">
        <is>
          <t>[영화동]</t>
        </is>
      </c>
      <c r="B163" s="0" t="n">
        <v>113509</v>
      </c>
      <c r="C163" s="0" t="n">
        <v>5</v>
      </c>
      <c r="D163" s="0" t="inlineStr">
        <is>
          <t>대진빌(도시형)</t>
        </is>
      </c>
      <c r="E163" s="0" t="inlineStr">
        <is>
          <t>2013.11.</t>
        </is>
      </c>
      <c r="F163" s="0" t="n">
        <v>18</v>
      </c>
      <c r="G163" s="0" t="n">
        <v>8.619999999999999</v>
      </c>
      <c r="H163" s="0" t="n">
        <v>28.51</v>
      </c>
      <c r="I163" s="0" t="n">
        <v>6.19</v>
      </c>
      <c r="J163" s="0" t="n">
        <v>20.49</v>
      </c>
      <c r="K163" s="0" t="n">
        <v>3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28</v>
      </c>
      <c r="X163" s="0" t="n">
        <v>4</v>
      </c>
      <c r="Y163" s="0" t="n">
        <v>4</v>
      </c>
      <c r="Z163" s="0" t="inlineStr">
        <is>
          <t>https://new.land.naver.com/complexes/113509?tab=detail&amp;rf=Y</t>
        </is>
      </c>
      <c r="AA163" s="0" t="inlineStr">
        <is>
          <t>경기도 수원시 장안구 영화동 390-3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장안구</t>
        </is>
      </c>
      <c r="AE163" s="0" t="inlineStr">
        <is>
          <t>영화동</t>
        </is>
      </c>
      <c r="AG163" s="0" t="inlineStr">
        <is>
          <t>경기도 수원시 장안구 수성로 294</t>
        </is>
      </c>
      <c r="AH163" s="0" t="n">
        <v>0</v>
      </c>
      <c r="AI163" s="0" t="n">
        <v>149</v>
      </c>
      <c r="AJ163" s="0" t="n">
        <v>56</v>
      </c>
      <c r="AK163" s="0" t="n">
        <v>9</v>
      </c>
      <c r="AL163" s="0" t="n">
        <v>0.5</v>
      </c>
    </row>
    <row r="164">
      <c r="A164" s="0" t="inlineStr">
        <is>
          <t>[영화동]</t>
        </is>
      </c>
      <c r="B164" s="0" t="n">
        <v>113509</v>
      </c>
      <c r="C164" s="0" t="n">
        <v>6</v>
      </c>
      <c r="D164" s="0" t="inlineStr">
        <is>
          <t>대진빌(도시형)</t>
        </is>
      </c>
      <c r="E164" s="0" t="inlineStr">
        <is>
          <t>2013.11.</t>
        </is>
      </c>
      <c r="F164" s="0" t="n">
        <v>18</v>
      </c>
      <c r="G164" s="0" t="n">
        <v>9.51</v>
      </c>
      <c r="H164" s="0" t="n">
        <v>31.44</v>
      </c>
      <c r="I164" s="0" t="n">
        <v>6.83</v>
      </c>
      <c r="J164" s="0" t="n">
        <v>22.6</v>
      </c>
      <c r="K164" s="0" t="n">
        <v>3</v>
      </c>
      <c r="T164" s="0" t="n">
        <v>1</v>
      </c>
      <c r="U164" s="0" t="n">
        <v>1</v>
      </c>
      <c r="V164" s="0" t="inlineStr">
        <is>
          <t>계단식</t>
        </is>
      </c>
      <c r="W164" s="0" t="n">
        <v>31</v>
      </c>
      <c r="X164" s="0" t="n">
        <v>4</v>
      </c>
      <c r="Y164" s="0" t="n">
        <v>4</v>
      </c>
      <c r="Z164" s="0" t="inlineStr">
        <is>
          <t>https://new.land.naver.com/complexes/113509?tab=detail&amp;rf=Y</t>
        </is>
      </c>
      <c r="AA164" s="0" t="inlineStr">
        <is>
          <t>경기도 수원시 장안구 영화동 390-3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장안구</t>
        </is>
      </c>
      <c r="AE164" s="0" t="inlineStr">
        <is>
          <t>영화동</t>
        </is>
      </c>
      <c r="AG164" s="0" t="inlineStr">
        <is>
          <t>경기도 수원시 장안구 수성로 294</t>
        </is>
      </c>
      <c r="AH164" s="0" t="n">
        <v>0</v>
      </c>
      <c r="AI164" s="0" t="n">
        <v>149</v>
      </c>
      <c r="AJ164" s="0" t="n">
        <v>56</v>
      </c>
      <c r="AK164" s="0" t="n">
        <v>9</v>
      </c>
      <c r="AL164" s="0" t="n">
        <v>0.5</v>
      </c>
    </row>
    <row r="165">
      <c r="A165" s="0" t="inlineStr">
        <is>
          <t>[영화동]</t>
        </is>
      </c>
      <c r="B165" s="0" t="n">
        <v>133127</v>
      </c>
      <c r="C165" s="0" t="n">
        <v>1</v>
      </c>
      <c r="D165" s="0" t="inlineStr">
        <is>
          <t>대명하이빌</t>
        </is>
      </c>
      <c r="E165" s="0" t="inlineStr">
        <is>
          <t>2017.12.</t>
        </is>
      </c>
      <c r="F165" s="0" t="n">
        <v>16</v>
      </c>
      <c r="G165" s="0" t="n">
        <v>22.2</v>
      </c>
      <c r="H165" s="0" t="n">
        <v>73.41</v>
      </c>
      <c r="I165" s="0" t="n">
        <v>20.73</v>
      </c>
      <c r="J165" s="0" t="n">
        <v>68.55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73</v>
      </c>
      <c r="X165" s="0" t="n">
        <v>5</v>
      </c>
      <c r="Y165" s="0" t="n">
        <v>5</v>
      </c>
      <c r="Z165" s="0" t="inlineStr">
        <is>
          <t>https://new.land.naver.com/complexes/133127?tab=detail&amp;rf=Y</t>
        </is>
      </c>
      <c r="AA165" s="0" t="inlineStr">
        <is>
          <t>경기도 수원시 장안구 영화동 445-1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장안구</t>
        </is>
      </c>
      <c r="AE165" s="0" t="inlineStr">
        <is>
          <t>영화동</t>
        </is>
      </c>
      <c r="AG165" s="0" t="inlineStr">
        <is>
          <t>경기도 수원시 장안구 장안로18번길 6</t>
        </is>
      </c>
      <c r="AH165" s="0" t="n">
        <v>0</v>
      </c>
      <c r="AI165" s="0" t="n">
        <v>399</v>
      </c>
      <c r="AJ165" s="0" t="n">
        <v>50</v>
      </c>
      <c r="AK165" s="0" t="n">
        <v>16</v>
      </c>
      <c r="AL165" s="0" t="n">
        <v>1</v>
      </c>
    </row>
    <row r="166">
      <c r="A166" s="0" t="inlineStr">
        <is>
          <t>[영화동]</t>
        </is>
      </c>
      <c r="B166" s="0" t="n">
        <v>133127</v>
      </c>
      <c r="C166" s="0" t="n">
        <v>2</v>
      </c>
      <c r="D166" s="0" t="inlineStr">
        <is>
          <t>대명하이빌</t>
        </is>
      </c>
      <c r="E166" s="0" t="inlineStr">
        <is>
          <t>2017.12.</t>
        </is>
      </c>
      <c r="F166" s="0" t="n">
        <v>16</v>
      </c>
      <c r="G166" s="0" t="n">
        <v>24.35</v>
      </c>
      <c r="H166" s="0" t="n">
        <v>80.52</v>
      </c>
      <c r="I166" s="0" t="n">
        <v>22.6</v>
      </c>
      <c r="J166" s="0" t="n">
        <v>74.72</v>
      </c>
      <c r="K166" s="0" t="n">
        <v>12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80</v>
      </c>
      <c r="X166" s="0" t="n">
        <v>5</v>
      </c>
      <c r="Y166" s="0" t="n">
        <v>5</v>
      </c>
      <c r="Z166" s="0" t="inlineStr">
        <is>
          <t>https://new.land.naver.com/complexes/133127?tab=detail&amp;rf=Y</t>
        </is>
      </c>
      <c r="AA166" s="0" t="inlineStr">
        <is>
          <t>경기도 수원시 장안구 영화동 445-1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장안구</t>
        </is>
      </c>
      <c r="AE166" s="0" t="inlineStr">
        <is>
          <t>영화동</t>
        </is>
      </c>
      <c r="AG166" s="0" t="inlineStr">
        <is>
          <t>경기도 수원시 장안구 장안로18번길 6</t>
        </is>
      </c>
      <c r="AH166" s="0" t="n">
        <v>0</v>
      </c>
      <c r="AI166" s="0" t="n">
        <v>399</v>
      </c>
      <c r="AJ166" s="0" t="n">
        <v>50</v>
      </c>
      <c r="AK166" s="0" t="n">
        <v>16</v>
      </c>
      <c r="AL166" s="0" t="n">
        <v>1</v>
      </c>
    </row>
    <row r="167">
      <c r="A167" s="0" t="inlineStr">
        <is>
          <t>[영화동]</t>
        </is>
      </c>
      <c r="B167" s="0" t="n">
        <v>8650</v>
      </c>
      <c r="C167" s="0" t="n">
        <v>1</v>
      </c>
      <c r="D167" s="0" t="inlineStr">
        <is>
          <t>벽산</t>
        </is>
      </c>
      <c r="E167" s="0" t="inlineStr">
        <is>
          <t>1998.09.</t>
        </is>
      </c>
      <c r="F167" s="0" t="n">
        <v>126</v>
      </c>
      <c r="G167" s="0" t="n">
        <v>24.36</v>
      </c>
      <c r="H167" s="0" t="n">
        <v>80.56</v>
      </c>
      <c r="I167" s="0" t="n">
        <v>17.95</v>
      </c>
      <c r="J167" s="0" t="n">
        <v>59.35</v>
      </c>
      <c r="K167" s="0" t="n">
        <v>58</v>
      </c>
      <c r="T167" s="0" t="n">
        <v>2</v>
      </c>
      <c r="U167" s="0" t="n">
        <v>1</v>
      </c>
      <c r="V167" s="0" t="inlineStr">
        <is>
          <t>복도식</t>
        </is>
      </c>
      <c r="W167" s="0" t="n">
        <v>80</v>
      </c>
      <c r="X167" s="0" t="n">
        <v>17</v>
      </c>
      <c r="Y167" s="0" t="n">
        <v>12</v>
      </c>
      <c r="Z167" s="0" t="inlineStr">
        <is>
          <t>https://new.land.naver.com/complexes/8650?tab=detail&amp;rf=Y</t>
        </is>
      </c>
      <c r="AA167" s="0" t="inlineStr">
        <is>
          <t>경기도 수원시 장안구 영화동 101-7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장안구</t>
        </is>
      </c>
      <c r="AE167" s="0" t="inlineStr">
        <is>
          <t>영화동</t>
        </is>
      </c>
      <c r="AG167" s="0" t="inlineStr">
        <is>
          <t>경기도 수원시 장안구 수성로402번길 45-2</t>
        </is>
      </c>
      <c r="AH167" s="0" t="n">
        <v>0</v>
      </c>
      <c r="AI167" s="0" t="n">
        <v>320</v>
      </c>
      <c r="AJ167" s="0" t="n">
        <v>25</v>
      </c>
      <c r="AK167" s="0" t="n">
        <v>0</v>
      </c>
      <c r="AL167" s="0" t="n">
        <v>0</v>
      </c>
    </row>
    <row r="168">
      <c r="A168" s="0" t="inlineStr">
        <is>
          <t>[영화동]</t>
        </is>
      </c>
      <c r="B168" s="0" t="n">
        <v>8650</v>
      </c>
      <c r="C168" s="0" t="n">
        <v>2</v>
      </c>
      <c r="D168" s="0" t="inlineStr">
        <is>
          <t>벽산</t>
        </is>
      </c>
      <c r="E168" s="0" t="inlineStr">
        <is>
          <t>1998.09.</t>
        </is>
      </c>
      <c r="F168" s="0" t="n">
        <v>126</v>
      </c>
      <c r="G168" s="0" t="n">
        <v>32.43</v>
      </c>
      <c r="H168" s="0" t="n">
        <v>107.22</v>
      </c>
      <c r="I168" s="0" t="n">
        <v>23.89</v>
      </c>
      <c r="J168" s="0" t="n">
        <v>78.98999999999999</v>
      </c>
      <c r="K168" s="0" t="n">
        <v>17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107</v>
      </c>
      <c r="X168" s="0" t="n">
        <v>17</v>
      </c>
      <c r="Y168" s="0" t="n">
        <v>12</v>
      </c>
      <c r="Z168" s="0" t="inlineStr">
        <is>
          <t>https://new.land.naver.com/complexes/8650?tab=detail&amp;rf=Y</t>
        </is>
      </c>
      <c r="AA168" s="0" t="inlineStr">
        <is>
          <t>경기도 수원시 장안구 영화동 101-7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장안구</t>
        </is>
      </c>
      <c r="AE168" s="0" t="inlineStr">
        <is>
          <t>영화동</t>
        </is>
      </c>
      <c r="AG168" s="0" t="inlineStr">
        <is>
          <t>경기도 수원시 장안구 수성로402번길 45-2</t>
        </is>
      </c>
      <c r="AH168" s="0" t="n">
        <v>0</v>
      </c>
      <c r="AI168" s="0" t="n">
        <v>320</v>
      </c>
      <c r="AJ168" s="0" t="n">
        <v>25</v>
      </c>
      <c r="AK168" s="0" t="n">
        <v>0</v>
      </c>
      <c r="AL168" s="0" t="n">
        <v>0</v>
      </c>
    </row>
    <row r="169">
      <c r="A169" s="0" t="inlineStr">
        <is>
          <t>[영화동]</t>
        </is>
      </c>
      <c r="B169" s="0" t="n">
        <v>8650</v>
      </c>
      <c r="C169" s="0" t="n">
        <v>3</v>
      </c>
      <c r="D169" s="0" t="inlineStr">
        <is>
          <t>벽산</t>
        </is>
      </c>
      <c r="E169" s="0" t="inlineStr">
        <is>
          <t>1998.09.</t>
        </is>
      </c>
      <c r="F169" s="0" t="n">
        <v>126</v>
      </c>
      <c r="G169" s="0" t="n">
        <v>34.89</v>
      </c>
      <c r="H169" s="0" t="n">
        <v>115.34</v>
      </c>
      <c r="I169" s="0" t="n">
        <v>25.7</v>
      </c>
      <c r="J169" s="0" t="n">
        <v>84.97</v>
      </c>
      <c r="K169" s="0" t="n">
        <v>51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115</v>
      </c>
      <c r="X169" s="0" t="n">
        <v>17</v>
      </c>
      <c r="Y169" s="0" t="n">
        <v>12</v>
      </c>
      <c r="Z169" s="0" t="inlineStr">
        <is>
          <t>https://new.land.naver.com/complexes/8650?tab=detail&amp;rf=Y</t>
        </is>
      </c>
      <c r="AA169" s="0" t="inlineStr">
        <is>
          <t>경기도 수원시 장안구 영화동 101-7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장안구</t>
        </is>
      </c>
      <c r="AE169" s="0" t="inlineStr">
        <is>
          <t>영화동</t>
        </is>
      </c>
      <c r="AG169" s="0" t="inlineStr">
        <is>
          <t>경기도 수원시 장안구 수성로402번길 45-2</t>
        </is>
      </c>
      <c r="AH169" s="0" t="n">
        <v>0</v>
      </c>
      <c r="AI169" s="0" t="n">
        <v>320</v>
      </c>
      <c r="AJ169" s="0" t="n">
        <v>25</v>
      </c>
      <c r="AK169" s="0" t="n">
        <v>0</v>
      </c>
      <c r="AL169" s="0" t="n">
        <v>0</v>
      </c>
    </row>
    <row r="170">
      <c r="A170" s="0" t="inlineStr">
        <is>
          <t>[영화동]</t>
        </is>
      </c>
      <c r="B170" s="0" t="n">
        <v>140698</v>
      </c>
      <c r="C170" s="0" t="n">
        <v>1</v>
      </c>
      <c r="D170" s="0" t="inlineStr">
        <is>
          <t>엘리시움</t>
        </is>
      </c>
      <c r="E170" s="0" t="inlineStr">
        <is>
          <t>2021.01.</t>
        </is>
      </c>
      <c r="F170" s="0" t="n">
        <v>9</v>
      </c>
      <c r="G170" s="0" t="n">
        <v>19.78</v>
      </c>
      <c r="H170" s="0" t="n">
        <v>65.41</v>
      </c>
      <c r="I170" s="0" t="n">
        <v>15.4</v>
      </c>
      <c r="J170" s="0" t="n">
        <v>50.92</v>
      </c>
      <c r="K170" s="0" t="n">
        <v>3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65</v>
      </c>
      <c r="X170" s="0" t="n">
        <v>4</v>
      </c>
      <c r="Y170" s="0" t="n">
        <v>4</v>
      </c>
      <c r="Z170" s="0" t="inlineStr">
        <is>
          <t>https://new.land.naver.com/complexes/140698?tab=detail&amp;rf=Y</t>
        </is>
      </c>
      <c r="AA170" s="0" t="inlineStr">
        <is>
          <t>경기도 수원시 장안구 영화동 273-10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장안구</t>
        </is>
      </c>
      <c r="AE170" s="0" t="inlineStr">
        <is>
          <t>영화동</t>
        </is>
      </c>
      <c r="AG170" s="0" t="inlineStr">
        <is>
          <t>경기도 수원시 장안구 수성로364번길 43</t>
        </is>
      </c>
      <c r="AH170" s="0" t="n">
        <v>0</v>
      </c>
      <c r="AI170" s="0" t="n">
        <v>269</v>
      </c>
      <c r="AJ170" s="0" t="n">
        <v>39</v>
      </c>
      <c r="AK170" s="0" t="n">
        <v>9</v>
      </c>
      <c r="AL170" s="0" t="n">
        <v>1</v>
      </c>
    </row>
    <row r="171">
      <c r="A171" s="0" t="inlineStr">
        <is>
          <t>[영화동]</t>
        </is>
      </c>
      <c r="B171" s="0" t="n">
        <v>140698</v>
      </c>
      <c r="C171" s="0" t="n">
        <v>2</v>
      </c>
      <c r="D171" s="0" t="inlineStr">
        <is>
          <t>엘리시움</t>
        </is>
      </c>
      <c r="E171" s="0" t="inlineStr">
        <is>
          <t>2021.01.</t>
        </is>
      </c>
      <c r="F171" s="0" t="n">
        <v>9</v>
      </c>
      <c r="G171" s="0" t="n">
        <v>20.89</v>
      </c>
      <c r="H171" s="0" t="n">
        <v>69.09</v>
      </c>
      <c r="I171" s="0" t="n">
        <v>16.29</v>
      </c>
      <c r="J171" s="0" t="n">
        <v>53.86</v>
      </c>
      <c r="K171" s="0" t="n">
        <v>3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69A</t>
        </is>
      </c>
      <c r="X171" s="0" t="n">
        <v>4</v>
      </c>
      <c r="Y171" s="0" t="n">
        <v>4</v>
      </c>
      <c r="Z171" s="0" t="inlineStr">
        <is>
          <t>https://new.land.naver.com/complexes/140698?tab=detail&amp;rf=Y</t>
        </is>
      </c>
      <c r="AA171" s="0" t="inlineStr">
        <is>
          <t>경기도 수원시 장안구 영화동 273-10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장안구</t>
        </is>
      </c>
      <c r="AE171" s="0" t="inlineStr">
        <is>
          <t>영화동</t>
        </is>
      </c>
      <c r="AG171" s="0" t="inlineStr">
        <is>
          <t>경기도 수원시 장안구 수성로364번길 43</t>
        </is>
      </c>
      <c r="AH171" s="0" t="n">
        <v>0</v>
      </c>
      <c r="AI171" s="0" t="n">
        <v>269</v>
      </c>
      <c r="AJ171" s="0" t="n">
        <v>39</v>
      </c>
      <c r="AK171" s="0" t="n">
        <v>9</v>
      </c>
      <c r="AL171" s="0" t="n">
        <v>1</v>
      </c>
    </row>
    <row r="172">
      <c r="A172" s="0" t="inlineStr">
        <is>
          <t>[영화동]</t>
        </is>
      </c>
      <c r="B172" s="0" t="n">
        <v>140698</v>
      </c>
      <c r="C172" s="0" t="n">
        <v>3</v>
      </c>
      <c r="D172" s="0" t="inlineStr">
        <is>
          <t>엘리시움</t>
        </is>
      </c>
      <c r="E172" s="0" t="inlineStr">
        <is>
          <t>2021.01.</t>
        </is>
      </c>
      <c r="F172" s="0" t="n">
        <v>9</v>
      </c>
      <c r="G172" s="0" t="n">
        <v>21.27</v>
      </c>
      <c r="H172" s="0" t="n">
        <v>70.33</v>
      </c>
      <c r="I172" s="0" t="n">
        <v>16.64</v>
      </c>
      <c r="J172" s="0" t="n">
        <v>55.02</v>
      </c>
      <c r="K172" s="0" t="n">
        <v>3</v>
      </c>
      <c r="T172" s="0" t="n">
        <v>3</v>
      </c>
      <c r="U172" s="0" t="n">
        <v>1</v>
      </c>
      <c r="V172" s="0" t="inlineStr">
        <is>
          <t>계단식</t>
        </is>
      </c>
      <c r="W172" s="0" t="inlineStr">
        <is>
          <t>70B</t>
        </is>
      </c>
      <c r="X172" s="0" t="n">
        <v>4</v>
      </c>
      <c r="Y172" s="0" t="n">
        <v>4</v>
      </c>
      <c r="Z172" s="0" t="inlineStr">
        <is>
          <t>https://new.land.naver.com/complexes/140698?tab=detail&amp;rf=Y</t>
        </is>
      </c>
      <c r="AA172" s="0" t="inlineStr">
        <is>
          <t>경기도 수원시 장안구 영화동 273-10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장안구</t>
        </is>
      </c>
      <c r="AE172" s="0" t="inlineStr">
        <is>
          <t>영화동</t>
        </is>
      </c>
      <c r="AG172" s="0" t="inlineStr">
        <is>
          <t>경기도 수원시 장안구 수성로364번길 43</t>
        </is>
      </c>
      <c r="AH172" s="0" t="n">
        <v>0</v>
      </c>
      <c r="AI172" s="0" t="n">
        <v>269</v>
      </c>
      <c r="AJ172" s="0" t="n">
        <v>39</v>
      </c>
      <c r="AK172" s="0" t="n">
        <v>9</v>
      </c>
      <c r="AL172" s="0" t="n">
        <v>1</v>
      </c>
    </row>
    <row r="173">
      <c r="A173" s="0" t="inlineStr">
        <is>
          <t>[영화동]</t>
        </is>
      </c>
      <c r="B173" s="0" t="n">
        <v>142288</v>
      </c>
      <c r="C173" s="0" t="n">
        <v>1</v>
      </c>
      <c r="D173" s="0" t="inlineStr">
        <is>
          <t>영화더프라임(도시형)</t>
        </is>
      </c>
      <c r="E173" s="0" t="inlineStr">
        <is>
          <t>2017.12.</t>
        </is>
      </c>
      <c r="F173" s="0" t="n">
        <v>9</v>
      </c>
      <c r="G173" s="0" t="n">
        <v>20.86</v>
      </c>
      <c r="H173" s="0" t="n">
        <v>68.97</v>
      </c>
      <c r="I173" s="0" t="n">
        <v>17.65</v>
      </c>
      <c r="J173" s="0" t="n">
        <v>58.35</v>
      </c>
      <c r="K173" s="0" t="n">
        <v>3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68</v>
      </c>
      <c r="X173" s="0" t="n">
        <v>4</v>
      </c>
      <c r="Y173" s="0" t="n">
        <v>4</v>
      </c>
      <c r="Z173" s="0" t="inlineStr">
        <is>
          <t>https://new.land.naver.com/complexes/142288?tab=detail&amp;rf=Y</t>
        </is>
      </c>
      <c r="AA173" s="0" t="inlineStr">
        <is>
          <t>경기도 수원시 장안구 영화동 446-6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장안구</t>
        </is>
      </c>
      <c r="AE173" s="0" t="inlineStr">
        <is>
          <t>영화동</t>
        </is>
      </c>
      <c r="AG173" s="0" t="inlineStr">
        <is>
          <t>경기도 수원시 장안구 장안로 13</t>
        </is>
      </c>
      <c r="AH173" s="0" t="n">
        <v>0</v>
      </c>
      <c r="AI173" s="0" t="n">
        <v>383</v>
      </c>
      <c r="AJ173" s="0" t="n">
        <v>57</v>
      </c>
      <c r="AK173" s="0" t="n">
        <v>9</v>
      </c>
      <c r="AL173" s="0" t="n">
        <v>1</v>
      </c>
    </row>
    <row r="174">
      <c r="A174" s="0" t="inlineStr">
        <is>
          <t>[영화동]</t>
        </is>
      </c>
      <c r="B174" s="0" t="n">
        <v>142288</v>
      </c>
      <c r="C174" s="0" t="n">
        <v>2</v>
      </c>
      <c r="D174" s="0" t="inlineStr">
        <is>
          <t>영화더프라임(도시형)</t>
        </is>
      </c>
      <c r="E174" s="0" t="inlineStr">
        <is>
          <t>2017.12.</t>
        </is>
      </c>
      <c r="F174" s="0" t="n">
        <v>9</v>
      </c>
      <c r="G174" s="0" t="n">
        <v>21.67</v>
      </c>
      <c r="H174" s="0" t="n">
        <v>71.65000000000001</v>
      </c>
      <c r="I174" s="0" t="n">
        <v>18.33</v>
      </c>
      <c r="J174" s="0" t="n">
        <v>60.62</v>
      </c>
      <c r="K174" s="0" t="n">
        <v>3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71</v>
      </c>
      <c r="X174" s="0" t="n">
        <v>4</v>
      </c>
      <c r="Y174" s="0" t="n">
        <v>4</v>
      </c>
      <c r="Z174" s="0" t="inlineStr">
        <is>
          <t>https://new.land.naver.com/complexes/142288?tab=detail&amp;rf=Y</t>
        </is>
      </c>
      <c r="AA174" s="0" t="inlineStr">
        <is>
          <t>경기도 수원시 장안구 영화동 446-6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장안구</t>
        </is>
      </c>
      <c r="AE174" s="0" t="inlineStr">
        <is>
          <t>영화동</t>
        </is>
      </c>
      <c r="AG174" s="0" t="inlineStr">
        <is>
          <t>경기도 수원시 장안구 장안로 13</t>
        </is>
      </c>
      <c r="AH174" s="0" t="n">
        <v>0</v>
      </c>
      <c r="AI174" s="0" t="n">
        <v>383</v>
      </c>
      <c r="AJ174" s="0" t="n">
        <v>57</v>
      </c>
      <c r="AK174" s="0" t="n">
        <v>9</v>
      </c>
      <c r="AL174" s="0" t="n">
        <v>1</v>
      </c>
    </row>
    <row r="175">
      <c r="A175" s="0" t="inlineStr">
        <is>
          <t>[영화동]</t>
        </is>
      </c>
      <c r="B175" s="0" t="n">
        <v>142288</v>
      </c>
      <c r="C175" s="0" t="n">
        <v>3</v>
      </c>
      <c r="D175" s="0" t="inlineStr">
        <is>
          <t>영화더프라임(도시형)</t>
        </is>
      </c>
      <c r="E175" s="0" t="inlineStr">
        <is>
          <t>2017.12.</t>
        </is>
      </c>
      <c r="F175" s="0" t="n">
        <v>9</v>
      </c>
      <c r="G175" s="0" t="n">
        <v>22.84</v>
      </c>
      <c r="H175" s="0" t="n">
        <v>75.51000000000001</v>
      </c>
      <c r="I175" s="0" t="n">
        <v>19.32</v>
      </c>
      <c r="J175" s="0" t="n">
        <v>63.89</v>
      </c>
      <c r="K175" s="0" t="n">
        <v>3</v>
      </c>
      <c r="T175" s="0" t="n">
        <v>3</v>
      </c>
      <c r="U175" s="0" t="n">
        <v>1</v>
      </c>
      <c r="V175" s="0" t="inlineStr">
        <is>
          <t>계단식</t>
        </is>
      </c>
      <c r="W175" s="0" t="n">
        <v>75</v>
      </c>
      <c r="X175" s="0" t="n">
        <v>4</v>
      </c>
      <c r="Y175" s="0" t="n">
        <v>4</v>
      </c>
      <c r="Z175" s="0" t="inlineStr">
        <is>
          <t>https://new.land.naver.com/complexes/142288?tab=detail&amp;rf=Y</t>
        </is>
      </c>
      <c r="AA175" s="0" t="inlineStr">
        <is>
          <t>경기도 수원시 장안구 영화동 446-6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장안구</t>
        </is>
      </c>
      <c r="AE175" s="0" t="inlineStr">
        <is>
          <t>영화동</t>
        </is>
      </c>
      <c r="AG175" s="0" t="inlineStr">
        <is>
          <t>경기도 수원시 장안구 장안로 13</t>
        </is>
      </c>
      <c r="AH175" s="0" t="n">
        <v>0</v>
      </c>
      <c r="AI175" s="0" t="n">
        <v>383</v>
      </c>
      <c r="AJ175" s="0" t="n">
        <v>57</v>
      </c>
      <c r="AK175" s="0" t="n">
        <v>9</v>
      </c>
      <c r="AL175" s="0" t="n">
        <v>1</v>
      </c>
    </row>
    <row r="176">
      <c r="A176" s="0" t="inlineStr">
        <is>
          <t>[영화동]</t>
        </is>
      </c>
      <c r="B176" s="0" t="n">
        <v>14775</v>
      </c>
      <c r="C176" s="0" t="n">
        <v>1</v>
      </c>
      <c r="D176" s="0" t="inlineStr">
        <is>
          <t>경원</t>
        </is>
      </c>
      <c r="E176" s="0" t="inlineStr">
        <is>
          <t>1982.12.</t>
        </is>
      </c>
      <c r="F176" s="0" t="n">
        <v>90</v>
      </c>
      <c r="G176" s="0" t="n">
        <v>16.22</v>
      </c>
      <c r="H176" s="0" t="n">
        <v>53.65</v>
      </c>
      <c r="I176" s="0" t="n">
        <v>15.69</v>
      </c>
      <c r="J176" s="0" t="n">
        <v>51.9</v>
      </c>
      <c r="K176" s="0" t="n">
        <v>50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53</v>
      </c>
      <c r="X176" s="0" t="n">
        <v>5</v>
      </c>
      <c r="Y176" s="0" t="n">
        <v>5</v>
      </c>
      <c r="Z176" s="0" t="inlineStr">
        <is>
          <t>https://new.land.naver.com/complexes/14775?tab=detail&amp;rf=Y</t>
        </is>
      </c>
      <c r="AA176" s="0" t="inlineStr">
        <is>
          <t>경기도 수원시 장안구 영화동 430-1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장안구</t>
        </is>
      </c>
      <c r="AE176" s="0" t="inlineStr">
        <is>
          <t>영화동</t>
        </is>
      </c>
      <c r="AG176" s="0" t="inlineStr">
        <is>
          <t>경기도 수원시 장안구 영화로 23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[영화동]</t>
        </is>
      </c>
      <c r="B177" s="0" t="n">
        <v>14775</v>
      </c>
      <c r="C177" s="0" t="n">
        <v>2</v>
      </c>
      <c r="D177" s="0" t="inlineStr">
        <is>
          <t>경원</t>
        </is>
      </c>
      <c r="E177" s="0" t="inlineStr">
        <is>
          <t>1982.12.</t>
        </is>
      </c>
      <c r="F177" s="0" t="n">
        <v>90</v>
      </c>
      <c r="G177" s="0" t="n">
        <v>17.85</v>
      </c>
      <c r="H177" s="0" t="n">
        <v>59.04</v>
      </c>
      <c r="I177" s="0" t="n">
        <v>17.33</v>
      </c>
      <c r="J177" s="0" t="n">
        <v>57.29</v>
      </c>
      <c r="K177" s="0" t="n">
        <v>10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59</v>
      </c>
      <c r="X177" s="0" t="n">
        <v>5</v>
      </c>
      <c r="Y177" s="0" t="n">
        <v>5</v>
      </c>
      <c r="Z177" s="0" t="inlineStr">
        <is>
          <t>https://new.land.naver.com/complexes/14775?tab=detail&amp;rf=Y</t>
        </is>
      </c>
      <c r="AA177" s="0" t="inlineStr">
        <is>
          <t>경기도 수원시 장안구 영화동 430-1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장안구</t>
        </is>
      </c>
      <c r="AE177" s="0" t="inlineStr">
        <is>
          <t>영화동</t>
        </is>
      </c>
      <c r="AG177" s="0" t="inlineStr">
        <is>
          <t>경기도 수원시 장안구 영화로 23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[영화동]</t>
        </is>
      </c>
      <c r="B178" s="0" t="n">
        <v>14775</v>
      </c>
      <c r="C178" s="0" t="n">
        <v>3</v>
      </c>
      <c r="D178" s="0" t="inlineStr">
        <is>
          <t>경원</t>
        </is>
      </c>
      <c r="E178" s="0" t="inlineStr">
        <is>
          <t>1982.12.</t>
        </is>
      </c>
      <c r="F178" s="0" t="n">
        <v>90</v>
      </c>
      <c r="G178" s="0" t="n">
        <v>20.92</v>
      </c>
      <c r="H178" s="0" t="n">
        <v>69.19</v>
      </c>
      <c r="I178" s="0" t="n">
        <v>20.4</v>
      </c>
      <c r="J178" s="0" t="n">
        <v>67.44</v>
      </c>
      <c r="K178" s="0" t="n">
        <v>30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69</v>
      </c>
      <c r="X178" s="0" t="n">
        <v>5</v>
      </c>
      <c r="Y178" s="0" t="n">
        <v>5</v>
      </c>
      <c r="Z178" s="0" t="inlineStr">
        <is>
          <t>https://new.land.naver.com/complexes/14775?tab=detail&amp;rf=Y</t>
        </is>
      </c>
      <c r="AA178" s="0" t="inlineStr">
        <is>
          <t>경기도 수원시 장안구 영화동 430-1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장안구</t>
        </is>
      </c>
      <c r="AE178" s="0" t="inlineStr">
        <is>
          <t>영화동</t>
        </is>
      </c>
      <c r="AG178" s="0" t="inlineStr">
        <is>
          <t>경기도 수원시 장안구 영화로 23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[영화동]</t>
        </is>
      </c>
      <c r="B179" s="0" t="n">
        <v>1798</v>
      </c>
      <c r="C179" s="0" t="n">
        <v>1</v>
      </c>
      <c r="D179" s="0" t="inlineStr">
        <is>
          <t>동성영화타운</t>
        </is>
      </c>
      <c r="E179" s="0" t="inlineStr">
        <is>
          <t>1997.05.</t>
        </is>
      </c>
      <c r="F179" s="0" t="n">
        <v>178</v>
      </c>
      <c r="G179" s="0" t="n">
        <v>24.01</v>
      </c>
      <c r="H179" s="0" t="n">
        <v>79.40000000000001</v>
      </c>
      <c r="I179" s="0" t="n">
        <v>18.1</v>
      </c>
      <c r="J179" s="0" t="n">
        <v>59.84</v>
      </c>
      <c r="K179" s="0" t="n">
        <v>30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79</v>
      </c>
      <c r="X179" s="0" t="n">
        <v>18</v>
      </c>
      <c r="Y179" s="0" t="n">
        <v>18</v>
      </c>
      <c r="Z179" s="0" t="inlineStr">
        <is>
          <t>https://new.land.naver.com/complexes/1798?tab=detail&amp;rf=Y</t>
        </is>
      </c>
      <c r="AA179" s="0" t="inlineStr">
        <is>
          <t>경기도 수원시 장안구 영화동 308-1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장안구</t>
        </is>
      </c>
      <c r="AE179" s="0" t="inlineStr">
        <is>
          <t>영화동</t>
        </is>
      </c>
      <c r="AG179" s="0" t="inlineStr">
        <is>
          <t>경기도 수원시 장안구 정조로 941</t>
        </is>
      </c>
      <c r="AH179" s="0" t="n">
        <v>0</v>
      </c>
      <c r="AI179" s="0" t="n">
        <v>599</v>
      </c>
      <c r="AJ179" s="0" t="n">
        <v>78</v>
      </c>
      <c r="AK179" s="0" t="n">
        <v>282</v>
      </c>
      <c r="AL179" s="0" t="n">
        <v>1.58</v>
      </c>
    </row>
    <row r="180">
      <c r="A180" s="0" t="inlineStr">
        <is>
          <t>[영화동]</t>
        </is>
      </c>
      <c r="B180" s="0" t="n">
        <v>1798</v>
      </c>
      <c r="C180" s="0" t="n">
        <v>2</v>
      </c>
      <c r="D180" s="0" t="inlineStr">
        <is>
          <t>동성영화타운</t>
        </is>
      </c>
      <c r="E180" s="0" t="inlineStr">
        <is>
          <t>1997.05.</t>
        </is>
      </c>
      <c r="F180" s="0" t="n">
        <v>178</v>
      </c>
      <c r="G180" s="0" t="n">
        <v>25.17</v>
      </c>
      <c r="H180" s="0" t="n">
        <v>83.23</v>
      </c>
      <c r="I180" s="0" t="n">
        <v>18.1</v>
      </c>
      <c r="J180" s="0" t="n">
        <v>59.84</v>
      </c>
      <c r="K180" s="0" t="n">
        <v>59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83</v>
      </c>
      <c r="X180" s="0" t="n">
        <v>18</v>
      </c>
      <c r="Y180" s="0" t="n">
        <v>18</v>
      </c>
      <c r="Z180" s="0" t="inlineStr">
        <is>
          <t>https://new.land.naver.com/complexes/1798?tab=detail&amp;rf=Y</t>
        </is>
      </c>
      <c r="AA180" s="0" t="inlineStr">
        <is>
          <t>경기도 수원시 장안구 영화동 308-1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장안구</t>
        </is>
      </c>
      <c r="AE180" s="0" t="inlineStr">
        <is>
          <t>영화동</t>
        </is>
      </c>
      <c r="AG180" s="0" t="inlineStr">
        <is>
          <t>경기도 수원시 장안구 정조로 941</t>
        </is>
      </c>
      <c r="AH180" s="0" t="n">
        <v>0</v>
      </c>
      <c r="AI180" s="0" t="n">
        <v>599</v>
      </c>
      <c r="AJ180" s="0" t="n">
        <v>78</v>
      </c>
      <c r="AK180" s="0" t="n">
        <v>282</v>
      </c>
      <c r="AL180" s="0" t="n">
        <v>1.58</v>
      </c>
    </row>
    <row r="181">
      <c r="A181" s="0" t="inlineStr">
        <is>
          <t>[영화동]</t>
        </is>
      </c>
      <c r="B181" s="0" t="n">
        <v>1798</v>
      </c>
      <c r="C181" s="0" t="n">
        <v>3</v>
      </c>
      <c r="D181" s="0" t="inlineStr">
        <is>
          <t>동성영화타운</t>
        </is>
      </c>
      <c r="E181" s="0" t="inlineStr">
        <is>
          <t>1997.05.</t>
        </is>
      </c>
      <c r="F181" s="0" t="n">
        <v>178</v>
      </c>
      <c r="G181" s="0" t="n">
        <v>30.85</v>
      </c>
      <c r="H181" s="0" t="n">
        <v>102.01</v>
      </c>
      <c r="I181" s="0" t="n">
        <v>25.7</v>
      </c>
      <c r="J181" s="0" t="n">
        <v>84.97</v>
      </c>
      <c r="K181" s="0" t="n">
        <v>30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102</v>
      </c>
      <c r="X181" s="0" t="n">
        <v>18</v>
      </c>
      <c r="Y181" s="0" t="n">
        <v>18</v>
      </c>
      <c r="Z181" s="0" t="inlineStr">
        <is>
          <t>https://new.land.naver.com/complexes/1798?tab=detail&amp;rf=Y</t>
        </is>
      </c>
      <c r="AA181" s="0" t="inlineStr">
        <is>
          <t>경기도 수원시 장안구 영화동 308-1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장안구</t>
        </is>
      </c>
      <c r="AE181" s="0" t="inlineStr">
        <is>
          <t>영화동</t>
        </is>
      </c>
      <c r="AG181" s="0" t="inlineStr">
        <is>
          <t>경기도 수원시 장안구 정조로 941</t>
        </is>
      </c>
      <c r="AH181" s="0" t="n">
        <v>0</v>
      </c>
      <c r="AI181" s="0" t="n">
        <v>599</v>
      </c>
      <c r="AJ181" s="0" t="n">
        <v>78</v>
      </c>
      <c r="AK181" s="0" t="n">
        <v>282</v>
      </c>
      <c r="AL181" s="0" t="n">
        <v>1.58</v>
      </c>
    </row>
    <row r="182">
      <c r="A182" s="0" t="inlineStr">
        <is>
          <t>[영화동]</t>
        </is>
      </c>
      <c r="B182" s="0" t="n">
        <v>1798</v>
      </c>
      <c r="C182" s="0" t="n">
        <v>4</v>
      </c>
      <c r="D182" s="0" t="inlineStr">
        <is>
          <t>동성영화타운</t>
        </is>
      </c>
      <c r="E182" s="0" t="inlineStr">
        <is>
          <t>1997.05.</t>
        </is>
      </c>
      <c r="F182" s="0" t="n">
        <v>178</v>
      </c>
      <c r="G182" s="0" t="n">
        <v>34.08</v>
      </c>
      <c r="H182" s="0" t="n">
        <v>112.69</v>
      </c>
      <c r="I182" s="0" t="n">
        <v>25.68</v>
      </c>
      <c r="J182" s="0" t="n">
        <v>84.92</v>
      </c>
      <c r="K182" s="0" t="n">
        <v>29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112</v>
      </c>
      <c r="X182" s="0" t="n">
        <v>18</v>
      </c>
      <c r="Y182" s="0" t="n">
        <v>18</v>
      </c>
      <c r="Z182" s="0" t="inlineStr">
        <is>
          <t>https://new.land.naver.com/complexes/1798?tab=detail&amp;rf=Y</t>
        </is>
      </c>
      <c r="AA182" s="0" t="inlineStr">
        <is>
          <t>경기도 수원시 장안구 영화동 308-1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장안구</t>
        </is>
      </c>
      <c r="AE182" s="0" t="inlineStr">
        <is>
          <t>영화동</t>
        </is>
      </c>
      <c r="AG182" s="0" t="inlineStr">
        <is>
          <t>경기도 수원시 장안구 정조로 941</t>
        </is>
      </c>
      <c r="AH182" s="0" t="n">
        <v>0</v>
      </c>
      <c r="AI182" s="0" t="n">
        <v>599</v>
      </c>
      <c r="AJ182" s="0" t="n">
        <v>78</v>
      </c>
      <c r="AK182" s="0" t="n">
        <v>282</v>
      </c>
      <c r="AL182" s="0" t="n">
        <v>1.58</v>
      </c>
    </row>
    <row r="183">
      <c r="A183" s="0" t="inlineStr">
        <is>
          <t>[영화동]</t>
        </is>
      </c>
      <c r="B183" s="0" t="n">
        <v>1798</v>
      </c>
      <c r="C183" s="0" t="n">
        <v>5</v>
      </c>
      <c r="D183" s="0" t="inlineStr">
        <is>
          <t>동성영화타운</t>
        </is>
      </c>
      <c r="E183" s="0" t="inlineStr">
        <is>
          <t>1997.05.</t>
        </is>
      </c>
      <c r="F183" s="0" t="n">
        <v>178</v>
      </c>
      <c r="G183" s="0" t="n">
        <v>48.98</v>
      </c>
      <c r="H183" s="0" t="n">
        <v>161.92</v>
      </c>
      <c r="I183" s="0" t="n">
        <v>40.8</v>
      </c>
      <c r="J183" s="0" t="n">
        <v>134.88</v>
      </c>
      <c r="K183" s="0" t="n">
        <v>30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161</v>
      </c>
      <c r="X183" s="0" t="n">
        <v>18</v>
      </c>
      <c r="Y183" s="0" t="n">
        <v>18</v>
      </c>
      <c r="Z183" s="0" t="inlineStr">
        <is>
          <t>https://new.land.naver.com/complexes/1798?tab=detail&amp;rf=Y</t>
        </is>
      </c>
      <c r="AA183" s="0" t="inlineStr">
        <is>
          <t>경기도 수원시 장안구 영화동 308-1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장안구</t>
        </is>
      </c>
      <c r="AE183" s="0" t="inlineStr">
        <is>
          <t>영화동</t>
        </is>
      </c>
      <c r="AG183" s="0" t="inlineStr">
        <is>
          <t>경기도 수원시 장안구 정조로 941</t>
        </is>
      </c>
      <c r="AH183" s="0" t="n">
        <v>0</v>
      </c>
      <c r="AI183" s="0" t="n">
        <v>599</v>
      </c>
      <c r="AJ183" s="0" t="n">
        <v>78</v>
      </c>
      <c r="AK183" s="0" t="n">
        <v>282</v>
      </c>
      <c r="AL183" s="0" t="n">
        <v>1.58</v>
      </c>
    </row>
    <row r="184">
      <c r="A184" s="0" t="inlineStr">
        <is>
          <t>[영화동]</t>
        </is>
      </c>
      <c r="B184" s="0" t="n">
        <v>12874</v>
      </c>
      <c r="C184" s="0" t="n">
        <v>1</v>
      </c>
      <c r="D184" s="0" t="inlineStr">
        <is>
          <t>수정</t>
        </is>
      </c>
      <c r="E184" s="0" t="inlineStr">
        <is>
          <t>1984.12.</t>
        </is>
      </c>
      <c r="F184" s="0" t="n">
        <v>60</v>
      </c>
      <c r="G184" s="0" t="n">
        <v>27.27</v>
      </c>
      <c r="H184" s="0" t="n">
        <v>90.15000000000001</v>
      </c>
      <c r="I184" s="0" t="n">
        <v>21.07</v>
      </c>
      <c r="J184" s="0" t="n">
        <v>69.66</v>
      </c>
      <c r="K184" s="0" t="n">
        <v>30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90</v>
      </c>
      <c r="X184" s="0" t="n">
        <v>5</v>
      </c>
      <c r="Y184" s="0" t="n">
        <v>5</v>
      </c>
      <c r="Z184" s="0" t="inlineStr">
        <is>
          <t>https://new.land.naver.com/complexes/12874?tab=detail&amp;rf=Y</t>
        </is>
      </c>
      <c r="AA184" s="0" t="inlineStr">
        <is>
          <t>경기도 수원시 장안구 영화동 405-3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장안구</t>
        </is>
      </c>
      <c r="AE184" s="0" t="inlineStr">
        <is>
          <t>영화동</t>
        </is>
      </c>
      <c r="AG184" s="0" t="inlineStr">
        <is>
          <t>경기도 수원시 장안구 장안로54번길 28-4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[영화동]</t>
        </is>
      </c>
      <c r="B185" s="0" t="n">
        <v>12874</v>
      </c>
      <c r="C185" s="0" t="n">
        <v>2</v>
      </c>
      <c r="D185" s="0" t="inlineStr">
        <is>
          <t>수정</t>
        </is>
      </c>
      <c r="E185" s="0" t="inlineStr">
        <is>
          <t>1984.12.</t>
        </is>
      </c>
      <c r="F185" s="0" t="n">
        <v>60</v>
      </c>
      <c r="G185" s="0" t="n">
        <v>28.71</v>
      </c>
      <c r="H185" s="0" t="n">
        <v>94.94</v>
      </c>
      <c r="I185" s="0" t="n">
        <v>22.29</v>
      </c>
      <c r="J185" s="0" t="n">
        <v>73.70999999999999</v>
      </c>
      <c r="K185" s="0" t="n">
        <v>30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94</v>
      </c>
      <c r="X185" s="0" t="n">
        <v>5</v>
      </c>
      <c r="Y185" s="0" t="n">
        <v>5</v>
      </c>
      <c r="Z185" s="0" t="inlineStr">
        <is>
          <t>https://new.land.naver.com/complexes/12874?tab=detail&amp;rf=Y</t>
        </is>
      </c>
      <c r="AA185" s="0" t="inlineStr">
        <is>
          <t>경기도 수원시 장안구 영화동 405-3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장안구</t>
        </is>
      </c>
      <c r="AE185" s="0" t="inlineStr">
        <is>
          <t>영화동</t>
        </is>
      </c>
      <c r="AG185" s="0" t="inlineStr">
        <is>
          <t>경기도 수원시 장안구 장안로54번길 28-4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[영화동]</t>
        </is>
      </c>
      <c r="B186" s="0" t="n">
        <v>18517</v>
      </c>
      <c r="C186" s="0" t="n">
        <v>1</v>
      </c>
      <c r="D186" s="0" t="inlineStr">
        <is>
          <t>영화수정타운</t>
        </is>
      </c>
      <c r="E186" s="0" t="inlineStr">
        <is>
          <t>2004.04.</t>
        </is>
      </c>
      <c r="F186" s="0" t="n">
        <v>18</v>
      </c>
      <c r="G186" s="0" t="n">
        <v>30.25</v>
      </c>
      <c r="H186" s="0" t="n">
        <v>100.03</v>
      </c>
      <c r="I186" s="0" t="n">
        <v>25.7</v>
      </c>
      <c r="J186" s="0" t="n">
        <v>84.98</v>
      </c>
      <c r="K186" s="0" t="n">
        <v>16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100</v>
      </c>
      <c r="X186" s="0" t="n">
        <v>6</v>
      </c>
      <c r="Y186" s="0" t="n">
        <v>5</v>
      </c>
      <c r="Z186" s="0" t="inlineStr">
        <is>
          <t>https://new.land.naver.com/complexes/18517?tab=detail&amp;rf=Y</t>
        </is>
      </c>
      <c r="AA186" s="0" t="inlineStr">
        <is>
          <t>경기도 수원시 장안구 영화동 342-7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장안구</t>
        </is>
      </c>
      <c r="AE186" s="0" t="inlineStr">
        <is>
          <t>영화동</t>
        </is>
      </c>
      <c r="AG186" s="0" t="inlineStr">
        <is>
          <t>경기도 수원시 장안구 수성로350번길 42</t>
        </is>
      </c>
      <c r="AH186" s="0" t="n">
        <v>0</v>
      </c>
      <c r="AI186" s="0" t="n">
        <v>259</v>
      </c>
      <c r="AJ186" s="0" t="n">
        <v>61</v>
      </c>
      <c r="AK186" s="0" t="n">
        <v>21</v>
      </c>
      <c r="AL186" s="0" t="n">
        <v>1.17</v>
      </c>
    </row>
    <row r="187">
      <c r="A187" s="0" t="inlineStr">
        <is>
          <t>[영화동]</t>
        </is>
      </c>
      <c r="B187" s="0" t="n">
        <v>18517</v>
      </c>
      <c r="C187" s="0" t="n">
        <v>2</v>
      </c>
      <c r="D187" s="0" t="inlineStr">
        <is>
          <t>영화수정타운</t>
        </is>
      </c>
      <c r="E187" s="0" t="inlineStr">
        <is>
          <t>2004.04.</t>
        </is>
      </c>
      <c r="F187" s="0" t="n">
        <v>18</v>
      </c>
      <c r="G187" s="0" t="n">
        <v>46.85</v>
      </c>
      <c r="H187" s="0" t="n">
        <v>154.88</v>
      </c>
      <c r="I187" s="0" t="n">
        <v>39.79</v>
      </c>
      <c r="J187" s="0" t="n">
        <v>131.57</v>
      </c>
      <c r="K187" s="0" t="n">
        <v>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154</v>
      </c>
      <c r="X187" s="0" t="n">
        <v>6</v>
      </c>
      <c r="Y187" s="0" t="n">
        <v>5</v>
      </c>
      <c r="Z187" s="0" t="inlineStr">
        <is>
          <t>https://new.land.naver.com/complexes/18517?tab=detail&amp;rf=Y</t>
        </is>
      </c>
      <c r="AA187" s="0" t="inlineStr">
        <is>
          <t>경기도 수원시 장안구 영화동 342-7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장안구</t>
        </is>
      </c>
      <c r="AE187" s="0" t="inlineStr">
        <is>
          <t>영화동</t>
        </is>
      </c>
      <c r="AG187" s="0" t="inlineStr">
        <is>
          <t>경기도 수원시 장안구 수성로350번길 42</t>
        </is>
      </c>
      <c r="AH187" s="0" t="n">
        <v>0</v>
      </c>
      <c r="AI187" s="0" t="n">
        <v>259</v>
      </c>
      <c r="AJ187" s="0" t="n">
        <v>61</v>
      </c>
      <c r="AK187" s="0" t="n">
        <v>21</v>
      </c>
      <c r="AL187" s="0" t="n">
        <v>1.17</v>
      </c>
    </row>
    <row r="188">
      <c r="A188" s="0" t="inlineStr">
        <is>
          <t>[영화동]</t>
        </is>
      </c>
      <c r="B188" s="0" t="n">
        <v>8344</v>
      </c>
      <c r="C188" s="0" t="n">
        <v>1</v>
      </c>
      <c r="D188" s="0" t="inlineStr">
        <is>
          <t>공우</t>
        </is>
      </c>
      <c r="E188" s="0" t="inlineStr">
        <is>
          <t>1980.11.</t>
        </is>
      </c>
      <c r="F188" s="0" t="n">
        <v>44</v>
      </c>
      <c r="G188" s="0" t="n">
        <v>17.99</v>
      </c>
      <c r="H188" s="0" t="n">
        <v>59.5</v>
      </c>
      <c r="I188" s="0" t="n">
        <v>15.98</v>
      </c>
      <c r="J188" s="0" t="n">
        <v>52.83</v>
      </c>
      <c r="K188" s="0" t="n">
        <v>44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59</v>
      </c>
      <c r="X188" s="0" t="n">
        <v>5</v>
      </c>
      <c r="Y188" s="0" t="n">
        <v>4</v>
      </c>
      <c r="Z188" s="0" t="inlineStr">
        <is>
          <t>https://new.land.naver.com/complexes/8344?tab=detail&amp;rf=Y</t>
        </is>
      </c>
      <c r="AA188" s="0" t="inlineStr">
        <is>
          <t>경기도 수원시 장안구 영화동 334-5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장안구</t>
        </is>
      </c>
      <c r="AE188" s="0" t="inlineStr">
        <is>
          <t>영화동</t>
        </is>
      </c>
      <c r="AG188" s="0" t="inlineStr">
        <is>
          <t>경기도 수원시 장안구 정조로921번길 26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[영화동]</t>
        </is>
      </c>
      <c r="B189" s="0" t="n">
        <v>10826</v>
      </c>
      <c r="C189" s="0" t="n">
        <v>1</v>
      </c>
      <c r="D189" s="0" t="inlineStr">
        <is>
          <t>태영</t>
        </is>
      </c>
      <c r="E189" s="0" t="inlineStr">
        <is>
          <t>1992.12.</t>
        </is>
      </c>
      <c r="F189" s="0" t="n">
        <v>117</v>
      </c>
      <c r="G189" s="0" t="n">
        <v>24.13</v>
      </c>
      <c r="H189" s="0" t="n">
        <v>79.79000000000001</v>
      </c>
      <c r="I189" s="0" t="n">
        <v>17.96</v>
      </c>
      <c r="J189" s="0" t="n">
        <v>59.4</v>
      </c>
      <c r="K189" s="0" t="n">
        <v>45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79</v>
      </c>
      <c r="X189" s="0" t="n">
        <v>10</v>
      </c>
      <c r="Y189" s="0" t="n">
        <v>10</v>
      </c>
      <c r="Z189" s="0" t="inlineStr">
        <is>
          <t>https://new.land.naver.com/complexes/10826?tab=detail&amp;rf=Y</t>
        </is>
      </c>
      <c r="AA189" s="0" t="inlineStr">
        <is>
          <t>경기도 수원시 장안구 영화동 418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장안구</t>
        </is>
      </c>
      <c r="AE189" s="0" t="inlineStr">
        <is>
          <t>영화동</t>
        </is>
      </c>
      <c r="AG189" s="0" t="inlineStr">
        <is>
          <t>경기도 수원시 장안구 영화로25번길 22</t>
        </is>
      </c>
      <c r="AH189" s="0" t="n">
        <v>0</v>
      </c>
      <c r="AI189" s="0" t="n">
        <v>216</v>
      </c>
      <c r="AJ189" s="0" t="n">
        <v>55</v>
      </c>
      <c r="AK189" s="0" t="n">
        <v>117</v>
      </c>
      <c r="AL189" s="0" t="n">
        <v>1</v>
      </c>
    </row>
    <row r="190">
      <c r="A190" s="0" t="inlineStr">
        <is>
          <t>[영화동]</t>
        </is>
      </c>
      <c r="B190" s="0" t="n">
        <v>10826</v>
      </c>
      <c r="C190" s="0" t="n">
        <v>2</v>
      </c>
      <c r="D190" s="0" t="inlineStr">
        <is>
          <t>태영</t>
        </is>
      </c>
      <c r="E190" s="0" t="inlineStr">
        <is>
          <t>1992.12.</t>
        </is>
      </c>
      <c r="F190" s="0" t="n">
        <v>117</v>
      </c>
      <c r="G190" s="0" t="n">
        <v>32.28</v>
      </c>
      <c r="H190" s="0" t="n">
        <v>106.73</v>
      </c>
      <c r="I190" s="0" t="n">
        <v>25.7</v>
      </c>
      <c r="J190" s="0" t="n">
        <v>84.98999999999999</v>
      </c>
      <c r="K190" s="0" t="n">
        <v>63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106B</t>
        </is>
      </c>
      <c r="X190" s="0" t="n">
        <v>10</v>
      </c>
      <c r="Y190" s="0" t="n">
        <v>10</v>
      </c>
      <c r="Z190" s="0" t="inlineStr">
        <is>
          <t>https://new.land.naver.com/complexes/10826?tab=detail&amp;rf=Y</t>
        </is>
      </c>
      <c r="AA190" s="0" t="inlineStr">
        <is>
          <t>경기도 수원시 장안구 영화동 418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장안구</t>
        </is>
      </c>
      <c r="AE190" s="0" t="inlineStr">
        <is>
          <t>영화동</t>
        </is>
      </c>
      <c r="AG190" s="0" t="inlineStr">
        <is>
          <t>경기도 수원시 장안구 영화로25번길 22</t>
        </is>
      </c>
      <c r="AH190" s="0" t="n">
        <v>0</v>
      </c>
      <c r="AI190" s="0" t="n">
        <v>216</v>
      </c>
      <c r="AJ190" s="0" t="n">
        <v>55</v>
      </c>
      <c r="AK190" s="0" t="n">
        <v>117</v>
      </c>
      <c r="AL190" s="0" t="n">
        <v>1</v>
      </c>
    </row>
    <row r="191">
      <c r="A191" s="0" t="inlineStr">
        <is>
          <t>[영화동]</t>
        </is>
      </c>
      <c r="B191" s="0" t="n">
        <v>10826</v>
      </c>
      <c r="C191" s="0" t="n">
        <v>3</v>
      </c>
      <c r="D191" s="0" t="inlineStr">
        <is>
          <t>태영</t>
        </is>
      </c>
      <c r="E191" s="0" t="inlineStr">
        <is>
          <t>1992.12.</t>
        </is>
      </c>
      <c r="F191" s="0" t="n">
        <v>117</v>
      </c>
      <c r="G191" s="0" t="n">
        <v>32.25</v>
      </c>
      <c r="H191" s="0" t="n">
        <v>106.63</v>
      </c>
      <c r="I191" s="0" t="n">
        <v>25.68</v>
      </c>
      <c r="J191" s="0" t="n">
        <v>84.90000000000001</v>
      </c>
      <c r="K191" s="0" t="n">
        <v>9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106A</t>
        </is>
      </c>
      <c r="X191" s="0" t="n">
        <v>10</v>
      </c>
      <c r="Y191" s="0" t="n">
        <v>10</v>
      </c>
      <c r="Z191" s="0" t="inlineStr">
        <is>
          <t>https://new.land.naver.com/complexes/10826?tab=detail&amp;rf=Y</t>
        </is>
      </c>
      <c r="AA191" s="0" t="inlineStr">
        <is>
          <t>경기도 수원시 장안구 영화동 418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장안구</t>
        </is>
      </c>
      <c r="AE191" s="0" t="inlineStr">
        <is>
          <t>영화동</t>
        </is>
      </c>
      <c r="AG191" s="0" t="inlineStr">
        <is>
          <t>경기도 수원시 장안구 영화로25번길 22</t>
        </is>
      </c>
      <c r="AH191" s="0" t="n">
        <v>0</v>
      </c>
      <c r="AI191" s="0" t="n">
        <v>216</v>
      </c>
      <c r="AJ191" s="0" t="n">
        <v>55</v>
      </c>
      <c r="AK191" s="0" t="n">
        <v>117</v>
      </c>
      <c r="AL191" s="0" t="n">
        <v>1</v>
      </c>
    </row>
    <row r="192">
      <c r="A192" s="0" t="inlineStr">
        <is>
          <t>[율전동]</t>
        </is>
      </c>
      <c r="B192" s="0" t="n">
        <v>10732</v>
      </c>
      <c r="C192" s="0" t="n">
        <v>1</v>
      </c>
      <c r="D192" s="0" t="inlineStr">
        <is>
          <t>벽산블루밍</t>
        </is>
      </c>
      <c r="E192" s="0" t="inlineStr">
        <is>
          <t>2005.04.</t>
        </is>
      </c>
      <c r="F192" s="0" t="n">
        <v>318</v>
      </c>
      <c r="G192" s="0" t="n">
        <v>32.04</v>
      </c>
      <c r="H192" s="0" t="n">
        <v>105.94</v>
      </c>
      <c r="I192" s="0" t="n">
        <v>25.62</v>
      </c>
      <c r="J192" s="0" t="n">
        <v>84.7</v>
      </c>
      <c r="K192" s="0" t="n">
        <v>299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105A</t>
        </is>
      </c>
      <c r="X192" s="0" t="n">
        <v>22</v>
      </c>
      <c r="Y192" s="0" t="n">
        <v>14</v>
      </c>
      <c r="Z192" s="0" t="inlineStr">
        <is>
          <t>https://new.land.naver.com/complexes/10732?tab=detail&amp;rf=Y</t>
        </is>
      </c>
      <c r="AA192" s="0" t="inlineStr">
        <is>
          <t>경기도 수원시 장안구 율전동 543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장안구</t>
        </is>
      </c>
      <c r="AE192" s="0" t="inlineStr">
        <is>
          <t>율전동</t>
        </is>
      </c>
      <c r="AG192" s="0" t="inlineStr">
        <is>
          <t>경기도 수원시 장안구 덕영대로407번길 63-27</t>
        </is>
      </c>
      <c r="AH192" s="0" t="n">
        <v>0</v>
      </c>
      <c r="AI192" s="0" t="n">
        <v>233</v>
      </c>
      <c r="AJ192" s="0" t="n">
        <v>15</v>
      </c>
      <c r="AK192" s="0" t="n">
        <v>319</v>
      </c>
      <c r="AL192" s="0" t="n">
        <v>1</v>
      </c>
    </row>
    <row r="193">
      <c r="A193" s="0" t="inlineStr">
        <is>
          <t>[율전동]</t>
        </is>
      </c>
      <c r="B193" s="0" t="n">
        <v>10732</v>
      </c>
      <c r="C193" s="0" t="n">
        <v>2</v>
      </c>
      <c r="D193" s="0" t="inlineStr">
        <is>
          <t>벽산블루밍</t>
        </is>
      </c>
      <c r="E193" s="0" t="inlineStr">
        <is>
          <t>2005.04.</t>
        </is>
      </c>
      <c r="F193" s="0" t="n">
        <v>318</v>
      </c>
      <c r="G193" s="0" t="n">
        <v>32.18</v>
      </c>
      <c r="H193" s="0" t="n">
        <v>106.41</v>
      </c>
      <c r="I193" s="0" t="n">
        <v>25.59</v>
      </c>
      <c r="J193" s="0" t="n">
        <v>84.61</v>
      </c>
      <c r="K193" s="0" t="n">
        <v>19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106B</t>
        </is>
      </c>
      <c r="X193" s="0" t="n">
        <v>22</v>
      </c>
      <c r="Y193" s="0" t="n">
        <v>14</v>
      </c>
      <c r="Z193" s="0" t="inlineStr">
        <is>
          <t>https://new.land.naver.com/complexes/10732?tab=detail&amp;rf=Y</t>
        </is>
      </c>
      <c r="AA193" s="0" t="inlineStr">
        <is>
          <t>경기도 수원시 장안구 율전동 543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장안구</t>
        </is>
      </c>
      <c r="AE193" s="0" t="inlineStr">
        <is>
          <t>율전동</t>
        </is>
      </c>
      <c r="AG193" s="0" t="inlineStr">
        <is>
          <t>경기도 수원시 장안구 덕영대로407번길 63-27</t>
        </is>
      </c>
      <c r="AH193" s="0" t="n">
        <v>0</v>
      </c>
      <c r="AI193" s="0" t="n">
        <v>233</v>
      </c>
      <c r="AJ193" s="0" t="n">
        <v>15</v>
      </c>
      <c r="AK193" s="0" t="n">
        <v>319</v>
      </c>
      <c r="AL193" s="0" t="n">
        <v>1</v>
      </c>
    </row>
    <row r="194">
      <c r="A194" s="0" t="inlineStr">
        <is>
          <t>[율전동]</t>
        </is>
      </c>
      <c r="B194" s="0" t="n">
        <v>1831</v>
      </c>
      <c r="C194" s="0" t="n">
        <v>1</v>
      </c>
      <c r="D194" s="0" t="inlineStr">
        <is>
          <t>화남</t>
        </is>
      </c>
      <c r="E194" s="0" t="inlineStr">
        <is>
          <t>1997.12.</t>
        </is>
      </c>
      <c r="F194" s="0" t="n">
        <v>200</v>
      </c>
      <c r="G194" s="0" t="n">
        <v>24.75</v>
      </c>
      <c r="H194" s="0" t="n">
        <v>81.81999999999999</v>
      </c>
      <c r="I194" s="0" t="n">
        <v>18.12</v>
      </c>
      <c r="J194" s="0" t="n">
        <v>59.93</v>
      </c>
      <c r="K194" s="0" t="n">
        <v>80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20</v>
      </c>
      <c r="Z194" s="0" t="inlineStr">
        <is>
          <t>https://new.land.naver.com/complexes/1831?tab=detail&amp;rf=Y</t>
        </is>
      </c>
      <c r="AA194" s="0" t="inlineStr">
        <is>
          <t>경기도 수원시 장안구 율전동 334-13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장안구</t>
        </is>
      </c>
      <c r="AE194" s="0" t="inlineStr">
        <is>
          <t>율전동</t>
        </is>
      </c>
      <c r="AG194" s="0" t="inlineStr">
        <is>
          <t>경기도 수원시 장안구 화산로285번길 12</t>
        </is>
      </c>
      <c r="AH194" s="0" t="n">
        <v>0</v>
      </c>
      <c r="AI194" s="0" t="n">
        <v>293</v>
      </c>
      <c r="AJ194" s="0" t="n">
        <v>20</v>
      </c>
      <c r="AK194" s="0" t="n">
        <v>202</v>
      </c>
      <c r="AL194" s="0" t="n">
        <v>1.01</v>
      </c>
    </row>
    <row r="195">
      <c r="A195" s="0" t="inlineStr">
        <is>
          <t>[율전동]</t>
        </is>
      </c>
      <c r="B195" s="0" t="n">
        <v>1831</v>
      </c>
      <c r="C195" s="0" t="n">
        <v>2</v>
      </c>
      <c r="D195" s="0" t="inlineStr">
        <is>
          <t>화남</t>
        </is>
      </c>
      <c r="E195" s="0" t="inlineStr">
        <is>
          <t>1997.12.</t>
        </is>
      </c>
      <c r="F195" s="0" t="n">
        <v>200</v>
      </c>
      <c r="G195" s="0" t="n">
        <v>30.19</v>
      </c>
      <c r="H195" s="0" t="n">
        <v>99.81</v>
      </c>
      <c r="I195" s="0" t="n">
        <v>23</v>
      </c>
      <c r="J195" s="0" t="n">
        <v>76.05</v>
      </c>
      <c r="K195" s="0" t="n">
        <v>20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99</v>
      </c>
      <c r="X195" s="0" t="n">
        <v>20</v>
      </c>
      <c r="Y195" s="0" t="n">
        <v>20</v>
      </c>
      <c r="Z195" s="0" t="inlineStr">
        <is>
          <t>https://new.land.naver.com/complexes/1831?tab=detail&amp;rf=Y</t>
        </is>
      </c>
      <c r="AA195" s="0" t="inlineStr">
        <is>
          <t>경기도 수원시 장안구 율전동 334-13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장안구</t>
        </is>
      </c>
      <c r="AE195" s="0" t="inlineStr">
        <is>
          <t>율전동</t>
        </is>
      </c>
      <c r="AG195" s="0" t="inlineStr">
        <is>
          <t>경기도 수원시 장안구 화산로285번길 12</t>
        </is>
      </c>
      <c r="AH195" s="0" t="n">
        <v>0</v>
      </c>
      <c r="AI195" s="0" t="n">
        <v>293</v>
      </c>
      <c r="AJ195" s="0" t="n">
        <v>20</v>
      </c>
      <c r="AK195" s="0" t="n">
        <v>202</v>
      </c>
      <c r="AL195" s="0" t="n">
        <v>1.01</v>
      </c>
    </row>
    <row r="196">
      <c r="A196" s="0" t="inlineStr">
        <is>
          <t>[율전동]</t>
        </is>
      </c>
      <c r="B196" s="0" t="n">
        <v>1831</v>
      </c>
      <c r="C196" s="0" t="n">
        <v>3</v>
      </c>
      <c r="D196" s="0" t="inlineStr">
        <is>
          <t>화남</t>
        </is>
      </c>
      <c r="E196" s="0" t="inlineStr">
        <is>
          <t>1997.12.</t>
        </is>
      </c>
      <c r="F196" s="0" t="n">
        <v>200</v>
      </c>
      <c r="G196" s="0" t="n">
        <v>33.07</v>
      </c>
      <c r="H196" s="0" t="n">
        <v>109.35</v>
      </c>
      <c r="I196" s="0" t="n">
        <v>25.59</v>
      </c>
      <c r="J196" s="0" t="n">
        <v>84.59999999999999</v>
      </c>
      <c r="K196" s="0" t="n">
        <v>100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20</v>
      </c>
      <c r="Z196" s="0" t="inlineStr">
        <is>
          <t>https://new.land.naver.com/complexes/1831?tab=detail&amp;rf=Y</t>
        </is>
      </c>
      <c r="AA196" s="0" t="inlineStr">
        <is>
          <t>경기도 수원시 장안구 율전동 334-13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장안구</t>
        </is>
      </c>
      <c r="AE196" s="0" t="inlineStr">
        <is>
          <t>율전동</t>
        </is>
      </c>
      <c r="AG196" s="0" t="inlineStr">
        <is>
          <t>경기도 수원시 장안구 화산로285번길 12</t>
        </is>
      </c>
      <c r="AH196" s="0" t="n">
        <v>0</v>
      </c>
      <c r="AI196" s="0" t="n">
        <v>293</v>
      </c>
      <c r="AJ196" s="0" t="n">
        <v>20</v>
      </c>
      <c r="AK196" s="0" t="n">
        <v>202</v>
      </c>
      <c r="AL196" s="0" t="n">
        <v>1.01</v>
      </c>
    </row>
    <row r="197">
      <c r="A197" s="0" t="inlineStr">
        <is>
          <t>[율전동]</t>
        </is>
      </c>
      <c r="B197" s="0" t="n">
        <v>2590</v>
      </c>
      <c r="C197" s="0" t="n">
        <v>1</v>
      </c>
      <c r="D197" s="0" t="inlineStr">
        <is>
          <t>늘푸른벽산</t>
        </is>
      </c>
      <c r="E197" s="0" t="inlineStr">
        <is>
          <t>1998.06.</t>
        </is>
      </c>
      <c r="F197" s="0" t="n">
        <v>183</v>
      </c>
      <c r="G197" s="0" t="n">
        <v>16.76</v>
      </c>
      <c r="H197" s="0" t="n">
        <v>55.42</v>
      </c>
      <c r="I197" s="0" t="n">
        <v>11.05</v>
      </c>
      <c r="J197" s="0" t="n">
        <v>36.54</v>
      </c>
      <c r="K197" s="0" t="n">
        <v>111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55</v>
      </c>
      <c r="X197" s="0" t="n">
        <v>18</v>
      </c>
      <c r="Y197" s="0" t="n">
        <v>7</v>
      </c>
      <c r="Z197" s="0" t="inlineStr">
        <is>
          <t>https://new.land.naver.com/complexes/2590?tab=detail&amp;rf=Y</t>
        </is>
      </c>
      <c r="AA197" s="0" t="inlineStr">
        <is>
          <t>경기도 수원시 장안구 율전동 322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장안구</t>
        </is>
      </c>
      <c r="AE197" s="0" t="inlineStr">
        <is>
          <t>율전동</t>
        </is>
      </c>
      <c r="AG197" s="0" t="inlineStr">
        <is>
          <t>경기도 수원시 장안구 율전로101번길 40</t>
        </is>
      </c>
      <c r="AH197" s="0" t="n">
        <v>0</v>
      </c>
      <c r="AI197" s="0" t="n">
        <v>299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[율전동]</t>
        </is>
      </c>
      <c r="B198" s="0" t="n">
        <v>2590</v>
      </c>
      <c r="C198" s="0" t="n">
        <v>2</v>
      </c>
      <c r="D198" s="0" t="inlineStr">
        <is>
          <t>늘푸른벽산</t>
        </is>
      </c>
      <c r="E198" s="0" t="inlineStr">
        <is>
          <t>1998.06.</t>
        </is>
      </c>
      <c r="F198" s="0" t="n">
        <v>183</v>
      </c>
      <c r="G198" s="0" t="n">
        <v>33.14</v>
      </c>
      <c r="H198" s="0" t="n">
        <v>109.58</v>
      </c>
      <c r="I198" s="0" t="n">
        <v>25.66</v>
      </c>
      <c r="J198" s="0" t="n">
        <v>84.84</v>
      </c>
      <c r="K198" s="0" t="n">
        <v>72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109</v>
      </c>
      <c r="X198" s="0" t="n">
        <v>18</v>
      </c>
      <c r="Y198" s="0" t="n">
        <v>7</v>
      </c>
      <c r="Z198" s="0" t="inlineStr">
        <is>
          <t>https://new.land.naver.com/complexes/2590?tab=detail&amp;rf=Y</t>
        </is>
      </c>
      <c r="AA198" s="0" t="inlineStr">
        <is>
          <t>경기도 수원시 장안구 율전동 322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장안구</t>
        </is>
      </c>
      <c r="AE198" s="0" t="inlineStr">
        <is>
          <t>율전동</t>
        </is>
      </c>
      <c r="AG198" s="0" t="inlineStr">
        <is>
          <t>경기도 수원시 장안구 율전로101번길 40</t>
        </is>
      </c>
      <c r="AH198" s="0" t="n">
        <v>0</v>
      </c>
      <c r="AI198" s="0" t="n">
        <v>299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[율전동]</t>
        </is>
      </c>
      <c r="B199" s="0" t="n">
        <v>9605</v>
      </c>
      <c r="C199" s="0" t="n">
        <v>1</v>
      </c>
      <c r="D199" s="0" t="inlineStr">
        <is>
          <t>장안</t>
        </is>
      </c>
      <c r="E199" s="0" t="inlineStr">
        <is>
          <t>1986.10.</t>
        </is>
      </c>
      <c r="F199" s="0" t="n">
        <v>155</v>
      </c>
      <c r="G199" s="0" t="n">
        <v>17.77</v>
      </c>
      <c r="H199" s="0" t="n">
        <v>58.76</v>
      </c>
      <c r="I199" s="0" t="n">
        <v>12.88</v>
      </c>
      <c r="J199" s="0" t="n">
        <v>42.6</v>
      </c>
      <c r="K199" s="0" t="n">
        <v>20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58</v>
      </c>
      <c r="X199" s="0" t="n">
        <v>5</v>
      </c>
      <c r="Y199" s="0" t="n">
        <v>5</v>
      </c>
      <c r="Z199" s="0" t="inlineStr">
        <is>
          <t>https://new.land.naver.com/complexes/9605?tab=detail&amp;rf=Y</t>
        </is>
      </c>
      <c r="AA199" s="0" t="inlineStr">
        <is>
          <t>경기도 수원시 장안구 율전동 109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장안구</t>
        </is>
      </c>
      <c r="AE199" s="0" t="inlineStr">
        <is>
          <t>율전동</t>
        </is>
      </c>
      <c r="AG199" s="0" t="inlineStr">
        <is>
          <t>경기도 수원시 장안구 상률로46번길 17-7</t>
        </is>
      </c>
      <c r="AH199" s="0" t="n">
        <v>0</v>
      </c>
      <c r="AI199" s="0" t="n">
        <v>198</v>
      </c>
      <c r="AJ199" s="0" t="n">
        <v>41</v>
      </c>
      <c r="AK199" s="0" t="n">
        <v>108</v>
      </c>
      <c r="AL199" s="0" t="n">
        <v>0.7</v>
      </c>
    </row>
    <row r="200">
      <c r="A200" s="0" t="inlineStr">
        <is>
          <t>[율전동]</t>
        </is>
      </c>
      <c r="B200" s="0" t="n">
        <v>9605</v>
      </c>
      <c r="C200" s="0" t="n">
        <v>2</v>
      </c>
      <c r="D200" s="0" t="inlineStr">
        <is>
          <t>장안</t>
        </is>
      </c>
      <c r="E200" s="0" t="inlineStr">
        <is>
          <t>1986.10.</t>
        </is>
      </c>
      <c r="F200" s="0" t="n">
        <v>155</v>
      </c>
      <c r="G200" s="0" t="n">
        <v>18.47</v>
      </c>
      <c r="H200" s="0" t="n">
        <v>61.08</v>
      </c>
      <c r="I200" s="0" t="n">
        <v>13.56</v>
      </c>
      <c r="J200" s="0" t="n">
        <v>44.85</v>
      </c>
      <c r="K200" s="0" t="n">
        <v>45</v>
      </c>
      <c r="T200" s="0" t="n">
        <v>2</v>
      </c>
      <c r="U200" s="0" t="n">
        <v>1</v>
      </c>
      <c r="V200" s="0" t="inlineStr">
        <is>
          <t>복도식</t>
        </is>
      </c>
      <c r="W200" s="0" t="n">
        <v>61</v>
      </c>
      <c r="X200" s="0" t="n">
        <v>5</v>
      </c>
      <c r="Y200" s="0" t="n">
        <v>5</v>
      </c>
      <c r="Z200" s="0" t="inlineStr">
        <is>
          <t>https://new.land.naver.com/complexes/9605?tab=detail&amp;rf=Y</t>
        </is>
      </c>
      <c r="AA200" s="0" t="inlineStr">
        <is>
          <t>경기도 수원시 장안구 율전동 109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장안구</t>
        </is>
      </c>
      <c r="AE200" s="0" t="inlineStr">
        <is>
          <t>율전동</t>
        </is>
      </c>
      <c r="AG200" s="0" t="inlineStr">
        <is>
          <t>경기도 수원시 장안구 상률로46번길 17-7</t>
        </is>
      </c>
      <c r="AH200" s="0" t="n">
        <v>0</v>
      </c>
      <c r="AI200" s="0" t="n">
        <v>198</v>
      </c>
      <c r="AJ200" s="0" t="n">
        <v>41</v>
      </c>
      <c r="AK200" s="0" t="n">
        <v>108</v>
      </c>
      <c r="AL200" s="0" t="n">
        <v>0.7</v>
      </c>
    </row>
    <row r="201">
      <c r="A201" s="0" t="inlineStr">
        <is>
          <t>[율전동]</t>
        </is>
      </c>
      <c r="B201" s="0" t="n">
        <v>9605</v>
      </c>
      <c r="C201" s="0" t="n">
        <v>3</v>
      </c>
      <c r="D201" s="0" t="inlineStr">
        <is>
          <t>장안</t>
        </is>
      </c>
      <c r="E201" s="0" t="inlineStr">
        <is>
          <t>1986.10.</t>
        </is>
      </c>
      <c r="F201" s="0" t="n">
        <v>155</v>
      </c>
      <c r="G201" s="0" t="n">
        <v>19.26</v>
      </c>
      <c r="H201" s="0" t="n">
        <v>63.7</v>
      </c>
      <c r="I201" s="0" t="n">
        <v>14.24</v>
      </c>
      <c r="J201" s="0" t="n">
        <v>47.1</v>
      </c>
      <c r="K201" s="0" t="n">
        <v>75</v>
      </c>
      <c r="T201" s="0" t="n">
        <v>2</v>
      </c>
      <c r="U201" s="0" t="n">
        <v>1</v>
      </c>
      <c r="V201" s="0" t="inlineStr">
        <is>
          <t>복도식</t>
        </is>
      </c>
      <c r="W201" s="0" t="n">
        <v>63</v>
      </c>
      <c r="X201" s="0" t="n">
        <v>5</v>
      </c>
      <c r="Y201" s="0" t="n">
        <v>5</v>
      </c>
      <c r="Z201" s="0" t="inlineStr">
        <is>
          <t>https://new.land.naver.com/complexes/9605?tab=detail&amp;rf=Y</t>
        </is>
      </c>
      <c r="AA201" s="0" t="inlineStr">
        <is>
          <t>경기도 수원시 장안구 율전동 109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장안구</t>
        </is>
      </c>
      <c r="AE201" s="0" t="inlineStr">
        <is>
          <t>율전동</t>
        </is>
      </c>
      <c r="AG201" s="0" t="inlineStr">
        <is>
          <t>경기도 수원시 장안구 상률로46번길 17-7</t>
        </is>
      </c>
      <c r="AH201" s="0" t="n">
        <v>0</v>
      </c>
      <c r="AI201" s="0" t="n">
        <v>198</v>
      </c>
      <c r="AJ201" s="0" t="n">
        <v>41</v>
      </c>
      <c r="AK201" s="0" t="n">
        <v>108</v>
      </c>
      <c r="AL201" s="0" t="n">
        <v>0.7</v>
      </c>
    </row>
    <row r="202">
      <c r="A202" s="0" t="inlineStr">
        <is>
          <t>[율전동]</t>
        </is>
      </c>
      <c r="B202" s="0" t="n">
        <v>9605</v>
      </c>
      <c r="C202" s="0" t="n">
        <v>4</v>
      </c>
      <c r="D202" s="0" t="inlineStr">
        <is>
          <t>장안</t>
        </is>
      </c>
      <c r="E202" s="0" t="inlineStr">
        <is>
          <t>1986.10.</t>
        </is>
      </c>
      <c r="F202" s="0" t="n">
        <v>155</v>
      </c>
      <c r="G202" s="0" t="n">
        <v>20.75</v>
      </c>
      <c r="H202" s="0" t="n">
        <v>68.62</v>
      </c>
      <c r="I202" s="0" t="n">
        <v>15.6</v>
      </c>
      <c r="J202" s="0" t="n">
        <v>51.6</v>
      </c>
      <c r="K202" s="0" t="n">
        <v>15</v>
      </c>
      <c r="T202" s="0" t="n">
        <v>2</v>
      </c>
      <c r="U202" s="0" t="n">
        <v>1</v>
      </c>
      <c r="V202" s="0" t="inlineStr">
        <is>
          <t>복도식</t>
        </is>
      </c>
      <c r="W202" s="0" t="n">
        <v>68</v>
      </c>
      <c r="X202" s="0" t="n">
        <v>5</v>
      </c>
      <c r="Y202" s="0" t="n">
        <v>5</v>
      </c>
      <c r="Z202" s="0" t="inlineStr">
        <is>
          <t>https://new.land.naver.com/complexes/9605?tab=detail&amp;rf=Y</t>
        </is>
      </c>
      <c r="AA202" s="0" t="inlineStr">
        <is>
          <t>경기도 수원시 장안구 율전동 109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장안구</t>
        </is>
      </c>
      <c r="AE202" s="0" t="inlineStr">
        <is>
          <t>율전동</t>
        </is>
      </c>
      <c r="AG202" s="0" t="inlineStr">
        <is>
          <t>경기도 수원시 장안구 상률로46번길 17-7</t>
        </is>
      </c>
      <c r="AH202" s="0" t="n">
        <v>0</v>
      </c>
      <c r="AI202" s="0" t="n">
        <v>198</v>
      </c>
      <c r="AJ202" s="0" t="n">
        <v>41</v>
      </c>
      <c r="AK202" s="0" t="n">
        <v>108</v>
      </c>
      <c r="AL202" s="0" t="n">
        <v>0.7</v>
      </c>
    </row>
    <row r="203">
      <c r="A203" s="0" t="inlineStr">
        <is>
          <t>[율전동]</t>
        </is>
      </c>
      <c r="B203" s="0" t="n">
        <v>2700</v>
      </c>
      <c r="C203" s="0" t="n">
        <v>1</v>
      </c>
      <c r="D203" s="0" t="inlineStr">
        <is>
          <t>장미5차</t>
        </is>
      </c>
      <c r="E203" s="0" t="inlineStr">
        <is>
          <t>1986.06.</t>
        </is>
      </c>
      <c r="F203" s="0" t="n">
        <v>95</v>
      </c>
      <c r="G203" s="0" t="n">
        <v>16.38</v>
      </c>
      <c r="H203" s="0" t="n">
        <v>54.15</v>
      </c>
      <c r="I203" s="0" t="n">
        <v>12.09</v>
      </c>
      <c r="J203" s="0" t="n">
        <v>39.97</v>
      </c>
      <c r="K203" s="0" t="n">
        <v>20</v>
      </c>
      <c r="T203" s="0" t="n">
        <v>2</v>
      </c>
      <c r="U203" s="0" t="n">
        <v>1</v>
      </c>
      <c r="V203" s="0" t="inlineStr">
        <is>
          <t>복도식</t>
        </is>
      </c>
      <c r="W203" s="0" t="n">
        <v>54</v>
      </c>
      <c r="X203" s="0" t="n">
        <v>5</v>
      </c>
      <c r="Y203" s="0" t="n">
        <v>5</v>
      </c>
      <c r="Z203" s="0" t="inlineStr">
        <is>
          <t>https://new.land.naver.com/complexes/2700?tab=detail&amp;rf=Y</t>
        </is>
      </c>
      <c r="AA203" s="0" t="inlineStr">
        <is>
          <t>경기도 수원시 장안구 율전동 163-2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장안구</t>
        </is>
      </c>
      <c r="AE203" s="0" t="inlineStr">
        <is>
          <t>율전동</t>
        </is>
      </c>
      <c r="AG203" s="0" t="inlineStr">
        <is>
          <t>경기도 수원시 장안구 덕영대로417번길 59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[율전동]</t>
        </is>
      </c>
      <c r="B204" s="0" t="n">
        <v>2700</v>
      </c>
      <c r="C204" s="0" t="n">
        <v>2</v>
      </c>
      <c r="D204" s="0" t="inlineStr">
        <is>
          <t>장미5차</t>
        </is>
      </c>
      <c r="E204" s="0" t="inlineStr">
        <is>
          <t>1986.06.</t>
        </is>
      </c>
      <c r="F204" s="0" t="n">
        <v>95</v>
      </c>
      <c r="G204" s="0" t="n">
        <v>17.29</v>
      </c>
      <c r="H204" s="0" t="n">
        <v>57.17</v>
      </c>
      <c r="I204" s="0" t="n">
        <v>12.85</v>
      </c>
      <c r="J204" s="0" t="n">
        <v>42.49</v>
      </c>
      <c r="K204" s="0" t="n">
        <v>30</v>
      </c>
      <c r="T204" s="0" t="n">
        <v>2</v>
      </c>
      <c r="U204" s="0" t="n">
        <v>1</v>
      </c>
      <c r="V204" s="0" t="inlineStr">
        <is>
          <t>복도식</t>
        </is>
      </c>
      <c r="W204" s="0" t="n">
        <v>57</v>
      </c>
      <c r="X204" s="0" t="n">
        <v>5</v>
      </c>
      <c r="Y204" s="0" t="n">
        <v>5</v>
      </c>
      <c r="Z204" s="0" t="inlineStr">
        <is>
          <t>https://new.land.naver.com/complexes/2700?tab=detail&amp;rf=Y</t>
        </is>
      </c>
      <c r="AA204" s="0" t="inlineStr">
        <is>
          <t>경기도 수원시 장안구 율전동 163-2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장안구</t>
        </is>
      </c>
      <c r="AE204" s="0" t="inlineStr">
        <is>
          <t>율전동</t>
        </is>
      </c>
      <c r="AG204" s="0" t="inlineStr">
        <is>
          <t>경기도 수원시 장안구 덕영대로417번길 59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[율전동]</t>
        </is>
      </c>
      <c r="B205" s="0" t="n">
        <v>2700</v>
      </c>
      <c r="C205" s="0" t="n">
        <v>3</v>
      </c>
      <c r="D205" s="0" t="inlineStr">
        <is>
          <t>장미5차</t>
        </is>
      </c>
      <c r="E205" s="0" t="inlineStr">
        <is>
          <t>1986.06.</t>
        </is>
      </c>
      <c r="F205" s="0" t="n">
        <v>95</v>
      </c>
      <c r="G205" s="0" t="n">
        <v>19.52</v>
      </c>
      <c r="H205" s="0" t="n">
        <v>64.53</v>
      </c>
      <c r="I205" s="0" t="n">
        <v>13.07</v>
      </c>
      <c r="J205" s="0" t="n">
        <v>43.21</v>
      </c>
      <c r="K205" s="0" t="n">
        <v>5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64</v>
      </c>
      <c r="X205" s="0" t="n">
        <v>5</v>
      </c>
      <c r="Y205" s="0" t="n">
        <v>5</v>
      </c>
      <c r="Z205" s="0" t="inlineStr">
        <is>
          <t>https://new.land.naver.com/complexes/2700?tab=detail&amp;rf=Y</t>
        </is>
      </c>
      <c r="AA205" s="0" t="inlineStr">
        <is>
          <t>경기도 수원시 장안구 율전동 163-2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장안구</t>
        </is>
      </c>
      <c r="AE205" s="0" t="inlineStr">
        <is>
          <t>율전동</t>
        </is>
      </c>
      <c r="AG205" s="0" t="inlineStr">
        <is>
          <t>경기도 수원시 장안구 덕영대로417번길 59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[율전동]</t>
        </is>
      </c>
      <c r="B206" s="0" t="n">
        <v>2700</v>
      </c>
      <c r="C206" s="0" t="n">
        <v>4</v>
      </c>
      <c r="D206" s="0" t="inlineStr">
        <is>
          <t>장미5차</t>
        </is>
      </c>
      <c r="E206" s="0" t="inlineStr">
        <is>
          <t>1986.06.</t>
        </is>
      </c>
      <c r="F206" s="0" t="n">
        <v>95</v>
      </c>
      <c r="G206" s="0" t="n">
        <v>22.82</v>
      </c>
      <c r="H206" s="0" t="n">
        <v>75.47</v>
      </c>
      <c r="I206" s="0" t="n">
        <v>17.46</v>
      </c>
      <c r="J206" s="0" t="n">
        <v>57.73</v>
      </c>
      <c r="K206" s="0" t="n">
        <v>40</v>
      </c>
      <c r="T206" s="0" t="n">
        <v>3</v>
      </c>
      <c r="U206" s="0" t="n">
        <v>1</v>
      </c>
      <c r="V206" s="0" t="inlineStr">
        <is>
          <t>복도식</t>
        </is>
      </c>
      <c r="W206" s="0" t="n">
        <v>75</v>
      </c>
      <c r="X206" s="0" t="n">
        <v>5</v>
      </c>
      <c r="Y206" s="0" t="n">
        <v>5</v>
      </c>
      <c r="Z206" s="0" t="inlineStr">
        <is>
          <t>https://new.land.naver.com/complexes/2700?tab=detail&amp;rf=Y</t>
        </is>
      </c>
      <c r="AA206" s="0" t="inlineStr">
        <is>
          <t>경기도 수원시 장안구 율전동 163-2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장안구</t>
        </is>
      </c>
      <c r="AE206" s="0" t="inlineStr">
        <is>
          <t>율전동</t>
        </is>
      </c>
      <c r="AG206" s="0" t="inlineStr">
        <is>
          <t>경기도 수원시 장안구 덕영대로417번길 59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[율전동]</t>
        </is>
      </c>
      <c r="B207" s="0" t="n">
        <v>1828</v>
      </c>
      <c r="C207" s="0" t="n">
        <v>1</v>
      </c>
      <c r="D207" s="0" t="inlineStr">
        <is>
          <t>신일</t>
        </is>
      </c>
      <c r="E207" s="0" t="inlineStr">
        <is>
          <t>1997.12.</t>
        </is>
      </c>
      <c r="F207" s="0" t="n">
        <v>824</v>
      </c>
      <c r="G207" s="0" t="n">
        <v>24.33</v>
      </c>
      <c r="H207" s="0" t="n">
        <v>80.43000000000001</v>
      </c>
      <c r="I207" s="0" t="n">
        <v>18.12</v>
      </c>
      <c r="J207" s="0" t="n">
        <v>59.92</v>
      </c>
      <c r="K207" s="0" t="n">
        <v>360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80</v>
      </c>
      <c r="X207" s="0" t="n">
        <v>20</v>
      </c>
      <c r="Y207" s="0" t="n">
        <v>19</v>
      </c>
      <c r="Z207" s="0" t="inlineStr">
        <is>
          <t>https://new.land.naver.com/complexes/1828?tab=detail&amp;rf=Y</t>
        </is>
      </c>
      <c r="AA207" s="0" t="inlineStr">
        <is>
          <t>경기도 수원시 장안구 율전동 319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장안구</t>
        </is>
      </c>
      <c r="AE207" s="0" t="inlineStr">
        <is>
          <t>율전동</t>
        </is>
      </c>
      <c r="AG207" s="0" t="inlineStr">
        <is>
          <t>경기도 수원시 장안구 화산로 263</t>
        </is>
      </c>
      <c r="AH207" s="0" t="n">
        <v>0</v>
      </c>
      <c r="AI207" s="0" t="n">
        <v>294</v>
      </c>
      <c r="AJ207" s="0" t="n">
        <v>23</v>
      </c>
      <c r="AK207" s="0" t="n">
        <v>831</v>
      </c>
      <c r="AL207" s="0" t="n">
        <v>1.01</v>
      </c>
    </row>
    <row r="208">
      <c r="A208" s="0" t="inlineStr">
        <is>
          <t>[율전동]</t>
        </is>
      </c>
      <c r="B208" s="0" t="n">
        <v>1828</v>
      </c>
      <c r="C208" s="0" t="n">
        <v>2</v>
      </c>
      <c r="D208" s="0" t="inlineStr">
        <is>
          <t>신일</t>
        </is>
      </c>
      <c r="E208" s="0" t="inlineStr">
        <is>
          <t>1997.12.</t>
        </is>
      </c>
      <c r="F208" s="0" t="n">
        <v>824</v>
      </c>
      <c r="G208" s="0" t="n">
        <v>32.58</v>
      </c>
      <c r="H208" s="0" t="n">
        <v>107.73</v>
      </c>
      <c r="I208" s="0" t="n">
        <v>25.67</v>
      </c>
      <c r="J208" s="0" t="n">
        <v>84.89</v>
      </c>
      <c r="K208" s="0" t="n">
        <v>350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107</v>
      </c>
      <c r="X208" s="0" t="n">
        <v>20</v>
      </c>
      <c r="Y208" s="0" t="n">
        <v>19</v>
      </c>
      <c r="Z208" s="0" t="inlineStr">
        <is>
          <t>https://new.land.naver.com/complexes/1828?tab=detail&amp;rf=Y</t>
        </is>
      </c>
      <c r="AA208" s="0" t="inlineStr">
        <is>
          <t>경기도 수원시 장안구 율전동 319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장안구</t>
        </is>
      </c>
      <c r="AE208" s="0" t="inlineStr">
        <is>
          <t>율전동</t>
        </is>
      </c>
      <c r="AG208" s="0" t="inlineStr">
        <is>
          <t>경기도 수원시 장안구 화산로 263</t>
        </is>
      </c>
      <c r="AH208" s="0" t="n">
        <v>0</v>
      </c>
      <c r="AI208" s="0" t="n">
        <v>294</v>
      </c>
      <c r="AJ208" s="0" t="n">
        <v>23</v>
      </c>
      <c r="AK208" s="0" t="n">
        <v>831</v>
      </c>
      <c r="AL208" s="0" t="n">
        <v>1.01</v>
      </c>
    </row>
    <row r="209">
      <c r="A209" s="0" t="inlineStr">
        <is>
          <t>[율전동]</t>
        </is>
      </c>
      <c r="B209" s="0" t="n">
        <v>1828</v>
      </c>
      <c r="C209" s="0" t="n">
        <v>3</v>
      </c>
      <c r="D209" s="0" t="inlineStr">
        <is>
          <t>신일</t>
        </is>
      </c>
      <c r="E209" s="0" t="inlineStr">
        <is>
          <t>1997.12.</t>
        </is>
      </c>
      <c r="F209" s="0" t="n">
        <v>824</v>
      </c>
      <c r="G209" s="0" t="n">
        <v>46.72</v>
      </c>
      <c r="H209" s="0" t="n">
        <v>154.47</v>
      </c>
      <c r="I209" s="0" t="n">
        <v>38.39</v>
      </c>
      <c r="J209" s="0" t="n">
        <v>126.91</v>
      </c>
      <c r="K209" s="0" t="n">
        <v>114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154</v>
      </c>
      <c r="X209" s="0" t="n">
        <v>20</v>
      </c>
      <c r="Y209" s="0" t="n">
        <v>19</v>
      </c>
      <c r="Z209" s="0" t="inlineStr">
        <is>
          <t>https://new.land.naver.com/complexes/1828?tab=detail&amp;rf=Y</t>
        </is>
      </c>
      <c r="AA209" s="0" t="inlineStr">
        <is>
          <t>경기도 수원시 장안구 율전동 319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장안구</t>
        </is>
      </c>
      <c r="AE209" s="0" t="inlineStr">
        <is>
          <t>율전동</t>
        </is>
      </c>
      <c r="AG209" s="0" t="inlineStr">
        <is>
          <t>경기도 수원시 장안구 화산로 263</t>
        </is>
      </c>
      <c r="AH209" s="0" t="n">
        <v>0</v>
      </c>
      <c r="AI209" s="0" t="n">
        <v>294</v>
      </c>
      <c r="AJ209" s="0" t="n">
        <v>23</v>
      </c>
      <c r="AK209" s="0" t="n">
        <v>831</v>
      </c>
      <c r="AL209" s="0" t="n">
        <v>1.01</v>
      </c>
    </row>
    <row r="210">
      <c r="A210" s="0" t="inlineStr">
        <is>
          <t>[율전동]</t>
        </is>
      </c>
      <c r="B210" s="0" t="n">
        <v>27243</v>
      </c>
      <c r="C210" s="0" t="n">
        <v>1</v>
      </c>
      <c r="D210" s="0" t="inlineStr">
        <is>
          <t>서희스타힐스3단지</t>
        </is>
      </c>
      <c r="E210" s="0" t="inlineStr">
        <is>
          <t>2010.12.</t>
        </is>
      </c>
      <c r="F210" s="0" t="n">
        <v>180</v>
      </c>
      <c r="G210" s="0" t="n">
        <v>24.87</v>
      </c>
      <c r="H210" s="0" t="n">
        <v>82.22</v>
      </c>
      <c r="I210" s="0" t="n">
        <v>18</v>
      </c>
      <c r="J210" s="0" t="n">
        <v>59.52</v>
      </c>
      <c r="K210" s="0" t="n">
        <v>117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82</v>
      </c>
      <c r="X210" s="0" t="n">
        <v>15</v>
      </c>
      <c r="Y210" s="0" t="n">
        <v>15</v>
      </c>
      <c r="Z210" s="0" t="inlineStr">
        <is>
          <t>https://new.land.naver.com/complexes/27243?tab=detail&amp;rf=Y</t>
        </is>
      </c>
      <c r="AA210" s="0" t="inlineStr">
        <is>
          <t>경기도 수원시 장안구 율전동 560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장안구</t>
        </is>
      </c>
      <c r="AE210" s="0" t="inlineStr">
        <is>
          <t>율전동</t>
        </is>
      </c>
      <c r="AG210" s="0" t="inlineStr">
        <is>
          <t>경기도 수원시 장안구 덕영대로407번길 83</t>
        </is>
      </c>
      <c r="AH210" s="0" t="n">
        <v>0</v>
      </c>
      <c r="AI210" s="0" t="n">
        <v>247</v>
      </c>
      <c r="AJ210" s="0" t="n">
        <v>24</v>
      </c>
      <c r="AK210" s="0" t="n">
        <v>197</v>
      </c>
      <c r="AL210" s="0" t="n">
        <v>1.09</v>
      </c>
    </row>
    <row r="211">
      <c r="A211" s="0" t="inlineStr">
        <is>
          <t>[율전동]</t>
        </is>
      </c>
      <c r="B211" s="0" t="n">
        <v>27243</v>
      </c>
      <c r="C211" s="0" t="n">
        <v>2</v>
      </c>
      <c r="D211" s="0" t="inlineStr">
        <is>
          <t>서희스타힐스3단지</t>
        </is>
      </c>
      <c r="E211" s="0" t="inlineStr">
        <is>
          <t>2010.12.</t>
        </is>
      </c>
      <c r="F211" s="0" t="n">
        <v>180</v>
      </c>
      <c r="G211" s="0" t="n">
        <v>25.55</v>
      </c>
      <c r="H211" s="0" t="n">
        <v>84.47</v>
      </c>
      <c r="I211" s="0" t="n">
        <v>18.13</v>
      </c>
      <c r="J211" s="0" t="n">
        <v>59.95</v>
      </c>
      <c r="K211" s="0" t="n">
        <v>28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84</v>
      </c>
      <c r="X211" s="0" t="n">
        <v>15</v>
      </c>
      <c r="Y211" s="0" t="n">
        <v>15</v>
      </c>
      <c r="Z211" s="0" t="inlineStr">
        <is>
          <t>https://new.land.naver.com/complexes/27243?tab=detail&amp;rf=Y</t>
        </is>
      </c>
      <c r="AA211" s="0" t="inlineStr">
        <is>
          <t>경기도 수원시 장안구 율전동 560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장안구</t>
        </is>
      </c>
      <c r="AE211" s="0" t="inlineStr">
        <is>
          <t>율전동</t>
        </is>
      </c>
      <c r="AG211" s="0" t="inlineStr">
        <is>
          <t>경기도 수원시 장안구 덕영대로407번길 83</t>
        </is>
      </c>
      <c r="AH211" s="0" t="n">
        <v>0</v>
      </c>
      <c r="AI211" s="0" t="n">
        <v>247</v>
      </c>
      <c r="AJ211" s="0" t="n">
        <v>24</v>
      </c>
      <c r="AK211" s="0" t="n">
        <v>197</v>
      </c>
      <c r="AL211" s="0" t="n">
        <v>1.09</v>
      </c>
    </row>
    <row r="212">
      <c r="A212" s="0" t="inlineStr">
        <is>
          <t>[율전동]</t>
        </is>
      </c>
      <c r="B212" s="0" t="n">
        <v>27243</v>
      </c>
      <c r="C212" s="0" t="n">
        <v>3</v>
      </c>
      <c r="D212" s="0" t="inlineStr">
        <is>
          <t>서희스타힐스3단지</t>
        </is>
      </c>
      <c r="E212" s="0" t="inlineStr">
        <is>
          <t>2010.12.</t>
        </is>
      </c>
      <c r="F212" s="0" t="n">
        <v>180</v>
      </c>
      <c r="G212" s="0" t="n">
        <v>35.16</v>
      </c>
      <c r="H212" s="0" t="n">
        <v>116.24</v>
      </c>
      <c r="I212" s="0" t="n">
        <v>25.63</v>
      </c>
      <c r="J212" s="0" t="n">
        <v>84.73</v>
      </c>
      <c r="K212" s="0" t="n">
        <v>35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116</v>
      </c>
      <c r="X212" s="0" t="n">
        <v>15</v>
      </c>
      <c r="Y212" s="0" t="n">
        <v>15</v>
      </c>
      <c r="Z212" s="0" t="inlineStr">
        <is>
          <t>https://new.land.naver.com/complexes/27243?tab=detail&amp;rf=Y</t>
        </is>
      </c>
      <c r="AA212" s="0" t="inlineStr">
        <is>
          <t>경기도 수원시 장안구 율전동 560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장안구</t>
        </is>
      </c>
      <c r="AE212" s="0" t="inlineStr">
        <is>
          <t>율전동</t>
        </is>
      </c>
      <c r="AG212" s="0" t="inlineStr">
        <is>
          <t>경기도 수원시 장안구 덕영대로407번길 83</t>
        </is>
      </c>
      <c r="AH212" s="0" t="n">
        <v>0</v>
      </c>
      <c r="AI212" s="0" t="n">
        <v>247</v>
      </c>
      <c r="AJ212" s="0" t="n">
        <v>24</v>
      </c>
      <c r="AK212" s="0" t="n">
        <v>197</v>
      </c>
      <c r="AL212" s="0" t="n">
        <v>1.09</v>
      </c>
    </row>
    <row r="213">
      <c r="A213" s="0" t="inlineStr">
        <is>
          <t>[율전동]</t>
        </is>
      </c>
      <c r="B213" s="0" t="n">
        <v>1827</v>
      </c>
      <c r="C213" s="0" t="n">
        <v>1</v>
      </c>
      <c r="D213" s="0" t="inlineStr">
        <is>
          <t>천록</t>
        </is>
      </c>
      <c r="E213" s="0" t="inlineStr">
        <is>
          <t>1983.06.</t>
        </is>
      </c>
      <c r="F213" s="0" t="n">
        <v>230</v>
      </c>
      <c r="G213" s="0" t="n">
        <v>17.01</v>
      </c>
      <c r="H213" s="0" t="n">
        <v>56.25</v>
      </c>
      <c r="I213" s="0" t="n">
        <v>13.5</v>
      </c>
      <c r="J213" s="0" t="n">
        <v>44.66</v>
      </c>
      <c r="K213" s="0" t="n">
        <v>180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56</v>
      </c>
      <c r="X213" s="0" t="n">
        <v>5</v>
      </c>
      <c r="Y213" s="0" t="n">
        <v>5</v>
      </c>
      <c r="Z213" s="0" t="inlineStr">
        <is>
          <t>https://new.land.naver.com/complexes/1827?tab=detail&amp;rf=Y</t>
        </is>
      </c>
      <c r="AA213" s="0" t="inlineStr">
        <is>
          <t>경기도 수원시 장안구 율전동 276-3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장안구</t>
        </is>
      </c>
      <c r="AE213" s="0" t="inlineStr">
        <is>
          <t>율전동</t>
        </is>
      </c>
      <c r="AG213" s="0" t="inlineStr">
        <is>
          <t>경기도 수원시 장안구 화산로203번길 24</t>
        </is>
      </c>
      <c r="AH213" s="0" t="n">
        <v>0</v>
      </c>
      <c r="AI213" s="0" t="n">
        <v>104</v>
      </c>
      <c r="AJ213" s="0" t="n">
        <v>20</v>
      </c>
      <c r="AK213" s="0" t="n">
        <v>0</v>
      </c>
      <c r="AL213" s="0" t="n">
        <v>0</v>
      </c>
    </row>
    <row r="214">
      <c r="A214" s="0" t="inlineStr">
        <is>
          <t>[율전동]</t>
        </is>
      </c>
      <c r="B214" s="0" t="n">
        <v>1827</v>
      </c>
      <c r="C214" s="0" t="n">
        <v>2</v>
      </c>
      <c r="D214" s="0" t="inlineStr">
        <is>
          <t>천록</t>
        </is>
      </c>
      <c r="E214" s="0" t="inlineStr">
        <is>
          <t>1983.06.</t>
        </is>
      </c>
      <c r="F214" s="0" t="n">
        <v>230</v>
      </c>
      <c r="G214" s="0" t="n">
        <v>22.8</v>
      </c>
      <c r="H214" s="0" t="n">
        <v>75.39</v>
      </c>
      <c r="I214" s="0" t="n">
        <v>18.77</v>
      </c>
      <c r="J214" s="0" t="n">
        <v>62.06</v>
      </c>
      <c r="K214" s="0" t="n">
        <v>50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75</v>
      </c>
      <c r="X214" s="0" t="n">
        <v>5</v>
      </c>
      <c r="Y214" s="0" t="n">
        <v>5</v>
      </c>
      <c r="Z214" s="0" t="inlineStr">
        <is>
          <t>https://new.land.naver.com/complexes/1827?tab=detail&amp;rf=Y</t>
        </is>
      </c>
      <c r="AA214" s="0" t="inlineStr">
        <is>
          <t>경기도 수원시 장안구 율전동 276-3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장안구</t>
        </is>
      </c>
      <c r="AE214" s="0" t="inlineStr">
        <is>
          <t>율전동</t>
        </is>
      </c>
      <c r="AG214" s="0" t="inlineStr">
        <is>
          <t>경기도 수원시 장안구 화산로203번길 24</t>
        </is>
      </c>
      <c r="AH214" s="0" t="n">
        <v>0</v>
      </c>
      <c r="AI214" s="0" t="n">
        <v>104</v>
      </c>
      <c r="AJ214" s="0" t="n">
        <v>20</v>
      </c>
      <c r="AK214" s="0" t="n">
        <v>0</v>
      </c>
      <c r="AL214" s="0" t="n">
        <v>0</v>
      </c>
    </row>
    <row r="215">
      <c r="A215" s="0" t="inlineStr">
        <is>
          <t>[율전동]</t>
        </is>
      </c>
      <c r="B215" s="0" t="n">
        <v>9077</v>
      </c>
      <c r="C215" s="0" t="n">
        <v>1</v>
      </c>
      <c r="D215" s="0" t="inlineStr">
        <is>
          <t>청도</t>
        </is>
      </c>
      <c r="E215" s="0" t="inlineStr">
        <is>
          <t>1987.04.</t>
        </is>
      </c>
      <c r="F215" s="0" t="n">
        <v>85</v>
      </c>
      <c r="G215" s="0" t="n">
        <v>16.69</v>
      </c>
      <c r="H215" s="0" t="n">
        <v>55.2</v>
      </c>
      <c r="I215" s="0" t="n">
        <v>11.98</v>
      </c>
      <c r="J215" s="0" t="n">
        <v>39.62</v>
      </c>
      <c r="K215" s="0" t="n">
        <v>55</v>
      </c>
      <c r="T215" s="0" t="n">
        <v>2</v>
      </c>
      <c r="U215" s="0" t="n">
        <v>2</v>
      </c>
      <c r="V215" s="0" t="inlineStr">
        <is>
          <t>계단식</t>
        </is>
      </c>
      <c r="W215" s="0" t="n">
        <v>55</v>
      </c>
      <c r="X215" s="0" t="n">
        <v>5</v>
      </c>
      <c r="Y215" s="0" t="n">
        <v>5</v>
      </c>
      <c r="Z215" s="0" t="inlineStr">
        <is>
          <t>https://new.land.naver.com/complexes/9077?tab=detail&amp;rf=Y</t>
        </is>
      </c>
      <c r="AA215" s="0" t="inlineStr">
        <is>
          <t>경기도 수원시 장안구 율전동 408-9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장안구</t>
        </is>
      </c>
      <c r="AE215" s="0" t="inlineStr">
        <is>
          <t>율전동</t>
        </is>
      </c>
      <c r="AG215" s="0" t="inlineStr">
        <is>
          <t>경기도 수원시 장안구 율전로64번길 69</t>
        </is>
      </c>
      <c r="AH215" s="0" t="n">
        <v>0</v>
      </c>
      <c r="AI215" s="0" t="n">
        <v>157</v>
      </c>
      <c r="AJ215" s="0" t="n">
        <v>32</v>
      </c>
      <c r="AK215" s="0" t="n">
        <v>13</v>
      </c>
      <c r="AL215" s="0" t="n">
        <v>0.15</v>
      </c>
    </row>
    <row r="216">
      <c r="A216" s="0" t="inlineStr">
        <is>
          <t>[율전동]</t>
        </is>
      </c>
      <c r="B216" s="0" t="n">
        <v>9077</v>
      </c>
      <c r="C216" s="0" t="n">
        <v>2</v>
      </c>
      <c r="D216" s="0" t="inlineStr">
        <is>
          <t>청도</t>
        </is>
      </c>
      <c r="E216" s="0" t="inlineStr">
        <is>
          <t>1987.04.</t>
        </is>
      </c>
      <c r="F216" s="0" t="n">
        <v>85</v>
      </c>
      <c r="G216" s="0" t="n">
        <v>18.65</v>
      </c>
      <c r="H216" s="0" t="n">
        <v>61.68</v>
      </c>
      <c r="I216" s="0" t="n">
        <v>13.61</v>
      </c>
      <c r="J216" s="0" t="n">
        <v>45.02</v>
      </c>
      <c r="K216" s="0" t="n">
        <v>30</v>
      </c>
      <c r="T216" s="0" t="n">
        <v>2</v>
      </c>
      <c r="U216" s="0" t="n">
        <v>1</v>
      </c>
      <c r="V216" s="0" t="inlineStr">
        <is>
          <t>계단식</t>
        </is>
      </c>
      <c r="W216" s="0" t="n">
        <v>61</v>
      </c>
      <c r="X216" s="0" t="n">
        <v>5</v>
      </c>
      <c r="Y216" s="0" t="n">
        <v>5</v>
      </c>
      <c r="Z216" s="0" t="inlineStr">
        <is>
          <t>https://new.land.naver.com/complexes/9077?tab=detail&amp;rf=Y</t>
        </is>
      </c>
      <c r="AA216" s="0" t="inlineStr">
        <is>
          <t>경기도 수원시 장안구 율전동 408-9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장안구</t>
        </is>
      </c>
      <c r="AE216" s="0" t="inlineStr">
        <is>
          <t>율전동</t>
        </is>
      </c>
      <c r="AG216" s="0" t="inlineStr">
        <is>
          <t>경기도 수원시 장안구 율전로64번길 69</t>
        </is>
      </c>
      <c r="AH216" s="0" t="n">
        <v>0</v>
      </c>
      <c r="AI216" s="0" t="n">
        <v>157</v>
      </c>
      <c r="AJ216" s="0" t="n">
        <v>32</v>
      </c>
      <c r="AK216" s="0" t="n">
        <v>13</v>
      </c>
      <c r="AL216" s="0" t="n">
        <v>0.15</v>
      </c>
    </row>
    <row r="217">
      <c r="A217" s="0" t="inlineStr">
        <is>
          <t>[율전동]</t>
        </is>
      </c>
      <c r="B217" s="0" t="n">
        <v>1823</v>
      </c>
      <c r="C217" s="0" t="n">
        <v>1</v>
      </c>
      <c r="D217" s="0" t="inlineStr">
        <is>
          <t>삼성1단지</t>
        </is>
      </c>
      <c r="E217" s="0" t="inlineStr">
        <is>
          <t>1998.08.</t>
        </is>
      </c>
      <c r="F217" s="0" t="n">
        <v>364</v>
      </c>
      <c r="G217" s="0" t="n">
        <v>26.99</v>
      </c>
      <c r="H217" s="0" t="n">
        <v>89.23999999999999</v>
      </c>
      <c r="I217" s="0" t="n">
        <v>18.14</v>
      </c>
      <c r="J217" s="0" t="n">
        <v>59.98</v>
      </c>
      <c r="K217" s="0" t="n">
        <v>114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89</v>
      </c>
      <c r="X217" s="0" t="n">
        <v>20</v>
      </c>
      <c r="Y217" s="0" t="n">
        <v>18</v>
      </c>
      <c r="Z217" s="0" t="inlineStr">
        <is>
          <t>https://new.land.naver.com/complexes/1823?tab=detail&amp;rf=Y</t>
        </is>
      </c>
      <c r="AA217" s="0" t="inlineStr">
        <is>
          <t>경기도 수원시 장안구 율전동 468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장안구</t>
        </is>
      </c>
      <c r="AE217" s="0" t="inlineStr">
        <is>
          <t>율전동</t>
        </is>
      </c>
      <c r="AG217" s="0" t="inlineStr">
        <is>
          <t>경기도 수원시 장안구 서부로 2065</t>
        </is>
      </c>
      <c r="AH217" s="0" t="n">
        <v>0</v>
      </c>
      <c r="AI217" s="0" t="n">
        <v>170</v>
      </c>
      <c r="AJ217" s="0" t="n">
        <v>15</v>
      </c>
      <c r="AK217" s="0" t="n">
        <v>485</v>
      </c>
      <c r="AL217" s="0" t="n">
        <v>1.33</v>
      </c>
    </row>
    <row r="218">
      <c r="A218" s="0" t="inlineStr">
        <is>
          <t>[율전동]</t>
        </is>
      </c>
      <c r="B218" s="0" t="n">
        <v>1823</v>
      </c>
      <c r="C218" s="0" t="n">
        <v>2</v>
      </c>
      <c r="D218" s="0" t="inlineStr">
        <is>
          <t>삼성1단지</t>
        </is>
      </c>
      <c r="E218" s="0" t="inlineStr">
        <is>
          <t>1998.08.</t>
        </is>
      </c>
      <c r="F218" s="0" t="n">
        <v>364</v>
      </c>
      <c r="G218" s="0" t="n">
        <v>34.89</v>
      </c>
      <c r="H218" s="0" t="n">
        <v>115.36</v>
      </c>
      <c r="I218" s="0" t="n">
        <v>25.7</v>
      </c>
      <c r="J218" s="0" t="n">
        <v>84.98999999999999</v>
      </c>
      <c r="K218" s="0" t="n">
        <v>250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115</v>
      </c>
      <c r="X218" s="0" t="n">
        <v>20</v>
      </c>
      <c r="Y218" s="0" t="n">
        <v>18</v>
      </c>
      <c r="Z218" s="0" t="inlineStr">
        <is>
          <t>https://new.land.naver.com/complexes/1823?tab=detail&amp;rf=Y</t>
        </is>
      </c>
      <c r="AA218" s="0" t="inlineStr">
        <is>
          <t>경기도 수원시 장안구 율전동 468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장안구</t>
        </is>
      </c>
      <c r="AE218" s="0" t="inlineStr">
        <is>
          <t>율전동</t>
        </is>
      </c>
      <c r="AG218" s="0" t="inlineStr">
        <is>
          <t>경기도 수원시 장안구 서부로 2065</t>
        </is>
      </c>
      <c r="AH218" s="0" t="n">
        <v>0</v>
      </c>
      <c r="AI218" s="0" t="n">
        <v>170</v>
      </c>
      <c r="AJ218" s="0" t="n">
        <v>15</v>
      </c>
      <c r="AK218" s="0" t="n">
        <v>485</v>
      </c>
      <c r="AL218" s="0" t="n">
        <v>1.33</v>
      </c>
    </row>
    <row r="219">
      <c r="A219" s="0" t="inlineStr">
        <is>
          <t>[율전동]</t>
        </is>
      </c>
      <c r="B219" s="0" t="n">
        <v>12913</v>
      </c>
      <c r="C219" s="0" t="n">
        <v>1</v>
      </c>
      <c r="D219" s="0" t="inlineStr">
        <is>
          <t>율전이안</t>
        </is>
      </c>
      <c r="E219" s="0" t="inlineStr">
        <is>
          <t>2005.10.</t>
        </is>
      </c>
      <c r="F219" s="0" t="n">
        <v>383</v>
      </c>
      <c r="G219" s="0" t="n">
        <v>21.63</v>
      </c>
      <c r="H219" s="0" t="n">
        <v>71.53</v>
      </c>
      <c r="I219" s="0" t="n">
        <v>15.94</v>
      </c>
      <c r="J219" s="0" t="n">
        <v>52.7</v>
      </c>
      <c r="K219" s="0" t="n">
        <v>84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71</v>
      </c>
      <c r="X219" s="0" t="n">
        <v>15</v>
      </c>
      <c r="Y219" s="0" t="n">
        <v>8</v>
      </c>
      <c r="Z219" s="0" t="inlineStr">
        <is>
          <t>https://new.land.naver.com/complexes/12913?tab=detail&amp;rf=Y</t>
        </is>
      </c>
      <c r="AA219" s="0" t="inlineStr">
        <is>
          <t>경기도 수원시 장안구 율전동 375-2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장안구</t>
        </is>
      </c>
      <c r="AE219" s="0" t="inlineStr">
        <is>
          <t>율전동</t>
        </is>
      </c>
      <c r="AG219" s="0" t="inlineStr">
        <is>
          <t>경기도 수원시 장안구 율전로 73</t>
        </is>
      </c>
      <c r="AH219" s="0" t="n">
        <v>0</v>
      </c>
      <c r="AI219" s="0" t="n">
        <v>241</v>
      </c>
      <c r="AJ219" s="0" t="n">
        <v>22</v>
      </c>
      <c r="AK219" s="0" t="n">
        <v>389</v>
      </c>
      <c r="AL219" s="0" t="n">
        <v>1.02</v>
      </c>
    </row>
    <row r="220">
      <c r="A220" s="0" t="inlineStr">
        <is>
          <t>[율전동]</t>
        </is>
      </c>
      <c r="B220" s="0" t="n">
        <v>12913</v>
      </c>
      <c r="C220" s="0" t="n">
        <v>2</v>
      </c>
      <c r="D220" s="0" t="inlineStr">
        <is>
          <t>율전이안</t>
        </is>
      </c>
      <c r="E220" s="0" t="inlineStr">
        <is>
          <t>2005.10.</t>
        </is>
      </c>
      <c r="F220" s="0" t="n">
        <v>383</v>
      </c>
      <c r="G220" s="0" t="n">
        <v>34.4</v>
      </c>
      <c r="H220" s="0" t="n">
        <v>113.75</v>
      </c>
      <c r="I220" s="0" t="n">
        <v>25.7</v>
      </c>
      <c r="J220" s="0" t="n">
        <v>84.98</v>
      </c>
      <c r="K220" s="0" t="n">
        <v>84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113C</t>
        </is>
      </c>
      <c r="X220" s="0" t="n">
        <v>15</v>
      </c>
      <c r="Y220" s="0" t="n">
        <v>8</v>
      </c>
      <c r="Z220" s="0" t="inlineStr">
        <is>
          <t>https://new.land.naver.com/complexes/12913?tab=detail&amp;rf=Y</t>
        </is>
      </c>
      <c r="AA220" s="0" t="inlineStr">
        <is>
          <t>경기도 수원시 장안구 율전동 375-2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장안구</t>
        </is>
      </c>
      <c r="AE220" s="0" t="inlineStr">
        <is>
          <t>율전동</t>
        </is>
      </c>
      <c r="AG220" s="0" t="inlineStr">
        <is>
          <t>경기도 수원시 장안구 율전로 73</t>
        </is>
      </c>
      <c r="AH220" s="0" t="n">
        <v>0</v>
      </c>
      <c r="AI220" s="0" t="n">
        <v>241</v>
      </c>
      <c r="AJ220" s="0" t="n">
        <v>22</v>
      </c>
      <c r="AK220" s="0" t="n">
        <v>389</v>
      </c>
      <c r="AL220" s="0" t="n">
        <v>1.02</v>
      </c>
    </row>
    <row r="221">
      <c r="A221" s="0" t="inlineStr">
        <is>
          <t>[율전동]</t>
        </is>
      </c>
      <c r="B221" s="0" t="n">
        <v>12913</v>
      </c>
      <c r="C221" s="0" t="n">
        <v>3</v>
      </c>
      <c r="D221" s="0" t="inlineStr">
        <is>
          <t>율전이안</t>
        </is>
      </c>
      <c r="E221" s="0" t="inlineStr">
        <is>
          <t>2005.10.</t>
        </is>
      </c>
      <c r="F221" s="0" t="n">
        <v>383</v>
      </c>
      <c r="G221" s="0" t="n">
        <v>34.35</v>
      </c>
      <c r="H221" s="0" t="n">
        <v>113.58</v>
      </c>
      <c r="I221" s="0" t="n">
        <v>25.7</v>
      </c>
      <c r="J221" s="0" t="n">
        <v>84.98</v>
      </c>
      <c r="K221" s="0" t="n">
        <v>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113B</t>
        </is>
      </c>
      <c r="X221" s="0" t="n">
        <v>15</v>
      </c>
      <c r="Y221" s="0" t="n">
        <v>8</v>
      </c>
      <c r="Z221" s="0" t="inlineStr">
        <is>
          <t>https://new.land.naver.com/complexes/12913?tab=detail&amp;rf=Y</t>
        </is>
      </c>
      <c r="AA221" s="0" t="inlineStr">
        <is>
          <t>경기도 수원시 장안구 율전동 375-2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장안구</t>
        </is>
      </c>
      <c r="AE221" s="0" t="inlineStr">
        <is>
          <t>율전동</t>
        </is>
      </c>
      <c r="AG221" s="0" t="inlineStr">
        <is>
          <t>경기도 수원시 장안구 율전로 73</t>
        </is>
      </c>
      <c r="AH221" s="0" t="n">
        <v>0</v>
      </c>
      <c r="AI221" s="0" t="n">
        <v>241</v>
      </c>
      <c r="AJ221" s="0" t="n">
        <v>22</v>
      </c>
      <c r="AK221" s="0" t="n">
        <v>389</v>
      </c>
      <c r="AL221" s="0" t="n">
        <v>1.02</v>
      </c>
    </row>
    <row r="222">
      <c r="A222" s="0" t="inlineStr">
        <is>
          <t>[율전동]</t>
        </is>
      </c>
      <c r="B222" s="0" t="n">
        <v>12913</v>
      </c>
      <c r="C222" s="0" t="n">
        <v>4</v>
      </c>
      <c r="D222" s="0" t="inlineStr">
        <is>
          <t>율전이안</t>
        </is>
      </c>
      <c r="E222" s="0" t="inlineStr">
        <is>
          <t>2005.10.</t>
        </is>
      </c>
      <c r="F222" s="0" t="n">
        <v>383</v>
      </c>
      <c r="G222" s="0" t="n">
        <v>34.61</v>
      </c>
      <c r="H222" s="0" t="n">
        <v>114.44</v>
      </c>
      <c r="I222" s="0" t="n">
        <v>25.7</v>
      </c>
      <c r="J222" s="0" t="n">
        <v>84.98</v>
      </c>
      <c r="K222" s="0" t="n">
        <v>178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114A</t>
        </is>
      </c>
      <c r="X222" s="0" t="n">
        <v>15</v>
      </c>
      <c r="Y222" s="0" t="n">
        <v>8</v>
      </c>
      <c r="Z222" s="0" t="inlineStr">
        <is>
          <t>https://new.land.naver.com/complexes/12913?tab=detail&amp;rf=Y</t>
        </is>
      </c>
      <c r="AA222" s="0" t="inlineStr">
        <is>
          <t>경기도 수원시 장안구 율전동 375-2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장안구</t>
        </is>
      </c>
      <c r="AE222" s="0" t="inlineStr">
        <is>
          <t>율전동</t>
        </is>
      </c>
      <c r="AG222" s="0" t="inlineStr">
        <is>
          <t>경기도 수원시 장안구 율전로 73</t>
        </is>
      </c>
      <c r="AH222" s="0" t="n">
        <v>0</v>
      </c>
      <c r="AI222" s="0" t="n">
        <v>241</v>
      </c>
      <c r="AJ222" s="0" t="n">
        <v>22</v>
      </c>
      <c r="AK222" s="0" t="n">
        <v>389</v>
      </c>
      <c r="AL222" s="0" t="n">
        <v>1.02</v>
      </c>
    </row>
    <row r="223">
      <c r="A223" s="0" t="inlineStr">
        <is>
          <t>[율전동]</t>
        </is>
      </c>
      <c r="B223" s="0" t="n">
        <v>12913</v>
      </c>
      <c r="C223" s="0" t="n">
        <v>5</v>
      </c>
      <c r="D223" s="0" t="inlineStr">
        <is>
          <t>율전이안</t>
        </is>
      </c>
      <c r="E223" s="0" t="inlineStr">
        <is>
          <t>2005.10.</t>
        </is>
      </c>
      <c r="F223" s="0" t="n">
        <v>383</v>
      </c>
      <c r="G223" s="0" t="n">
        <v>45.9</v>
      </c>
      <c r="H223" s="0" t="n">
        <v>151.75</v>
      </c>
      <c r="I223" s="0" t="n">
        <v>36.98</v>
      </c>
      <c r="J223" s="0" t="n">
        <v>122.28</v>
      </c>
      <c r="K223" s="0" t="n">
        <v>28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151</v>
      </c>
      <c r="X223" s="0" t="n">
        <v>15</v>
      </c>
      <c r="Y223" s="0" t="n">
        <v>8</v>
      </c>
      <c r="Z223" s="0" t="inlineStr">
        <is>
          <t>https://new.land.naver.com/complexes/12913?tab=detail&amp;rf=Y</t>
        </is>
      </c>
      <c r="AA223" s="0" t="inlineStr">
        <is>
          <t>경기도 수원시 장안구 율전동 375-2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장안구</t>
        </is>
      </c>
      <c r="AE223" s="0" t="inlineStr">
        <is>
          <t>율전동</t>
        </is>
      </c>
      <c r="AG223" s="0" t="inlineStr">
        <is>
          <t>경기도 수원시 장안구 율전로 73</t>
        </is>
      </c>
      <c r="AH223" s="0" t="n">
        <v>0</v>
      </c>
      <c r="AI223" s="0" t="n">
        <v>241</v>
      </c>
      <c r="AJ223" s="0" t="n">
        <v>22</v>
      </c>
      <c r="AK223" s="0" t="n">
        <v>389</v>
      </c>
      <c r="AL223" s="0" t="n">
        <v>1.02</v>
      </c>
    </row>
    <row r="224">
      <c r="A224" s="0" t="inlineStr">
        <is>
          <t>[율전동]</t>
        </is>
      </c>
      <c r="B224" s="0" t="n">
        <v>17266</v>
      </c>
      <c r="C224" s="0" t="n">
        <v>1</v>
      </c>
      <c r="D224" s="0" t="inlineStr">
        <is>
          <t>건우</t>
        </is>
      </c>
      <c r="E224" s="0" t="inlineStr">
        <is>
          <t>1987.06.</t>
        </is>
      </c>
      <c r="F224" s="0" t="n">
        <v>65</v>
      </c>
      <c r="G224" s="0" t="n">
        <v>18.74</v>
      </c>
      <c r="H224" s="0" t="n">
        <v>61.97</v>
      </c>
      <c r="I224" s="0" t="n">
        <v>12.99</v>
      </c>
      <c r="J224" s="0" t="n">
        <v>42.96</v>
      </c>
      <c r="K224" s="0" t="n">
        <v>30</v>
      </c>
      <c r="T224" s="0" t="n">
        <v>2</v>
      </c>
      <c r="U224" s="0" t="n">
        <v>1</v>
      </c>
      <c r="V224" s="0" t="inlineStr">
        <is>
          <t>계단식</t>
        </is>
      </c>
      <c r="W224" s="0" t="inlineStr">
        <is>
          <t>61A</t>
        </is>
      </c>
      <c r="X224" s="0" t="n">
        <v>5</v>
      </c>
      <c r="Y224" s="0" t="n">
        <v>5</v>
      </c>
      <c r="Z224" s="0" t="inlineStr">
        <is>
          <t>https://new.land.naver.com/complexes/17266?tab=detail&amp;rf=Y</t>
        </is>
      </c>
      <c r="AA224" s="0" t="inlineStr">
        <is>
          <t>경기도 수원시 장안구 율전동 168-68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장안구</t>
        </is>
      </c>
      <c r="AE224" s="0" t="inlineStr">
        <is>
          <t>율전동</t>
        </is>
      </c>
      <c r="AG224" s="0" t="inlineStr">
        <is>
          <t>경기도 수원시 장안구 덕영대로381번길 71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[율전동]</t>
        </is>
      </c>
      <c r="B225" s="0" t="n">
        <v>17266</v>
      </c>
      <c r="C225" s="0" t="n">
        <v>2</v>
      </c>
      <c r="D225" s="0" t="inlineStr">
        <is>
          <t>건우</t>
        </is>
      </c>
      <c r="E225" s="0" t="inlineStr">
        <is>
          <t>1987.06.</t>
        </is>
      </c>
      <c r="F225" s="0" t="n">
        <v>65</v>
      </c>
      <c r="G225" s="0" t="n">
        <v>18.67</v>
      </c>
      <c r="H225" s="0" t="n">
        <v>61.73</v>
      </c>
      <c r="I225" s="0" t="n">
        <v>13.32</v>
      </c>
      <c r="J225" s="0" t="n">
        <v>44.04</v>
      </c>
      <c r="K225" s="0" t="n">
        <v>15</v>
      </c>
      <c r="T225" s="0" t="n">
        <v>2</v>
      </c>
      <c r="U225" s="0" t="n">
        <v>1</v>
      </c>
      <c r="V225" s="0" t="inlineStr">
        <is>
          <t>계단식</t>
        </is>
      </c>
      <c r="W225" s="0" t="inlineStr">
        <is>
          <t>61B</t>
        </is>
      </c>
      <c r="X225" s="0" t="n">
        <v>5</v>
      </c>
      <c r="Y225" s="0" t="n">
        <v>5</v>
      </c>
      <c r="Z225" s="0" t="inlineStr">
        <is>
          <t>https://new.land.naver.com/complexes/17266?tab=detail&amp;rf=Y</t>
        </is>
      </c>
      <c r="AA225" s="0" t="inlineStr">
        <is>
          <t>경기도 수원시 장안구 율전동 168-68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장안구</t>
        </is>
      </c>
      <c r="AE225" s="0" t="inlineStr">
        <is>
          <t>율전동</t>
        </is>
      </c>
      <c r="AG225" s="0" t="inlineStr">
        <is>
          <t>경기도 수원시 장안구 덕영대로381번길 71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[율전동]</t>
        </is>
      </c>
      <c r="B226" s="0" t="n">
        <v>17266</v>
      </c>
      <c r="C226" s="0" t="n">
        <v>3</v>
      </c>
      <c r="D226" s="0" t="inlineStr">
        <is>
          <t>건우</t>
        </is>
      </c>
      <c r="E226" s="0" t="inlineStr">
        <is>
          <t>1987.06.</t>
        </is>
      </c>
      <c r="F226" s="0" t="n">
        <v>65</v>
      </c>
      <c r="G226" s="0" t="n">
        <v>19.13</v>
      </c>
      <c r="H226" s="0" t="n">
        <v>63.26</v>
      </c>
      <c r="I226" s="0" t="n">
        <v>13.78</v>
      </c>
      <c r="J226" s="0" t="n">
        <v>45.57</v>
      </c>
      <c r="K226" s="0" t="n">
        <v>15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63C</t>
        </is>
      </c>
      <c r="X226" s="0" t="n">
        <v>5</v>
      </c>
      <c r="Y226" s="0" t="n">
        <v>5</v>
      </c>
      <c r="Z226" s="0" t="inlineStr">
        <is>
          <t>https://new.land.naver.com/complexes/17266?tab=detail&amp;rf=Y</t>
        </is>
      </c>
      <c r="AA226" s="0" t="inlineStr">
        <is>
          <t>경기도 수원시 장안구 율전동 168-68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장안구</t>
        </is>
      </c>
      <c r="AE226" s="0" t="inlineStr">
        <is>
          <t>율전동</t>
        </is>
      </c>
      <c r="AG226" s="0" t="inlineStr">
        <is>
          <t>경기도 수원시 장안구 덕영대로381번길 71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[율전동]</t>
        </is>
      </c>
      <c r="B227" s="0" t="n">
        <v>17266</v>
      </c>
      <c r="C227" s="0" t="n">
        <v>4</v>
      </c>
      <c r="D227" s="0" t="inlineStr">
        <is>
          <t>건우</t>
        </is>
      </c>
      <c r="E227" s="0" t="inlineStr">
        <is>
          <t>1987.06.</t>
        </is>
      </c>
      <c r="F227" s="0" t="n">
        <v>65</v>
      </c>
      <c r="G227" s="0" t="n">
        <v>19.29</v>
      </c>
      <c r="H227" s="0" t="n">
        <v>63.77</v>
      </c>
      <c r="I227" s="0" t="n">
        <v>13.93</v>
      </c>
      <c r="J227" s="0" t="n">
        <v>46.08</v>
      </c>
      <c r="K227" s="0" t="n">
        <v>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63D</t>
        </is>
      </c>
      <c r="X227" s="0" t="n">
        <v>5</v>
      </c>
      <c r="Y227" s="0" t="n">
        <v>5</v>
      </c>
      <c r="Z227" s="0" t="inlineStr">
        <is>
          <t>https://new.land.naver.com/complexes/17266?tab=detail&amp;rf=Y</t>
        </is>
      </c>
      <c r="AA227" s="0" t="inlineStr">
        <is>
          <t>경기도 수원시 장안구 율전동 168-68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장안구</t>
        </is>
      </c>
      <c r="AE227" s="0" t="inlineStr">
        <is>
          <t>율전동</t>
        </is>
      </c>
      <c r="AG227" s="0" t="inlineStr">
        <is>
          <t>경기도 수원시 장안구 덕영대로381번길 71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[율전동]</t>
        </is>
      </c>
      <c r="B228" s="0" t="n">
        <v>9894</v>
      </c>
      <c r="C228" s="0" t="n">
        <v>1</v>
      </c>
      <c r="D228" s="0" t="inlineStr">
        <is>
          <t>율전</t>
        </is>
      </c>
      <c r="E228" s="0" t="inlineStr">
        <is>
          <t>1980.11.</t>
        </is>
      </c>
      <c r="F228" s="0" t="n">
        <v>40</v>
      </c>
      <c r="G228" s="0" t="n">
        <v>14.81</v>
      </c>
      <c r="H228" s="0" t="n">
        <v>48.99</v>
      </c>
      <c r="I228" s="0" t="n">
        <v>13.3</v>
      </c>
      <c r="J228" s="0" t="n">
        <v>43.97</v>
      </c>
      <c r="K228" s="0" t="n">
        <v>10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48</v>
      </c>
      <c r="X228" s="0" t="n">
        <v>5</v>
      </c>
      <c r="Y228" s="0" t="n">
        <v>5</v>
      </c>
      <c r="Z228" s="0" t="inlineStr">
        <is>
          <t>https://new.land.naver.com/complexes/9894?tab=detail&amp;rf=Y</t>
        </is>
      </c>
      <c r="AA228" s="0" t="inlineStr">
        <is>
          <t>경기도 수원시 장안구 율전동 439-8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장안구</t>
        </is>
      </c>
      <c r="AE228" s="0" t="inlineStr">
        <is>
          <t>율전동</t>
        </is>
      </c>
      <c r="AG228" s="0" t="inlineStr">
        <is>
          <t>경기도 수원시 장안구 서부로2106번길 26-130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[율전동]</t>
        </is>
      </c>
      <c r="B229" s="0" t="n">
        <v>9894</v>
      </c>
      <c r="C229" s="0" t="n">
        <v>2</v>
      </c>
      <c r="D229" s="0" t="inlineStr">
        <is>
          <t>율전</t>
        </is>
      </c>
      <c r="E229" s="0" t="inlineStr">
        <is>
          <t>1980.11.</t>
        </is>
      </c>
      <c r="F229" s="0" t="n">
        <v>40</v>
      </c>
      <c r="G229" s="0" t="n">
        <v>16.36</v>
      </c>
      <c r="H229" s="0" t="n">
        <v>54.09</v>
      </c>
      <c r="I229" s="0" t="n">
        <v>14.78</v>
      </c>
      <c r="J229" s="0" t="n">
        <v>48.89</v>
      </c>
      <c r="K229" s="0" t="n">
        <v>25</v>
      </c>
      <c r="T229" s="0" t="n">
        <v>2</v>
      </c>
      <c r="U229" s="0" t="n">
        <v>1</v>
      </c>
      <c r="V229" s="0" t="inlineStr">
        <is>
          <t>계단식</t>
        </is>
      </c>
      <c r="W229" s="0" t="n">
        <v>54</v>
      </c>
      <c r="X229" s="0" t="n">
        <v>5</v>
      </c>
      <c r="Y229" s="0" t="n">
        <v>5</v>
      </c>
      <c r="Z229" s="0" t="inlineStr">
        <is>
          <t>https://new.land.naver.com/complexes/9894?tab=detail&amp;rf=Y</t>
        </is>
      </c>
      <c r="AA229" s="0" t="inlineStr">
        <is>
          <t>경기도 수원시 장안구 율전동 439-8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장안구</t>
        </is>
      </c>
      <c r="AE229" s="0" t="inlineStr">
        <is>
          <t>율전동</t>
        </is>
      </c>
      <c r="AG229" s="0" t="inlineStr">
        <is>
          <t>경기도 수원시 장안구 서부로2106번길 26-130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[율전동]</t>
        </is>
      </c>
      <c r="B230" s="0" t="n">
        <v>9894</v>
      </c>
      <c r="C230" s="0" t="n">
        <v>3</v>
      </c>
      <c r="D230" s="0" t="inlineStr">
        <is>
          <t>율전</t>
        </is>
      </c>
      <c r="E230" s="0" t="inlineStr">
        <is>
          <t>1980.11.</t>
        </is>
      </c>
      <c r="F230" s="0" t="n">
        <v>40</v>
      </c>
      <c r="G230" s="0" t="n">
        <v>19.78</v>
      </c>
      <c r="H230" s="0" t="n">
        <v>65.42</v>
      </c>
      <c r="I230" s="0" t="n">
        <v>17.96</v>
      </c>
      <c r="J230" s="0" t="n">
        <v>59.4</v>
      </c>
      <c r="K230" s="0" t="n">
        <v>4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65B</t>
        </is>
      </c>
      <c r="X230" s="0" t="n">
        <v>5</v>
      </c>
      <c r="Y230" s="0" t="n">
        <v>5</v>
      </c>
      <c r="Z230" s="0" t="inlineStr">
        <is>
          <t>https://new.land.naver.com/complexes/9894?tab=detail&amp;rf=Y</t>
        </is>
      </c>
      <c r="AA230" s="0" t="inlineStr">
        <is>
          <t>경기도 수원시 장안구 율전동 439-8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장안구</t>
        </is>
      </c>
      <c r="AE230" s="0" t="inlineStr">
        <is>
          <t>율전동</t>
        </is>
      </c>
      <c r="AG230" s="0" t="inlineStr">
        <is>
          <t>경기도 수원시 장안구 서부로2106번길 26-130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[율전동]</t>
        </is>
      </c>
      <c r="B231" s="0" t="n">
        <v>9894</v>
      </c>
      <c r="C231" s="0" t="n">
        <v>4</v>
      </c>
      <c r="D231" s="0" t="inlineStr">
        <is>
          <t>율전</t>
        </is>
      </c>
      <c r="E231" s="0" t="inlineStr">
        <is>
          <t>1980.11.</t>
        </is>
      </c>
      <c r="F231" s="0" t="n">
        <v>40</v>
      </c>
      <c r="G231" s="0" t="n">
        <v>19.79</v>
      </c>
      <c r="H231" s="0" t="n">
        <v>65.43000000000001</v>
      </c>
      <c r="I231" s="0" t="n">
        <v>17.97</v>
      </c>
      <c r="J231" s="0" t="n">
        <v>59.41</v>
      </c>
      <c r="K231" s="0" t="n">
        <v>1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65A</t>
        </is>
      </c>
      <c r="X231" s="0" t="n">
        <v>5</v>
      </c>
      <c r="Y231" s="0" t="n">
        <v>5</v>
      </c>
      <c r="Z231" s="0" t="inlineStr">
        <is>
          <t>https://new.land.naver.com/complexes/9894?tab=detail&amp;rf=Y</t>
        </is>
      </c>
      <c r="AA231" s="0" t="inlineStr">
        <is>
          <t>경기도 수원시 장안구 율전동 439-8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장안구</t>
        </is>
      </c>
      <c r="AE231" s="0" t="inlineStr">
        <is>
          <t>율전동</t>
        </is>
      </c>
      <c r="AG231" s="0" t="inlineStr">
        <is>
          <t>경기도 수원시 장안구 서부로2106번길 26-130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[율전동]</t>
        </is>
      </c>
      <c r="B232" s="0" t="n">
        <v>10190</v>
      </c>
      <c r="C232" s="0" t="n">
        <v>1</v>
      </c>
      <c r="D232" s="0" t="inlineStr">
        <is>
          <t>송촌스페이스향</t>
        </is>
      </c>
      <c r="E232" s="0" t="inlineStr">
        <is>
          <t>2005.05.</t>
        </is>
      </c>
      <c r="F232" s="0" t="n">
        <v>140</v>
      </c>
      <c r="G232" s="0" t="n">
        <v>33.59</v>
      </c>
      <c r="H232" s="0" t="n">
        <v>111.05</v>
      </c>
      <c r="I232" s="0" t="n">
        <v>25.64</v>
      </c>
      <c r="J232" s="0" t="n">
        <v>84.79000000000001</v>
      </c>
      <c r="K232" s="0" t="n">
        <v>140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111</v>
      </c>
      <c r="X232" s="0" t="n">
        <v>24</v>
      </c>
      <c r="Y232" s="0" t="n">
        <v>23</v>
      </c>
      <c r="Z232" s="0" t="inlineStr">
        <is>
          <t>https://new.land.naver.com/complexes/10190?tab=detail&amp;rf=Y</t>
        </is>
      </c>
      <c r="AA232" s="0" t="inlineStr">
        <is>
          <t>경기도 수원시 장안구 율전동 544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장안구</t>
        </is>
      </c>
      <c r="AE232" s="0" t="inlineStr">
        <is>
          <t>율전동</t>
        </is>
      </c>
      <c r="AG232" s="0" t="inlineStr">
        <is>
          <t>경기도 수원시 장안구 상률로12번길 8</t>
        </is>
      </c>
      <c r="AH232" s="0" t="n">
        <v>0</v>
      </c>
      <c r="AI232" s="0" t="n">
        <v>231</v>
      </c>
      <c r="AJ232" s="0" t="n">
        <v>13</v>
      </c>
      <c r="AK232" s="0" t="n">
        <v>141</v>
      </c>
      <c r="AL232" s="0" t="n">
        <v>1.01</v>
      </c>
    </row>
    <row r="233">
      <c r="A233" s="0" t="inlineStr">
        <is>
          <t>[율전동]</t>
        </is>
      </c>
      <c r="B233" s="0" t="n">
        <v>110302</v>
      </c>
      <c r="C233" s="0" t="n">
        <v>1</v>
      </c>
      <c r="D233" s="0" t="inlineStr">
        <is>
          <t>수원성균관대역동문굿모닝힐</t>
        </is>
      </c>
      <c r="E233" s="0" t="inlineStr">
        <is>
          <t>2017.12.</t>
        </is>
      </c>
      <c r="F233" s="0" t="n">
        <v>699</v>
      </c>
      <c r="G233" s="0" t="n">
        <v>23.72</v>
      </c>
      <c r="H233" s="0" t="n">
        <v>78.44</v>
      </c>
      <c r="I233" s="0" t="n">
        <v>18.14</v>
      </c>
      <c r="J233" s="0" t="n">
        <v>59.98</v>
      </c>
      <c r="K233" s="0" t="n">
        <v>147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78</v>
      </c>
      <c r="X233" s="0" t="n">
        <v>24</v>
      </c>
      <c r="Y233" s="0" t="n">
        <v>12</v>
      </c>
      <c r="Z233" s="0" t="inlineStr">
        <is>
          <t>https://new.land.naver.com/complexes/110302?tab=detail&amp;rf=Y</t>
        </is>
      </c>
      <c r="AA233" s="0" t="inlineStr">
        <is>
          <t>경기도 수원시 장안구 율전동 600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장안구</t>
        </is>
      </c>
      <c r="AE233" s="0" t="inlineStr">
        <is>
          <t>율전동</t>
        </is>
      </c>
      <c r="AG233" s="0" t="inlineStr">
        <is>
          <t>경기도 수원시 장안구 율전로101번길 73</t>
        </is>
      </c>
      <c r="AH233" s="0" t="n">
        <v>0</v>
      </c>
      <c r="AI233" s="0" t="n">
        <v>218</v>
      </c>
      <c r="AJ233" s="0" t="n">
        <v>17</v>
      </c>
      <c r="AK233" s="0" t="n">
        <v>858</v>
      </c>
      <c r="AL233" s="0" t="n">
        <v>1.23</v>
      </c>
    </row>
    <row r="234">
      <c r="A234" s="0" t="inlineStr">
        <is>
          <t>[율전동]</t>
        </is>
      </c>
      <c r="B234" s="0" t="n">
        <v>110302</v>
      </c>
      <c r="C234" s="0" t="n">
        <v>2</v>
      </c>
      <c r="D234" s="0" t="inlineStr">
        <is>
          <t>수원성균관대역동문굿모닝힐</t>
        </is>
      </c>
      <c r="E234" s="0" t="inlineStr">
        <is>
          <t>2017.12.</t>
        </is>
      </c>
      <c r="F234" s="0" t="n">
        <v>699</v>
      </c>
      <c r="G234" s="0" t="n">
        <v>33.2</v>
      </c>
      <c r="H234" s="0" t="n">
        <v>109.77</v>
      </c>
      <c r="I234" s="0" t="n">
        <v>25.69</v>
      </c>
      <c r="J234" s="0" t="n">
        <v>84.95</v>
      </c>
      <c r="K234" s="0" t="n">
        <v>198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109B</t>
        </is>
      </c>
      <c r="X234" s="0" t="n">
        <v>24</v>
      </c>
      <c r="Y234" s="0" t="n">
        <v>12</v>
      </c>
      <c r="Z234" s="0" t="inlineStr">
        <is>
          <t>https://new.land.naver.com/complexes/110302?tab=detail&amp;rf=Y</t>
        </is>
      </c>
      <c r="AA234" s="0" t="inlineStr">
        <is>
          <t>경기도 수원시 장안구 율전동 600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장안구</t>
        </is>
      </c>
      <c r="AE234" s="0" t="inlineStr">
        <is>
          <t>율전동</t>
        </is>
      </c>
      <c r="AG234" s="0" t="inlineStr">
        <is>
          <t>경기도 수원시 장안구 율전로101번길 73</t>
        </is>
      </c>
      <c r="AH234" s="0" t="n">
        <v>0</v>
      </c>
      <c r="AI234" s="0" t="n">
        <v>218</v>
      </c>
      <c r="AJ234" s="0" t="n">
        <v>17</v>
      </c>
      <c r="AK234" s="0" t="n">
        <v>858</v>
      </c>
      <c r="AL234" s="0" t="n">
        <v>1.23</v>
      </c>
    </row>
    <row r="235">
      <c r="A235" s="0" t="inlineStr">
        <is>
          <t>[율전동]</t>
        </is>
      </c>
      <c r="B235" s="0" t="n">
        <v>110302</v>
      </c>
      <c r="C235" s="0" t="n">
        <v>3</v>
      </c>
      <c r="D235" s="0" t="inlineStr">
        <is>
          <t>수원성균관대역동문굿모닝힐</t>
        </is>
      </c>
      <c r="E235" s="0" t="inlineStr">
        <is>
          <t>2017.12.</t>
        </is>
      </c>
      <c r="F235" s="0" t="n">
        <v>699</v>
      </c>
      <c r="G235" s="0" t="n">
        <v>33.2</v>
      </c>
      <c r="H235" s="0" t="n">
        <v>109.78</v>
      </c>
      <c r="I235" s="0" t="n">
        <v>25.7</v>
      </c>
      <c r="J235" s="0" t="n">
        <v>84.98999999999999</v>
      </c>
      <c r="K235" s="0" t="n">
        <v>166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109C</t>
        </is>
      </c>
      <c r="X235" s="0" t="n">
        <v>24</v>
      </c>
      <c r="Y235" s="0" t="n">
        <v>12</v>
      </c>
      <c r="Z235" s="0" t="inlineStr">
        <is>
          <t>https://new.land.naver.com/complexes/110302?tab=detail&amp;rf=Y</t>
        </is>
      </c>
      <c r="AA235" s="0" t="inlineStr">
        <is>
          <t>경기도 수원시 장안구 율전동 600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장안구</t>
        </is>
      </c>
      <c r="AE235" s="0" t="inlineStr">
        <is>
          <t>율전동</t>
        </is>
      </c>
      <c r="AG235" s="0" t="inlineStr">
        <is>
          <t>경기도 수원시 장안구 율전로101번길 73</t>
        </is>
      </c>
      <c r="AH235" s="0" t="n">
        <v>0</v>
      </c>
      <c r="AI235" s="0" t="n">
        <v>218</v>
      </c>
      <c r="AJ235" s="0" t="n">
        <v>17</v>
      </c>
      <c r="AK235" s="0" t="n">
        <v>858</v>
      </c>
      <c r="AL235" s="0" t="n">
        <v>1.23</v>
      </c>
    </row>
    <row r="236">
      <c r="A236" s="0" t="inlineStr">
        <is>
          <t>[율전동]</t>
        </is>
      </c>
      <c r="B236" s="0" t="n">
        <v>110302</v>
      </c>
      <c r="C236" s="0" t="n">
        <v>4</v>
      </c>
      <c r="D236" s="0" t="inlineStr">
        <is>
          <t>수원성균관대역동문굿모닝힐</t>
        </is>
      </c>
      <c r="E236" s="0" t="inlineStr">
        <is>
          <t>2017.12.</t>
        </is>
      </c>
      <c r="F236" s="0" t="n">
        <v>699</v>
      </c>
      <c r="G236" s="0" t="n">
        <v>33.29</v>
      </c>
      <c r="H236" s="0" t="n">
        <v>110.06</v>
      </c>
      <c r="I236" s="0" t="n">
        <v>25.63</v>
      </c>
      <c r="J236" s="0" t="n">
        <v>84.76000000000001</v>
      </c>
      <c r="K236" s="0" t="n">
        <v>188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110A</t>
        </is>
      </c>
      <c r="X236" s="0" t="n">
        <v>24</v>
      </c>
      <c r="Y236" s="0" t="n">
        <v>12</v>
      </c>
      <c r="Z236" s="0" t="inlineStr">
        <is>
          <t>https://new.land.naver.com/complexes/110302?tab=detail&amp;rf=Y</t>
        </is>
      </c>
      <c r="AA236" s="0" t="inlineStr">
        <is>
          <t>경기도 수원시 장안구 율전동 600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장안구</t>
        </is>
      </c>
      <c r="AE236" s="0" t="inlineStr">
        <is>
          <t>율전동</t>
        </is>
      </c>
      <c r="AG236" s="0" t="inlineStr">
        <is>
          <t>경기도 수원시 장안구 율전로101번길 73</t>
        </is>
      </c>
      <c r="AH236" s="0" t="n">
        <v>0</v>
      </c>
      <c r="AI236" s="0" t="n">
        <v>218</v>
      </c>
      <c r="AJ236" s="0" t="n">
        <v>17</v>
      </c>
      <c r="AK236" s="0" t="n">
        <v>858</v>
      </c>
      <c r="AL236" s="0" t="n">
        <v>1.23</v>
      </c>
    </row>
    <row r="237">
      <c r="A237" s="0" t="inlineStr">
        <is>
          <t>[율전동]</t>
        </is>
      </c>
      <c r="B237" s="0" t="n">
        <v>2699</v>
      </c>
      <c r="C237" s="0" t="n">
        <v>1</v>
      </c>
      <c r="D237" s="0" t="inlineStr">
        <is>
          <t>장미6차</t>
        </is>
      </c>
      <c r="E237" s="0" t="inlineStr">
        <is>
          <t>1987.06.</t>
        </is>
      </c>
      <c r="F237" s="0" t="n">
        <v>155</v>
      </c>
      <c r="G237" s="0" t="n">
        <v>14.32</v>
      </c>
      <c r="H237" s="0" t="n">
        <v>47.34</v>
      </c>
      <c r="I237" s="0" t="n">
        <v>10.64</v>
      </c>
      <c r="J237" s="0" t="n">
        <v>35.19</v>
      </c>
      <c r="K237" s="0" t="n">
        <v>60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47</v>
      </c>
      <c r="X237" s="0" t="n">
        <v>5</v>
      </c>
      <c r="Y237" s="0" t="n">
        <v>5</v>
      </c>
      <c r="Z237" s="0" t="inlineStr">
        <is>
          <t>https://new.land.naver.com/complexes/2699?tab=detail&amp;rf=Y</t>
        </is>
      </c>
      <c r="AA237" s="0" t="inlineStr">
        <is>
          <t>경기도 수원시 장안구 율전동 142-5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장안구</t>
        </is>
      </c>
      <c r="AE237" s="0" t="inlineStr">
        <is>
          <t>율전동</t>
        </is>
      </c>
      <c r="AG237" s="0" t="inlineStr">
        <is>
          <t>경기도 수원시 장안구 덕영대로417번길 77</t>
        </is>
      </c>
      <c r="AH237" s="0" t="n">
        <v>0</v>
      </c>
      <c r="AI237" s="0" t="n">
        <v>139</v>
      </c>
      <c r="AJ237" s="0" t="n">
        <v>29</v>
      </c>
      <c r="AK237" s="0" t="n">
        <v>0</v>
      </c>
      <c r="AL237" s="0" t="n">
        <v>0</v>
      </c>
    </row>
    <row r="238">
      <c r="A238" s="0" t="inlineStr">
        <is>
          <t>[율전동]</t>
        </is>
      </c>
      <c r="B238" s="0" t="n">
        <v>2699</v>
      </c>
      <c r="C238" s="0" t="n">
        <v>2</v>
      </c>
      <c r="D238" s="0" t="inlineStr">
        <is>
          <t>장미6차</t>
        </is>
      </c>
      <c r="E238" s="0" t="inlineStr">
        <is>
          <t>1987.06.</t>
        </is>
      </c>
      <c r="F238" s="0" t="n">
        <v>155</v>
      </c>
      <c r="G238" s="0" t="n">
        <v>14.72</v>
      </c>
      <c r="H238" s="0" t="n">
        <v>48.67</v>
      </c>
      <c r="I238" s="0" t="n">
        <v>10.99</v>
      </c>
      <c r="J238" s="0" t="n">
        <v>36.36</v>
      </c>
      <c r="K238" s="0" t="n">
        <v>95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48</v>
      </c>
      <c r="X238" s="0" t="n">
        <v>5</v>
      </c>
      <c r="Y238" s="0" t="n">
        <v>5</v>
      </c>
      <c r="Z238" s="0" t="inlineStr">
        <is>
          <t>https://new.land.naver.com/complexes/2699?tab=detail&amp;rf=Y</t>
        </is>
      </c>
      <c r="AA238" s="0" t="inlineStr">
        <is>
          <t>경기도 수원시 장안구 율전동 142-5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장안구</t>
        </is>
      </c>
      <c r="AE238" s="0" t="inlineStr">
        <is>
          <t>율전동</t>
        </is>
      </c>
      <c r="AG238" s="0" t="inlineStr">
        <is>
          <t>경기도 수원시 장안구 덕영대로417번길 77</t>
        </is>
      </c>
      <c r="AH238" s="0" t="n">
        <v>0</v>
      </c>
      <c r="AI238" s="0" t="n">
        <v>139</v>
      </c>
      <c r="AJ238" s="0" t="n">
        <v>29</v>
      </c>
      <c r="AK238" s="0" t="n">
        <v>0</v>
      </c>
      <c r="AL238" s="0" t="n">
        <v>0</v>
      </c>
    </row>
    <row r="239">
      <c r="A239" s="0" t="inlineStr">
        <is>
          <t>[율전동]</t>
        </is>
      </c>
      <c r="B239" s="0" t="n">
        <v>26851</v>
      </c>
      <c r="C239" s="0" t="n">
        <v>1</v>
      </c>
      <c r="D239" s="0" t="inlineStr">
        <is>
          <t>성균관대역서희스타힐스2단지</t>
        </is>
      </c>
      <c r="E239" s="0" t="inlineStr">
        <is>
          <t>2011.12.</t>
        </is>
      </c>
      <c r="F239" s="0" t="n">
        <v>72</v>
      </c>
      <c r="G239" s="0" t="n">
        <v>29.38</v>
      </c>
      <c r="H239" s="0" t="n">
        <v>97.14</v>
      </c>
      <c r="I239" s="0" t="n">
        <v>22.1</v>
      </c>
      <c r="J239" s="0" t="n">
        <v>73.09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97</v>
      </c>
      <c r="X239" s="0" t="n">
        <v>12</v>
      </c>
      <c r="Y239" s="0" t="n">
        <v>6</v>
      </c>
      <c r="Z239" s="0" t="inlineStr">
        <is>
          <t>https://new.land.naver.com/complexes/26851?tab=detail&amp;rf=Y</t>
        </is>
      </c>
      <c r="AA239" s="0" t="inlineStr">
        <is>
          <t>경기도 수원시 장안구 율전동 562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장안구</t>
        </is>
      </c>
      <c r="AE239" s="0" t="inlineStr">
        <is>
          <t>율전동</t>
        </is>
      </c>
      <c r="AG239" s="0" t="inlineStr">
        <is>
          <t>경기도 수원시 장안구 덕영대로407번길 80</t>
        </is>
      </c>
      <c r="AH239" s="0" t="n">
        <v>0</v>
      </c>
      <c r="AI239" s="0" t="n">
        <v>185</v>
      </c>
      <c r="AJ239" s="0" t="n">
        <v>28</v>
      </c>
      <c r="AK239" s="0" t="n">
        <v>77</v>
      </c>
      <c r="AL239" s="0" t="n">
        <v>1.07</v>
      </c>
    </row>
    <row r="240">
      <c r="A240" s="0" t="inlineStr">
        <is>
          <t>[율전동]</t>
        </is>
      </c>
      <c r="B240" s="0" t="n">
        <v>26851</v>
      </c>
      <c r="C240" s="0" t="n">
        <v>2</v>
      </c>
      <c r="D240" s="0" t="inlineStr">
        <is>
          <t>성균관대역서희스타힐스2단지</t>
        </is>
      </c>
      <c r="E240" s="0" t="inlineStr">
        <is>
          <t>2011.12.</t>
        </is>
      </c>
      <c r="F240" s="0" t="n">
        <v>72</v>
      </c>
      <c r="G240" s="0" t="n">
        <v>32.51</v>
      </c>
      <c r="H240" s="0" t="n">
        <v>107.48</v>
      </c>
      <c r="I240" s="0" t="n">
        <v>24.84</v>
      </c>
      <c r="J240" s="0" t="n">
        <v>82.12</v>
      </c>
      <c r="K240" s="0" t="n">
        <v>5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107</v>
      </c>
      <c r="X240" s="0" t="n">
        <v>12</v>
      </c>
      <c r="Y240" s="0" t="n">
        <v>6</v>
      </c>
      <c r="Z240" s="0" t="inlineStr">
        <is>
          <t>https://new.land.naver.com/complexes/26851?tab=detail&amp;rf=Y</t>
        </is>
      </c>
      <c r="AA240" s="0" t="inlineStr">
        <is>
          <t>경기도 수원시 장안구 율전동 562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장안구</t>
        </is>
      </c>
      <c r="AE240" s="0" t="inlineStr">
        <is>
          <t>율전동</t>
        </is>
      </c>
      <c r="AG240" s="0" t="inlineStr">
        <is>
          <t>경기도 수원시 장안구 덕영대로407번길 80</t>
        </is>
      </c>
      <c r="AH240" s="0" t="n">
        <v>0</v>
      </c>
      <c r="AI240" s="0" t="n">
        <v>185</v>
      </c>
      <c r="AJ240" s="0" t="n">
        <v>28</v>
      </c>
      <c r="AK240" s="0" t="n">
        <v>77</v>
      </c>
      <c r="AL240" s="0" t="n">
        <v>1.07</v>
      </c>
    </row>
    <row r="241">
      <c r="A241" s="0" t="inlineStr">
        <is>
          <t>[율전동]</t>
        </is>
      </c>
      <c r="B241" s="0" t="n">
        <v>26851</v>
      </c>
      <c r="C241" s="0" t="n">
        <v>3</v>
      </c>
      <c r="D241" s="0" t="inlineStr">
        <is>
          <t>성균관대역서희스타힐스2단지</t>
        </is>
      </c>
      <c r="E241" s="0" t="inlineStr">
        <is>
          <t>2011.12.</t>
        </is>
      </c>
      <c r="F241" s="0" t="n">
        <v>72</v>
      </c>
      <c r="G241" s="0" t="n">
        <v>33.76</v>
      </c>
      <c r="H241" s="0" t="n">
        <v>111.63</v>
      </c>
      <c r="I241" s="0" t="n">
        <v>25.7</v>
      </c>
      <c r="J241" s="0" t="n">
        <v>84.97</v>
      </c>
      <c r="K241" s="0" t="n">
        <v>38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111B</t>
        </is>
      </c>
      <c r="X241" s="0" t="n">
        <v>12</v>
      </c>
      <c r="Y241" s="0" t="n">
        <v>6</v>
      </c>
      <c r="Z241" s="0" t="inlineStr">
        <is>
          <t>https://new.land.naver.com/complexes/26851?tab=detail&amp;rf=Y</t>
        </is>
      </c>
      <c r="AA241" s="0" t="inlineStr">
        <is>
          <t>경기도 수원시 장안구 율전동 562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장안구</t>
        </is>
      </c>
      <c r="AE241" s="0" t="inlineStr">
        <is>
          <t>율전동</t>
        </is>
      </c>
      <c r="AG241" s="0" t="inlineStr">
        <is>
          <t>경기도 수원시 장안구 덕영대로407번길 80</t>
        </is>
      </c>
      <c r="AH241" s="0" t="n">
        <v>0</v>
      </c>
      <c r="AI241" s="0" t="n">
        <v>185</v>
      </c>
      <c r="AJ241" s="0" t="n">
        <v>28</v>
      </c>
      <c r="AK241" s="0" t="n">
        <v>77</v>
      </c>
      <c r="AL241" s="0" t="n">
        <v>1.07</v>
      </c>
    </row>
    <row r="242">
      <c r="A242" s="0" t="inlineStr">
        <is>
          <t>[율전동]</t>
        </is>
      </c>
      <c r="B242" s="0" t="n">
        <v>26851</v>
      </c>
      <c r="C242" s="0" t="n">
        <v>4</v>
      </c>
      <c r="D242" s="0" t="inlineStr">
        <is>
          <t>성균관대역서희스타힐스2단지</t>
        </is>
      </c>
      <c r="E242" s="0" t="inlineStr">
        <is>
          <t>2011.12.</t>
        </is>
      </c>
      <c r="F242" s="0" t="n">
        <v>72</v>
      </c>
      <c r="G242" s="0" t="n">
        <v>33.61</v>
      </c>
      <c r="H242" s="0" t="n">
        <v>111.14</v>
      </c>
      <c r="I242" s="0" t="n">
        <v>25.7</v>
      </c>
      <c r="J242" s="0" t="n">
        <v>84.98</v>
      </c>
      <c r="K242" s="0" t="n">
        <v>8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111C</t>
        </is>
      </c>
      <c r="X242" s="0" t="n">
        <v>12</v>
      </c>
      <c r="Y242" s="0" t="n">
        <v>6</v>
      </c>
      <c r="Z242" s="0" t="inlineStr">
        <is>
          <t>https://new.land.naver.com/complexes/26851?tab=detail&amp;rf=Y</t>
        </is>
      </c>
      <c r="AA242" s="0" t="inlineStr">
        <is>
          <t>경기도 수원시 장안구 율전동 562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장안구</t>
        </is>
      </c>
      <c r="AE242" s="0" t="inlineStr">
        <is>
          <t>율전동</t>
        </is>
      </c>
      <c r="AG242" s="0" t="inlineStr">
        <is>
          <t>경기도 수원시 장안구 덕영대로407번길 80</t>
        </is>
      </c>
      <c r="AH242" s="0" t="n">
        <v>0</v>
      </c>
      <c r="AI242" s="0" t="n">
        <v>185</v>
      </c>
      <c r="AJ242" s="0" t="n">
        <v>28</v>
      </c>
      <c r="AK242" s="0" t="n">
        <v>77</v>
      </c>
      <c r="AL242" s="0" t="n">
        <v>1.07</v>
      </c>
    </row>
    <row r="243">
      <c r="A243" s="0" t="inlineStr">
        <is>
          <t>[율전동]</t>
        </is>
      </c>
      <c r="B243" s="0" t="n">
        <v>26851</v>
      </c>
      <c r="C243" s="0" t="n">
        <v>5</v>
      </c>
      <c r="D243" s="0" t="inlineStr">
        <is>
          <t>성균관대역서희스타힐스2단지</t>
        </is>
      </c>
      <c r="E243" s="0" t="inlineStr">
        <is>
          <t>2011.12.</t>
        </is>
      </c>
      <c r="F243" s="0" t="n">
        <v>72</v>
      </c>
      <c r="G243" s="0" t="n">
        <v>33.9</v>
      </c>
      <c r="H243" s="0" t="n">
        <v>112.08</v>
      </c>
      <c r="I243" s="0" t="n">
        <v>25.68</v>
      </c>
      <c r="J243" s="0" t="n">
        <v>84.92</v>
      </c>
      <c r="K243" s="0" t="n">
        <v>10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112A</t>
        </is>
      </c>
      <c r="X243" s="0" t="n">
        <v>12</v>
      </c>
      <c r="Y243" s="0" t="n">
        <v>6</v>
      </c>
      <c r="Z243" s="0" t="inlineStr">
        <is>
          <t>https://new.land.naver.com/complexes/26851?tab=detail&amp;rf=Y</t>
        </is>
      </c>
      <c r="AA243" s="0" t="inlineStr">
        <is>
          <t>경기도 수원시 장안구 율전동 562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장안구</t>
        </is>
      </c>
      <c r="AE243" s="0" t="inlineStr">
        <is>
          <t>율전동</t>
        </is>
      </c>
      <c r="AG243" s="0" t="inlineStr">
        <is>
          <t>경기도 수원시 장안구 덕영대로407번길 80</t>
        </is>
      </c>
      <c r="AH243" s="0" t="n">
        <v>0</v>
      </c>
      <c r="AI243" s="0" t="n">
        <v>185</v>
      </c>
      <c r="AJ243" s="0" t="n">
        <v>28</v>
      </c>
      <c r="AK243" s="0" t="n">
        <v>77</v>
      </c>
      <c r="AL243" s="0" t="n">
        <v>1.07</v>
      </c>
    </row>
    <row r="244">
      <c r="A244" s="0" t="inlineStr">
        <is>
          <t>[율전동]</t>
        </is>
      </c>
      <c r="B244" s="0" t="n">
        <v>26851</v>
      </c>
      <c r="C244" s="0" t="n">
        <v>6</v>
      </c>
      <c r="D244" s="0" t="inlineStr">
        <is>
          <t>성균관대역서희스타힐스2단지</t>
        </is>
      </c>
      <c r="E244" s="0" t="inlineStr">
        <is>
          <t>2011.12.</t>
        </is>
      </c>
      <c r="F244" s="0" t="n">
        <v>72</v>
      </c>
      <c r="G244" s="0" t="n">
        <v>48.11</v>
      </c>
      <c r="H244" s="0" t="n">
        <v>159.05</v>
      </c>
      <c r="I244" s="0" t="n">
        <v>36.18</v>
      </c>
      <c r="J244" s="0" t="n">
        <v>119.63</v>
      </c>
      <c r="K244" s="0" t="n">
        <v>4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159</v>
      </c>
      <c r="X244" s="0" t="n">
        <v>12</v>
      </c>
      <c r="Y244" s="0" t="n">
        <v>6</v>
      </c>
      <c r="Z244" s="0" t="inlineStr">
        <is>
          <t>https://new.land.naver.com/complexes/26851?tab=detail&amp;rf=Y</t>
        </is>
      </c>
      <c r="AA244" s="0" t="inlineStr">
        <is>
          <t>경기도 수원시 장안구 율전동 562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장안구</t>
        </is>
      </c>
      <c r="AE244" s="0" t="inlineStr">
        <is>
          <t>율전동</t>
        </is>
      </c>
      <c r="AG244" s="0" t="inlineStr">
        <is>
          <t>경기도 수원시 장안구 덕영대로407번길 80</t>
        </is>
      </c>
      <c r="AH244" s="0" t="n">
        <v>0</v>
      </c>
      <c r="AI244" s="0" t="n">
        <v>185</v>
      </c>
      <c r="AJ244" s="0" t="n">
        <v>28</v>
      </c>
      <c r="AK244" s="0" t="n">
        <v>77</v>
      </c>
      <c r="AL244" s="0" t="n">
        <v>1.07</v>
      </c>
    </row>
    <row r="245">
      <c r="A245" s="0" t="inlineStr">
        <is>
          <t>[율전동]</t>
        </is>
      </c>
      <c r="B245" s="0" t="n">
        <v>26851</v>
      </c>
      <c r="C245" s="0" t="n">
        <v>7</v>
      </c>
      <c r="D245" s="0" t="inlineStr">
        <is>
          <t>성균관대역서희스타힐스2단지</t>
        </is>
      </c>
      <c r="E245" s="0" t="inlineStr">
        <is>
          <t>2011.12.</t>
        </is>
      </c>
      <c r="F245" s="0" t="n">
        <v>72</v>
      </c>
      <c r="G245" s="0" t="n">
        <v>49.38</v>
      </c>
      <c r="H245" s="0" t="n">
        <v>163.26</v>
      </c>
      <c r="I245" s="0" t="n">
        <v>37.19</v>
      </c>
      <c r="J245" s="0" t="n">
        <v>122.95</v>
      </c>
      <c r="K245" s="0" t="n">
        <v>1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163</v>
      </c>
      <c r="X245" s="0" t="n">
        <v>12</v>
      </c>
      <c r="Y245" s="0" t="n">
        <v>6</v>
      </c>
      <c r="Z245" s="0" t="inlineStr">
        <is>
          <t>https://new.land.naver.com/complexes/26851?tab=detail&amp;rf=Y</t>
        </is>
      </c>
      <c r="AA245" s="0" t="inlineStr">
        <is>
          <t>경기도 수원시 장안구 율전동 562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장안구</t>
        </is>
      </c>
      <c r="AE245" s="0" t="inlineStr">
        <is>
          <t>율전동</t>
        </is>
      </c>
      <c r="AG245" s="0" t="inlineStr">
        <is>
          <t>경기도 수원시 장안구 덕영대로407번길 80</t>
        </is>
      </c>
      <c r="AH245" s="0" t="n">
        <v>0</v>
      </c>
      <c r="AI245" s="0" t="n">
        <v>185</v>
      </c>
      <c r="AJ245" s="0" t="n">
        <v>28</v>
      </c>
      <c r="AK245" s="0" t="n">
        <v>77</v>
      </c>
      <c r="AL245" s="0" t="n">
        <v>1.07</v>
      </c>
    </row>
    <row r="246">
      <c r="A246" s="0" t="inlineStr">
        <is>
          <t>[율전동]</t>
        </is>
      </c>
      <c r="B246" s="0" t="n">
        <v>26851</v>
      </c>
      <c r="C246" s="0" t="n">
        <v>8</v>
      </c>
      <c r="D246" s="0" t="inlineStr">
        <is>
          <t>성균관대역서희스타힐스2단지</t>
        </is>
      </c>
      <c r="E246" s="0" t="inlineStr">
        <is>
          <t>2011.12.</t>
        </is>
      </c>
      <c r="F246" s="0" t="n">
        <v>72</v>
      </c>
      <c r="G246" s="0" t="n">
        <v>49.9</v>
      </c>
      <c r="H246" s="0" t="n">
        <v>164.96</v>
      </c>
      <c r="I246" s="0" t="n">
        <v>37.41</v>
      </c>
      <c r="J246" s="0" t="n">
        <v>123.7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164</v>
      </c>
      <c r="X246" s="0" t="n">
        <v>12</v>
      </c>
      <c r="Y246" s="0" t="n">
        <v>6</v>
      </c>
      <c r="Z246" s="0" t="inlineStr">
        <is>
          <t>https://new.land.naver.com/complexes/26851?tab=detail&amp;rf=Y</t>
        </is>
      </c>
      <c r="AA246" s="0" t="inlineStr">
        <is>
          <t>경기도 수원시 장안구 율전동 562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장안구</t>
        </is>
      </c>
      <c r="AE246" s="0" t="inlineStr">
        <is>
          <t>율전동</t>
        </is>
      </c>
      <c r="AG246" s="0" t="inlineStr">
        <is>
          <t>경기도 수원시 장안구 덕영대로407번길 80</t>
        </is>
      </c>
      <c r="AH246" s="0" t="n">
        <v>0</v>
      </c>
      <c r="AI246" s="0" t="n">
        <v>185</v>
      </c>
      <c r="AJ246" s="0" t="n">
        <v>28</v>
      </c>
      <c r="AK246" s="0" t="n">
        <v>77</v>
      </c>
      <c r="AL246" s="0" t="n">
        <v>1.07</v>
      </c>
    </row>
    <row r="247">
      <c r="A247" s="0" t="inlineStr">
        <is>
          <t>[율전동]</t>
        </is>
      </c>
      <c r="B247" s="0" t="n">
        <v>13082</v>
      </c>
      <c r="C247" s="0" t="n">
        <v>1</v>
      </c>
      <c r="D247" s="0" t="inlineStr">
        <is>
          <t>반석</t>
        </is>
      </c>
      <c r="E247" s="0" t="inlineStr">
        <is>
          <t>1986.02.</t>
        </is>
      </c>
      <c r="F247" s="0" t="n">
        <v>70</v>
      </c>
      <c r="G247" s="0" t="n">
        <v>22.05</v>
      </c>
      <c r="H247" s="0" t="n">
        <v>72.90000000000001</v>
      </c>
      <c r="I247" s="0" t="n">
        <v>16.96</v>
      </c>
      <c r="J247" s="0" t="n">
        <v>56.07</v>
      </c>
      <c r="K247" s="0" t="n">
        <v>5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72</v>
      </c>
      <c r="X247" s="0" t="n">
        <v>5</v>
      </c>
      <c r="Y247" s="0" t="n">
        <v>5</v>
      </c>
      <c r="Z247" s="0" t="inlineStr">
        <is>
          <t>https://new.land.naver.com/complexes/13082?tab=detail&amp;rf=Y</t>
        </is>
      </c>
      <c r="AA247" s="0" t="inlineStr">
        <is>
          <t>경기도 수원시 장안구 율전동 161-9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장안구</t>
        </is>
      </c>
      <c r="AE247" s="0" t="inlineStr">
        <is>
          <t>율전동</t>
        </is>
      </c>
      <c r="AG247" s="0" t="inlineStr">
        <is>
          <t>경기도 수원시 장안구 덕영대로417번길 15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[율전동]</t>
        </is>
      </c>
      <c r="B248" s="0" t="n">
        <v>13082</v>
      </c>
      <c r="C248" s="0" t="n">
        <v>2</v>
      </c>
      <c r="D248" s="0" t="inlineStr">
        <is>
          <t>반석</t>
        </is>
      </c>
      <c r="E248" s="0" t="inlineStr">
        <is>
          <t>1986.02.</t>
        </is>
      </c>
      <c r="F248" s="0" t="n">
        <v>70</v>
      </c>
      <c r="G248" s="0" t="n">
        <v>23.94</v>
      </c>
      <c r="H248" s="0" t="n">
        <v>79.17</v>
      </c>
      <c r="I248" s="0" t="n">
        <v>18.54</v>
      </c>
      <c r="J248" s="0" t="n">
        <v>61.29</v>
      </c>
      <c r="K248" s="0" t="n">
        <v>65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79</v>
      </c>
      <c r="X248" s="0" t="n">
        <v>5</v>
      </c>
      <c r="Y248" s="0" t="n">
        <v>5</v>
      </c>
      <c r="Z248" s="0" t="inlineStr">
        <is>
          <t>https://new.land.naver.com/complexes/13082?tab=detail&amp;rf=Y</t>
        </is>
      </c>
      <c r="AA248" s="0" t="inlineStr">
        <is>
          <t>경기도 수원시 장안구 율전동 161-9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장안구</t>
        </is>
      </c>
      <c r="AE248" s="0" t="inlineStr">
        <is>
          <t>율전동</t>
        </is>
      </c>
      <c r="AG248" s="0" t="inlineStr">
        <is>
          <t>경기도 수원시 장안구 덕영대로417번길 15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[율전동]</t>
        </is>
      </c>
      <c r="B249" s="0" t="n">
        <v>1824</v>
      </c>
      <c r="C249" s="0" t="n">
        <v>1</v>
      </c>
      <c r="D249" s="0" t="inlineStr">
        <is>
          <t>삼성2단지</t>
        </is>
      </c>
      <c r="E249" s="0" t="inlineStr">
        <is>
          <t>1998.08.</t>
        </is>
      </c>
      <c r="F249" s="0" t="n">
        <v>700</v>
      </c>
      <c r="G249" s="0" t="n">
        <v>26.91</v>
      </c>
      <c r="H249" s="0" t="n">
        <v>88.98999999999999</v>
      </c>
      <c r="I249" s="0" t="n">
        <v>18.14</v>
      </c>
      <c r="J249" s="0" t="n">
        <v>59.98</v>
      </c>
      <c r="K249" s="0" t="n">
        <v>180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88A</t>
        </is>
      </c>
      <c r="X249" s="0" t="n">
        <v>20</v>
      </c>
      <c r="Y249" s="0" t="n">
        <v>17</v>
      </c>
      <c r="Z249" s="0" t="inlineStr">
        <is>
          <t>https://new.land.naver.com/complexes/1824?tab=detail&amp;rf=Y</t>
        </is>
      </c>
      <c r="AA249" s="0" t="inlineStr">
        <is>
          <t>경기도 수원시 장안구 율전동 419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장안구</t>
        </is>
      </c>
      <c r="AE249" s="0" t="inlineStr">
        <is>
          <t>율전동</t>
        </is>
      </c>
      <c r="AG249" s="0" t="inlineStr">
        <is>
          <t>경기도 수원시 장안구 서부로 2067</t>
        </is>
      </c>
      <c r="AH249" s="0" t="n">
        <v>0</v>
      </c>
      <c r="AI249" s="0" t="n">
        <v>162</v>
      </c>
      <c r="AJ249" s="0" t="n">
        <v>14</v>
      </c>
      <c r="AK249" s="0" t="n">
        <v>873</v>
      </c>
      <c r="AL249" s="0" t="n">
        <v>1.25</v>
      </c>
    </row>
    <row r="250">
      <c r="A250" s="0" t="inlineStr">
        <is>
          <t>[율전동]</t>
        </is>
      </c>
      <c r="B250" s="0" t="n">
        <v>1824</v>
      </c>
      <c r="C250" s="0" t="n">
        <v>2</v>
      </c>
      <c r="D250" s="0" t="inlineStr">
        <is>
          <t>삼성2단지</t>
        </is>
      </c>
      <c r="E250" s="0" t="inlineStr">
        <is>
          <t>1998.08.</t>
        </is>
      </c>
      <c r="F250" s="0" t="n">
        <v>700</v>
      </c>
      <c r="G250" s="0" t="n">
        <v>27.22</v>
      </c>
      <c r="H250" s="0" t="n">
        <v>89.98999999999999</v>
      </c>
      <c r="I250" s="0" t="n">
        <v>18.14</v>
      </c>
      <c r="J250" s="0" t="n">
        <v>59.99</v>
      </c>
      <c r="K250" s="0" t="n">
        <v>66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89B</t>
        </is>
      </c>
      <c r="X250" s="0" t="n">
        <v>20</v>
      </c>
      <c r="Y250" s="0" t="n">
        <v>17</v>
      </c>
      <c r="Z250" s="0" t="inlineStr">
        <is>
          <t>https://new.land.naver.com/complexes/1824?tab=detail&amp;rf=Y</t>
        </is>
      </c>
      <c r="AA250" s="0" t="inlineStr">
        <is>
          <t>경기도 수원시 장안구 율전동 419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장안구</t>
        </is>
      </c>
      <c r="AE250" s="0" t="inlineStr">
        <is>
          <t>율전동</t>
        </is>
      </c>
      <c r="AG250" s="0" t="inlineStr">
        <is>
          <t>경기도 수원시 장안구 서부로 2067</t>
        </is>
      </c>
      <c r="AH250" s="0" t="n">
        <v>0</v>
      </c>
      <c r="AI250" s="0" t="n">
        <v>162</v>
      </c>
      <c r="AJ250" s="0" t="n">
        <v>14</v>
      </c>
      <c r="AK250" s="0" t="n">
        <v>873</v>
      </c>
      <c r="AL250" s="0" t="n">
        <v>1.25</v>
      </c>
    </row>
    <row r="251">
      <c r="A251" s="0" t="inlineStr">
        <is>
          <t>[율전동]</t>
        </is>
      </c>
      <c r="B251" s="0" t="n">
        <v>1824</v>
      </c>
      <c r="C251" s="0" t="n">
        <v>3</v>
      </c>
      <c r="D251" s="0" t="inlineStr">
        <is>
          <t>삼성2단지</t>
        </is>
      </c>
      <c r="E251" s="0" t="inlineStr">
        <is>
          <t>1998.08.</t>
        </is>
      </c>
      <c r="F251" s="0" t="n">
        <v>700</v>
      </c>
      <c r="G251" s="0" t="n">
        <v>34.86</v>
      </c>
      <c r="H251" s="0" t="n">
        <v>115.25</v>
      </c>
      <c r="I251" s="0" t="n">
        <v>25.7</v>
      </c>
      <c r="J251" s="0" t="n">
        <v>84.98999999999999</v>
      </c>
      <c r="K251" s="0" t="n">
        <v>454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115</v>
      </c>
      <c r="X251" s="0" t="n">
        <v>20</v>
      </c>
      <c r="Y251" s="0" t="n">
        <v>17</v>
      </c>
      <c r="Z251" s="0" t="inlineStr">
        <is>
          <t>https://new.land.naver.com/complexes/1824?tab=detail&amp;rf=Y</t>
        </is>
      </c>
      <c r="AA251" s="0" t="inlineStr">
        <is>
          <t>경기도 수원시 장안구 율전동 419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장안구</t>
        </is>
      </c>
      <c r="AE251" s="0" t="inlineStr">
        <is>
          <t>율전동</t>
        </is>
      </c>
      <c r="AG251" s="0" t="inlineStr">
        <is>
          <t>경기도 수원시 장안구 서부로 2067</t>
        </is>
      </c>
      <c r="AH251" s="0" t="n">
        <v>0</v>
      </c>
      <c r="AI251" s="0" t="n">
        <v>162</v>
      </c>
      <c r="AJ251" s="0" t="n">
        <v>14</v>
      </c>
      <c r="AK251" s="0" t="n">
        <v>873</v>
      </c>
      <c r="AL251" s="0" t="n">
        <v>1.25</v>
      </c>
    </row>
    <row r="252">
      <c r="A252" s="0" t="inlineStr">
        <is>
          <t>[율전동]</t>
        </is>
      </c>
      <c r="B252" s="0" t="n">
        <v>9127</v>
      </c>
      <c r="C252" s="0" t="n">
        <v>1</v>
      </c>
      <c r="D252" s="0" t="inlineStr">
        <is>
          <t>밤꽃마을뜨란채</t>
        </is>
      </c>
      <c r="E252" s="0" t="inlineStr">
        <is>
          <t>2005.09.</t>
        </is>
      </c>
      <c r="F252" s="0" t="n">
        <v>1078</v>
      </c>
      <c r="G252" s="0" t="n">
        <v>22.69</v>
      </c>
      <c r="H252" s="0" t="n">
        <v>75.03</v>
      </c>
      <c r="I252" s="0" t="n">
        <v>17.86</v>
      </c>
      <c r="J252" s="0" t="n">
        <v>59.06</v>
      </c>
      <c r="K252" s="0" t="n">
        <v>174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75</v>
      </c>
      <c r="X252" s="0" t="n">
        <v>23</v>
      </c>
      <c r="Y252" s="0" t="n">
        <v>14</v>
      </c>
      <c r="Z252" s="0" t="inlineStr">
        <is>
          <t>https://new.land.naver.com/complexes/9127?tab=detail&amp;rf=Y</t>
        </is>
      </c>
      <c r="AA252" s="0" t="inlineStr">
        <is>
          <t>경기도 수원시 장안구 율전동 546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장안구</t>
        </is>
      </c>
      <c r="AE252" s="0" t="inlineStr">
        <is>
          <t>율전동</t>
        </is>
      </c>
      <c r="AG252" s="0" t="inlineStr">
        <is>
          <t>경기도 수원시 장안구 상률로 32</t>
        </is>
      </c>
      <c r="AH252" s="0" t="n">
        <v>0</v>
      </c>
      <c r="AI252" s="0" t="n">
        <v>222</v>
      </c>
      <c r="AJ252" s="0" t="n">
        <v>15</v>
      </c>
      <c r="AK252" s="0" t="n">
        <v>1087</v>
      </c>
      <c r="AL252" s="0" t="n">
        <v>1.01</v>
      </c>
    </row>
    <row r="253">
      <c r="A253" s="0" t="inlineStr">
        <is>
          <t>[율전동]</t>
        </is>
      </c>
      <c r="B253" s="0" t="n">
        <v>9127</v>
      </c>
      <c r="C253" s="0" t="n">
        <v>2</v>
      </c>
      <c r="D253" s="0" t="inlineStr">
        <is>
          <t>밤꽃마을뜨란채</t>
        </is>
      </c>
      <c r="E253" s="0" t="inlineStr">
        <is>
          <t>2005.09.</t>
        </is>
      </c>
      <c r="F253" s="0" t="n">
        <v>1078</v>
      </c>
      <c r="G253" s="0" t="n">
        <v>32.59</v>
      </c>
      <c r="H253" s="0" t="n">
        <v>107.74</v>
      </c>
      <c r="I253" s="0" t="n">
        <v>25.65</v>
      </c>
      <c r="J253" s="0" t="n">
        <v>84.8</v>
      </c>
      <c r="K253" s="0" t="n">
        <v>744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107A</t>
        </is>
      </c>
      <c r="X253" s="0" t="n">
        <v>23</v>
      </c>
      <c r="Y253" s="0" t="n">
        <v>14</v>
      </c>
      <c r="Z253" s="0" t="inlineStr">
        <is>
          <t>https://new.land.naver.com/complexes/9127?tab=detail&amp;rf=Y</t>
        </is>
      </c>
      <c r="AA253" s="0" t="inlineStr">
        <is>
          <t>경기도 수원시 장안구 율전동 546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장안구</t>
        </is>
      </c>
      <c r="AE253" s="0" t="inlineStr">
        <is>
          <t>율전동</t>
        </is>
      </c>
      <c r="AG253" s="0" t="inlineStr">
        <is>
          <t>경기도 수원시 장안구 상률로 32</t>
        </is>
      </c>
      <c r="AH253" s="0" t="n">
        <v>0</v>
      </c>
      <c r="AI253" s="0" t="n">
        <v>222</v>
      </c>
      <c r="AJ253" s="0" t="n">
        <v>15</v>
      </c>
      <c r="AK253" s="0" t="n">
        <v>1087</v>
      </c>
      <c r="AL253" s="0" t="n">
        <v>1.01</v>
      </c>
    </row>
    <row r="254">
      <c r="A254" s="0" t="inlineStr">
        <is>
          <t>[율전동]</t>
        </is>
      </c>
      <c r="B254" s="0" t="n">
        <v>9127</v>
      </c>
      <c r="C254" s="0" t="n">
        <v>3</v>
      </c>
      <c r="D254" s="0" t="inlineStr">
        <is>
          <t>밤꽃마을뜨란채</t>
        </is>
      </c>
      <c r="E254" s="0" t="inlineStr">
        <is>
          <t>2005.09.</t>
        </is>
      </c>
      <c r="F254" s="0" t="n">
        <v>1078</v>
      </c>
      <c r="G254" s="0" t="n">
        <v>32.61</v>
      </c>
      <c r="H254" s="0" t="n">
        <v>107.81</v>
      </c>
      <c r="I254" s="0" t="n">
        <v>25.67</v>
      </c>
      <c r="J254" s="0" t="n">
        <v>84.86</v>
      </c>
      <c r="K254" s="0" t="n">
        <v>160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107B</t>
        </is>
      </c>
      <c r="X254" s="0" t="n">
        <v>23</v>
      </c>
      <c r="Y254" s="0" t="n">
        <v>14</v>
      </c>
      <c r="Z254" s="0" t="inlineStr">
        <is>
          <t>https://new.land.naver.com/complexes/9127?tab=detail&amp;rf=Y</t>
        </is>
      </c>
      <c r="AA254" s="0" t="inlineStr">
        <is>
          <t>경기도 수원시 장안구 율전동 546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장안구</t>
        </is>
      </c>
      <c r="AE254" s="0" t="inlineStr">
        <is>
          <t>율전동</t>
        </is>
      </c>
      <c r="AG254" s="0" t="inlineStr">
        <is>
          <t>경기도 수원시 장안구 상률로 32</t>
        </is>
      </c>
      <c r="AH254" s="0" t="n">
        <v>0</v>
      </c>
      <c r="AI254" s="0" t="n">
        <v>222</v>
      </c>
      <c r="AJ254" s="0" t="n">
        <v>15</v>
      </c>
      <c r="AK254" s="0" t="n">
        <v>1087</v>
      </c>
      <c r="AL254" s="0" t="n">
        <v>1.01</v>
      </c>
    </row>
    <row r="255">
      <c r="A255" s="0" t="inlineStr">
        <is>
          <t>[율전동]</t>
        </is>
      </c>
      <c r="B255" s="0" t="n">
        <v>26850</v>
      </c>
      <c r="C255" s="0" t="n">
        <v>1</v>
      </c>
      <c r="D255" s="0" t="inlineStr">
        <is>
          <t>성균관대역서희스타힐스1단지</t>
        </is>
      </c>
      <c r="E255" s="0" t="inlineStr">
        <is>
          <t>2011.12.</t>
        </is>
      </c>
      <c r="F255" s="0" t="n">
        <v>113</v>
      </c>
      <c r="G255" s="0" t="n">
        <v>34.44</v>
      </c>
      <c r="H255" s="0" t="n">
        <v>113.87</v>
      </c>
      <c r="I255" s="0" t="n">
        <v>25.7</v>
      </c>
      <c r="J255" s="0" t="n">
        <v>84.98999999999999</v>
      </c>
      <c r="K255" s="0" t="n">
        <v>10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113C</t>
        </is>
      </c>
      <c r="X255" s="0" t="n">
        <v>14</v>
      </c>
      <c r="Y255" s="0" t="n">
        <v>4</v>
      </c>
      <c r="Z255" s="0" t="inlineStr">
        <is>
          <t>https://new.land.naver.com/complexes/26850?tab=detail&amp;rf=Y</t>
        </is>
      </c>
      <c r="AA255" s="0" t="inlineStr">
        <is>
          <t>경기도 수원시 장안구 율전동 561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장안구</t>
        </is>
      </c>
      <c r="AE255" s="0" t="inlineStr">
        <is>
          <t>율전동</t>
        </is>
      </c>
      <c r="AG255" s="0" t="inlineStr">
        <is>
          <t>경기도 수원시 장안구 덕영대로407번길 95</t>
        </is>
      </c>
      <c r="AH255" s="0" t="n">
        <v>0</v>
      </c>
      <c r="AI255" s="0" t="n">
        <v>199</v>
      </c>
      <c r="AJ255" s="0" t="n">
        <v>24</v>
      </c>
      <c r="AK255" s="0" t="n">
        <v>121</v>
      </c>
      <c r="AL255" s="0" t="n">
        <v>1.07</v>
      </c>
    </row>
    <row r="256">
      <c r="A256" s="0" t="inlineStr">
        <is>
          <t>[율전동]</t>
        </is>
      </c>
      <c r="B256" s="0" t="n">
        <v>26850</v>
      </c>
      <c r="C256" s="0" t="n">
        <v>2</v>
      </c>
      <c r="D256" s="0" t="inlineStr">
        <is>
          <t>성균관대역서희스타힐스1단지</t>
        </is>
      </c>
      <c r="E256" s="0" t="inlineStr">
        <is>
          <t>2011.12.</t>
        </is>
      </c>
      <c r="F256" s="0" t="n">
        <v>113</v>
      </c>
      <c r="G256" s="0" t="n">
        <v>34.44</v>
      </c>
      <c r="H256" s="0" t="n">
        <v>113.88</v>
      </c>
      <c r="I256" s="0" t="n">
        <v>25.69</v>
      </c>
      <c r="J256" s="0" t="n">
        <v>84.95</v>
      </c>
      <c r="K256" s="0" t="n">
        <v>9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113A</t>
        </is>
      </c>
      <c r="X256" s="0" t="n">
        <v>14</v>
      </c>
      <c r="Y256" s="0" t="n">
        <v>4</v>
      </c>
      <c r="Z256" s="0" t="inlineStr">
        <is>
          <t>https://new.land.naver.com/complexes/26850?tab=detail&amp;rf=Y</t>
        </is>
      </c>
      <c r="AA256" s="0" t="inlineStr">
        <is>
          <t>경기도 수원시 장안구 율전동 561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장안구</t>
        </is>
      </c>
      <c r="AE256" s="0" t="inlineStr">
        <is>
          <t>율전동</t>
        </is>
      </c>
      <c r="AG256" s="0" t="inlineStr">
        <is>
          <t>경기도 수원시 장안구 덕영대로407번길 95</t>
        </is>
      </c>
      <c r="AH256" s="0" t="n">
        <v>0</v>
      </c>
      <c r="AI256" s="0" t="n">
        <v>199</v>
      </c>
      <c r="AJ256" s="0" t="n">
        <v>24</v>
      </c>
      <c r="AK256" s="0" t="n">
        <v>121</v>
      </c>
      <c r="AL256" s="0" t="n">
        <v>1.07</v>
      </c>
    </row>
    <row r="257">
      <c r="A257" s="0" t="inlineStr">
        <is>
          <t>[율전동]</t>
        </is>
      </c>
      <c r="B257" s="0" t="n">
        <v>26850</v>
      </c>
      <c r="C257" s="0" t="n">
        <v>3</v>
      </c>
      <c r="D257" s="0" t="inlineStr">
        <is>
          <t>성균관대역서희스타힐스1단지</t>
        </is>
      </c>
      <c r="E257" s="0" t="inlineStr">
        <is>
          <t>2011.12.</t>
        </is>
      </c>
      <c r="F257" s="0" t="n">
        <v>113</v>
      </c>
      <c r="G257" s="0" t="n">
        <v>34.46</v>
      </c>
      <c r="H257" s="0" t="n">
        <v>113.94</v>
      </c>
      <c r="I257" s="0" t="n">
        <v>25.7</v>
      </c>
      <c r="J257" s="0" t="n">
        <v>84.97</v>
      </c>
      <c r="K257" s="0" t="n">
        <v>6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113B</t>
        </is>
      </c>
      <c r="X257" s="0" t="n">
        <v>14</v>
      </c>
      <c r="Y257" s="0" t="n">
        <v>4</v>
      </c>
      <c r="Z257" s="0" t="inlineStr">
        <is>
          <t>https://new.land.naver.com/complexes/26850?tab=detail&amp;rf=Y</t>
        </is>
      </c>
      <c r="AA257" s="0" t="inlineStr">
        <is>
          <t>경기도 수원시 장안구 율전동 561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장안구</t>
        </is>
      </c>
      <c r="AE257" s="0" t="inlineStr">
        <is>
          <t>율전동</t>
        </is>
      </c>
      <c r="AG257" s="0" t="inlineStr">
        <is>
          <t>경기도 수원시 장안구 덕영대로407번길 95</t>
        </is>
      </c>
      <c r="AH257" s="0" t="n">
        <v>0</v>
      </c>
      <c r="AI257" s="0" t="n">
        <v>199</v>
      </c>
      <c r="AJ257" s="0" t="n">
        <v>24</v>
      </c>
      <c r="AK257" s="0" t="n">
        <v>121</v>
      </c>
      <c r="AL257" s="0" t="n">
        <v>1.07</v>
      </c>
    </row>
    <row r="258">
      <c r="A258" s="0" t="inlineStr">
        <is>
          <t>[율전동]</t>
        </is>
      </c>
      <c r="B258" s="0" t="n">
        <v>26850</v>
      </c>
      <c r="C258" s="0" t="n">
        <v>4</v>
      </c>
      <c r="D258" s="0" t="inlineStr">
        <is>
          <t>성균관대역서희스타힐스1단지</t>
        </is>
      </c>
      <c r="E258" s="0" t="inlineStr">
        <is>
          <t>2011.12.</t>
        </is>
      </c>
      <c r="F258" s="0" t="n">
        <v>113</v>
      </c>
      <c r="G258" s="0" t="n">
        <v>34.56</v>
      </c>
      <c r="H258" s="0" t="n">
        <v>114.25</v>
      </c>
      <c r="I258" s="0" t="n">
        <v>25.7</v>
      </c>
      <c r="J258" s="0" t="n">
        <v>84.97</v>
      </c>
      <c r="K258" s="0" t="n">
        <v>57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114E</t>
        </is>
      </c>
      <c r="X258" s="0" t="n">
        <v>14</v>
      </c>
      <c r="Y258" s="0" t="n">
        <v>4</v>
      </c>
      <c r="Z258" s="0" t="inlineStr">
        <is>
          <t>https://new.land.naver.com/complexes/26850?tab=detail&amp;rf=Y</t>
        </is>
      </c>
      <c r="AA258" s="0" t="inlineStr">
        <is>
          <t>경기도 수원시 장안구 율전동 561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장안구</t>
        </is>
      </c>
      <c r="AE258" s="0" t="inlineStr">
        <is>
          <t>율전동</t>
        </is>
      </c>
      <c r="AG258" s="0" t="inlineStr">
        <is>
          <t>경기도 수원시 장안구 덕영대로407번길 95</t>
        </is>
      </c>
      <c r="AH258" s="0" t="n">
        <v>0</v>
      </c>
      <c r="AI258" s="0" t="n">
        <v>199</v>
      </c>
      <c r="AJ258" s="0" t="n">
        <v>24</v>
      </c>
      <c r="AK258" s="0" t="n">
        <v>121</v>
      </c>
      <c r="AL258" s="0" t="n">
        <v>1.07</v>
      </c>
    </row>
    <row r="259">
      <c r="A259" s="0" t="inlineStr">
        <is>
          <t>[율전동]</t>
        </is>
      </c>
      <c r="B259" s="0" t="n">
        <v>26850</v>
      </c>
      <c r="C259" s="0" t="n">
        <v>5</v>
      </c>
      <c r="D259" s="0" t="inlineStr">
        <is>
          <t>성균관대역서희스타힐스1단지</t>
        </is>
      </c>
      <c r="E259" s="0" t="inlineStr">
        <is>
          <t>2011.12.</t>
        </is>
      </c>
      <c r="F259" s="0" t="n">
        <v>113</v>
      </c>
      <c r="G259" s="0" t="n">
        <v>34.52</v>
      </c>
      <c r="H259" s="0" t="n">
        <v>114.14</v>
      </c>
      <c r="I259" s="0" t="n">
        <v>25.69</v>
      </c>
      <c r="J259" s="0" t="n">
        <v>84.93000000000001</v>
      </c>
      <c r="K259" s="0" t="n">
        <v>23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114D</t>
        </is>
      </c>
      <c r="X259" s="0" t="n">
        <v>14</v>
      </c>
      <c r="Y259" s="0" t="n">
        <v>4</v>
      </c>
      <c r="Z259" s="0" t="inlineStr">
        <is>
          <t>https://new.land.naver.com/complexes/26850?tab=detail&amp;rf=Y</t>
        </is>
      </c>
      <c r="AA259" s="0" t="inlineStr">
        <is>
          <t>경기도 수원시 장안구 율전동 561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장안구</t>
        </is>
      </c>
      <c r="AE259" s="0" t="inlineStr">
        <is>
          <t>율전동</t>
        </is>
      </c>
      <c r="AG259" s="0" t="inlineStr">
        <is>
          <t>경기도 수원시 장안구 덕영대로407번길 95</t>
        </is>
      </c>
      <c r="AH259" s="0" t="n">
        <v>0</v>
      </c>
      <c r="AI259" s="0" t="n">
        <v>199</v>
      </c>
      <c r="AJ259" s="0" t="n">
        <v>24</v>
      </c>
      <c r="AK259" s="0" t="n">
        <v>121</v>
      </c>
      <c r="AL259" s="0" t="n">
        <v>1.07</v>
      </c>
    </row>
    <row r="260">
      <c r="A260" s="0" t="inlineStr">
        <is>
          <t>[율전동]</t>
        </is>
      </c>
      <c r="B260" s="0" t="n">
        <v>26850</v>
      </c>
      <c r="C260" s="0" t="n">
        <v>6</v>
      </c>
      <c r="D260" s="0" t="inlineStr">
        <is>
          <t>성균관대역서희스타힐스1단지</t>
        </is>
      </c>
      <c r="E260" s="0" t="inlineStr">
        <is>
          <t>2011.12.</t>
        </is>
      </c>
      <c r="F260" s="0" t="n">
        <v>113</v>
      </c>
      <c r="G260" s="0" t="n">
        <v>45.25</v>
      </c>
      <c r="H260" s="0" t="n">
        <v>149.59</v>
      </c>
      <c r="I260" s="0" t="n">
        <v>33.55</v>
      </c>
      <c r="J260" s="0" t="n">
        <v>110.91</v>
      </c>
      <c r="K260" s="0" t="n">
        <v>1</v>
      </c>
      <c r="T260" s="0" t="n">
        <v>4</v>
      </c>
      <c r="U260" s="0" t="n">
        <v>2</v>
      </c>
      <c r="V260" s="0" t="inlineStr">
        <is>
          <t>계단식</t>
        </is>
      </c>
      <c r="W260" s="0" t="inlineStr">
        <is>
          <t>149A</t>
        </is>
      </c>
      <c r="X260" s="0" t="n">
        <v>14</v>
      </c>
      <c r="Y260" s="0" t="n">
        <v>4</v>
      </c>
      <c r="Z260" s="0" t="inlineStr">
        <is>
          <t>https://new.land.naver.com/complexes/26850?tab=detail&amp;rf=Y</t>
        </is>
      </c>
      <c r="AA260" s="0" t="inlineStr">
        <is>
          <t>경기도 수원시 장안구 율전동 561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장안구</t>
        </is>
      </c>
      <c r="AE260" s="0" t="inlineStr">
        <is>
          <t>율전동</t>
        </is>
      </c>
      <c r="AG260" s="0" t="inlineStr">
        <is>
          <t>경기도 수원시 장안구 덕영대로407번길 95</t>
        </is>
      </c>
      <c r="AH260" s="0" t="n">
        <v>0</v>
      </c>
      <c r="AI260" s="0" t="n">
        <v>199</v>
      </c>
      <c r="AJ260" s="0" t="n">
        <v>24</v>
      </c>
      <c r="AK260" s="0" t="n">
        <v>121</v>
      </c>
      <c r="AL260" s="0" t="n">
        <v>1.07</v>
      </c>
    </row>
    <row r="261">
      <c r="A261" s="0" t="inlineStr">
        <is>
          <t>[율전동]</t>
        </is>
      </c>
      <c r="B261" s="0" t="n">
        <v>26850</v>
      </c>
      <c r="C261" s="0" t="n">
        <v>7</v>
      </c>
      <c r="D261" s="0" t="inlineStr">
        <is>
          <t>성균관대역서희스타힐스1단지</t>
        </is>
      </c>
      <c r="E261" s="0" t="inlineStr">
        <is>
          <t>2011.12.</t>
        </is>
      </c>
      <c r="F261" s="0" t="n">
        <v>113</v>
      </c>
      <c r="G261" s="0" t="n">
        <v>46.73</v>
      </c>
      <c r="H261" s="0" t="n">
        <v>154.5</v>
      </c>
      <c r="I261" s="0" t="n">
        <v>34.39</v>
      </c>
      <c r="J261" s="0" t="n">
        <v>113.7</v>
      </c>
      <c r="K261" s="0" t="n">
        <v>2</v>
      </c>
      <c r="T261" s="0" t="n">
        <v>4</v>
      </c>
      <c r="U261" s="0" t="n">
        <v>3</v>
      </c>
      <c r="V261" s="0" t="inlineStr">
        <is>
          <t>계단식</t>
        </is>
      </c>
      <c r="W261" s="0" t="inlineStr">
        <is>
          <t>154B</t>
        </is>
      </c>
      <c r="X261" s="0" t="n">
        <v>14</v>
      </c>
      <c r="Y261" s="0" t="n">
        <v>4</v>
      </c>
      <c r="Z261" s="0" t="inlineStr">
        <is>
          <t>https://new.land.naver.com/complexes/26850?tab=detail&amp;rf=Y</t>
        </is>
      </c>
      <c r="AA261" s="0" t="inlineStr">
        <is>
          <t>경기도 수원시 장안구 율전동 561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장안구</t>
        </is>
      </c>
      <c r="AE261" s="0" t="inlineStr">
        <is>
          <t>율전동</t>
        </is>
      </c>
      <c r="AG261" s="0" t="inlineStr">
        <is>
          <t>경기도 수원시 장안구 덕영대로407번길 95</t>
        </is>
      </c>
      <c r="AH261" s="0" t="n">
        <v>0</v>
      </c>
      <c r="AI261" s="0" t="n">
        <v>199</v>
      </c>
      <c r="AJ261" s="0" t="n">
        <v>24</v>
      </c>
      <c r="AK261" s="0" t="n">
        <v>121</v>
      </c>
      <c r="AL261" s="0" t="n">
        <v>1.07</v>
      </c>
    </row>
    <row r="262">
      <c r="A262" s="0" t="inlineStr">
        <is>
          <t>[율전동]</t>
        </is>
      </c>
      <c r="B262" s="0" t="n">
        <v>26850</v>
      </c>
      <c r="C262" s="0" t="n">
        <v>8</v>
      </c>
      <c r="D262" s="0" t="inlineStr">
        <is>
          <t>성균관대역서희스타힐스1단지</t>
        </is>
      </c>
      <c r="E262" s="0" t="inlineStr">
        <is>
          <t>2011.12.</t>
        </is>
      </c>
      <c r="F262" s="0" t="n">
        <v>113</v>
      </c>
      <c r="G262" s="0" t="n">
        <v>49.23</v>
      </c>
      <c r="H262" s="0" t="n">
        <v>162.75</v>
      </c>
      <c r="I262" s="0" t="n">
        <v>36.18</v>
      </c>
      <c r="J262" s="0" t="n">
        <v>119.63</v>
      </c>
      <c r="K262" s="0" t="n">
        <v>5</v>
      </c>
      <c r="T262" s="0" t="n">
        <v>4</v>
      </c>
      <c r="U262" s="0" t="n">
        <v>2</v>
      </c>
      <c r="V262" s="0" t="inlineStr">
        <is>
          <t>계단식</t>
        </is>
      </c>
      <c r="W262" s="0" t="n">
        <v>162</v>
      </c>
      <c r="X262" s="0" t="n">
        <v>14</v>
      </c>
      <c r="Y262" s="0" t="n">
        <v>4</v>
      </c>
      <c r="Z262" s="0" t="inlineStr">
        <is>
          <t>https://new.land.naver.com/complexes/26850?tab=detail&amp;rf=Y</t>
        </is>
      </c>
      <c r="AA262" s="0" t="inlineStr">
        <is>
          <t>경기도 수원시 장안구 율전동 561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장안구</t>
        </is>
      </c>
      <c r="AE262" s="0" t="inlineStr">
        <is>
          <t>율전동</t>
        </is>
      </c>
      <c r="AG262" s="0" t="inlineStr">
        <is>
          <t>경기도 수원시 장안구 덕영대로407번길 95</t>
        </is>
      </c>
      <c r="AH262" s="0" t="n">
        <v>0</v>
      </c>
      <c r="AI262" s="0" t="n">
        <v>199</v>
      </c>
      <c r="AJ262" s="0" t="n">
        <v>24</v>
      </c>
      <c r="AK262" s="0" t="n">
        <v>121</v>
      </c>
      <c r="AL262" s="0" t="n">
        <v>1.07</v>
      </c>
    </row>
    <row r="263">
      <c r="A263" s="0" t="inlineStr">
        <is>
          <t>[이목동]</t>
        </is>
      </c>
      <c r="B263" s="0" t="n">
        <v>102502</v>
      </c>
      <c r="C263" s="0" t="n">
        <v>1</v>
      </c>
      <c r="D263" s="0" t="inlineStr">
        <is>
          <t>수원장안STX-KAN2단지</t>
        </is>
      </c>
      <c r="E263" s="0" t="inlineStr">
        <is>
          <t>2013.02.</t>
        </is>
      </c>
      <c r="F263" s="0" t="n">
        <v>213</v>
      </c>
      <c r="G263" s="0" t="n">
        <v>25.99</v>
      </c>
      <c r="H263" s="0" t="n">
        <v>85.94</v>
      </c>
      <c r="I263" s="0" t="n">
        <v>18.13</v>
      </c>
      <c r="J263" s="0" t="n">
        <v>59.95</v>
      </c>
      <c r="K263" s="0" t="n">
        <v>45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85A</t>
        </is>
      </c>
      <c r="X263" s="0" t="n">
        <v>25</v>
      </c>
      <c r="Y263" s="0" t="n">
        <v>16</v>
      </c>
      <c r="Z263" s="0" t="inlineStr">
        <is>
          <t>https://new.land.naver.com/complexes/102502?tab=detail&amp;rf=Y</t>
        </is>
      </c>
      <c r="AA263" s="0" t="inlineStr">
        <is>
          <t>경기도 수원시 장안구 이목동 917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장안구</t>
        </is>
      </c>
      <c r="AE263" s="0" t="inlineStr">
        <is>
          <t>이목동</t>
        </is>
      </c>
      <c r="AG263" s="0" t="inlineStr">
        <is>
          <t>경기도 수원시 장안구 장안로385번길 95</t>
        </is>
      </c>
      <c r="AH263" s="0" t="n">
        <v>0</v>
      </c>
      <c r="AI263" s="0" t="n">
        <v>202</v>
      </c>
      <c r="AJ263" s="0" t="n">
        <v>15</v>
      </c>
      <c r="AK263" s="0" t="n">
        <v>226</v>
      </c>
      <c r="AL263" s="0" t="n">
        <v>1.06</v>
      </c>
    </row>
    <row r="264">
      <c r="A264" s="0" t="inlineStr">
        <is>
          <t>[이목동]</t>
        </is>
      </c>
      <c r="B264" s="0" t="n">
        <v>102502</v>
      </c>
      <c r="C264" s="0" t="n">
        <v>2</v>
      </c>
      <c r="D264" s="0" t="inlineStr">
        <is>
          <t>수원장안STX-KAN2단지</t>
        </is>
      </c>
      <c r="E264" s="0" t="inlineStr">
        <is>
          <t>2013.02.</t>
        </is>
      </c>
      <c r="F264" s="0" t="n">
        <v>213</v>
      </c>
      <c r="G264" s="0" t="n">
        <v>25.99</v>
      </c>
      <c r="H264" s="0" t="n">
        <v>85.94</v>
      </c>
      <c r="I264" s="0" t="n">
        <v>18.13</v>
      </c>
      <c r="J264" s="0" t="n">
        <v>59.95</v>
      </c>
      <c r="K264" s="0" t="n">
        <v>15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85B</t>
        </is>
      </c>
      <c r="X264" s="0" t="n">
        <v>25</v>
      </c>
      <c r="Y264" s="0" t="n">
        <v>16</v>
      </c>
      <c r="Z264" s="0" t="inlineStr">
        <is>
          <t>https://new.land.naver.com/complexes/102502?tab=detail&amp;rf=Y</t>
        </is>
      </c>
      <c r="AA264" s="0" t="inlineStr">
        <is>
          <t>경기도 수원시 장안구 이목동 917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장안구</t>
        </is>
      </c>
      <c r="AE264" s="0" t="inlineStr">
        <is>
          <t>이목동</t>
        </is>
      </c>
      <c r="AG264" s="0" t="inlineStr">
        <is>
          <t>경기도 수원시 장안구 장안로385번길 95</t>
        </is>
      </c>
      <c r="AH264" s="0" t="n">
        <v>0</v>
      </c>
      <c r="AI264" s="0" t="n">
        <v>202</v>
      </c>
      <c r="AJ264" s="0" t="n">
        <v>15</v>
      </c>
      <c r="AK264" s="0" t="n">
        <v>226</v>
      </c>
      <c r="AL264" s="0" t="n">
        <v>1.06</v>
      </c>
    </row>
    <row r="265">
      <c r="A265" s="0" t="inlineStr">
        <is>
          <t>[이목동]</t>
        </is>
      </c>
      <c r="B265" s="0" t="n">
        <v>102502</v>
      </c>
      <c r="C265" s="0" t="n">
        <v>3</v>
      </c>
      <c r="D265" s="0" t="inlineStr">
        <is>
          <t>수원장안STX-KAN2단지</t>
        </is>
      </c>
      <c r="E265" s="0" t="inlineStr">
        <is>
          <t>2013.02.</t>
        </is>
      </c>
      <c r="F265" s="0" t="n">
        <v>213</v>
      </c>
      <c r="G265" s="0" t="n">
        <v>33.93</v>
      </c>
      <c r="H265" s="0" t="n">
        <v>112.19</v>
      </c>
      <c r="I265" s="0" t="n">
        <v>25.58</v>
      </c>
      <c r="J265" s="0" t="n">
        <v>84.56999999999999</v>
      </c>
      <c r="K265" s="0" t="n">
        <v>86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112A</t>
        </is>
      </c>
      <c r="X265" s="0" t="n">
        <v>25</v>
      </c>
      <c r="Y265" s="0" t="n">
        <v>16</v>
      </c>
      <c r="Z265" s="0" t="inlineStr">
        <is>
          <t>https://new.land.naver.com/complexes/102502?tab=detail&amp;rf=Y</t>
        </is>
      </c>
      <c r="AA265" s="0" t="inlineStr">
        <is>
          <t>경기도 수원시 장안구 이목동 917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장안구</t>
        </is>
      </c>
      <c r="AE265" s="0" t="inlineStr">
        <is>
          <t>이목동</t>
        </is>
      </c>
      <c r="AG265" s="0" t="inlineStr">
        <is>
          <t>경기도 수원시 장안구 장안로385번길 95</t>
        </is>
      </c>
      <c r="AH265" s="0" t="n">
        <v>0</v>
      </c>
      <c r="AI265" s="0" t="n">
        <v>202</v>
      </c>
      <c r="AJ265" s="0" t="n">
        <v>15</v>
      </c>
      <c r="AK265" s="0" t="n">
        <v>226</v>
      </c>
      <c r="AL265" s="0" t="n">
        <v>1.06</v>
      </c>
    </row>
    <row r="266">
      <c r="A266" s="0" t="inlineStr">
        <is>
          <t>[이목동]</t>
        </is>
      </c>
      <c r="B266" s="0" t="n">
        <v>102502</v>
      </c>
      <c r="C266" s="0" t="n">
        <v>4</v>
      </c>
      <c r="D266" s="0" t="inlineStr">
        <is>
          <t>수원장안STX-KAN2단지</t>
        </is>
      </c>
      <c r="E266" s="0" t="inlineStr">
        <is>
          <t>2013.02.</t>
        </is>
      </c>
      <c r="F266" s="0" t="n">
        <v>213</v>
      </c>
      <c r="G266" s="0" t="n">
        <v>33.93</v>
      </c>
      <c r="H266" s="0" t="n">
        <v>112.17</v>
      </c>
      <c r="I266" s="0" t="n">
        <v>25.69</v>
      </c>
      <c r="J266" s="0" t="n">
        <v>84.93000000000001</v>
      </c>
      <c r="K266" s="0" t="n">
        <v>67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112B</t>
        </is>
      </c>
      <c r="X266" s="0" t="n">
        <v>25</v>
      </c>
      <c r="Y266" s="0" t="n">
        <v>16</v>
      </c>
      <c r="Z266" s="0" t="inlineStr">
        <is>
          <t>https://new.land.naver.com/complexes/102502?tab=detail&amp;rf=Y</t>
        </is>
      </c>
      <c r="AA266" s="0" t="inlineStr">
        <is>
          <t>경기도 수원시 장안구 이목동 917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장안구</t>
        </is>
      </c>
      <c r="AE266" s="0" t="inlineStr">
        <is>
          <t>이목동</t>
        </is>
      </c>
      <c r="AG266" s="0" t="inlineStr">
        <is>
          <t>경기도 수원시 장안구 장안로385번길 95</t>
        </is>
      </c>
      <c r="AH266" s="0" t="n">
        <v>0</v>
      </c>
      <c r="AI266" s="0" t="n">
        <v>202</v>
      </c>
      <c r="AJ266" s="0" t="n">
        <v>15</v>
      </c>
      <c r="AK266" s="0" t="n">
        <v>226</v>
      </c>
      <c r="AL266" s="0" t="n">
        <v>1.06</v>
      </c>
    </row>
    <row r="267">
      <c r="A267" s="0" t="inlineStr">
        <is>
          <t>[이목동]</t>
        </is>
      </c>
      <c r="B267" s="0" t="n">
        <v>101509</v>
      </c>
      <c r="C267" s="0" t="n">
        <v>1</v>
      </c>
      <c r="D267" s="0" t="inlineStr">
        <is>
          <t>수원장안힐스테이트</t>
        </is>
      </c>
      <c r="E267" s="0" t="inlineStr">
        <is>
          <t>2012.02.</t>
        </is>
      </c>
      <c r="F267" s="0" t="n">
        <v>927</v>
      </c>
      <c r="G267" s="0" t="n">
        <v>25.29</v>
      </c>
      <c r="H267" s="0" t="n">
        <v>83.63</v>
      </c>
      <c r="I267" s="0" t="n">
        <v>18.14</v>
      </c>
      <c r="J267" s="0" t="n">
        <v>59.98</v>
      </c>
      <c r="K267" s="0" t="n">
        <v>102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83A</t>
        </is>
      </c>
      <c r="X267" s="0" t="n">
        <v>19</v>
      </c>
      <c r="Y267" s="0" t="n">
        <v>12</v>
      </c>
      <c r="Z267" s="0" t="inlineStr">
        <is>
          <t>https://new.land.naver.com/complexes/101509?tab=detail&amp;rf=Y</t>
        </is>
      </c>
      <c r="AA267" s="0" t="inlineStr">
        <is>
          <t>경기도 수원시 장안구 이목동 916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장안구</t>
        </is>
      </c>
      <c r="AE267" s="0" t="inlineStr">
        <is>
          <t>이목동</t>
        </is>
      </c>
      <c r="AG267" s="0" t="inlineStr">
        <is>
          <t>경기도 수원시 장안구 장안로359번길 20</t>
        </is>
      </c>
      <c r="AH267" s="0" t="n">
        <v>0</v>
      </c>
      <c r="AI267" s="0" t="n">
        <v>214</v>
      </c>
      <c r="AJ267" s="0" t="n">
        <v>19</v>
      </c>
      <c r="AK267" s="0" t="n">
        <v>1225</v>
      </c>
      <c r="AL267" s="0" t="n">
        <v>1.32</v>
      </c>
    </row>
    <row r="268">
      <c r="A268" s="0" t="inlineStr">
        <is>
          <t>[이목동]</t>
        </is>
      </c>
      <c r="B268" s="0" t="n">
        <v>101509</v>
      </c>
      <c r="C268" s="0" t="n">
        <v>2</v>
      </c>
      <c r="D268" s="0" t="inlineStr">
        <is>
          <t>수원장안힐스테이트</t>
        </is>
      </c>
      <c r="E268" s="0" t="inlineStr">
        <is>
          <t>2012.02.</t>
        </is>
      </c>
      <c r="F268" s="0" t="n">
        <v>927</v>
      </c>
      <c r="G268" s="0" t="n">
        <v>25.97</v>
      </c>
      <c r="H268" s="0" t="n">
        <v>85.88</v>
      </c>
      <c r="I268" s="0" t="n">
        <v>18.14</v>
      </c>
      <c r="J268" s="0" t="n">
        <v>59.98</v>
      </c>
      <c r="K268" s="0" t="n">
        <v>102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85B</t>
        </is>
      </c>
      <c r="X268" s="0" t="n">
        <v>19</v>
      </c>
      <c r="Y268" s="0" t="n">
        <v>12</v>
      </c>
      <c r="Z268" s="0" t="inlineStr">
        <is>
          <t>https://new.land.naver.com/complexes/101509?tab=detail&amp;rf=Y</t>
        </is>
      </c>
      <c r="AA268" s="0" t="inlineStr">
        <is>
          <t>경기도 수원시 장안구 이목동 916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장안구</t>
        </is>
      </c>
      <c r="AE268" s="0" t="inlineStr">
        <is>
          <t>이목동</t>
        </is>
      </c>
      <c r="AG268" s="0" t="inlineStr">
        <is>
          <t>경기도 수원시 장안구 장안로359번길 20</t>
        </is>
      </c>
      <c r="AH268" s="0" t="n">
        <v>0</v>
      </c>
      <c r="AI268" s="0" t="n">
        <v>214</v>
      </c>
      <c r="AJ268" s="0" t="n">
        <v>19</v>
      </c>
      <c r="AK268" s="0" t="n">
        <v>1225</v>
      </c>
      <c r="AL268" s="0" t="n">
        <v>1.32</v>
      </c>
    </row>
    <row r="269">
      <c r="A269" s="0" t="inlineStr">
        <is>
          <t>[이목동]</t>
        </is>
      </c>
      <c r="B269" s="0" t="n">
        <v>101509</v>
      </c>
      <c r="C269" s="0" t="n">
        <v>3</v>
      </c>
      <c r="D269" s="0" t="inlineStr">
        <is>
          <t>수원장안힐스테이트</t>
        </is>
      </c>
      <c r="E269" s="0" t="inlineStr">
        <is>
          <t>2012.02.</t>
        </is>
      </c>
      <c r="F269" s="0" t="n">
        <v>927</v>
      </c>
      <c r="G269" s="0" t="n">
        <v>33.83</v>
      </c>
      <c r="H269" s="0" t="n">
        <v>111.84</v>
      </c>
      <c r="I269" s="0" t="n">
        <v>25.7</v>
      </c>
      <c r="J269" s="0" t="n">
        <v>84.98999999999999</v>
      </c>
      <c r="K269" s="0" t="n">
        <v>141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111A</t>
        </is>
      </c>
      <c r="X269" s="0" t="n">
        <v>19</v>
      </c>
      <c r="Y269" s="0" t="n">
        <v>12</v>
      </c>
      <c r="Z269" s="0" t="inlineStr">
        <is>
          <t>https://new.land.naver.com/complexes/101509?tab=detail&amp;rf=Y</t>
        </is>
      </c>
      <c r="AA269" s="0" t="inlineStr">
        <is>
          <t>경기도 수원시 장안구 이목동 916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장안구</t>
        </is>
      </c>
      <c r="AE269" s="0" t="inlineStr">
        <is>
          <t>이목동</t>
        </is>
      </c>
      <c r="AG269" s="0" t="inlineStr">
        <is>
          <t>경기도 수원시 장안구 장안로359번길 20</t>
        </is>
      </c>
      <c r="AH269" s="0" t="n">
        <v>0</v>
      </c>
      <c r="AI269" s="0" t="n">
        <v>214</v>
      </c>
      <c r="AJ269" s="0" t="n">
        <v>19</v>
      </c>
      <c r="AK269" s="0" t="n">
        <v>1225</v>
      </c>
      <c r="AL269" s="0" t="n">
        <v>1.32</v>
      </c>
    </row>
    <row r="270">
      <c r="A270" s="0" t="inlineStr">
        <is>
          <t>[이목동]</t>
        </is>
      </c>
      <c r="B270" s="0" t="n">
        <v>101509</v>
      </c>
      <c r="C270" s="0" t="n">
        <v>4</v>
      </c>
      <c r="D270" s="0" t="inlineStr">
        <is>
          <t>수원장안힐스테이트</t>
        </is>
      </c>
      <c r="E270" s="0" t="inlineStr">
        <is>
          <t>2012.02.</t>
        </is>
      </c>
      <c r="F270" s="0" t="n">
        <v>927</v>
      </c>
      <c r="G270" s="0" t="n">
        <v>34.11</v>
      </c>
      <c r="H270" s="0" t="n">
        <v>112.78</v>
      </c>
      <c r="I270" s="0" t="n">
        <v>25.7</v>
      </c>
      <c r="J270" s="0" t="n">
        <v>84.98999999999999</v>
      </c>
      <c r="K270" s="0" t="n">
        <v>210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112B</t>
        </is>
      </c>
      <c r="X270" s="0" t="n">
        <v>19</v>
      </c>
      <c r="Y270" s="0" t="n">
        <v>12</v>
      </c>
      <c r="Z270" s="0" t="inlineStr">
        <is>
          <t>https://new.land.naver.com/complexes/101509?tab=detail&amp;rf=Y</t>
        </is>
      </c>
      <c r="AA270" s="0" t="inlineStr">
        <is>
          <t>경기도 수원시 장안구 이목동 916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장안구</t>
        </is>
      </c>
      <c r="AE270" s="0" t="inlineStr">
        <is>
          <t>이목동</t>
        </is>
      </c>
      <c r="AG270" s="0" t="inlineStr">
        <is>
          <t>경기도 수원시 장안구 장안로359번길 20</t>
        </is>
      </c>
      <c r="AH270" s="0" t="n">
        <v>0</v>
      </c>
      <c r="AI270" s="0" t="n">
        <v>214</v>
      </c>
      <c r="AJ270" s="0" t="n">
        <v>19</v>
      </c>
      <c r="AK270" s="0" t="n">
        <v>1225</v>
      </c>
      <c r="AL270" s="0" t="n">
        <v>1.32</v>
      </c>
    </row>
    <row r="271">
      <c r="A271" s="0" t="inlineStr">
        <is>
          <t>[이목동]</t>
        </is>
      </c>
      <c r="B271" s="0" t="n">
        <v>101509</v>
      </c>
      <c r="C271" s="0" t="n">
        <v>5</v>
      </c>
      <c r="D271" s="0" t="inlineStr">
        <is>
          <t>수원장안힐스테이트</t>
        </is>
      </c>
      <c r="E271" s="0" t="inlineStr">
        <is>
          <t>2012.02.</t>
        </is>
      </c>
      <c r="F271" s="0" t="n">
        <v>927</v>
      </c>
      <c r="G271" s="0" t="n">
        <v>39.34</v>
      </c>
      <c r="H271" s="0" t="n">
        <v>130.08</v>
      </c>
      <c r="I271" s="0" t="n">
        <v>30.85</v>
      </c>
      <c r="J271" s="0" t="n">
        <v>101.99</v>
      </c>
      <c r="K271" s="0" t="n">
        <v>168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130</v>
      </c>
      <c r="X271" s="0" t="n">
        <v>19</v>
      </c>
      <c r="Y271" s="0" t="n">
        <v>12</v>
      </c>
      <c r="Z271" s="0" t="inlineStr">
        <is>
          <t>https://new.land.naver.com/complexes/101509?tab=detail&amp;rf=Y</t>
        </is>
      </c>
      <c r="AA271" s="0" t="inlineStr">
        <is>
          <t>경기도 수원시 장안구 이목동 916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장안구</t>
        </is>
      </c>
      <c r="AE271" s="0" t="inlineStr">
        <is>
          <t>이목동</t>
        </is>
      </c>
      <c r="AG271" s="0" t="inlineStr">
        <is>
          <t>경기도 수원시 장안구 장안로359번길 20</t>
        </is>
      </c>
      <c r="AH271" s="0" t="n">
        <v>0</v>
      </c>
      <c r="AI271" s="0" t="n">
        <v>214</v>
      </c>
      <c r="AJ271" s="0" t="n">
        <v>19</v>
      </c>
      <c r="AK271" s="0" t="n">
        <v>1225</v>
      </c>
      <c r="AL271" s="0" t="n">
        <v>1.32</v>
      </c>
    </row>
    <row r="272">
      <c r="A272" s="0" t="inlineStr">
        <is>
          <t>[이목동]</t>
        </is>
      </c>
      <c r="B272" s="0" t="n">
        <v>101509</v>
      </c>
      <c r="C272" s="0" t="n">
        <v>6</v>
      </c>
      <c r="D272" s="0" t="inlineStr">
        <is>
          <t>수원장안힐스테이트</t>
        </is>
      </c>
      <c r="E272" s="0" t="inlineStr">
        <is>
          <t>2012.02.</t>
        </is>
      </c>
      <c r="F272" s="0" t="n">
        <v>927</v>
      </c>
      <c r="G272" s="0" t="n">
        <v>47.28</v>
      </c>
      <c r="H272" s="0" t="n">
        <v>156.31</v>
      </c>
      <c r="I272" s="0" t="n">
        <v>38.7</v>
      </c>
      <c r="J272" s="0" t="n">
        <v>127.96</v>
      </c>
      <c r="K272" s="0" t="n">
        <v>117</v>
      </c>
      <c r="T272" s="0" t="n">
        <v>4</v>
      </c>
      <c r="U272" s="0" t="n">
        <v>2</v>
      </c>
      <c r="V272" s="0" t="inlineStr">
        <is>
          <t>계단식</t>
        </is>
      </c>
      <c r="W272" s="0" t="inlineStr">
        <is>
          <t>156A</t>
        </is>
      </c>
      <c r="X272" s="0" t="n">
        <v>19</v>
      </c>
      <c r="Y272" s="0" t="n">
        <v>12</v>
      </c>
      <c r="Z272" s="0" t="inlineStr">
        <is>
          <t>https://new.land.naver.com/complexes/101509?tab=detail&amp;rf=Y</t>
        </is>
      </c>
      <c r="AA272" s="0" t="inlineStr">
        <is>
          <t>경기도 수원시 장안구 이목동 916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장안구</t>
        </is>
      </c>
      <c r="AE272" s="0" t="inlineStr">
        <is>
          <t>이목동</t>
        </is>
      </c>
      <c r="AG272" s="0" t="inlineStr">
        <is>
          <t>경기도 수원시 장안구 장안로359번길 20</t>
        </is>
      </c>
      <c r="AH272" s="0" t="n">
        <v>0</v>
      </c>
      <c r="AI272" s="0" t="n">
        <v>214</v>
      </c>
      <c r="AJ272" s="0" t="n">
        <v>19</v>
      </c>
      <c r="AK272" s="0" t="n">
        <v>1225</v>
      </c>
      <c r="AL272" s="0" t="n">
        <v>1.32</v>
      </c>
    </row>
    <row r="273">
      <c r="A273" s="0" t="inlineStr">
        <is>
          <t>[이목동]</t>
        </is>
      </c>
      <c r="B273" s="0" t="n">
        <v>101509</v>
      </c>
      <c r="C273" s="0" t="n">
        <v>7</v>
      </c>
      <c r="D273" s="0" t="inlineStr">
        <is>
          <t>수원장안힐스테이트</t>
        </is>
      </c>
      <c r="E273" s="0" t="inlineStr">
        <is>
          <t>2012.02.</t>
        </is>
      </c>
      <c r="F273" s="0" t="n">
        <v>927</v>
      </c>
      <c r="G273" s="0" t="n">
        <v>47.27</v>
      </c>
      <c r="H273" s="0" t="n">
        <v>156.27</v>
      </c>
      <c r="I273" s="0" t="n">
        <v>38.71</v>
      </c>
      <c r="J273" s="0" t="n">
        <v>127.99</v>
      </c>
      <c r="K273" s="0" t="n">
        <v>36</v>
      </c>
      <c r="T273" s="0" t="n">
        <v>4</v>
      </c>
      <c r="U273" s="0" t="n">
        <v>2</v>
      </c>
      <c r="V273" s="0" t="inlineStr">
        <is>
          <t>계단식</t>
        </is>
      </c>
      <c r="W273" s="0" t="inlineStr">
        <is>
          <t>156B</t>
        </is>
      </c>
      <c r="X273" s="0" t="n">
        <v>19</v>
      </c>
      <c r="Y273" s="0" t="n">
        <v>12</v>
      </c>
      <c r="Z273" s="0" t="inlineStr">
        <is>
          <t>https://new.land.naver.com/complexes/101509?tab=detail&amp;rf=Y</t>
        </is>
      </c>
      <c r="AA273" s="0" t="inlineStr">
        <is>
          <t>경기도 수원시 장안구 이목동 916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장안구</t>
        </is>
      </c>
      <c r="AE273" s="0" t="inlineStr">
        <is>
          <t>이목동</t>
        </is>
      </c>
      <c r="AG273" s="0" t="inlineStr">
        <is>
          <t>경기도 수원시 장안구 장안로359번길 20</t>
        </is>
      </c>
      <c r="AH273" s="0" t="n">
        <v>0</v>
      </c>
      <c r="AI273" s="0" t="n">
        <v>214</v>
      </c>
      <c r="AJ273" s="0" t="n">
        <v>19</v>
      </c>
      <c r="AK273" s="0" t="n">
        <v>1225</v>
      </c>
      <c r="AL273" s="0" t="n">
        <v>1.32</v>
      </c>
    </row>
    <row r="274">
      <c r="A274" s="0" t="inlineStr">
        <is>
          <t>[이목동]</t>
        </is>
      </c>
      <c r="B274" s="0" t="n">
        <v>101509</v>
      </c>
      <c r="C274" s="0" t="n">
        <v>8</v>
      </c>
      <c r="D274" s="0" t="inlineStr">
        <is>
          <t>수원장안힐스테이트</t>
        </is>
      </c>
      <c r="E274" s="0" t="inlineStr">
        <is>
          <t>2012.02.</t>
        </is>
      </c>
      <c r="F274" s="0" t="n">
        <v>927</v>
      </c>
      <c r="G274" s="0" t="n">
        <v>47.69</v>
      </c>
      <c r="H274" s="0" t="n">
        <v>157.68</v>
      </c>
      <c r="I274" s="0" t="n">
        <v>38.71</v>
      </c>
      <c r="J274" s="0" t="n">
        <v>127.97</v>
      </c>
      <c r="K274" s="0" t="n">
        <v>51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157</v>
      </c>
      <c r="X274" s="0" t="n">
        <v>19</v>
      </c>
      <c r="Y274" s="0" t="n">
        <v>12</v>
      </c>
      <c r="Z274" s="0" t="inlineStr">
        <is>
          <t>https://new.land.naver.com/complexes/101509?tab=detail&amp;rf=Y</t>
        </is>
      </c>
      <c r="AA274" s="0" t="inlineStr">
        <is>
          <t>경기도 수원시 장안구 이목동 916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장안구</t>
        </is>
      </c>
      <c r="AE274" s="0" t="inlineStr">
        <is>
          <t>이목동</t>
        </is>
      </c>
      <c r="AG274" s="0" t="inlineStr">
        <is>
          <t>경기도 수원시 장안구 장안로359번길 20</t>
        </is>
      </c>
      <c r="AH274" s="0" t="n">
        <v>0</v>
      </c>
      <c r="AI274" s="0" t="n">
        <v>214</v>
      </c>
      <c r="AJ274" s="0" t="n">
        <v>19</v>
      </c>
      <c r="AK274" s="0" t="n">
        <v>1225</v>
      </c>
      <c r="AL274" s="0" t="n">
        <v>1.32</v>
      </c>
    </row>
    <row r="275">
      <c r="A275" s="0" t="inlineStr">
        <is>
          <t>[이목동]</t>
        </is>
      </c>
      <c r="B275" s="0" t="n">
        <v>102501</v>
      </c>
      <c r="C275" s="0" t="n">
        <v>1</v>
      </c>
      <c r="D275" s="0" t="inlineStr">
        <is>
          <t>수원장안STX-KAN1단지</t>
        </is>
      </c>
      <c r="E275" s="0" t="inlineStr">
        <is>
          <t>2013.02.</t>
        </is>
      </c>
      <c r="F275" s="0" t="n">
        <v>734</v>
      </c>
      <c r="G275" s="0" t="n">
        <v>25.73</v>
      </c>
      <c r="H275" s="0" t="n">
        <v>85.09</v>
      </c>
      <c r="I275" s="0" t="n">
        <v>18.13</v>
      </c>
      <c r="J275" s="0" t="n">
        <v>59.95</v>
      </c>
      <c r="K275" s="0" t="n">
        <v>130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85A</t>
        </is>
      </c>
      <c r="X275" s="0" t="n">
        <v>26</v>
      </c>
      <c r="Y275" s="0" t="n">
        <v>15</v>
      </c>
      <c r="Z275" s="0" t="inlineStr">
        <is>
          <t>https://new.land.naver.com/complexes/102501?tab=detail&amp;rf=Y</t>
        </is>
      </c>
      <c r="AA275" s="0" t="inlineStr">
        <is>
          <t>경기도 수원시 장안구 이목동 918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장안구</t>
        </is>
      </c>
      <c r="AE275" s="0" t="inlineStr">
        <is>
          <t>이목동</t>
        </is>
      </c>
      <c r="AG275" s="0" t="inlineStr">
        <is>
          <t>경기도 수원시 장안구 장안로 395</t>
        </is>
      </c>
      <c r="AH275" s="0" t="n">
        <v>0</v>
      </c>
      <c r="AI275" s="0" t="n">
        <v>225</v>
      </c>
      <c r="AJ275" s="0" t="n">
        <v>16</v>
      </c>
      <c r="AK275" s="0" t="n">
        <v>1034</v>
      </c>
      <c r="AL275" s="0" t="n">
        <v>1.41</v>
      </c>
    </row>
    <row r="276">
      <c r="A276" s="0" t="inlineStr">
        <is>
          <t>[이목동]</t>
        </is>
      </c>
      <c r="B276" s="0" t="n">
        <v>102501</v>
      </c>
      <c r="C276" s="0" t="n">
        <v>2</v>
      </c>
      <c r="D276" s="0" t="inlineStr">
        <is>
          <t>수원장안STX-KAN1단지</t>
        </is>
      </c>
      <c r="E276" s="0" t="inlineStr">
        <is>
          <t>2013.02.</t>
        </is>
      </c>
      <c r="F276" s="0" t="n">
        <v>734</v>
      </c>
      <c r="G276" s="0" t="n">
        <v>25.73</v>
      </c>
      <c r="H276" s="0" t="n">
        <v>85.09</v>
      </c>
      <c r="I276" s="0" t="n">
        <v>18.13</v>
      </c>
      <c r="J276" s="0" t="n">
        <v>59.95</v>
      </c>
      <c r="K276" s="0" t="n">
        <v>17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85B</t>
        </is>
      </c>
      <c r="X276" s="0" t="n">
        <v>26</v>
      </c>
      <c r="Y276" s="0" t="n">
        <v>15</v>
      </c>
      <c r="Z276" s="0" t="inlineStr">
        <is>
          <t>https://new.land.naver.com/complexes/102501?tab=detail&amp;rf=Y</t>
        </is>
      </c>
      <c r="AA276" s="0" t="inlineStr">
        <is>
          <t>경기도 수원시 장안구 이목동 918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장안구</t>
        </is>
      </c>
      <c r="AE276" s="0" t="inlineStr">
        <is>
          <t>이목동</t>
        </is>
      </c>
      <c r="AG276" s="0" t="inlineStr">
        <is>
          <t>경기도 수원시 장안구 장안로 395</t>
        </is>
      </c>
      <c r="AH276" s="0" t="n">
        <v>0</v>
      </c>
      <c r="AI276" s="0" t="n">
        <v>225</v>
      </c>
      <c r="AJ276" s="0" t="n">
        <v>16</v>
      </c>
      <c r="AK276" s="0" t="n">
        <v>1034</v>
      </c>
      <c r="AL276" s="0" t="n">
        <v>1.41</v>
      </c>
    </row>
    <row r="277">
      <c r="A277" s="0" t="inlineStr">
        <is>
          <t>[이목동]</t>
        </is>
      </c>
      <c r="B277" s="0" t="n">
        <v>102501</v>
      </c>
      <c r="C277" s="0" t="n">
        <v>3</v>
      </c>
      <c r="D277" s="0" t="inlineStr">
        <is>
          <t>수원장안STX-KAN1단지</t>
        </is>
      </c>
      <c r="E277" s="0" t="inlineStr">
        <is>
          <t>2013.02.</t>
        </is>
      </c>
      <c r="F277" s="0" t="n">
        <v>734</v>
      </c>
      <c r="G277" s="0" t="n">
        <v>33.87</v>
      </c>
      <c r="H277" s="0" t="n">
        <v>111.99</v>
      </c>
      <c r="I277" s="0" t="n">
        <v>25.58</v>
      </c>
      <c r="J277" s="0" t="n">
        <v>84.56999999999999</v>
      </c>
      <c r="K277" s="0" t="n">
        <v>194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111</v>
      </c>
      <c r="X277" s="0" t="n">
        <v>26</v>
      </c>
      <c r="Y277" s="0" t="n">
        <v>15</v>
      </c>
      <c r="Z277" s="0" t="inlineStr">
        <is>
          <t>https://new.land.naver.com/complexes/102501?tab=detail&amp;rf=Y</t>
        </is>
      </c>
      <c r="AA277" s="0" t="inlineStr">
        <is>
          <t>경기도 수원시 장안구 이목동 918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장안구</t>
        </is>
      </c>
      <c r="AE277" s="0" t="inlineStr">
        <is>
          <t>이목동</t>
        </is>
      </c>
      <c r="AG277" s="0" t="inlineStr">
        <is>
          <t>경기도 수원시 장안구 장안로 395</t>
        </is>
      </c>
      <c r="AH277" s="0" t="n">
        <v>0</v>
      </c>
      <c r="AI277" s="0" t="n">
        <v>225</v>
      </c>
      <c r="AJ277" s="0" t="n">
        <v>16</v>
      </c>
      <c r="AK277" s="0" t="n">
        <v>1034</v>
      </c>
      <c r="AL277" s="0" t="n">
        <v>1.41</v>
      </c>
    </row>
    <row r="278">
      <c r="A278" s="0" t="inlineStr">
        <is>
          <t>[이목동]</t>
        </is>
      </c>
      <c r="B278" s="0" t="n">
        <v>102501</v>
      </c>
      <c r="C278" s="0" t="n">
        <v>4</v>
      </c>
      <c r="D278" s="0" t="inlineStr">
        <is>
          <t>수원장안STX-KAN1단지</t>
        </is>
      </c>
      <c r="E278" s="0" t="inlineStr">
        <is>
          <t>2013.02.</t>
        </is>
      </c>
      <c r="F278" s="0" t="n">
        <v>734</v>
      </c>
      <c r="G278" s="0" t="n">
        <v>38.87</v>
      </c>
      <c r="H278" s="0" t="n">
        <v>128.5</v>
      </c>
      <c r="I278" s="0" t="n">
        <v>30.83</v>
      </c>
      <c r="J278" s="0" t="n">
        <v>101.92</v>
      </c>
      <c r="K278" s="0" t="n">
        <v>108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128</v>
      </c>
      <c r="X278" s="0" t="n">
        <v>26</v>
      </c>
      <c r="Y278" s="0" t="n">
        <v>15</v>
      </c>
      <c r="Z278" s="0" t="inlineStr">
        <is>
          <t>https://new.land.naver.com/complexes/102501?tab=detail&amp;rf=Y</t>
        </is>
      </c>
      <c r="AA278" s="0" t="inlineStr">
        <is>
          <t>경기도 수원시 장안구 이목동 918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장안구</t>
        </is>
      </c>
      <c r="AE278" s="0" t="inlineStr">
        <is>
          <t>이목동</t>
        </is>
      </c>
      <c r="AG278" s="0" t="inlineStr">
        <is>
          <t>경기도 수원시 장안구 장안로 395</t>
        </is>
      </c>
      <c r="AH278" s="0" t="n">
        <v>0</v>
      </c>
      <c r="AI278" s="0" t="n">
        <v>225</v>
      </c>
      <c r="AJ278" s="0" t="n">
        <v>16</v>
      </c>
      <c r="AK278" s="0" t="n">
        <v>1034</v>
      </c>
      <c r="AL278" s="0" t="n">
        <v>1.41</v>
      </c>
    </row>
    <row r="279">
      <c r="A279" s="0" t="inlineStr">
        <is>
          <t>[이목동]</t>
        </is>
      </c>
      <c r="B279" s="0" t="n">
        <v>102501</v>
      </c>
      <c r="C279" s="0" t="n">
        <v>5</v>
      </c>
      <c r="D279" s="0" t="inlineStr">
        <is>
          <t>수원장안STX-KAN1단지</t>
        </is>
      </c>
      <c r="E279" s="0" t="inlineStr">
        <is>
          <t>2013.02.</t>
        </is>
      </c>
      <c r="F279" s="0" t="n">
        <v>734</v>
      </c>
      <c r="G279" s="0" t="n">
        <v>39.82</v>
      </c>
      <c r="H279" s="0" t="n">
        <v>131.65</v>
      </c>
      <c r="I279" s="0" t="n">
        <v>31.41</v>
      </c>
      <c r="J279" s="0" t="n">
        <v>103.85</v>
      </c>
      <c r="K279" s="0" t="n">
        <v>95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131</v>
      </c>
      <c r="X279" s="0" t="n">
        <v>26</v>
      </c>
      <c r="Y279" s="0" t="n">
        <v>15</v>
      </c>
      <c r="Z279" s="0" t="inlineStr">
        <is>
          <t>https://new.land.naver.com/complexes/102501?tab=detail&amp;rf=Y</t>
        </is>
      </c>
      <c r="AA279" s="0" t="inlineStr">
        <is>
          <t>경기도 수원시 장안구 이목동 918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장안구</t>
        </is>
      </c>
      <c r="AE279" s="0" t="inlineStr">
        <is>
          <t>이목동</t>
        </is>
      </c>
      <c r="AG279" s="0" t="inlineStr">
        <is>
          <t>경기도 수원시 장안구 장안로 395</t>
        </is>
      </c>
      <c r="AH279" s="0" t="n">
        <v>0</v>
      </c>
      <c r="AI279" s="0" t="n">
        <v>225</v>
      </c>
      <c r="AJ279" s="0" t="n">
        <v>16</v>
      </c>
      <c r="AK279" s="0" t="n">
        <v>1034</v>
      </c>
      <c r="AL279" s="0" t="n">
        <v>1.41</v>
      </c>
    </row>
    <row r="280">
      <c r="A280" s="0" t="inlineStr">
        <is>
          <t>[이목동]</t>
        </is>
      </c>
      <c r="B280" s="0" t="n">
        <v>102501</v>
      </c>
      <c r="C280" s="0" t="n">
        <v>6</v>
      </c>
      <c r="D280" s="0" t="inlineStr">
        <is>
          <t>수원장안STX-KAN1단지</t>
        </is>
      </c>
      <c r="E280" s="0" t="inlineStr">
        <is>
          <t>2013.02.</t>
        </is>
      </c>
      <c r="F280" s="0" t="n">
        <v>734</v>
      </c>
      <c r="G280" s="0" t="n">
        <v>43.46</v>
      </c>
      <c r="H280" s="0" t="n">
        <v>143.68</v>
      </c>
      <c r="I280" s="0" t="n">
        <v>34.74</v>
      </c>
      <c r="J280" s="0" t="n">
        <v>114.86</v>
      </c>
      <c r="K280" s="0" t="n">
        <v>144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143</v>
      </c>
      <c r="X280" s="0" t="n">
        <v>26</v>
      </c>
      <c r="Y280" s="0" t="n">
        <v>15</v>
      </c>
      <c r="Z280" s="0" t="inlineStr">
        <is>
          <t>https://new.land.naver.com/complexes/102501?tab=detail&amp;rf=Y</t>
        </is>
      </c>
      <c r="AA280" s="0" t="inlineStr">
        <is>
          <t>경기도 수원시 장안구 이목동 918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장안구</t>
        </is>
      </c>
      <c r="AE280" s="0" t="inlineStr">
        <is>
          <t>이목동</t>
        </is>
      </c>
      <c r="AG280" s="0" t="inlineStr">
        <is>
          <t>경기도 수원시 장안구 장안로 395</t>
        </is>
      </c>
      <c r="AH280" s="0" t="n">
        <v>0</v>
      </c>
      <c r="AI280" s="0" t="n">
        <v>225</v>
      </c>
      <c r="AJ280" s="0" t="n">
        <v>16</v>
      </c>
      <c r="AK280" s="0" t="n">
        <v>1034</v>
      </c>
      <c r="AL280" s="0" t="n">
        <v>1.41</v>
      </c>
    </row>
    <row r="281">
      <c r="A281" s="0" t="inlineStr">
        <is>
          <t>[이목동]</t>
        </is>
      </c>
      <c r="B281" s="0" t="n">
        <v>102501</v>
      </c>
      <c r="C281" s="0" t="n">
        <v>7</v>
      </c>
      <c r="D281" s="0" t="inlineStr">
        <is>
          <t>수원장안STX-KAN1단지</t>
        </is>
      </c>
      <c r="E281" s="0" t="inlineStr">
        <is>
          <t>2013.02.</t>
        </is>
      </c>
      <c r="F281" s="0" t="n">
        <v>734</v>
      </c>
      <c r="G281" s="0" t="n">
        <v>46.65</v>
      </c>
      <c r="H281" s="0" t="n">
        <v>154.24</v>
      </c>
      <c r="I281" s="0" t="n">
        <v>37.63</v>
      </c>
      <c r="J281" s="0" t="n">
        <v>124.42</v>
      </c>
      <c r="K281" s="0" t="n">
        <v>46</v>
      </c>
      <c r="T281" s="0" t="n">
        <v>4</v>
      </c>
      <c r="U281" s="0" t="n">
        <v>3</v>
      </c>
      <c r="V281" s="0" t="inlineStr">
        <is>
          <t>계단식</t>
        </is>
      </c>
      <c r="W281" s="0" t="n">
        <v>154</v>
      </c>
      <c r="X281" s="0" t="n">
        <v>26</v>
      </c>
      <c r="Y281" s="0" t="n">
        <v>15</v>
      </c>
      <c r="Z281" s="0" t="inlineStr">
        <is>
          <t>https://new.land.naver.com/complexes/102501?tab=detail&amp;rf=Y</t>
        </is>
      </c>
      <c r="AA281" s="0" t="inlineStr">
        <is>
          <t>경기도 수원시 장안구 이목동 918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장안구</t>
        </is>
      </c>
      <c r="AE281" s="0" t="inlineStr">
        <is>
          <t>이목동</t>
        </is>
      </c>
      <c r="AG281" s="0" t="inlineStr">
        <is>
          <t>경기도 수원시 장안구 장안로 395</t>
        </is>
      </c>
      <c r="AH281" s="0" t="n">
        <v>0</v>
      </c>
      <c r="AI281" s="0" t="n">
        <v>225</v>
      </c>
      <c r="AJ281" s="0" t="n">
        <v>16</v>
      </c>
      <c r="AK281" s="0" t="n">
        <v>1034</v>
      </c>
      <c r="AL281" s="0" t="n">
        <v>1.41</v>
      </c>
    </row>
    <row r="282">
      <c r="A282" s="0" t="inlineStr">
        <is>
          <t>[정자동]</t>
        </is>
      </c>
      <c r="B282" s="0" t="n">
        <v>19435</v>
      </c>
      <c r="C282" s="0" t="n">
        <v>1</v>
      </c>
      <c r="D282" s="0" t="inlineStr">
        <is>
          <t>경남아너스빌</t>
        </is>
      </c>
      <c r="E282" s="0" t="inlineStr">
        <is>
          <t>2006.04.</t>
        </is>
      </c>
      <c r="F282" s="0" t="n">
        <v>422</v>
      </c>
      <c r="G282" s="0" t="n">
        <v>22.74</v>
      </c>
      <c r="H282" s="0" t="n">
        <v>75.18000000000001</v>
      </c>
      <c r="I282" s="0" t="n">
        <v>18.14</v>
      </c>
      <c r="J282" s="0" t="n">
        <v>59.98</v>
      </c>
      <c r="K282" s="0" t="n">
        <v>86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75</v>
      </c>
      <c r="X282" s="0" t="n">
        <v>15</v>
      </c>
      <c r="Y282" s="0" t="n">
        <v>11</v>
      </c>
      <c r="Z282" s="0" t="inlineStr">
        <is>
          <t>https://new.land.naver.com/complexes/19435?tab=detail&amp;rf=Y</t>
        </is>
      </c>
      <c r="AA282" s="0" t="inlineStr">
        <is>
          <t>경기도 수원시 장안구 정자동 297-2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장안구</t>
        </is>
      </c>
      <c r="AE282" s="0" t="inlineStr">
        <is>
          <t>정자동</t>
        </is>
      </c>
      <c r="AG282" s="0" t="inlineStr">
        <is>
          <t>경기도 수원시 장안구 만석로159번길 31</t>
        </is>
      </c>
      <c r="AH282" s="0" t="n">
        <v>0</v>
      </c>
      <c r="AI282" s="0" t="n">
        <v>278</v>
      </c>
      <c r="AJ282" s="0" t="n">
        <v>26</v>
      </c>
      <c r="AK282" s="0" t="n">
        <v>445</v>
      </c>
      <c r="AL282" s="0" t="n">
        <v>1.05</v>
      </c>
    </row>
    <row r="283">
      <c r="A283" s="0" t="inlineStr">
        <is>
          <t>[정자동]</t>
        </is>
      </c>
      <c r="B283" s="0" t="n">
        <v>19435</v>
      </c>
      <c r="C283" s="0" t="n">
        <v>2</v>
      </c>
      <c r="D283" s="0" t="inlineStr">
        <is>
          <t>경남아너스빌</t>
        </is>
      </c>
      <c r="E283" s="0" t="inlineStr">
        <is>
          <t>2006.04.</t>
        </is>
      </c>
      <c r="F283" s="0" t="n">
        <v>422</v>
      </c>
      <c r="G283" s="0" t="n">
        <v>31.95</v>
      </c>
      <c r="H283" s="0" t="n">
        <v>105.62</v>
      </c>
      <c r="I283" s="0" t="n">
        <v>25.68</v>
      </c>
      <c r="J283" s="0" t="n">
        <v>84.90000000000001</v>
      </c>
      <c r="K283" s="0" t="n">
        <v>179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105</v>
      </c>
      <c r="X283" s="0" t="n">
        <v>15</v>
      </c>
      <c r="Y283" s="0" t="n">
        <v>11</v>
      </c>
      <c r="Z283" s="0" t="inlineStr">
        <is>
          <t>https://new.land.naver.com/complexes/19435?tab=detail&amp;rf=Y</t>
        </is>
      </c>
      <c r="AA283" s="0" t="inlineStr">
        <is>
          <t>경기도 수원시 장안구 정자동 297-2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장안구</t>
        </is>
      </c>
      <c r="AE283" s="0" t="inlineStr">
        <is>
          <t>정자동</t>
        </is>
      </c>
      <c r="AG283" s="0" t="inlineStr">
        <is>
          <t>경기도 수원시 장안구 만석로159번길 31</t>
        </is>
      </c>
      <c r="AH283" s="0" t="n">
        <v>0</v>
      </c>
      <c r="AI283" s="0" t="n">
        <v>278</v>
      </c>
      <c r="AJ283" s="0" t="n">
        <v>26</v>
      </c>
      <c r="AK283" s="0" t="n">
        <v>445</v>
      </c>
      <c r="AL283" s="0" t="n">
        <v>1.05</v>
      </c>
    </row>
    <row r="284">
      <c r="A284" s="0" t="inlineStr">
        <is>
          <t>[정자동]</t>
        </is>
      </c>
      <c r="B284" s="0" t="n">
        <v>19435</v>
      </c>
      <c r="C284" s="0" t="n">
        <v>3</v>
      </c>
      <c r="D284" s="0" t="inlineStr">
        <is>
          <t>경남아너스빌</t>
        </is>
      </c>
      <c r="E284" s="0" t="inlineStr">
        <is>
          <t>2006.04.</t>
        </is>
      </c>
      <c r="F284" s="0" t="n">
        <v>422</v>
      </c>
      <c r="G284" s="0" t="n">
        <v>31.99</v>
      </c>
      <c r="H284" s="0" t="n">
        <v>105.78</v>
      </c>
      <c r="I284" s="0" t="n">
        <v>25.69</v>
      </c>
      <c r="J284" s="0" t="n">
        <v>84.93000000000001</v>
      </c>
      <c r="K284" s="0" t="n">
        <v>45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105A</t>
        </is>
      </c>
      <c r="X284" s="0" t="n">
        <v>15</v>
      </c>
      <c r="Y284" s="0" t="n">
        <v>11</v>
      </c>
      <c r="Z284" s="0" t="inlineStr">
        <is>
          <t>https://new.land.naver.com/complexes/19435?tab=detail&amp;rf=Y</t>
        </is>
      </c>
      <c r="AA284" s="0" t="inlineStr">
        <is>
          <t>경기도 수원시 장안구 정자동 297-2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장안구</t>
        </is>
      </c>
      <c r="AE284" s="0" t="inlineStr">
        <is>
          <t>정자동</t>
        </is>
      </c>
      <c r="AG284" s="0" t="inlineStr">
        <is>
          <t>경기도 수원시 장안구 만석로159번길 31</t>
        </is>
      </c>
      <c r="AH284" s="0" t="n">
        <v>0</v>
      </c>
      <c r="AI284" s="0" t="n">
        <v>278</v>
      </c>
      <c r="AJ284" s="0" t="n">
        <v>26</v>
      </c>
      <c r="AK284" s="0" t="n">
        <v>445</v>
      </c>
      <c r="AL284" s="0" t="n">
        <v>1.05</v>
      </c>
    </row>
    <row r="285">
      <c r="A285" s="0" t="inlineStr">
        <is>
          <t>[정자동]</t>
        </is>
      </c>
      <c r="B285" s="0" t="n">
        <v>19435</v>
      </c>
      <c r="C285" s="0" t="n">
        <v>4</v>
      </c>
      <c r="D285" s="0" t="inlineStr">
        <is>
          <t>경남아너스빌</t>
        </is>
      </c>
      <c r="E285" s="0" t="inlineStr">
        <is>
          <t>2006.04.</t>
        </is>
      </c>
      <c r="F285" s="0" t="n">
        <v>422</v>
      </c>
      <c r="G285" s="0" t="n">
        <v>31.99</v>
      </c>
      <c r="H285" s="0" t="n">
        <v>105.77</v>
      </c>
      <c r="I285" s="0" t="n">
        <v>25.67</v>
      </c>
      <c r="J285" s="0" t="n">
        <v>84.87</v>
      </c>
      <c r="K285" s="0" t="n">
        <v>43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105B</t>
        </is>
      </c>
      <c r="X285" s="0" t="n">
        <v>15</v>
      </c>
      <c r="Y285" s="0" t="n">
        <v>11</v>
      </c>
      <c r="Z285" s="0" t="inlineStr">
        <is>
          <t>https://new.land.naver.com/complexes/19435?tab=detail&amp;rf=Y</t>
        </is>
      </c>
      <c r="AA285" s="0" t="inlineStr">
        <is>
          <t>경기도 수원시 장안구 정자동 297-2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장안구</t>
        </is>
      </c>
      <c r="AE285" s="0" t="inlineStr">
        <is>
          <t>정자동</t>
        </is>
      </c>
      <c r="AG285" s="0" t="inlineStr">
        <is>
          <t>경기도 수원시 장안구 만석로159번길 31</t>
        </is>
      </c>
      <c r="AH285" s="0" t="n">
        <v>0</v>
      </c>
      <c r="AI285" s="0" t="n">
        <v>278</v>
      </c>
      <c r="AJ285" s="0" t="n">
        <v>26</v>
      </c>
      <c r="AK285" s="0" t="n">
        <v>445</v>
      </c>
      <c r="AL285" s="0" t="n">
        <v>1.05</v>
      </c>
    </row>
    <row r="286">
      <c r="A286" s="0" t="inlineStr">
        <is>
          <t>[정자동]</t>
        </is>
      </c>
      <c r="B286" s="0" t="n">
        <v>19435</v>
      </c>
      <c r="C286" s="0" t="n">
        <v>5</v>
      </c>
      <c r="D286" s="0" t="inlineStr">
        <is>
          <t>경남아너스빌</t>
        </is>
      </c>
      <c r="E286" s="0" t="inlineStr">
        <is>
          <t>2006.04.</t>
        </is>
      </c>
      <c r="F286" s="0" t="n">
        <v>422</v>
      </c>
      <c r="G286" s="0" t="n">
        <v>37.9</v>
      </c>
      <c r="H286" s="0" t="n">
        <v>125.29</v>
      </c>
      <c r="I286" s="0" t="n">
        <v>30.41</v>
      </c>
      <c r="J286" s="0" t="n">
        <v>100.54</v>
      </c>
      <c r="K286" s="0" t="n">
        <v>9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125</v>
      </c>
      <c r="X286" s="0" t="n">
        <v>15</v>
      </c>
      <c r="Y286" s="0" t="n">
        <v>11</v>
      </c>
      <c r="Z286" s="0" t="inlineStr">
        <is>
          <t>https://new.land.naver.com/complexes/19435?tab=detail&amp;rf=Y</t>
        </is>
      </c>
      <c r="AA286" s="0" t="inlineStr">
        <is>
          <t>경기도 수원시 장안구 정자동 297-2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장안구</t>
        </is>
      </c>
      <c r="AE286" s="0" t="inlineStr">
        <is>
          <t>정자동</t>
        </is>
      </c>
      <c r="AG286" s="0" t="inlineStr">
        <is>
          <t>경기도 수원시 장안구 만석로159번길 31</t>
        </is>
      </c>
      <c r="AH286" s="0" t="n">
        <v>0</v>
      </c>
      <c r="AI286" s="0" t="n">
        <v>278</v>
      </c>
      <c r="AJ286" s="0" t="n">
        <v>26</v>
      </c>
      <c r="AK286" s="0" t="n">
        <v>445</v>
      </c>
      <c r="AL286" s="0" t="n">
        <v>1.05</v>
      </c>
    </row>
    <row r="287">
      <c r="A287" s="0" t="inlineStr">
        <is>
          <t>[정자동]</t>
        </is>
      </c>
      <c r="B287" s="0" t="n">
        <v>19435</v>
      </c>
      <c r="C287" s="0" t="n">
        <v>6</v>
      </c>
      <c r="D287" s="0" t="inlineStr">
        <is>
          <t>경남아너스빌</t>
        </is>
      </c>
      <c r="E287" s="0" t="inlineStr">
        <is>
          <t>2006.04.</t>
        </is>
      </c>
      <c r="F287" s="0" t="n">
        <v>422</v>
      </c>
      <c r="G287" s="0" t="n">
        <v>45.4</v>
      </c>
      <c r="H287" s="0" t="n">
        <v>150.11</v>
      </c>
      <c r="I287" s="0" t="n">
        <v>36.16</v>
      </c>
      <c r="J287" s="0" t="n">
        <v>119.56</v>
      </c>
      <c r="K287" s="0" t="n">
        <v>60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150</v>
      </c>
      <c r="X287" s="0" t="n">
        <v>15</v>
      </c>
      <c r="Y287" s="0" t="n">
        <v>11</v>
      </c>
      <c r="Z287" s="0" t="inlineStr">
        <is>
          <t>https://new.land.naver.com/complexes/19435?tab=detail&amp;rf=Y</t>
        </is>
      </c>
      <c r="AA287" s="0" t="inlineStr">
        <is>
          <t>경기도 수원시 장안구 정자동 297-2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장안구</t>
        </is>
      </c>
      <c r="AE287" s="0" t="inlineStr">
        <is>
          <t>정자동</t>
        </is>
      </c>
      <c r="AG287" s="0" t="inlineStr">
        <is>
          <t>경기도 수원시 장안구 만석로159번길 31</t>
        </is>
      </c>
      <c r="AH287" s="0" t="n">
        <v>0</v>
      </c>
      <c r="AI287" s="0" t="n">
        <v>278</v>
      </c>
      <c r="AJ287" s="0" t="n">
        <v>26</v>
      </c>
      <c r="AK287" s="0" t="n">
        <v>445</v>
      </c>
      <c r="AL287" s="0" t="n">
        <v>1.05</v>
      </c>
    </row>
    <row r="288">
      <c r="A288" s="0" t="inlineStr">
        <is>
          <t>[정자동]</t>
        </is>
      </c>
      <c r="B288" s="0" t="n">
        <v>102614</v>
      </c>
      <c r="C288" s="0" t="n">
        <v>1</v>
      </c>
      <c r="D288" s="0" t="inlineStr">
        <is>
          <t>수원SK스카이뷰</t>
        </is>
      </c>
      <c r="E288" s="0" t="inlineStr">
        <is>
          <t>2013.05.</t>
        </is>
      </c>
      <c r="F288" s="0" t="n">
        <v>3498</v>
      </c>
      <c r="G288" s="0" t="n">
        <v>24.89</v>
      </c>
      <c r="H288" s="0" t="n">
        <v>82.29000000000001</v>
      </c>
      <c r="I288" s="0" t="n">
        <v>18.13</v>
      </c>
      <c r="J288" s="0" t="n">
        <v>59.95</v>
      </c>
      <c r="K288" s="0" t="n">
        <v>180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82A</t>
        </is>
      </c>
      <c r="X288" s="0" t="n">
        <v>40</v>
      </c>
      <c r="Y288" s="0" t="n">
        <v>21</v>
      </c>
      <c r="Z288" s="0" t="inlineStr">
        <is>
          <t>https://new.land.naver.com/complexes/102614?tab=detail&amp;rf=Y</t>
        </is>
      </c>
      <c r="AA288" s="0" t="inlineStr">
        <is>
          <t>경기도 수원시 장안구 정자동 945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장안구</t>
        </is>
      </c>
      <c r="AE288" s="0" t="inlineStr">
        <is>
          <t>정자동</t>
        </is>
      </c>
      <c r="AG288" s="0" t="inlineStr">
        <is>
          <t>경기도 수원시 장안구 이목로 24</t>
        </is>
      </c>
      <c r="AH288" s="0" t="n">
        <v>0</v>
      </c>
      <c r="AI288" s="0" t="n">
        <v>228</v>
      </c>
      <c r="AJ288" s="0" t="n">
        <v>12</v>
      </c>
      <c r="AK288" s="0" t="n">
        <v>4939</v>
      </c>
      <c r="AL288" s="0" t="n">
        <v>1.41</v>
      </c>
    </row>
    <row r="289">
      <c r="A289" s="0" t="inlineStr">
        <is>
          <t>[정자동]</t>
        </is>
      </c>
      <c r="B289" s="0" t="n">
        <v>102614</v>
      </c>
      <c r="C289" s="0" t="n">
        <v>2</v>
      </c>
      <c r="D289" s="0" t="inlineStr">
        <is>
          <t>수원SK스카이뷰</t>
        </is>
      </c>
      <c r="E289" s="0" t="inlineStr">
        <is>
          <t>2013.05.</t>
        </is>
      </c>
      <c r="F289" s="0" t="n">
        <v>3498</v>
      </c>
      <c r="G289" s="0" t="n">
        <v>24.96</v>
      </c>
      <c r="H289" s="0" t="n">
        <v>82.52</v>
      </c>
      <c r="I289" s="0" t="n">
        <v>18.13</v>
      </c>
      <c r="J289" s="0" t="n">
        <v>59.96</v>
      </c>
      <c r="K289" s="0" t="n">
        <v>180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82C</t>
        </is>
      </c>
      <c r="X289" s="0" t="n">
        <v>40</v>
      </c>
      <c r="Y289" s="0" t="n">
        <v>21</v>
      </c>
      <c r="Z289" s="0" t="inlineStr">
        <is>
          <t>https://new.land.naver.com/complexes/102614?tab=detail&amp;rf=Y</t>
        </is>
      </c>
      <c r="AA289" s="0" t="inlineStr">
        <is>
          <t>경기도 수원시 장안구 정자동 945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장안구</t>
        </is>
      </c>
      <c r="AE289" s="0" t="inlineStr">
        <is>
          <t>정자동</t>
        </is>
      </c>
      <c r="AG289" s="0" t="inlineStr">
        <is>
          <t>경기도 수원시 장안구 이목로 24</t>
        </is>
      </c>
      <c r="AH289" s="0" t="n">
        <v>0</v>
      </c>
      <c r="AI289" s="0" t="n">
        <v>228</v>
      </c>
      <c r="AJ289" s="0" t="n">
        <v>12</v>
      </c>
      <c r="AK289" s="0" t="n">
        <v>4939</v>
      </c>
      <c r="AL289" s="0" t="n">
        <v>1.41</v>
      </c>
    </row>
    <row r="290">
      <c r="A290" s="0" t="inlineStr">
        <is>
          <t>[정자동]</t>
        </is>
      </c>
      <c r="B290" s="0" t="n">
        <v>102614</v>
      </c>
      <c r="C290" s="0" t="n">
        <v>3</v>
      </c>
      <c r="D290" s="0" t="inlineStr">
        <is>
          <t>수원SK스카이뷰</t>
        </is>
      </c>
      <c r="E290" s="0" t="inlineStr">
        <is>
          <t>2013.05.</t>
        </is>
      </c>
      <c r="F290" s="0" t="n">
        <v>3498</v>
      </c>
      <c r="G290" s="0" t="n">
        <v>25.13</v>
      </c>
      <c r="H290" s="0" t="n">
        <v>83.09</v>
      </c>
      <c r="I290" s="0" t="n">
        <v>18.12</v>
      </c>
      <c r="J290" s="0" t="n">
        <v>59.92</v>
      </c>
      <c r="K290" s="0" t="n">
        <v>348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83B</t>
        </is>
      </c>
      <c r="X290" s="0" t="n">
        <v>40</v>
      </c>
      <c r="Y290" s="0" t="n">
        <v>21</v>
      </c>
      <c r="Z290" s="0" t="inlineStr">
        <is>
          <t>https://new.land.naver.com/complexes/102614?tab=detail&amp;rf=Y</t>
        </is>
      </c>
      <c r="AA290" s="0" t="inlineStr">
        <is>
          <t>경기도 수원시 장안구 정자동 945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장안구</t>
        </is>
      </c>
      <c r="AE290" s="0" t="inlineStr">
        <is>
          <t>정자동</t>
        </is>
      </c>
      <c r="AG290" s="0" t="inlineStr">
        <is>
          <t>경기도 수원시 장안구 이목로 24</t>
        </is>
      </c>
      <c r="AH290" s="0" t="n">
        <v>0</v>
      </c>
      <c r="AI290" s="0" t="n">
        <v>228</v>
      </c>
      <c r="AJ290" s="0" t="n">
        <v>12</v>
      </c>
      <c r="AK290" s="0" t="n">
        <v>4939</v>
      </c>
      <c r="AL290" s="0" t="n">
        <v>1.41</v>
      </c>
    </row>
    <row r="291">
      <c r="A291" s="0" t="inlineStr">
        <is>
          <t>[정자동]</t>
        </is>
      </c>
      <c r="B291" s="0" t="n">
        <v>102614</v>
      </c>
      <c r="C291" s="0" t="n">
        <v>4</v>
      </c>
      <c r="D291" s="0" t="inlineStr">
        <is>
          <t>수원SK스카이뷰</t>
        </is>
      </c>
      <c r="E291" s="0" t="inlineStr">
        <is>
          <t>2013.05.</t>
        </is>
      </c>
      <c r="F291" s="0" t="n">
        <v>3498</v>
      </c>
      <c r="G291" s="0" t="n">
        <v>34.71</v>
      </c>
      <c r="H291" s="0" t="n">
        <v>114.76</v>
      </c>
      <c r="I291" s="0" t="n">
        <v>25.69</v>
      </c>
      <c r="J291" s="0" t="n">
        <v>84.95</v>
      </c>
      <c r="K291" s="0" t="n">
        <v>180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114C</t>
        </is>
      </c>
      <c r="X291" s="0" t="n">
        <v>40</v>
      </c>
      <c r="Y291" s="0" t="n">
        <v>21</v>
      </c>
      <c r="Z291" s="0" t="inlineStr">
        <is>
          <t>https://new.land.naver.com/complexes/102614?tab=detail&amp;rf=Y</t>
        </is>
      </c>
      <c r="AA291" s="0" t="inlineStr">
        <is>
          <t>경기도 수원시 장안구 정자동 945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장안구</t>
        </is>
      </c>
      <c r="AE291" s="0" t="inlineStr">
        <is>
          <t>정자동</t>
        </is>
      </c>
      <c r="AG291" s="0" t="inlineStr">
        <is>
          <t>경기도 수원시 장안구 이목로 24</t>
        </is>
      </c>
      <c r="AH291" s="0" t="n">
        <v>0</v>
      </c>
      <c r="AI291" s="0" t="n">
        <v>228</v>
      </c>
      <c r="AJ291" s="0" t="n">
        <v>12</v>
      </c>
      <c r="AK291" s="0" t="n">
        <v>4939</v>
      </c>
      <c r="AL291" s="0" t="n">
        <v>1.41</v>
      </c>
    </row>
    <row r="292">
      <c r="A292" s="0" t="inlineStr">
        <is>
          <t>[정자동]</t>
        </is>
      </c>
      <c r="B292" s="0" t="n">
        <v>102614</v>
      </c>
      <c r="C292" s="0" t="n">
        <v>5</v>
      </c>
      <c r="D292" s="0" t="inlineStr">
        <is>
          <t>수원SK스카이뷰</t>
        </is>
      </c>
      <c r="E292" s="0" t="inlineStr">
        <is>
          <t>2013.05.</t>
        </is>
      </c>
      <c r="F292" s="0" t="n">
        <v>3498</v>
      </c>
      <c r="G292" s="0" t="n">
        <v>35.02</v>
      </c>
      <c r="H292" s="0" t="n">
        <v>115.77</v>
      </c>
      <c r="I292" s="0" t="n">
        <v>25.67</v>
      </c>
      <c r="J292" s="0" t="n">
        <v>84.89</v>
      </c>
      <c r="K292" s="0" t="n">
        <v>639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115A</t>
        </is>
      </c>
      <c r="X292" s="0" t="n">
        <v>40</v>
      </c>
      <c r="Y292" s="0" t="n">
        <v>21</v>
      </c>
      <c r="Z292" s="0" t="inlineStr">
        <is>
          <t>https://new.land.naver.com/complexes/102614?tab=detail&amp;rf=Y</t>
        </is>
      </c>
      <c r="AA292" s="0" t="inlineStr">
        <is>
          <t>경기도 수원시 장안구 정자동 945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장안구</t>
        </is>
      </c>
      <c r="AE292" s="0" t="inlineStr">
        <is>
          <t>정자동</t>
        </is>
      </c>
      <c r="AG292" s="0" t="inlineStr">
        <is>
          <t>경기도 수원시 장안구 이목로 24</t>
        </is>
      </c>
      <c r="AH292" s="0" t="n">
        <v>0</v>
      </c>
      <c r="AI292" s="0" t="n">
        <v>228</v>
      </c>
      <c r="AJ292" s="0" t="n">
        <v>12</v>
      </c>
      <c r="AK292" s="0" t="n">
        <v>4939</v>
      </c>
      <c r="AL292" s="0" t="n">
        <v>1.41</v>
      </c>
    </row>
    <row r="293">
      <c r="A293" s="0" t="inlineStr">
        <is>
          <t>[정자동]</t>
        </is>
      </c>
      <c r="B293" s="0" t="n">
        <v>102614</v>
      </c>
      <c r="C293" s="0" t="n">
        <v>6</v>
      </c>
      <c r="D293" s="0" t="inlineStr">
        <is>
          <t>수원SK스카이뷰</t>
        </is>
      </c>
      <c r="E293" s="0" t="inlineStr">
        <is>
          <t>2013.05.</t>
        </is>
      </c>
      <c r="F293" s="0" t="n">
        <v>3498</v>
      </c>
      <c r="G293" s="0" t="n">
        <v>35.09</v>
      </c>
      <c r="H293" s="0" t="n">
        <v>116.01</v>
      </c>
      <c r="I293" s="0" t="n">
        <v>25.68</v>
      </c>
      <c r="J293" s="0" t="n">
        <v>84.91</v>
      </c>
      <c r="K293" s="0" t="n">
        <v>942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116B</t>
        </is>
      </c>
      <c r="X293" s="0" t="n">
        <v>40</v>
      </c>
      <c r="Y293" s="0" t="n">
        <v>21</v>
      </c>
      <c r="Z293" s="0" t="inlineStr">
        <is>
          <t>https://new.land.naver.com/complexes/102614?tab=detail&amp;rf=Y</t>
        </is>
      </c>
      <c r="AA293" s="0" t="inlineStr">
        <is>
          <t>경기도 수원시 장안구 정자동 945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장안구</t>
        </is>
      </c>
      <c r="AE293" s="0" t="inlineStr">
        <is>
          <t>정자동</t>
        </is>
      </c>
      <c r="AG293" s="0" t="inlineStr">
        <is>
          <t>경기도 수원시 장안구 이목로 24</t>
        </is>
      </c>
      <c r="AH293" s="0" t="n">
        <v>0</v>
      </c>
      <c r="AI293" s="0" t="n">
        <v>228</v>
      </c>
      <c r="AJ293" s="0" t="n">
        <v>12</v>
      </c>
      <c r="AK293" s="0" t="n">
        <v>4939</v>
      </c>
      <c r="AL293" s="0" t="n">
        <v>1.41</v>
      </c>
    </row>
    <row r="294">
      <c r="A294" s="0" t="inlineStr">
        <is>
          <t>[정자동]</t>
        </is>
      </c>
      <c r="B294" s="0" t="n">
        <v>102614</v>
      </c>
      <c r="C294" s="0" t="n">
        <v>7</v>
      </c>
      <c r="D294" s="0" t="inlineStr">
        <is>
          <t>수원SK스카이뷰</t>
        </is>
      </c>
      <c r="E294" s="0" t="inlineStr">
        <is>
          <t>2013.05.</t>
        </is>
      </c>
      <c r="F294" s="0" t="n">
        <v>3498</v>
      </c>
      <c r="G294" s="0" t="n">
        <v>36.48</v>
      </c>
      <c r="H294" s="0" t="n">
        <v>120.61</v>
      </c>
      <c r="I294" s="0" t="n">
        <v>25.69</v>
      </c>
      <c r="J294" s="0" t="n">
        <v>84.94</v>
      </c>
      <c r="K294" s="0" t="n">
        <v>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120PB</t>
        </is>
      </c>
      <c r="X294" s="0" t="n">
        <v>40</v>
      </c>
      <c r="Y294" s="0" t="n">
        <v>21</v>
      </c>
      <c r="Z294" s="0" t="inlineStr">
        <is>
          <t>https://new.land.naver.com/complexes/102614?tab=detail&amp;rf=Y</t>
        </is>
      </c>
      <c r="AA294" s="0" t="inlineStr">
        <is>
          <t>경기도 수원시 장안구 정자동 945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장안구</t>
        </is>
      </c>
      <c r="AE294" s="0" t="inlineStr">
        <is>
          <t>정자동</t>
        </is>
      </c>
      <c r="AG294" s="0" t="inlineStr">
        <is>
          <t>경기도 수원시 장안구 이목로 24</t>
        </is>
      </c>
      <c r="AH294" s="0" t="n">
        <v>0</v>
      </c>
      <c r="AI294" s="0" t="n">
        <v>228</v>
      </c>
      <c r="AJ294" s="0" t="n">
        <v>12</v>
      </c>
      <c r="AK294" s="0" t="n">
        <v>4939</v>
      </c>
      <c r="AL294" s="0" t="n">
        <v>1.41</v>
      </c>
    </row>
    <row r="295">
      <c r="A295" s="0" t="inlineStr">
        <is>
          <t>[정자동]</t>
        </is>
      </c>
      <c r="B295" s="0" t="n">
        <v>102614</v>
      </c>
      <c r="C295" s="0" t="n">
        <v>8</v>
      </c>
      <c r="D295" s="0" t="inlineStr">
        <is>
          <t>수원SK스카이뷰</t>
        </is>
      </c>
      <c r="E295" s="0" t="inlineStr">
        <is>
          <t>2013.05.</t>
        </is>
      </c>
      <c r="F295" s="0" t="n">
        <v>3498</v>
      </c>
      <c r="G295" s="0" t="n">
        <v>36.38</v>
      </c>
      <c r="H295" s="0" t="n">
        <v>120.28</v>
      </c>
      <c r="I295" s="0" t="n">
        <v>25.7</v>
      </c>
      <c r="J295" s="0" t="n">
        <v>84.97</v>
      </c>
      <c r="K295" s="0" t="n">
        <v>3</v>
      </c>
      <c r="T295" s="0" t="n">
        <v>4</v>
      </c>
      <c r="U295" s="0" t="n">
        <v>3</v>
      </c>
      <c r="V295" s="0" t="inlineStr">
        <is>
          <t>계단식</t>
        </is>
      </c>
      <c r="W295" s="0" t="inlineStr">
        <is>
          <t>120PC</t>
        </is>
      </c>
      <c r="X295" s="0" t="n">
        <v>40</v>
      </c>
      <c r="Y295" s="0" t="n">
        <v>21</v>
      </c>
      <c r="Z295" s="0" t="inlineStr">
        <is>
          <t>https://new.land.naver.com/complexes/102614?tab=detail&amp;rf=Y</t>
        </is>
      </c>
      <c r="AA295" s="0" t="inlineStr">
        <is>
          <t>경기도 수원시 장안구 정자동 945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장안구</t>
        </is>
      </c>
      <c r="AE295" s="0" t="inlineStr">
        <is>
          <t>정자동</t>
        </is>
      </c>
      <c r="AG295" s="0" t="inlineStr">
        <is>
          <t>경기도 수원시 장안구 이목로 24</t>
        </is>
      </c>
      <c r="AH295" s="0" t="n">
        <v>0</v>
      </c>
      <c r="AI295" s="0" t="n">
        <v>228</v>
      </c>
      <c r="AJ295" s="0" t="n">
        <v>12</v>
      </c>
      <c r="AK295" s="0" t="n">
        <v>4939</v>
      </c>
      <c r="AL295" s="0" t="n">
        <v>1.41</v>
      </c>
    </row>
    <row r="296">
      <c r="A296" s="0" t="inlineStr">
        <is>
          <t>[정자동]</t>
        </is>
      </c>
      <c r="B296" s="0" t="n">
        <v>102614</v>
      </c>
      <c r="C296" s="0" t="n">
        <v>9</v>
      </c>
      <c r="D296" s="0" t="inlineStr">
        <is>
          <t>수원SK스카이뷰</t>
        </is>
      </c>
      <c r="E296" s="0" t="inlineStr">
        <is>
          <t>2013.05.</t>
        </is>
      </c>
      <c r="F296" s="0" t="n">
        <v>3498</v>
      </c>
      <c r="G296" s="0" t="n">
        <v>39.8</v>
      </c>
      <c r="H296" s="0" t="n">
        <v>131.58</v>
      </c>
      <c r="I296" s="0" t="n">
        <v>29.58</v>
      </c>
      <c r="J296" s="0" t="n">
        <v>97.79000000000001</v>
      </c>
      <c r="K296" s="0" t="n">
        <v>296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131</v>
      </c>
      <c r="X296" s="0" t="n">
        <v>40</v>
      </c>
      <c r="Y296" s="0" t="n">
        <v>21</v>
      </c>
      <c r="Z296" s="0" t="inlineStr">
        <is>
          <t>https://new.land.naver.com/complexes/102614?tab=detail&amp;rf=Y</t>
        </is>
      </c>
      <c r="AA296" s="0" t="inlineStr">
        <is>
          <t>경기도 수원시 장안구 정자동 945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장안구</t>
        </is>
      </c>
      <c r="AE296" s="0" t="inlineStr">
        <is>
          <t>정자동</t>
        </is>
      </c>
      <c r="AG296" s="0" t="inlineStr">
        <is>
          <t>경기도 수원시 장안구 이목로 24</t>
        </is>
      </c>
      <c r="AH296" s="0" t="n">
        <v>0</v>
      </c>
      <c r="AI296" s="0" t="n">
        <v>228</v>
      </c>
      <c r="AJ296" s="0" t="n">
        <v>12</v>
      </c>
      <c r="AK296" s="0" t="n">
        <v>4939</v>
      </c>
      <c r="AL296" s="0" t="n">
        <v>1.41</v>
      </c>
    </row>
    <row r="297">
      <c r="A297" s="0" t="inlineStr">
        <is>
          <t>[정자동]</t>
        </is>
      </c>
      <c r="B297" s="0" t="n">
        <v>102614</v>
      </c>
      <c r="C297" s="0" t="n">
        <v>10</v>
      </c>
      <c r="D297" s="0" t="inlineStr">
        <is>
          <t>수원SK스카이뷰</t>
        </is>
      </c>
      <c r="E297" s="0" t="inlineStr">
        <is>
          <t>2013.05.</t>
        </is>
      </c>
      <c r="F297" s="0" t="n">
        <v>3498</v>
      </c>
      <c r="G297" s="0" t="n">
        <v>44.72</v>
      </c>
      <c r="H297" s="0" t="n">
        <v>147.84</v>
      </c>
      <c r="I297" s="0" t="n">
        <v>33.48</v>
      </c>
      <c r="J297" s="0" t="n">
        <v>110.68</v>
      </c>
      <c r="K297" s="0" t="n">
        <v>134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147B</t>
        </is>
      </c>
      <c r="X297" s="0" t="n">
        <v>40</v>
      </c>
      <c r="Y297" s="0" t="n">
        <v>21</v>
      </c>
      <c r="Z297" s="0" t="inlineStr">
        <is>
          <t>https://new.land.naver.com/complexes/102614?tab=detail&amp;rf=Y</t>
        </is>
      </c>
      <c r="AA297" s="0" t="inlineStr">
        <is>
          <t>경기도 수원시 장안구 정자동 945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장안구</t>
        </is>
      </c>
      <c r="AE297" s="0" t="inlineStr">
        <is>
          <t>정자동</t>
        </is>
      </c>
      <c r="AG297" s="0" t="inlineStr">
        <is>
          <t>경기도 수원시 장안구 이목로 24</t>
        </is>
      </c>
      <c r="AH297" s="0" t="n">
        <v>0</v>
      </c>
      <c r="AI297" s="0" t="n">
        <v>228</v>
      </c>
      <c r="AJ297" s="0" t="n">
        <v>12</v>
      </c>
      <c r="AK297" s="0" t="n">
        <v>4939</v>
      </c>
      <c r="AL297" s="0" t="n">
        <v>1.41</v>
      </c>
    </row>
    <row r="298">
      <c r="A298" s="0" t="inlineStr">
        <is>
          <t>[정자동]</t>
        </is>
      </c>
      <c r="B298" s="0" t="n">
        <v>102614</v>
      </c>
      <c r="C298" s="0" t="n">
        <v>11</v>
      </c>
      <c r="D298" s="0" t="inlineStr">
        <is>
          <t>수원SK스카이뷰</t>
        </is>
      </c>
      <c r="E298" s="0" t="inlineStr">
        <is>
          <t>2013.05.</t>
        </is>
      </c>
      <c r="F298" s="0" t="n">
        <v>3498</v>
      </c>
      <c r="G298" s="0" t="n">
        <v>44.85</v>
      </c>
      <c r="H298" s="0" t="n">
        <v>148.28</v>
      </c>
      <c r="I298" s="0" t="n">
        <v>33.41</v>
      </c>
      <c r="J298" s="0" t="n">
        <v>110.47</v>
      </c>
      <c r="K298" s="0" t="n">
        <v>252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148A</t>
        </is>
      </c>
      <c r="X298" s="0" t="n">
        <v>40</v>
      </c>
      <c r="Y298" s="0" t="n">
        <v>21</v>
      </c>
      <c r="Z298" s="0" t="inlineStr">
        <is>
          <t>https://new.land.naver.com/complexes/102614?tab=detail&amp;rf=Y</t>
        </is>
      </c>
      <c r="AA298" s="0" t="inlineStr">
        <is>
          <t>경기도 수원시 장안구 정자동 945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장안구</t>
        </is>
      </c>
      <c r="AE298" s="0" t="inlineStr">
        <is>
          <t>정자동</t>
        </is>
      </c>
      <c r="AG298" s="0" t="inlineStr">
        <is>
          <t>경기도 수원시 장안구 이목로 24</t>
        </is>
      </c>
      <c r="AH298" s="0" t="n">
        <v>0</v>
      </c>
      <c r="AI298" s="0" t="n">
        <v>228</v>
      </c>
      <c r="AJ298" s="0" t="n">
        <v>12</v>
      </c>
      <c r="AK298" s="0" t="n">
        <v>4939</v>
      </c>
      <c r="AL298" s="0" t="n">
        <v>1.41</v>
      </c>
    </row>
    <row r="299">
      <c r="A299" s="0" t="inlineStr">
        <is>
          <t>[정자동]</t>
        </is>
      </c>
      <c r="B299" s="0" t="n">
        <v>102614</v>
      </c>
      <c r="C299" s="0" t="n">
        <v>12</v>
      </c>
      <c r="D299" s="0" t="inlineStr">
        <is>
          <t>수원SK스카이뷰</t>
        </is>
      </c>
      <c r="E299" s="0" t="inlineStr">
        <is>
          <t>2013.05.</t>
        </is>
      </c>
      <c r="F299" s="0" t="n">
        <v>3498</v>
      </c>
      <c r="G299" s="0" t="n">
        <v>46.56</v>
      </c>
      <c r="H299" s="0" t="n">
        <v>153.93</v>
      </c>
      <c r="I299" s="0" t="n">
        <v>33.46</v>
      </c>
      <c r="J299" s="0" t="n">
        <v>110.64</v>
      </c>
      <c r="K299" s="0" t="n">
        <v>3</v>
      </c>
      <c r="T299" s="0" t="n">
        <v>4</v>
      </c>
      <c r="U299" s="0" t="n">
        <v>3</v>
      </c>
      <c r="V299" s="0" t="inlineStr">
        <is>
          <t>계단식</t>
        </is>
      </c>
      <c r="W299" s="0" t="inlineStr">
        <is>
          <t>153PC</t>
        </is>
      </c>
      <c r="X299" s="0" t="n">
        <v>40</v>
      </c>
      <c r="Y299" s="0" t="n">
        <v>21</v>
      </c>
      <c r="Z299" s="0" t="inlineStr">
        <is>
          <t>https://new.land.naver.com/complexes/102614?tab=detail&amp;rf=Y</t>
        </is>
      </c>
      <c r="AA299" s="0" t="inlineStr">
        <is>
          <t>경기도 수원시 장안구 정자동 945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장안구</t>
        </is>
      </c>
      <c r="AE299" s="0" t="inlineStr">
        <is>
          <t>정자동</t>
        </is>
      </c>
      <c r="AG299" s="0" t="inlineStr">
        <is>
          <t>경기도 수원시 장안구 이목로 24</t>
        </is>
      </c>
      <c r="AH299" s="0" t="n">
        <v>0</v>
      </c>
      <c r="AI299" s="0" t="n">
        <v>228</v>
      </c>
      <c r="AJ299" s="0" t="n">
        <v>12</v>
      </c>
      <c r="AK299" s="0" t="n">
        <v>4939</v>
      </c>
      <c r="AL299" s="0" t="n">
        <v>1.41</v>
      </c>
    </row>
    <row r="300">
      <c r="A300" s="0" t="inlineStr">
        <is>
          <t>[정자동]</t>
        </is>
      </c>
      <c r="B300" s="0" t="n">
        <v>102614</v>
      </c>
      <c r="C300" s="0" t="n">
        <v>13</v>
      </c>
      <c r="D300" s="0" t="inlineStr">
        <is>
          <t>수원SK스카이뷰</t>
        </is>
      </c>
      <c r="E300" s="0" t="inlineStr">
        <is>
          <t>2013.05.</t>
        </is>
      </c>
      <c r="F300" s="0" t="n">
        <v>3498</v>
      </c>
      <c r="G300" s="0" t="n">
        <v>46.76</v>
      </c>
      <c r="H300" s="0" t="n">
        <v>154.6</v>
      </c>
      <c r="I300" s="0" t="n">
        <v>33.45</v>
      </c>
      <c r="J300" s="0" t="n">
        <v>110.58</v>
      </c>
      <c r="K300" s="0" t="n">
        <v>14</v>
      </c>
      <c r="T300" s="0" t="n">
        <v>4</v>
      </c>
      <c r="U300" s="0" t="n">
        <v>3</v>
      </c>
      <c r="V300" s="0" t="inlineStr">
        <is>
          <t>계단식</t>
        </is>
      </c>
      <c r="W300" s="0" t="inlineStr">
        <is>
          <t>154PB</t>
        </is>
      </c>
      <c r="X300" s="0" t="n">
        <v>40</v>
      </c>
      <c r="Y300" s="0" t="n">
        <v>21</v>
      </c>
      <c r="Z300" s="0" t="inlineStr">
        <is>
          <t>https://new.land.naver.com/complexes/102614?tab=detail&amp;rf=Y</t>
        </is>
      </c>
      <c r="AA300" s="0" t="inlineStr">
        <is>
          <t>경기도 수원시 장안구 정자동 945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장안구</t>
        </is>
      </c>
      <c r="AE300" s="0" t="inlineStr">
        <is>
          <t>정자동</t>
        </is>
      </c>
      <c r="AG300" s="0" t="inlineStr">
        <is>
          <t>경기도 수원시 장안구 이목로 24</t>
        </is>
      </c>
      <c r="AH300" s="0" t="n">
        <v>0</v>
      </c>
      <c r="AI300" s="0" t="n">
        <v>228</v>
      </c>
      <c r="AJ300" s="0" t="n">
        <v>12</v>
      </c>
      <c r="AK300" s="0" t="n">
        <v>4939</v>
      </c>
      <c r="AL300" s="0" t="n">
        <v>1.41</v>
      </c>
    </row>
    <row r="301">
      <c r="A301" s="0" t="inlineStr">
        <is>
          <t>[정자동]</t>
        </is>
      </c>
      <c r="B301" s="0" t="n">
        <v>102614</v>
      </c>
      <c r="C301" s="0" t="n">
        <v>14</v>
      </c>
      <c r="D301" s="0" t="inlineStr">
        <is>
          <t>수원SK스카이뷰</t>
        </is>
      </c>
      <c r="E301" s="0" t="inlineStr">
        <is>
          <t>2013.05.</t>
        </is>
      </c>
      <c r="F301" s="0" t="n">
        <v>3498</v>
      </c>
      <c r="G301" s="0" t="n">
        <v>49.59</v>
      </c>
      <c r="H301" s="0" t="n">
        <v>163.95</v>
      </c>
      <c r="I301" s="0" t="n">
        <v>37.13</v>
      </c>
      <c r="J301" s="0" t="n">
        <v>122.76</v>
      </c>
      <c r="K301" s="0" t="n">
        <v>35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163B</t>
        </is>
      </c>
      <c r="X301" s="0" t="n">
        <v>40</v>
      </c>
      <c r="Y301" s="0" t="n">
        <v>21</v>
      </c>
      <c r="Z301" s="0" t="inlineStr">
        <is>
          <t>https://new.land.naver.com/complexes/102614?tab=detail&amp;rf=Y</t>
        </is>
      </c>
      <c r="AA301" s="0" t="inlineStr">
        <is>
          <t>경기도 수원시 장안구 정자동 945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장안구</t>
        </is>
      </c>
      <c r="AE301" s="0" t="inlineStr">
        <is>
          <t>정자동</t>
        </is>
      </c>
      <c r="AG301" s="0" t="inlineStr">
        <is>
          <t>경기도 수원시 장안구 이목로 24</t>
        </is>
      </c>
      <c r="AH301" s="0" t="n">
        <v>0</v>
      </c>
      <c r="AI301" s="0" t="n">
        <v>228</v>
      </c>
      <c r="AJ301" s="0" t="n">
        <v>12</v>
      </c>
      <c r="AK301" s="0" t="n">
        <v>4939</v>
      </c>
      <c r="AL301" s="0" t="n">
        <v>1.41</v>
      </c>
    </row>
    <row r="302">
      <c r="A302" s="0" t="inlineStr">
        <is>
          <t>[정자동]</t>
        </is>
      </c>
      <c r="B302" s="0" t="n">
        <v>102614</v>
      </c>
      <c r="C302" s="0" t="n">
        <v>15</v>
      </c>
      <c r="D302" s="0" t="inlineStr">
        <is>
          <t>수원SK스카이뷰</t>
        </is>
      </c>
      <c r="E302" s="0" t="inlineStr">
        <is>
          <t>2013.05.</t>
        </is>
      </c>
      <c r="F302" s="0" t="n">
        <v>3498</v>
      </c>
      <c r="G302" s="0" t="n">
        <v>49.66</v>
      </c>
      <c r="H302" s="0" t="n">
        <v>164.19</v>
      </c>
      <c r="I302" s="0" t="n">
        <v>37.11</v>
      </c>
      <c r="J302" s="0" t="n">
        <v>122.68</v>
      </c>
      <c r="K302" s="0" t="n">
        <v>128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164A</t>
        </is>
      </c>
      <c r="X302" s="0" t="n">
        <v>40</v>
      </c>
      <c r="Y302" s="0" t="n">
        <v>21</v>
      </c>
      <c r="Z302" s="0" t="inlineStr">
        <is>
          <t>https://new.land.naver.com/complexes/102614?tab=detail&amp;rf=Y</t>
        </is>
      </c>
      <c r="AA302" s="0" t="inlineStr">
        <is>
          <t>경기도 수원시 장안구 정자동 945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장안구</t>
        </is>
      </c>
      <c r="AE302" s="0" t="inlineStr">
        <is>
          <t>정자동</t>
        </is>
      </c>
      <c r="AG302" s="0" t="inlineStr">
        <is>
          <t>경기도 수원시 장안구 이목로 24</t>
        </is>
      </c>
      <c r="AH302" s="0" t="n">
        <v>0</v>
      </c>
      <c r="AI302" s="0" t="n">
        <v>228</v>
      </c>
      <c r="AJ302" s="0" t="n">
        <v>12</v>
      </c>
      <c r="AK302" s="0" t="n">
        <v>4939</v>
      </c>
      <c r="AL302" s="0" t="n">
        <v>1.41</v>
      </c>
    </row>
    <row r="303">
      <c r="A303" s="0" t="inlineStr">
        <is>
          <t>[정자동]</t>
        </is>
      </c>
      <c r="B303" s="0" t="n">
        <v>102614</v>
      </c>
      <c r="C303" s="0" t="n">
        <v>16</v>
      </c>
      <c r="D303" s="0" t="inlineStr">
        <is>
          <t>수원SK스카이뷰</t>
        </is>
      </c>
      <c r="E303" s="0" t="inlineStr">
        <is>
          <t>2013.05.</t>
        </is>
      </c>
      <c r="F303" s="0" t="n">
        <v>3498</v>
      </c>
      <c r="G303" s="0" t="n">
        <v>49.66</v>
      </c>
      <c r="H303" s="0" t="n">
        <v>164.19</v>
      </c>
      <c r="I303" s="0" t="n">
        <v>37.11</v>
      </c>
      <c r="J303" s="0" t="n">
        <v>122.68</v>
      </c>
      <c r="K303" s="0" t="n">
        <v>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164TA4</t>
        </is>
      </c>
      <c r="X303" s="0" t="n">
        <v>40</v>
      </c>
      <c r="Y303" s="0" t="n">
        <v>21</v>
      </c>
      <c r="Z303" s="0" t="inlineStr">
        <is>
          <t>https://new.land.naver.com/complexes/102614?tab=detail&amp;rf=Y</t>
        </is>
      </c>
      <c r="AA303" s="0" t="inlineStr">
        <is>
          <t>경기도 수원시 장안구 정자동 945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장안구</t>
        </is>
      </c>
      <c r="AE303" s="0" t="inlineStr">
        <is>
          <t>정자동</t>
        </is>
      </c>
      <c r="AG303" s="0" t="inlineStr">
        <is>
          <t>경기도 수원시 장안구 이목로 24</t>
        </is>
      </c>
      <c r="AH303" s="0" t="n">
        <v>0</v>
      </c>
      <c r="AI303" s="0" t="n">
        <v>228</v>
      </c>
      <c r="AJ303" s="0" t="n">
        <v>12</v>
      </c>
      <c r="AK303" s="0" t="n">
        <v>4939</v>
      </c>
      <c r="AL303" s="0" t="n">
        <v>1.41</v>
      </c>
    </row>
    <row r="304">
      <c r="A304" s="0" t="inlineStr">
        <is>
          <t>[정자동]</t>
        </is>
      </c>
      <c r="B304" s="0" t="n">
        <v>102614</v>
      </c>
      <c r="C304" s="0" t="n">
        <v>17</v>
      </c>
      <c r="D304" s="0" t="inlineStr">
        <is>
          <t>수원SK스카이뷰</t>
        </is>
      </c>
      <c r="E304" s="0" t="inlineStr">
        <is>
          <t>2013.05.</t>
        </is>
      </c>
      <c r="F304" s="0" t="n">
        <v>3498</v>
      </c>
      <c r="G304" s="0" t="n">
        <v>51.93</v>
      </c>
      <c r="H304" s="0" t="n">
        <v>171.7</v>
      </c>
      <c r="I304" s="0" t="n">
        <v>38.68</v>
      </c>
      <c r="J304" s="0" t="n">
        <v>127.88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171TA3</t>
        </is>
      </c>
      <c r="X304" s="0" t="n">
        <v>40</v>
      </c>
      <c r="Y304" s="0" t="n">
        <v>21</v>
      </c>
      <c r="Z304" s="0" t="inlineStr">
        <is>
          <t>https://new.land.naver.com/complexes/102614?tab=detail&amp;rf=Y</t>
        </is>
      </c>
      <c r="AA304" s="0" t="inlineStr">
        <is>
          <t>경기도 수원시 장안구 정자동 945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장안구</t>
        </is>
      </c>
      <c r="AE304" s="0" t="inlineStr">
        <is>
          <t>정자동</t>
        </is>
      </c>
      <c r="AG304" s="0" t="inlineStr">
        <is>
          <t>경기도 수원시 장안구 이목로 24</t>
        </is>
      </c>
      <c r="AH304" s="0" t="n">
        <v>0</v>
      </c>
      <c r="AI304" s="0" t="n">
        <v>228</v>
      </c>
      <c r="AJ304" s="0" t="n">
        <v>12</v>
      </c>
      <c r="AK304" s="0" t="n">
        <v>4939</v>
      </c>
      <c r="AL304" s="0" t="n">
        <v>1.41</v>
      </c>
    </row>
    <row r="305">
      <c r="A305" s="0" t="inlineStr">
        <is>
          <t>[정자동]</t>
        </is>
      </c>
      <c r="B305" s="0" t="n">
        <v>102614</v>
      </c>
      <c r="C305" s="0" t="n">
        <v>18</v>
      </c>
      <c r="D305" s="0" t="inlineStr">
        <is>
          <t>수원SK스카이뷰</t>
        </is>
      </c>
      <c r="E305" s="0" t="inlineStr">
        <is>
          <t>2013.05.</t>
        </is>
      </c>
      <c r="F305" s="0" t="n">
        <v>3498</v>
      </c>
      <c r="G305" s="0" t="n">
        <v>52.47</v>
      </c>
      <c r="H305" s="0" t="n">
        <v>173.48</v>
      </c>
      <c r="I305" s="0" t="n">
        <v>39.27</v>
      </c>
      <c r="J305" s="0" t="n">
        <v>129.82</v>
      </c>
      <c r="K305" s="0" t="n">
        <v>69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173B</t>
        </is>
      </c>
      <c r="X305" s="0" t="n">
        <v>40</v>
      </c>
      <c r="Y305" s="0" t="n">
        <v>21</v>
      </c>
      <c r="Z305" s="0" t="inlineStr">
        <is>
          <t>https://new.land.naver.com/complexes/102614?tab=detail&amp;rf=Y</t>
        </is>
      </c>
      <c r="AA305" s="0" t="inlineStr">
        <is>
          <t>경기도 수원시 장안구 정자동 945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장안구</t>
        </is>
      </c>
      <c r="AE305" s="0" t="inlineStr">
        <is>
          <t>정자동</t>
        </is>
      </c>
      <c r="AG305" s="0" t="inlineStr">
        <is>
          <t>경기도 수원시 장안구 이목로 24</t>
        </is>
      </c>
      <c r="AH305" s="0" t="n">
        <v>0</v>
      </c>
      <c r="AI305" s="0" t="n">
        <v>228</v>
      </c>
      <c r="AJ305" s="0" t="n">
        <v>12</v>
      </c>
      <c r="AK305" s="0" t="n">
        <v>4939</v>
      </c>
      <c r="AL305" s="0" t="n">
        <v>1.41</v>
      </c>
    </row>
    <row r="306">
      <c r="A306" s="0" t="inlineStr">
        <is>
          <t>[정자동]</t>
        </is>
      </c>
      <c r="B306" s="0" t="n">
        <v>102614</v>
      </c>
      <c r="C306" s="0" t="n">
        <v>19</v>
      </c>
      <c r="D306" s="0" t="inlineStr">
        <is>
          <t>수원SK스카이뷰</t>
        </is>
      </c>
      <c r="E306" s="0" t="inlineStr">
        <is>
          <t>2013.05.</t>
        </is>
      </c>
      <c r="F306" s="0" t="n">
        <v>3498</v>
      </c>
      <c r="G306" s="0" t="n">
        <v>52.47</v>
      </c>
      <c r="H306" s="0" t="n">
        <v>173.48</v>
      </c>
      <c r="I306" s="0" t="n">
        <v>39.27</v>
      </c>
      <c r="J306" s="0" t="n">
        <v>129.82</v>
      </c>
      <c r="K306" s="0" t="n">
        <v>2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173TB4</t>
        </is>
      </c>
      <c r="X306" s="0" t="n">
        <v>40</v>
      </c>
      <c r="Y306" s="0" t="n">
        <v>21</v>
      </c>
      <c r="Z306" s="0" t="inlineStr">
        <is>
          <t>https://new.land.naver.com/complexes/102614?tab=detail&amp;rf=Y</t>
        </is>
      </c>
      <c r="AA306" s="0" t="inlineStr">
        <is>
          <t>경기도 수원시 장안구 정자동 945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장안구</t>
        </is>
      </c>
      <c r="AE306" s="0" t="inlineStr">
        <is>
          <t>정자동</t>
        </is>
      </c>
      <c r="AG306" s="0" t="inlineStr">
        <is>
          <t>경기도 수원시 장안구 이목로 24</t>
        </is>
      </c>
      <c r="AH306" s="0" t="n">
        <v>0</v>
      </c>
      <c r="AI306" s="0" t="n">
        <v>228</v>
      </c>
      <c r="AJ306" s="0" t="n">
        <v>12</v>
      </c>
      <c r="AK306" s="0" t="n">
        <v>4939</v>
      </c>
      <c r="AL306" s="0" t="n">
        <v>1.41</v>
      </c>
    </row>
    <row r="307">
      <c r="A307" s="0" t="inlineStr">
        <is>
          <t>[정자동]</t>
        </is>
      </c>
      <c r="B307" s="0" t="n">
        <v>102614</v>
      </c>
      <c r="C307" s="0" t="n">
        <v>20</v>
      </c>
      <c r="D307" s="0" t="inlineStr">
        <is>
          <t>수원SK스카이뷰</t>
        </is>
      </c>
      <c r="E307" s="0" t="inlineStr">
        <is>
          <t>2013.05.</t>
        </is>
      </c>
      <c r="F307" s="0" t="n">
        <v>3498</v>
      </c>
      <c r="G307" s="0" t="n">
        <v>52.68</v>
      </c>
      <c r="H307" s="0" t="n">
        <v>174.17</v>
      </c>
      <c r="I307" s="0" t="n">
        <v>39.24</v>
      </c>
      <c r="J307" s="0" t="n">
        <v>129.73</v>
      </c>
      <c r="K307" s="0" t="n">
        <v>72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174A</t>
        </is>
      </c>
      <c r="X307" s="0" t="n">
        <v>40</v>
      </c>
      <c r="Y307" s="0" t="n">
        <v>21</v>
      </c>
      <c r="Z307" s="0" t="inlineStr">
        <is>
          <t>https://new.land.naver.com/complexes/102614?tab=detail&amp;rf=Y</t>
        </is>
      </c>
      <c r="AA307" s="0" t="inlineStr">
        <is>
          <t>경기도 수원시 장안구 정자동 945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장안구</t>
        </is>
      </c>
      <c r="AE307" s="0" t="inlineStr">
        <is>
          <t>정자동</t>
        </is>
      </c>
      <c r="AG307" s="0" t="inlineStr">
        <is>
          <t>경기도 수원시 장안구 이목로 24</t>
        </is>
      </c>
      <c r="AH307" s="0" t="n">
        <v>0</v>
      </c>
      <c r="AI307" s="0" t="n">
        <v>228</v>
      </c>
      <c r="AJ307" s="0" t="n">
        <v>12</v>
      </c>
      <c r="AK307" s="0" t="n">
        <v>4939</v>
      </c>
      <c r="AL307" s="0" t="n">
        <v>1.41</v>
      </c>
    </row>
    <row r="308">
      <c r="A308" s="0" t="inlineStr">
        <is>
          <t>[정자동]</t>
        </is>
      </c>
      <c r="B308" s="0" t="n">
        <v>102614</v>
      </c>
      <c r="C308" s="0" t="n">
        <v>21</v>
      </c>
      <c r="D308" s="0" t="inlineStr">
        <is>
          <t>수원SK스카이뷰</t>
        </is>
      </c>
      <c r="E308" s="0" t="inlineStr">
        <is>
          <t>2013.05.</t>
        </is>
      </c>
      <c r="F308" s="0" t="n">
        <v>3498</v>
      </c>
      <c r="G308" s="0" t="n">
        <v>52.68</v>
      </c>
      <c r="H308" s="0" t="n">
        <v>174.17</v>
      </c>
      <c r="I308" s="0" t="n">
        <v>39.24</v>
      </c>
      <c r="J308" s="0" t="n">
        <v>129.73</v>
      </c>
      <c r="K308" s="0" t="n">
        <v>2</v>
      </c>
      <c r="T308" s="0" t="n">
        <v>4</v>
      </c>
      <c r="U308" s="0" t="n">
        <v>2</v>
      </c>
      <c r="V308" s="0" t="inlineStr">
        <is>
          <t>계단식</t>
        </is>
      </c>
      <c r="W308" s="0" t="inlineStr">
        <is>
          <t>174TA4</t>
        </is>
      </c>
      <c r="X308" s="0" t="n">
        <v>40</v>
      </c>
      <c r="Y308" s="0" t="n">
        <v>21</v>
      </c>
      <c r="Z308" s="0" t="inlineStr">
        <is>
          <t>https://new.land.naver.com/complexes/102614?tab=detail&amp;rf=Y</t>
        </is>
      </c>
      <c r="AA308" s="0" t="inlineStr">
        <is>
          <t>경기도 수원시 장안구 정자동 945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장안구</t>
        </is>
      </c>
      <c r="AE308" s="0" t="inlineStr">
        <is>
          <t>정자동</t>
        </is>
      </c>
      <c r="AG308" s="0" t="inlineStr">
        <is>
          <t>경기도 수원시 장안구 이목로 24</t>
        </is>
      </c>
      <c r="AH308" s="0" t="n">
        <v>0</v>
      </c>
      <c r="AI308" s="0" t="n">
        <v>228</v>
      </c>
      <c r="AJ308" s="0" t="n">
        <v>12</v>
      </c>
      <c r="AK308" s="0" t="n">
        <v>4939</v>
      </c>
      <c r="AL308" s="0" t="n">
        <v>1.41</v>
      </c>
    </row>
    <row r="309">
      <c r="A309" s="0" t="inlineStr">
        <is>
          <t>[정자동]</t>
        </is>
      </c>
      <c r="B309" s="0" t="n">
        <v>102614</v>
      </c>
      <c r="C309" s="0" t="n">
        <v>22</v>
      </c>
      <c r="D309" s="0" t="inlineStr">
        <is>
          <t>수원SK스카이뷰</t>
        </is>
      </c>
      <c r="E309" s="0" t="inlineStr">
        <is>
          <t>2013.05.</t>
        </is>
      </c>
      <c r="F309" s="0" t="n">
        <v>3498</v>
      </c>
      <c r="G309" s="0" t="n">
        <v>54.27</v>
      </c>
      <c r="H309" s="0" t="n">
        <v>179.43</v>
      </c>
      <c r="I309" s="0" t="n">
        <v>40.56</v>
      </c>
      <c r="J309" s="0" t="n">
        <v>134.09</v>
      </c>
      <c r="K309" s="0" t="n">
        <v>2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179TA2</t>
        </is>
      </c>
      <c r="X309" s="0" t="n">
        <v>40</v>
      </c>
      <c r="Y309" s="0" t="n">
        <v>21</v>
      </c>
      <c r="Z309" s="0" t="inlineStr">
        <is>
          <t>https://new.land.naver.com/complexes/102614?tab=detail&amp;rf=Y</t>
        </is>
      </c>
      <c r="AA309" s="0" t="inlineStr">
        <is>
          <t>경기도 수원시 장안구 정자동 945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장안구</t>
        </is>
      </c>
      <c r="AE309" s="0" t="inlineStr">
        <is>
          <t>정자동</t>
        </is>
      </c>
      <c r="AG309" s="0" t="inlineStr">
        <is>
          <t>경기도 수원시 장안구 이목로 24</t>
        </is>
      </c>
      <c r="AH309" s="0" t="n">
        <v>0</v>
      </c>
      <c r="AI309" s="0" t="n">
        <v>228</v>
      </c>
      <c r="AJ309" s="0" t="n">
        <v>12</v>
      </c>
      <c r="AK309" s="0" t="n">
        <v>4939</v>
      </c>
      <c r="AL309" s="0" t="n">
        <v>1.41</v>
      </c>
    </row>
    <row r="310">
      <c r="A310" s="0" t="inlineStr">
        <is>
          <t>[정자동]</t>
        </is>
      </c>
      <c r="B310" s="0" t="n">
        <v>102614</v>
      </c>
      <c r="C310" s="0" t="n">
        <v>23</v>
      </c>
      <c r="D310" s="0" t="inlineStr">
        <is>
          <t>수원SK스카이뷰</t>
        </is>
      </c>
      <c r="E310" s="0" t="inlineStr">
        <is>
          <t>2013.05.</t>
        </is>
      </c>
      <c r="F310" s="0" t="n">
        <v>3498</v>
      </c>
      <c r="G310" s="0" t="n">
        <v>54.98</v>
      </c>
      <c r="H310" s="0" t="n">
        <v>181.76</v>
      </c>
      <c r="I310" s="0" t="n">
        <v>41.08</v>
      </c>
      <c r="J310" s="0" t="n">
        <v>135.82</v>
      </c>
      <c r="K310" s="0" t="n">
        <v>2</v>
      </c>
      <c r="T310" s="0" t="n">
        <v>4</v>
      </c>
      <c r="U310" s="0" t="n">
        <v>2</v>
      </c>
      <c r="V310" s="0" t="inlineStr">
        <is>
          <t>계단식</t>
        </is>
      </c>
      <c r="W310" s="0" t="inlineStr">
        <is>
          <t>181TB3</t>
        </is>
      </c>
      <c r="X310" s="0" t="n">
        <v>40</v>
      </c>
      <c r="Y310" s="0" t="n">
        <v>21</v>
      </c>
      <c r="Z310" s="0" t="inlineStr">
        <is>
          <t>https://new.land.naver.com/complexes/102614?tab=detail&amp;rf=Y</t>
        </is>
      </c>
      <c r="AA310" s="0" t="inlineStr">
        <is>
          <t>경기도 수원시 장안구 정자동 945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장안구</t>
        </is>
      </c>
      <c r="AE310" s="0" t="inlineStr">
        <is>
          <t>정자동</t>
        </is>
      </c>
      <c r="AG310" s="0" t="inlineStr">
        <is>
          <t>경기도 수원시 장안구 이목로 24</t>
        </is>
      </c>
      <c r="AH310" s="0" t="n">
        <v>0</v>
      </c>
      <c r="AI310" s="0" t="n">
        <v>228</v>
      </c>
      <c r="AJ310" s="0" t="n">
        <v>12</v>
      </c>
      <c r="AK310" s="0" t="n">
        <v>4939</v>
      </c>
      <c r="AL310" s="0" t="n">
        <v>1.41</v>
      </c>
    </row>
    <row r="311">
      <c r="A311" s="0" t="inlineStr">
        <is>
          <t>[정자동]</t>
        </is>
      </c>
      <c r="B311" s="0" t="n">
        <v>102614</v>
      </c>
      <c r="C311" s="0" t="n">
        <v>24</v>
      </c>
      <c r="D311" s="0" t="inlineStr">
        <is>
          <t>수원SK스카이뷰</t>
        </is>
      </c>
      <c r="E311" s="0" t="inlineStr">
        <is>
          <t>2013.05.</t>
        </is>
      </c>
      <c r="F311" s="0" t="n">
        <v>3498</v>
      </c>
      <c r="G311" s="0" t="n">
        <v>55.06</v>
      </c>
      <c r="H311" s="0" t="n">
        <v>182.02</v>
      </c>
      <c r="I311" s="0" t="n">
        <v>40.94</v>
      </c>
      <c r="J311" s="0" t="n">
        <v>135.35</v>
      </c>
      <c r="K311" s="0" t="n">
        <v>2</v>
      </c>
      <c r="T311" s="0" t="n">
        <v>4</v>
      </c>
      <c r="U311" s="0" t="n">
        <v>2</v>
      </c>
      <c r="V311" s="0" t="inlineStr">
        <is>
          <t>계단식</t>
        </is>
      </c>
      <c r="W311" s="0" t="inlineStr">
        <is>
          <t>182TA3</t>
        </is>
      </c>
      <c r="X311" s="0" t="n">
        <v>40</v>
      </c>
      <c r="Y311" s="0" t="n">
        <v>21</v>
      </c>
      <c r="Z311" s="0" t="inlineStr">
        <is>
          <t>https://new.land.naver.com/complexes/102614?tab=detail&amp;rf=Y</t>
        </is>
      </c>
      <c r="AA311" s="0" t="inlineStr">
        <is>
          <t>경기도 수원시 장안구 정자동 945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장안구</t>
        </is>
      </c>
      <c r="AE311" s="0" t="inlineStr">
        <is>
          <t>정자동</t>
        </is>
      </c>
      <c r="AG311" s="0" t="inlineStr">
        <is>
          <t>경기도 수원시 장안구 이목로 24</t>
        </is>
      </c>
      <c r="AH311" s="0" t="n">
        <v>0</v>
      </c>
      <c r="AI311" s="0" t="n">
        <v>228</v>
      </c>
      <c r="AJ311" s="0" t="n">
        <v>12</v>
      </c>
      <c r="AK311" s="0" t="n">
        <v>4939</v>
      </c>
      <c r="AL311" s="0" t="n">
        <v>1.41</v>
      </c>
    </row>
    <row r="312">
      <c r="A312" s="0" t="inlineStr">
        <is>
          <t>[정자동]</t>
        </is>
      </c>
      <c r="B312" s="0" t="n">
        <v>102614</v>
      </c>
      <c r="C312" s="0" t="n">
        <v>25</v>
      </c>
      <c r="D312" s="0" t="inlineStr">
        <is>
          <t>수원SK스카이뷰</t>
        </is>
      </c>
      <c r="E312" s="0" t="inlineStr">
        <is>
          <t>2013.05.</t>
        </is>
      </c>
      <c r="F312" s="0" t="n">
        <v>3498</v>
      </c>
      <c r="G312" s="0" t="n">
        <v>57.39</v>
      </c>
      <c r="H312" s="0" t="n">
        <v>189.75</v>
      </c>
      <c r="I312" s="0" t="n">
        <v>42.82</v>
      </c>
      <c r="J312" s="0" t="n">
        <v>141.56</v>
      </c>
      <c r="K312" s="0" t="n">
        <v>2</v>
      </c>
      <c r="T312" s="0" t="n">
        <v>4</v>
      </c>
      <c r="U312" s="0" t="n">
        <v>2</v>
      </c>
      <c r="V312" s="0" t="inlineStr">
        <is>
          <t>계단식</t>
        </is>
      </c>
      <c r="W312" s="0" t="inlineStr">
        <is>
          <t>189TA2</t>
        </is>
      </c>
      <c r="X312" s="0" t="n">
        <v>40</v>
      </c>
      <c r="Y312" s="0" t="n">
        <v>21</v>
      </c>
      <c r="Z312" s="0" t="inlineStr">
        <is>
          <t>https://new.land.naver.com/complexes/102614?tab=detail&amp;rf=Y</t>
        </is>
      </c>
      <c r="AA312" s="0" t="inlineStr">
        <is>
          <t>경기도 수원시 장안구 정자동 945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장안구</t>
        </is>
      </c>
      <c r="AE312" s="0" t="inlineStr">
        <is>
          <t>정자동</t>
        </is>
      </c>
      <c r="AG312" s="0" t="inlineStr">
        <is>
          <t>경기도 수원시 장안구 이목로 24</t>
        </is>
      </c>
      <c r="AH312" s="0" t="n">
        <v>0</v>
      </c>
      <c r="AI312" s="0" t="n">
        <v>228</v>
      </c>
      <c r="AJ312" s="0" t="n">
        <v>12</v>
      </c>
      <c r="AK312" s="0" t="n">
        <v>4939</v>
      </c>
      <c r="AL312" s="0" t="n">
        <v>1.41</v>
      </c>
    </row>
    <row r="313">
      <c r="A313" s="0" t="inlineStr">
        <is>
          <t>[정자동]</t>
        </is>
      </c>
      <c r="B313" s="0" t="n">
        <v>102614</v>
      </c>
      <c r="C313" s="0" t="n">
        <v>26</v>
      </c>
      <c r="D313" s="0" t="inlineStr">
        <is>
          <t>수원SK스카이뷰</t>
        </is>
      </c>
      <c r="E313" s="0" t="inlineStr">
        <is>
          <t>2013.05.</t>
        </is>
      </c>
      <c r="F313" s="0" t="n">
        <v>3498</v>
      </c>
      <c r="G313" s="0" t="n">
        <v>58.9</v>
      </c>
      <c r="H313" s="0" t="n">
        <v>194.73</v>
      </c>
      <c r="I313" s="0" t="n">
        <v>44.18</v>
      </c>
      <c r="J313" s="0" t="n">
        <v>146.06</v>
      </c>
      <c r="K313" s="0" t="n">
        <v>2</v>
      </c>
      <c r="T313" s="0" t="n">
        <v>4</v>
      </c>
      <c r="U313" s="0" t="n">
        <v>2</v>
      </c>
      <c r="V313" s="0" t="inlineStr">
        <is>
          <t>계단식</t>
        </is>
      </c>
      <c r="W313" s="0" t="inlineStr">
        <is>
          <t>194TB2</t>
        </is>
      </c>
      <c r="X313" s="0" t="n">
        <v>40</v>
      </c>
      <c r="Y313" s="0" t="n">
        <v>21</v>
      </c>
      <c r="Z313" s="0" t="inlineStr">
        <is>
          <t>https://new.land.naver.com/complexes/102614?tab=detail&amp;rf=Y</t>
        </is>
      </c>
      <c r="AA313" s="0" t="inlineStr">
        <is>
          <t>경기도 수원시 장안구 정자동 945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장안구</t>
        </is>
      </c>
      <c r="AE313" s="0" t="inlineStr">
        <is>
          <t>정자동</t>
        </is>
      </c>
      <c r="AG313" s="0" t="inlineStr">
        <is>
          <t>경기도 수원시 장안구 이목로 24</t>
        </is>
      </c>
      <c r="AH313" s="0" t="n">
        <v>0</v>
      </c>
      <c r="AI313" s="0" t="n">
        <v>228</v>
      </c>
      <c r="AJ313" s="0" t="n">
        <v>12</v>
      </c>
      <c r="AK313" s="0" t="n">
        <v>4939</v>
      </c>
      <c r="AL313" s="0" t="n">
        <v>1.41</v>
      </c>
    </row>
    <row r="314">
      <c r="A314" s="0" t="inlineStr">
        <is>
          <t>[정자동]</t>
        </is>
      </c>
      <c r="B314" s="0" t="n">
        <v>7973</v>
      </c>
      <c r="C314" s="0" t="n">
        <v>1</v>
      </c>
      <c r="D314" s="0" t="inlineStr">
        <is>
          <t>꽃뫼노을마을대동</t>
        </is>
      </c>
      <c r="E314" s="0" t="inlineStr">
        <is>
          <t>2000.07.</t>
        </is>
      </c>
      <c r="F314" s="0" t="n">
        <v>292</v>
      </c>
      <c r="G314" s="0" t="n">
        <v>24.63</v>
      </c>
      <c r="H314" s="0" t="n">
        <v>81.43000000000001</v>
      </c>
      <c r="I314" s="0" t="n">
        <v>18.14</v>
      </c>
      <c r="J314" s="0" t="n">
        <v>59.97</v>
      </c>
      <c r="K314" s="0" t="n">
        <v>200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81A</t>
        </is>
      </c>
      <c r="X314" s="0" t="n">
        <v>23</v>
      </c>
      <c r="Y314" s="0" t="n">
        <v>16</v>
      </c>
      <c r="Z314" s="0" t="inlineStr">
        <is>
          <t>https://new.land.naver.com/complexes/7973?tab=detail&amp;rf=Y</t>
        </is>
      </c>
      <c r="AA314" s="0" t="inlineStr">
        <is>
          <t>경기도 수원시 장안구 정자동 888-2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장안구</t>
        </is>
      </c>
      <c r="AE314" s="0" t="inlineStr">
        <is>
          <t>정자동</t>
        </is>
      </c>
      <c r="AG314" s="0" t="inlineStr">
        <is>
          <t>경기도 수원시 장안구 대평로39번길 8</t>
        </is>
      </c>
      <c r="AH314" s="0" t="n">
        <v>0</v>
      </c>
      <c r="AI314" s="0" t="n">
        <v>229</v>
      </c>
      <c r="AJ314" s="0" t="n">
        <v>19</v>
      </c>
      <c r="AK314" s="0" t="n">
        <v>299</v>
      </c>
      <c r="AL314" s="0" t="n">
        <v>1.02</v>
      </c>
    </row>
    <row r="315">
      <c r="A315" s="0" t="inlineStr">
        <is>
          <t>[정자동]</t>
        </is>
      </c>
      <c r="B315" s="0" t="n">
        <v>7973</v>
      </c>
      <c r="C315" s="0" t="n">
        <v>2</v>
      </c>
      <c r="D315" s="0" t="inlineStr">
        <is>
          <t>꽃뫼노을마을대동</t>
        </is>
      </c>
      <c r="E315" s="0" t="inlineStr">
        <is>
          <t>2000.07.</t>
        </is>
      </c>
      <c r="F315" s="0" t="n">
        <v>292</v>
      </c>
      <c r="G315" s="0" t="n">
        <v>24.64</v>
      </c>
      <c r="H315" s="0" t="n">
        <v>81.47</v>
      </c>
      <c r="I315" s="0" t="n">
        <v>18.14</v>
      </c>
      <c r="J315" s="0" t="n">
        <v>59.99</v>
      </c>
      <c r="K315" s="0" t="n">
        <v>92</v>
      </c>
      <c r="T315" s="0" t="n">
        <v>2</v>
      </c>
      <c r="U315" s="0" t="n">
        <v>1</v>
      </c>
      <c r="V315" s="0" t="inlineStr">
        <is>
          <t>계단식</t>
        </is>
      </c>
      <c r="W315" s="0" t="inlineStr">
        <is>
          <t>81B</t>
        </is>
      </c>
      <c r="X315" s="0" t="n">
        <v>23</v>
      </c>
      <c r="Y315" s="0" t="n">
        <v>16</v>
      </c>
      <c r="Z315" s="0" t="inlineStr">
        <is>
          <t>https://new.land.naver.com/complexes/7973?tab=detail&amp;rf=Y</t>
        </is>
      </c>
      <c r="AA315" s="0" t="inlineStr">
        <is>
          <t>경기도 수원시 장안구 정자동 888-2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장안구</t>
        </is>
      </c>
      <c r="AE315" s="0" t="inlineStr">
        <is>
          <t>정자동</t>
        </is>
      </c>
      <c r="AG315" s="0" t="inlineStr">
        <is>
          <t>경기도 수원시 장안구 대평로39번길 8</t>
        </is>
      </c>
      <c r="AH315" s="0" t="n">
        <v>0</v>
      </c>
      <c r="AI315" s="0" t="n">
        <v>229</v>
      </c>
      <c r="AJ315" s="0" t="n">
        <v>19</v>
      </c>
      <c r="AK315" s="0" t="n">
        <v>299</v>
      </c>
      <c r="AL315" s="0" t="n">
        <v>1.02</v>
      </c>
    </row>
    <row r="316">
      <c r="A316" s="0" t="inlineStr">
        <is>
          <t>[정자동]</t>
        </is>
      </c>
      <c r="B316" s="0" t="n">
        <v>2709</v>
      </c>
      <c r="C316" s="0" t="n">
        <v>1</v>
      </c>
      <c r="D316" s="0" t="inlineStr">
        <is>
          <t>정자신호</t>
        </is>
      </c>
      <c r="E316" s="0" t="inlineStr">
        <is>
          <t>1996.12.</t>
        </is>
      </c>
      <c r="F316" s="0" t="n">
        <v>173</v>
      </c>
      <c r="G316" s="0" t="n">
        <v>25.67</v>
      </c>
      <c r="H316" s="0" t="n">
        <v>84.89</v>
      </c>
      <c r="I316" s="0" t="n">
        <v>18.11</v>
      </c>
      <c r="J316" s="0" t="n">
        <v>59.9</v>
      </c>
      <c r="K316" s="0" t="n">
        <v>87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84</v>
      </c>
      <c r="X316" s="0" t="n">
        <v>18</v>
      </c>
      <c r="Y316" s="0" t="n">
        <v>10</v>
      </c>
      <c r="Z316" s="0" t="inlineStr">
        <is>
          <t>https://new.land.naver.com/complexes/2709?tab=detail&amp;rf=Y</t>
        </is>
      </c>
      <c r="AA316" s="0" t="inlineStr">
        <is>
          <t>경기도 수원시 장안구 정자동 840-99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장안구</t>
        </is>
      </c>
      <c r="AE316" s="0" t="inlineStr">
        <is>
          <t>정자동</t>
        </is>
      </c>
      <c r="AG316" s="0" t="inlineStr">
        <is>
          <t>경기도 수원시 장안구 대평로162번길 11</t>
        </is>
      </c>
      <c r="AH316" s="0" t="n">
        <v>0</v>
      </c>
      <c r="AI316" s="0" t="n">
        <v>131</v>
      </c>
      <c r="AJ316" s="0" t="n">
        <v>24</v>
      </c>
      <c r="AK316" s="0" t="n">
        <v>0</v>
      </c>
      <c r="AL316" s="0" t="n">
        <v>0</v>
      </c>
    </row>
    <row r="317">
      <c r="A317" s="0" t="inlineStr">
        <is>
          <t>[정자동]</t>
        </is>
      </c>
      <c r="B317" s="0" t="n">
        <v>2709</v>
      </c>
      <c r="C317" s="0" t="n">
        <v>2</v>
      </c>
      <c r="D317" s="0" t="inlineStr">
        <is>
          <t>정자신호</t>
        </is>
      </c>
      <c r="E317" s="0" t="inlineStr">
        <is>
          <t>1996.12.</t>
        </is>
      </c>
      <c r="F317" s="0" t="n">
        <v>173</v>
      </c>
      <c r="G317" s="0" t="n">
        <v>32.71</v>
      </c>
      <c r="H317" s="0" t="n">
        <v>108.14</v>
      </c>
      <c r="I317" s="0" t="n">
        <v>25.66</v>
      </c>
      <c r="J317" s="0" t="n">
        <v>84.84999999999999</v>
      </c>
      <c r="K317" s="0" t="n">
        <v>81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108</v>
      </c>
      <c r="X317" s="0" t="n">
        <v>18</v>
      </c>
      <c r="Y317" s="0" t="n">
        <v>10</v>
      </c>
      <c r="Z317" s="0" t="inlineStr">
        <is>
          <t>https://new.land.naver.com/complexes/2709?tab=detail&amp;rf=Y</t>
        </is>
      </c>
      <c r="AA317" s="0" t="inlineStr">
        <is>
          <t>경기도 수원시 장안구 정자동 840-99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장안구</t>
        </is>
      </c>
      <c r="AE317" s="0" t="inlineStr">
        <is>
          <t>정자동</t>
        </is>
      </c>
      <c r="AG317" s="0" t="inlineStr">
        <is>
          <t>경기도 수원시 장안구 대평로162번길 11</t>
        </is>
      </c>
      <c r="AH317" s="0" t="n">
        <v>0</v>
      </c>
      <c r="AI317" s="0" t="n">
        <v>131</v>
      </c>
      <c r="AJ317" s="0" t="n">
        <v>24</v>
      </c>
      <c r="AK317" s="0" t="n">
        <v>0</v>
      </c>
      <c r="AL317" s="0" t="n">
        <v>0</v>
      </c>
    </row>
    <row r="318">
      <c r="A318" s="0" t="inlineStr">
        <is>
          <t>[정자동]</t>
        </is>
      </c>
      <c r="B318" s="0" t="n">
        <v>2709</v>
      </c>
      <c r="C318" s="0" t="n">
        <v>3</v>
      </c>
      <c r="D318" s="0" t="inlineStr">
        <is>
          <t>정자신호</t>
        </is>
      </c>
      <c r="E318" s="0" t="inlineStr">
        <is>
          <t>1996.12.</t>
        </is>
      </c>
      <c r="F318" s="0" t="n">
        <v>173</v>
      </c>
      <c r="G318" s="0" t="n">
        <v>49.95</v>
      </c>
      <c r="H318" s="0" t="n">
        <v>165.14</v>
      </c>
      <c r="I318" s="0" t="n">
        <v>39.19</v>
      </c>
      <c r="J318" s="0" t="n">
        <v>129.58</v>
      </c>
      <c r="K318" s="0" t="n">
        <v>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165</v>
      </c>
      <c r="X318" s="0" t="n">
        <v>18</v>
      </c>
      <c r="Y318" s="0" t="n">
        <v>10</v>
      </c>
      <c r="Z318" s="0" t="inlineStr">
        <is>
          <t>https://new.land.naver.com/complexes/2709?tab=detail&amp;rf=Y</t>
        </is>
      </c>
      <c r="AA318" s="0" t="inlineStr">
        <is>
          <t>경기도 수원시 장안구 정자동 840-99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장안구</t>
        </is>
      </c>
      <c r="AE318" s="0" t="inlineStr">
        <is>
          <t>정자동</t>
        </is>
      </c>
      <c r="AG318" s="0" t="inlineStr">
        <is>
          <t>경기도 수원시 장안구 대평로162번길 11</t>
        </is>
      </c>
      <c r="AH318" s="0" t="n">
        <v>0</v>
      </c>
      <c r="AI318" s="0" t="n">
        <v>131</v>
      </c>
      <c r="AJ318" s="0" t="n">
        <v>24</v>
      </c>
      <c r="AK318" s="0" t="n">
        <v>0</v>
      </c>
      <c r="AL318" s="0" t="n">
        <v>0</v>
      </c>
    </row>
    <row r="319">
      <c r="A319" s="0" t="inlineStr">
        <is>
          <t>[정자동]</t>
        </is>
      </c>
      <c r="B319" s="0" t="n">
        <v>2711</v>
      </c>
      <c r="C319" s="0" t="n">
        <v>1</v>
      </c>
      <c r="D319" s="0" t="inlineStr">
        <is>
          <t>백설마을5단지효성</t>
        </is>
      </c>
      <c r="E319" s="0" t="inlineStr">
        <is>
          <t>2000.01.</t>
        </is>
      </c>
      <c r="F319" s="0" t="n">
        <v>262</v>
      </c>
      <c r="G319" s="0" t="n">
        <v>29.62</v>
      </c>
      <c r="H319" s="0" t="n">
        <v>97.95</v>
      </c>
      <c r="I319" s="0" t="n">
        <v>23.09</v>
      </c>
      <c r="J319" s="0" t="n">
        <v>76.36</v>
      </c>
      <c r="K319" s="0" t="n">
        <v>128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97</v>
      </c>
      <c r="X319" s="0" t="n">
        <v>23</v>
      </c>
      <c r="Y319" s="0" t="n">
        <v>22</v>
      </c>
      <c r="Z319" s="0" t="inlineStr">
        <is>
          <t>https://new.land.naver.com/complexes/2711?tab=detail&amp;rf=Y</t>
        </is>
      </c>
      <c r="AA319" s="0" t="inlineStr">
        <is>
          <t>경기도 수원시 장안구 정자동 880-2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장안구</t>
        </is>
      </c>
      <c r="AE319" s="0" t="inlineStr">
        <is>
          <t>정자동</t>
        </is>
      </c>
      <c r="AG319" s="0" t="inlineStr">
        <is>
          <t>경기도 수원시 장안구 정자천로133번길 21</t>
        </is>
      </c>
      <c r="AH319" s="0" t="n">
        <v>0</v>
      </c>
      <c r="AI319" s="0" t="n">
        <v>229</v>
      </c>
      <c r="AJ319" s="0" t="n">
        <v>14</v>
      </c>
      <c r="AK319" s="0" t="n">
        <v>263</v>
      </c>
      <c r="AL319" s="0" t="n">
        <v>1</v>
      </c>
    </row>
    <row r="320">
      <c r="A320" s="0" t="inlineStr">
        <is>
          <t>[정자동]</t>
        </is>
      </c>
      <c r="B320" s="0" t="n">
        <v>2711</v>
      </c>
      <c r="C320" s="0" t="n">
        <v>2</v>
      </c>
      <c r="D320" s="0" t="inlineStr">
        <is>
          <t>백설마을5단지효성</t>
        </is>
      </c>
      <c r="E320" s="0" t="inlineStr">
        <is>
          <t>2000.01.</t>
        </is>
      </c>
      <c r="F320" s="0" t="n">
        <v>262</v>
      </c>
      <c r="G320" s="0" t="n">
        <v>32.85</v>
      </c>
      <c r="H320" s="0" t="n">
        <v>108.62</v>
      </c>
      <c r="I320" s="0" t="n">
        <v>25.61</v>
      </c>
      <c r="J320" s="0" t="n">
        <v>84.68000000000001</v>
      </c>
      <c r="K320" s="0" t="n">
        <v>134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108</v>
      </c>
      <c r="X320" s="0" t="n">
        <v>23</v>
      </c>
      <c r="Y320" s="0" t="n">
        <v>22</v>
      </c>
      <c r="Z320" s="0" t="inlineStr">
        <is>
          <t>https://new.land.naver.com/complexes/2711?tab=detail&amp;rf=Y</t>
        </is>
      </c>
      <c r="AA320" s="0" t="inlineStr">
        <is>
          <t>경기도 수원시 장안구 정자동 880-2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장안구</t>
        </is>
      </c>
      <c r="AE320" s="0" t="inlineStr">
        <is>
          <t>정자동</t>
        </is>
      </c>
      <c r="AG320" s="0" t="inlineStr">
        <is>
          <t>경기도 수원시 장안구 정자천로133번길 21</t>
        </is>
      </c>
      <c r="AH320" s="0" t="n">
        <v>0</v>
      </c>
      <c r="AI320" s="0" t="n">
        <v>229</v>
      </c>
      <c r="AJ320" s="0" t="n">
        <v>14</v>
      </c>
      <c r="AK320" s="0" t="n">
        <v>263</v>
      </c>
      <c r="AL320" s="0" t="n">
        <v>1</v>
      </c>
    </row>
    <row r="321">
      <c r="A321" s="0" t="inlineStr">
        <is>
          <t>[정자동]</t>
        </is>
      </c>
      <c r="B321" s="0" t="n">
        <v>3651</v>
      </c>
      <c r="C321" s="0" t="n">
        <v>1</v>
      </c>
      <c r="D321" s="0" t="inlineStr">
        <is>
          <t>청솔마을6단지SK한화</t>
        </is>
      </c>
      <c r="E321" s="0" t="inlineStr">
        <is>
          <t>2002.01.</t>
        </is>
      </c>
      <c r="F321" s="0" t="n">
        <v>520</v>
      </c>
      <c r="G321" s="0" t="n">
        <v>39.35</v>
      </c>
      <c r="H321" s="0" t="n">
        <v>130.1</v>
      </c>
      <c r="I321" s="0" t="n">
        <v>30.01</v>
      </c>
      <c r="J321" s="0" t="n">
        <v>99.20999999999999</v>
      </c>
      <c r="K321" s="0" t="n">
        <v>256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130</v>
      </c>
      <c r="X321" s="0" t="n">
        <v>25</v>
      </c>
      <c r="Y321" s="0" t="n">
        <v>16</v>
      </c>
      <c r="Z321" s="0" t="inlineStr">
        <is>
          <t>https://new.land.naver.com/complexes/3651?tab=detail&amp;rf=Y</t>
        </is>
      </c>
      <c r="AA321" s="0" t="inlineStr">
        <is>
          <t>경기도 수원시 장안구 정자동 918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장안구</t>
        </is>
      </c>
      <c r="AE321" s="0" t="inlineStr">
        <is>
          <t>정자동</t>
        </is>
      </c>
      <c r="AG321" s="0" t="inlineStr">
        <is>
          <t>경기도 수원시 장안구 만석로20번길 25</t>
        </is>
      </c>
      <c r="AH321" s="0" t="n">
        <v>0</v>
      </c>
      <c r="AI321" s="0" t="n">
        <v>220</v>
      </c>
      <c r="AJ321" s="0" t="n">
        <v>12</v>
      </c>
      <c r="AK321" s="0" t="n">
        <v>894</v>
      </c>
      <c r="AL321" s="0" t="n">
        <v>1.72</v>
      </c>
    </row>
    <row r="322">
      <c r="A322" s="0" t="inlineStr">
        <is>
          <t>[정자동]</t>
        </is>
      </c>
      <c r="B322" s="0" t="n">
        <v>3651</v>
      </c>
      <c r="C322" s="0" t="n">
        <v>2</v>
      </c>
      <c r="D322" s="0" t="inlineStr">
        <is>
          <t>청솔마을6단지SK한화</t>
        </is>
      </c>
      <c r="E322" s="0" t="inlineStr">
        <is>
          <t>2002.01.</t>
        </is>
      </c>
      <c r="F322" s="0" t="n">
        <v>520</v>
      </c>
      <c r="G322" s="0" t="n">
        <v>48.75</v>
      </c>
      <c r="H322" s="0" t="n">
        <v>161.19</v>
      </c>
      <c r="I322" s="0" t="n">
        <v>38.77</v>
      </c>
      <c r="J322" s="0" t="n">
        <v>128.18</v>
      </c>
      <c r="K322" s="0" t="n">
        <v>164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161</v>
      </c>
      <c r="X322" s="0" t="n">
        <v>25</v>
      </c>
      <c r="Y322" s="0" t="n">
        <v>16</v>
      </c>
      <c r="Z322" s="0" t="inlineStr">
        <is>
          <t>https://new.land.naver.com/complexes/3651?tab=detail&amp;rf=Y</t>
        </is>
      </c>
      <c r="AA322" s="0" t="inlineStr">
        <is>
          <t>경기도 수원시 장안구 정자동 918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장안구</t>
        </is>
      </c>
      <c r="AE322" s="0" t="inlineStr">
        <is>
          <t>정자동</t>
        </is>
      </c>
      <c r="AG322" s="0" t="inlineStr">
        <is>
          <t>경기도 수원시 장안구 만석로20번길 25</t>
        </is>
      </c>
      <c r="AH322" s="0" t="n">
        <v>0</v>
      </c>
      <c r="AI322" s="0" t="n">
        <v>220</v>
      </c>
      <c r="AJ322" s="0" t="n">
        <v>12</v>
      </c>
      <c r="AK322" s="0" t="n">
        <v>894</v>
      </c>
      <c r="AL322" s="0" t="n">
        <v>1.72</v>
      </c>
    </row>
    <row r="323">
      <c r="A323" s="0" t="inlineStr">
        <is>
          <t>[정자동]</t>
        </is>
      </c>
      <c r="B323" s="0" t="n">
        <v>3651</v>
      </c>
      <c r="C323" s="0" t="n">
        <v>3</v>
      </c>
      <c r="D323" s="0" t="inlineStr">
        <is>
          <t>청솔마을6단지SK한화</t>
        </is>
      </c>
      <c r="E323" s="0" t="inlineStr">
        <is>
          <t>2002.01.</t>
        </is>
      </c>
      <c r="F323" s="0" t="n">
        <v>520</v>
      </c>
      <c r="G323" s="0" t="n">
        <v>58.71</v>
      </c>
      <c r="H323" s="0" t="n">
        <v>194.1</v>
      </c>
      <c r="I323" s="0" t="n">
        <v>47.62</v>
      </c>
      <c r="J323" s="0" t="n">
        <v>157.43</v>
      </c>
      <c r="K323" s="0" t="n">
        <v>100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194</v>
      </c>
      <c r="X323" s="0" t="n">
        <v>25</v>
      </c>
      <c r="Y323" s="0" t="n">
        <v>16</v>
      </c>
      <c r="Z323" s="0" t="inlineStr">
        <is>
          <t>https://new.land.naver.com/complexes/3651?tab=detail&amp;rf=Y</t>
        </is>
      </c>
      <c r="AA323" s="0" t="inlineStr">
        <is>
          <t>경기도 수원시 장안구 정자동 918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장안구</t>
        </is>
      </c>
      <c r="AE323" s="0" t="inlineStr">
        <is>
          <t>정자동</t>
        </is>
      </c>
      <c r="AG323" s="0" t="inlineStr">
        <is>
          <t>경기도 수원시 장안구 만석로20번길 25</t>
        </is>
      </c>
      <c r="AH323" s="0" t="n">
        <v>0</v>
      </c>
      <c r="AI323" s="0" t="n">
        <v>220</v>
      </c>
      <c r="AJ323" s="0" t="n">
        <v>12</v>
      </c>
      <c r="AK323" s="0" t="n">
        <v>894</v>
      </c>
      <c r="AL323" s="0" t="n">
        <v>1.72</v>
      </c>
    </row>
    <row r="324">
      <c r="A324" s="0" t="inlineStr">
        <is>
          <t>[정자동]</t>
        </is>
      </c>
      <c r="B324" s="0" t="n">
        <v>13369</v>
      </c>
      <c r="C324" s="0" t="n">
        <v>1</v>
      </c>
      <c r="D324" s="0" t="inlineStr">
        <is>
          <t>꽃뫼노을마을한마루</t>
        </is>
      </c>
      <c r="E324" s="0" t="inlineStr">
        <is>
          <t>2000.10.</t>
        </is>
      </c>
      <c r="F324" s="0" t="n">
        <v>291</v>
      </c>
      <c r="G324" s="0" t="n">
        <v>15.99</v>
      </c>
      <c r="H324" s="0" t="n">
        <v>52.87</v>
      </c>
      <c r="I324" s="0" t="n">
        <v>12.05</v>
      </c>
      <c r="J324" s="0" t="n">
        <v>39.84</v>
      </c>
      <c r="K324" s="0" t="n">
        <v>101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52</v>
      </c>
      <c r="X324" s="0" t="n">
        <v>25</v>
      </c>
      <c r="Y324" s="0" t="n">
        <v>20</v>
      </c>
      <c r="Z324" s="0" t="inlineStr">
        <is>
          <t>https://new.land.naver.com/complexes/13369?tab=detail&amp;rf=Y</t>
        </is>
      </c>
      <c r="AA324" s="0" t="inlineStr">
        <is>
          <t>경기도 수원시 장안구 정자동 881-4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장안구</t>
        </is>
      </c>
      <c r="AE324" s="0" t="inlineStr">
        <is>
          <t>정자동</t>
        </is>
      </c>
      <c r="AG324" s="0" t="inlineStr">
        <is>
          <t>경기도 수원시 장안구 덕영대로639번길 63</t>
        </is>
      </c>
      <c r="AH324" s="0" t="n">
        <v>0</v>
      </c>
      <c r="AI324" s="0" t="n">
        <v>220</v>
      </c>
      <c r="AJ324" s="0" t="n">
        <v>18</v>
      </c>
      <c r="AK324" s="0" t="n">
        <v>298</v>
      </c>
      <c r="AL324" s="0" t="n">
        <v>1.02</v>
      </c>
    </row>
    <row r="325">
      <c r="A325" s="0" t="inlineStr">
        <is>
          <t>[정자동]</t>
        </is>
      </c>
      <c r="B325" s="0" t="n">
        <v>13369</v>
      </c>
      <c r="C325" s="0" t="n">
        <v>2</v>
      </c>
      <c r="D325" s="0" t="inlineStr">
        <is>
          <t>꽃뫼노을마을한마루</t>
        </is>
      </c>
      <c r="E325" s="0" t="inlineStr">
        <is>
          <t>2000.10.</t>
        </is>
      </c>
      <c r="F325" s="0" t="n">
        <v>291</v>
      </c>
      <c r="G325" s="0" t="n">
        <v>24.08</v>
      </c>
      <c r="H325" s="0" t="n">
        <v>79.63</v>
      </c>
      <c r="I325" s="0" t="n">
        <v>18.15</v>
      </c>
      <c r="J325" s="0" t="n">
        <v>60</v>
      </c>
      <c r="K325" s="0" t="n">
        <v>98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79B</t>
        </is>
      </c>
      <c r="X325" s="0" t="n">
        <v>25</v>
      </c>
      <c r="Y325" s="0" t="n">
        <v>20</v>
      </c>
      <c r="Z325" s="0" t="inlineStr">
        <is>
          <t>https://new.land.naver.com/complexes/13369?tab=detail&amp;rf=Y</t>
        </is>
      </c>
      <c r="AA325" s="0" t="inlineStr">
        <is>
          <t>경기도 수원시 장안구 정자동 881-4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장안구</t>
        </is>
      </c>
      <c r="AE325" s="0" t="inlineStr">
        <is>
          <t>정자동</t>
        </is>
      </c>
      <c r="AG325" s="0" t="inlineStr">
        <is>
          <t>경기도 수원시 장안구 덕영대로639번길 63</t>
        </is>
      </c>
      <c r="AH325" s="0" t="n">
        <v>0</v>
      </c>
      <c r="AI325" s="0" t="n">
        <v>220</v>
      </c>
      <c r="AJ325" s="0" t="n">
        <v>18</v>
      </c>
      <c r="AK325" s="0" t="n">
        <v>298</v>
      </c>
      <c r="AL325" s="0" t="n">
        <v>1.02</v>
      </c>
    </row>
    <row r="326">
      <c r="A326" s="0" t="inlineStr">
        <is>
          <t>[정자동]</t>
        </is>
      </c>
      <c r="B326" s="0" t="n">
        <v>13369</v>
      </c>
      <c r="C326" s="0" t="n">
        <v>3</v>
      </c>
      <c r="D326" s="0" t="inlineStr">
        <is>
          <t>꽃뫼노을마을한마루</t>
        </is>
      </c>
      <c r="E326" s="0" t="inlineStr">
        <is>
          <t>2000.10.</t>
        </is>
      </c>
      <c r="F326" s="0" t="n">
        <v>291</v>
      </c>
      <c r="G326" s="0" t="n">
        <v>24.08</v>
      </c>
      <c r="H326" s="0" t="n">
        <v>79.63</v>
      </c>
      <c r="I326" s="0" t="n">
        <v>18.15</v>
      </c>
      <c r="J326" s="0" t="n">
        <v>60</v>
      </c>
      <c r="K326" s="0" t="n">
        <v>92</v>
      </c>
      <c r="T326" s="0" t="n">
        <v>2</v>
      </c>
      <c r="U326" s="0" t="n">
        <v>1</v>
      </c>
      <c r="V326" s="0" t="inlineStr">
        <is>
          <t>계단식</t>
        </is>
      </c>
      <c r="W326" s="0" t="inlineStr">
        <is>
          <t>79A</t>
        </is>
      </c>
      <c r="X326" s="0" t="n">
        <v>25</v>
      </c>
      <c r="Y326" s="0" t="n">
        <v>20</v>
      </c>
      <c r="Z326" s="0" t="inlineStr">
        <is>
          <t>https://new.land.naver.com/complexes/13369?tab=detail&amp;rf=Y</t>
        </is>
      </c>
      <c r="AA326" s="0" t="inlineStr">
        <is>
          <t>경기도 수원시 장안구 정자동 881-4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장안구</t>
        </is>
      </c>
      <c r="AE326" s="0" t="inlineStr">
        <is>
          <t>정자동</t>
        </is>
      </c>
      <c r="AG326" s="0" t="inlineStr">
        <is>
          <t>경기도 수원시 장안구 덕영대로639번길 63</t>
        </is>
      </c>
      <c r="AH326" s="0" t="n">
        <v>0</v>
      </c>
      <c r="AI326" s="0" t="n">
        <v>220</v>
      </c>
      <c r="AJ326" s="0" t="n">
        <v>18</v>
      </c>
      <c r="AK326" s="0" t="n">
        <v>298</v>
      </c>
      <c r="AL326" s="0" t="n">
        <v>1.02</v>
      </c>
    </row>
    <row r="327">
      <c r="A327" s="0" t="inlineStr">
        <is>
          <t>[정자동]</t>
        </is>
      </c>
      <c r="B327" s="0" t="n">
        <v>141607</v>
      </c>
      <c r="C327" s="0" t="n">
        <v>1</v>
      </c>
      <c r="D327" s="0" t="inlineStr">
        <is>
          <t>북수원자이렉스비아</t>
        </is>
      </c>
      <c r="E327" s="0" t="inlineStr">
        <is>
          <t>2024.03.</t>
        </is>
      </c>
      <c r="F327" s="0" t="n">
        <v>2607</v>
      </c>
      <c r="G327" s="0" t="n">
        <v>20.48</v>
      </c>
      <c r="H327" s="0" t="n">
        <v>67.72</v>
      </c>
      <c r="I327" s="0" t="n">
        <v>14.77</v>
      </c>
      <c r="J327" s="0" t="n">
        <v>48.85</v>
      </c>
      <c r="K327" s="0" t="n">
        <v>115</v>
      </c>
      <c r="T327" s="0" t="n">
        <v>2</v>
      </c>
      <c r="U327" s="0" t="n">
        <v>1</v>
      </c>
      <c r="V327" s="0" t="inlineStr">
        <is>
          <t>계단식</t>
        </is>
      </c>
      <c r="W327" s="0" t="inlineStr">
        <is>
          <t>67A</t>
        </is>
      </c>
      <c r="X327" s="0" t="n">
        <v>29</v>
      </c>
      <c r="Y327" s="0" t="n">
        <v>20</v>
      </c>
      <c r="Z327" s="0" t="inlineStr">
        <is>
          <t>https://new.land.naver.com/complexes/141607?tab=detail&amp;rf=Y</t>
        </is>
      </c>
      <c r="AA327" s="0" t="inlineStr">
        <is>
          <t>경기도 수원시 장안구 정자동 530-6번지 일원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장안구</t>
        </is>
      </c>
      <c r="AE327" s="0" t="inlineStr">
        <is>
          <t>정자동</t>
        </is>
      </c>
      <c r="AG327" s="0" t="inlineStr">
        <is>
          <t>경기도 수원시 장안구</t>
        </is>
      </c>
      <c r="AH327" s="0" t="n">
        <v>184</v>
      </c>
      <c r="AI327" s="0" t="n">
        <v>228</v>
      </c>
      <c r="AJ327" s="0" t="n">
        <v>14</v>
      </c>
      <c r="AK327" s="0" t="n">
        <v>3671</v>
      </c>
      <c r="AL327" s="0" t="n">
        <v>1.41</v>
      </c>
    </row>
    <row r="328">
      <c r="A328" s="0" t="inlineStr">
        <is>
          <t>[정자동]</t>
        </is>
      </c>
      <c r="B328" s="0" t="n">
        <v>141607</v>
      </c>
      <c r="C328" s="0" t="n">
        <v>2</v>
      </c>
      <c r="D328" s="0" t="inlineStr">
        <is>
          <t>북수원자이렉스비아</t>
        </is>
      </c>
      <c r="E328" s="0" t="inlineStr">
        <is>
          <t>2024.03.</t>
        </is>
      </c>
      <c r="F328" s="0" t="n">
        <v>2607</v>
      </c>
      <c r="G328" s="0" t="n">
        <v>20.38</v>
      </c>
      <c r="H328" s="0" t="n">
        <v>67.39</v>
      </c>
      <c r="I328" s="0" t="n">
        <v>14.73</v>
      </c>
      <c r="J328" s="0" t="n">
        <v>48.7</v>
      </c>
      <c r="K328" s="0" t="n">
        <v>23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67B</t>
        </is>
      </c>
      <c r="X328" s="0" t="n">
        <v>29</v>
      </c>
      <c r="Y328" s="0" t="n">
        <v>20</v>
      </c>
      <c r="Z328" s="0" t="inlineStr">
        <is>
          <t>https://new.land.naver.com/complexes/141607?tab=detail&amp;rf=Y</t>
        </is>
      </c>
      <c r="AA328" s="0" t="inlineStr">
        <is>
          <t>경기도 수원시 장안구 정자동 530-6번지 일원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장안구</t>
        </is>
      </c>
      <c r="AE328" s="0" t="inlineStr">
        <is>
          <t>정자동</t>
        </is>
      </c>
      <c r="AG328" s="0" t="inlineStr">
        <is>
          <t>경기도 수원시 장안구</t>
        </is>
      </c>
      <c r="AH328" s="0" t="n">
        <v>184</v>
      </c>
      <c r="AI328" s="0" t="n">
        <v>228</v>
      </c>
      <c r="AJ328" s="0" t="n">
        <v>14</v>
      </c>
      <c r="AK328" s="0" t="n">
        <v>3671</v>
      </c>
      <c r="AL328" s="0" t="n">
        <v>1.41</v>
      </c>
    </row>
    <row r="329">
      <c r="A329" s="0" t="inlineStr">
        <is>
          <t>[정자동]</t>
        </is>
      </c>
      <c r="B329" s="0" t="n">
        <v>141607</v>
      </c>
      <c r="C329" s="0" t="n">
        <v>3</v>
      </c>
      <c r="D329" s="0" t="inlineStr">
        <is>
          <t>북수원자이렉스비아</t>
        </is>
      </c>
      <c r="E329" s="0" t="inlineStr">
        <is>
          <t>2024.03.</t>
        </is>
      </c>
      <c r="F329" s="0" t="n">
        <v>2607</v>
      </c>
      <c r="G329" s="0" t="n">
        <v>24.38</v>
      </c>
      <c r="H329" s="0" t="n">
        <v>80.62</v>
      </c>
      <c r="I329" s="0" t="n">
        <v>18.11</v>
      </c>
      <c r="J329" s="0" t="n">
        <v>59.87</v>
      </c>
      <c r="K329" s="0" t="n">
        <v>637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80A</t>
        </is>
      </c>
      <c r="X329" s="0" t="n">
        <v>29</v>
      </c>
      <c r="Y329" s="0" t="n">
        <v>20</v>
      </c>
      <c r="Z329" s="0" t="inlineStr">
        <is>
          <t>https://new.land.naver.com/complexes/141607?tab=detail&amp;rf=Y</t>
        </is>
      </c>
      <c r="AA329" s="0" t="inlineStr">
        <is>
          <t>경기도 수원시 장안구 정자동 530-6번지 일원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장안구</t>
        </is>
      </c>
      <c r="AE329" s="0" t="inlineStr">
        <is>
          <t>정자동</t>
        </is>
      </c>
      <c r="AG329" s="0" t="inlineStr">
        <is>
          <t>경기도 수원시 장안구</t>
        </is>
      </c>
      <c r="AH329" s="0" t="n">
        <v>184</v>
      </c>
      <c r="AI329" s="0" t="n">
        <v>228</v>
      </c>
      <c r="AJ329" s="0" t="n">
        <v>14</v>
      </c>
      <c r="AK329" s="0" t="n">
        <v>3671</v>
      </c>
      <c r="AL329" s="0" t="n">
        <v>1.41</v>
      </c>
    </row>
    <row r="330">
      <c r="A330" s="0" t="inlineStr">
        <is>
          <t>[정자동]</t>
        </is>
      </c>
      <c r="B330" s="0" t="n">
        <v>141607</v>
      </c>
      <c r="C330" s="0" t="n">
        <v>4</v>
      </c>
      <c r="D330" s="0" t="inlineStr">
        <is>
          <t>북수원자이렉스비아</t>
        </is>
      </c>
      <c r="E330" s="0" t="inlineStr">
        <is>
          <t>2024.03.</t>
        </is>
      </c>
      <c r="F330" s="0" t="n">
        <v>2607</v>
      </c>
      <c r="G330" s="0" t="n">
        <v>24.39</v>
      </c>
      <c r="H330" s="0" t="n">
        <v>80.66</v>
      </c>
      <c r="I330" s="0" t="n">
        <v>18.09</v>
      </c>
      <c r="J330" s="0" t="n">
        <v>59.82</v>
      </c>
      <c r="K330" s="0" t="n">
        <v>254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80B</t>
        </is>
      </c>
      <c r="X330" s="0" t="n">
        <v>29</v>
      </c>
      <c r="Y330" s="0" t="n">
        <v>20</v>
      </c>
      <c r="Z330" s="0" t="inlineStr">
        <is>
          <t>https://new.land.naver.com/complexes/141607?tab=detail&amp;rf=Y</t>
        </is>
      </c>
      <c r="AA330" s="0" t="inlineStr">
        <is>
          <t>경기도 수원시 장안구 정자동 530-6번지 일원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장안구</t>
        </is>
      </c>
      <c r="AE330" s="0" t="inlineStr">
        <is>
          <t>정자동</t>
        </is>
      </c>
      <c r="AG330" s="0" t="inlineStr">
        <is>
          <t>경기도 수원시 장안구</t>
        </is>
      </c>
      <c r="AH330" s="0" t="n">
        <v>184</v>
      </c>
      <c r="AI330" s="0" t="n">
        <v>228</v>
      </c>
      <c r="AJ330" s="0" t="n">
        <v>14</v>
      </c>
      <c r="AK330" s="0" t="n">
        <v>3671</v>
      </c>
      <c r="AL330" s="0" t="n">
        <v>1.41</v>
      </c>
    </row>
    <row r="331">
      <c r="A331" s="0" t="inlineStr">
        <is>
          <t>[정자동]</t>
        </is>
      </c>
      <c r="B331" s="0" t="n">
        <v>141607</v>
      </c>
      <c r="C331" s="0" t="n">
        <v>5</v>
      </c>
      <c r="D331" s="0" t="inlineStr">
        <is>
          <t>북수원자이렉스비아</t>
        </is>
      </c>
      <c r="E331" s="0" t="inlineStr">
        <is>
          <t>2024.03.</t>
        </is>
      </c>
      <c r="F331" s="0" t="n">
        <v>2607</v>
      </c>
      <c r="G331" s="0" t="n">
        <v>24.43</v>
      </c>
      <c r="H331" s="0" t="n">
        <v>80.79000000000001</v>
      </c>
      <c r="I331" s="0" t="n">
        <v>18.1</v>
      </c>
      <c r="J331" s="0" t="n">
        <v>59.84</v>
      </c>
      <c r="K331" s="0" t="n">
        <v>218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80E</t>
        </is>
      </c>
      <c r="X331" s="0" t="n">
        <v>29</v>
      </c>
      <c r="Y331" s="0" t="n">
        <v>20</v>
      </c>
      <c r="Z331" s="0" t="inlineStr">
        <is>
          <t>https://new.land.naver.com/complexes/141607?tab=detail&amp;rf=Y</t>
        </is>
      </c>
      <c r="AA331" s="0" t="inlineStr">
        <is>
          <t>경기도 수원시 장안구 정자동 530-6번지 일원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장안구</t>
        </is>
      </c>
      <c r="AE331" s="0" t="inlineStr">
        <is>
          <t>정자동</t>
        </is>
      </c>
      <c r="AG331" s="0" t="inlineStr">
        <is>
          <t>경기도 수원시 장안구</t>
        </is>
      </c>
      <c r="AH331" s="0" t="n">
        <v>184</v>
      </c>
      <c r="AI331" s="0" t="n">
        <v>228</v>
      </c>
      <c r="AJ331" s="0" t="n">
        <v>14</v>
      </c>
      <c r="AK331" s="0" t="n">
        <v>3671</v>
      </c>
      <c r="AL331" s="0" t="n">
        <v>1.41</v>
      </c>
    </row>
    <row r="332">
      <c r="A332" s="0" t="inlineStr">
        <is>
          <t>[정자동]</t>
        </is>
      </c>
      <c r="B332" s="0" t="n">
        <v>141607</v>
      </c>
      <c r="C332" s="0" t="n">
        <v>6</v>
      </c>
      <c r="D332" s="0" t="inlineStr">
        <is>
          <t>북수원자이렉스비아</t>
        </is>
      </c>
      <c r="E332" s="0" t="inlineStr">
        <is>
          <t>2024.03.</t>
        </is>
      </c>
      <c r="F332" s="0" t="n">
        <v>2607</v>
      </c>
      <c r="G332" s="0" t="n">
        <v>24.31</v>
      </c>
      <c r="H332" s="0" t="n">
        <v>80.39</v>
      </c>
      <c r="I332" s="0" t="n">
        <v>18.1</v>
      </c>
      <c r="J332" s="0" t="n">
        <v>59.84</v>
      </c>
      <c r="K332" s="0" t="n">
        <v>28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80C</t>
        </is>
      </c>
      <c r="X332" s="0" t="n">
        <v>29</v>
      </c>
      <c r="Y332" s="0" t="n">
        <v>20</v>
      </c>
      <c r="Z332" s="0" t="inlineStr">
        <is>
          <t>https://new.land.naver.com/complexes/141607?tab=detail&amp;rf=Y</t>
        </is>
      </c>
      <c r="AA332" s="0" t="inlineStr">
        <is>
          <t>경기도 수원시 장안구 정자동 530-6번지 일원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장안구</t>
        </is>
      </c>
      <c r="AE332" s="0" t="inlineStr">
        <is>
          <t>정자동</t>
        </is>
      </c>
      <c r="AG332" s="0" t="inlineStr">
        <is>
          <t>경기도 수원시 장안구</t>
        </is>
      </c>
      <c r="AH332" s="0" t="n">
        <v>184</v>
      </c>
      <c r="AI332" s="0" t="n">
        <v>228</v>
      </c>
      <c r="AJ332" s="0" t="n">
        <v>14</v>
      </c>
      <c r="AK332" s="0" t="n">
        <v>3671</v>
      </c>
      <c r="AL332" s="0" t="n">
        <v>1.41</v>
      </c>
    </row>
    <row r="333">
      <c r="A333" s="0" t="inlineStr">
        <is>
          <t>[정자동]</t>
        </is>
      </c>
      <c r="B333" s="0" t="n">
        <v>141607</v>
      </c>
      <c r="C333" s="0" t="n">
        <v>7</v>
      </c>
      <c r="D333" s="0" t="inlineStr">
        <is>
          <t>북수원자이렉스비아</t>
        </is>
      </c>
      <c r="E333" s="0" t="inlineStr">
        <is>
          <t>2024.03.</t>
        </is>
      </c>
      <c r="F333" s="0" t="n">
        <v>2607</v>
      </c>
      <c r="G333" s="0" t="n">
        <v>24.51</v>
      </c>
      <c r="H333" s="0" t="n">
        <v>81.03</v>
      </c>
      <c r="I333" s="0" t="n">
        <v>18.11</v>
      </c>
      <c r="J333" s="0" t="n">
        <v>59.87</v>
      </c>
      <c r="K333" s="0" t="n">
        <v>48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81D</t>
        </is>
      </c>
      <c r="X333" s="0" t="n">
        <v>29</v>
      </c>
      <c r="Y333" s="0" t="n">
        <v>20</v>
      </c>
      <c r="Z333" s="0" t="inlineStr">
        <is>
          <t>https://new.land.naver.com/complexes/141607?tab=detail&amp;rf=Y</t>
        </is>
      </c>
      <c r="AA333" s="0" t="inlineStr">
        <is>
          <t>경기도 수원시 장안구 정자동 530-6번지 일원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장안구</t>
        </is>
      </c>
      <c r="AE333" s="0" t="inlineStr">
        <is>
          <t>정자동</t>
        </is>
      </c>
      <c r="AG333" s="0" t="inlineStr">
        <is>
          <t>경기도 수원시 장안구</t>
        </is>
      </c>
      <c r="AH333" s="0" t="n">
        <v>184</v>
      </c>
      <c r="AI333" s="0" t="n">
        <v>228</v>
      </c>
      <c r="AJ333" s="0" t="n">
        <v>14</v>
      </c>
      <c r="AK333" s="0" t="n">
        <v>3671</v>
      </c>
      <c r="AL333" s="0" t="n">
        <v>1.41</v>
      </c>
    </row>
    <row r="334">
      <c r="A334" s="0" t="inlineStr">
        <is>
          <t>[정자동]</t>
        </is>
      </c>
      <c r="B334" s="0" t="n">
        <v>141607</v>
      </c>
      <c r="C334" s="0" t="n">
        <v>8</v>
      </c>
      <c r="D334" s="0" t="inlineStr">
        <is>
          <t>북수원자이렉스비아</t>
        </is>
      </c>
      <c r="E334" s="0" t="inlineStr">
        <is>
          <t>2024.03.</t>
        </is>
      </c>
      <c r="F334" s="0" t="n">
        <v>2607</v>
      </c>
      <c r="G334" s="0" t="n">
        <v>29.81</v>
      </c>
      <c r="H334" s="0" t="n">
        <v>98.56999999999999</v>
      </c>
      <c r="I334" s="0" t="n">
        <v>22.55</v>
      </c>
      <c r="J334" s="0" t="n">
        <v>74.56</v>
      </c>
      <c r="K334" s="0" t="n">
        <v>266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98A</t>
        </is>
      </c>
      <c r="X334" s="0" t="n">
        <v>29</v>
      </c>
      <c r="Y334" s="0" t="n">
        <v>20</v>
      </c>
      <c r="Z334" s="0" t="inlineStr">
        <is>
          <t>https://new.land.naver.com/complexes/141607?tab=detail&amp;rf=Y</t>
        </is>
      </c>
      <c r="AA334" s="0" t="inlineStr">
        <is>
          <t>경기도 수원시 장안구 정자동 530-6번지 일원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장안구</t>
        </is>
      </c>
      <c r="AE334" s="0" t="inlineStr">
        <is>
          <t>정자동</t>
        </is>
      </c>
      <c r="AG334" s="0" t="inlineStr">
        <is>
          <t>경기도 수원시 장안구</t>
        </is>
      </c>
      <c r="AH334" s="0" t="n">
        <v>184</v>
      </c>
      <c r="AI334" s="0" t="n">
        <v>228</v>
      </c>
      <c r="AJ334" s="0" t="n">
        <v>14</v>
      </c>
      <c r="AK334" s="0" t="n">
        <v>3671</v>
      </c>
      <c r="AL334" s="0" t="n">
        <v>1.41</v>
      </c>
    </row>
    <row r="335">
      <c r="A335" s="0" t="inlineStr">
        <is>
          <t>[정자동]</t>
        </is>
      </c>
      <c r="B335" s="0" t="n">
        <v>141607</v>
      </c>
      <c r="C335" s="0" t="n">
        <v>9</v>
      </c>
      <c r="D335" s="0" t="inlineStr">
        <is>
          <t>북수원자이렉스비아</t>
        </is>
      </c>
      <c r="E335" s="0" t="inlineStr">
        <is>
          <t>2024.03.</t>
        </is>
      </c>
      <c r="F335" s="0" t="n">
        <v>2607</v>
      </c>
      <c r="G335" s="0" t="n">
        <v>29.87</v>
      </c>
      <c r="H335" s="0" t="n">
        <v>98.75</v>
      </c>
      <c r="I335" s="0" t="n">
        <v>22.61</v>
      </c>
      <c r="J335" s="0" t="n">
        <v>74.76000000000001</v>
      </c>
      <c r="K335" s="0" t="n">
        <v>56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98B</t>
        </is>
      </c>
      <c r="X335" s="0" t="n">
        <v>29</v>
      </c>
      <c r="Y335" s="0" t="n">
        <v>20</v>
      </c>
      <c r="Z335" s="0" t="inlineStr">
        <is>
          <t>https://new.land.naver.com/complexes/141607?tab=detail&amp;rf=Y</t>
        </is>
      </c>
      <c r="AA335" s="0" t="inlineStr">
        <is>
          <t>경기도 수원시 장안구 정자동 530-6번지 일원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장안구</t>
        </is>
      </c>
      <c r="AE335" s="0" t="inlineStr">
        <is>
          <t>정자동</t>
        </is>
      </c>
      <c r="AG335" s="0" t="inlineStr">
        <is>
          <t>경기도 수원시 장안구</t>
        </is>
      </c>
      <c r="AH335" s="0" t="n">
        <v>184</v>
      </c>
      <c r="AI335" s="0" t="n">
        <v>228</v>
      </c>
      <c r="AJ335" s="0" t="n">
        <v>14</v>
      </c>
      <c r="AK335" s="0" t="n">
        <v>3671</v>
      </c>
      <c r="AL335" s="0" t="n">
        <v>1.41</v>
      </c>
    </row>
    <row r="336">
      <c r="A336" s="0" t="inlineStr">
        <is>
          <t>[정자동]</t>
        </is>
      </c>
      <c r="B336" s="0" t="n">
        <v>141607</v>
      </c>
      <c r="C336" s="0" t="n">
        <v>10</v>
      </c>
      <c r="D336" s="0" t="inlineStr">
        <is>
          <t>북수원자이렉스비아</t>
        </is>
      </c>
      <c r="E336" s="0" t="inlineStr">
        <is>
          <t>2024.03.</t>
        </is>
      </c>
      <c r="F336" s="0" t="n">
        <v>2607</v>
      </c>
      <c r="G336" s="0" t="n">
        <v>29.95</v>
      </c>
      <c r="H336" s="0" t="n">
        <v>99.02</v>
      </c>
      <c r="I336" s="0" t="n">
        <v>22.55</v>
      </c>
      <c r="J336" s="0" t="n">
        <v>74.56999999999999</v>
      </c>
      <c r="K336" s="0" t="n">
        <v>55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99C</t>
        </is>
      </c>
      <c r="X336" s="0" t="n">
        <v>29</v>
      </c>
      <c r="Y336" s="0" t="n">
        <v>20</v>
      </c>
      <c r="Z336" s="0" t="inlineStr">
        <is>
          <t>https://new.land.naver.com/complexes/141607?tab=detail&amp;rf=Y</t>
        </is>
      </c>
      <c r="AA336" s="0" t="inlineStr">
        <is>
          <t>경기도 수원시 장안구 정자동 530-6번지 일원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장안구</t>
        </is>
      </c>
      <c r="AE336" s="0" t="inlineStr">
        <is>
          <t>정자동</t>
        </is>
      </c>
      <c r="AG336" s="0" t="inlineStr">
        <is>
          <t>경기도 수원시 장안구</t>
        </is>
      </c>
      <c r="AH336" s="0" t="n">
        <v>184</v>
      </c>
      <c r="AI336" s="0" t="n">
        <v>228</v>
      </c>
      <c r="AJ336" s="0" t="n">
        <v>14</v>
      </c>
      <c r="AK336" s="0" t="n">
        <v>3671</v>
      </c>
      <c r="AL336" s="0" t="n">
        <v>1.41</v>
      </c>
    </row>
    <row r="337">
      <c r="A337" s="0" t="inlineStr">
        <is>
          <t>[정자동]</t>
        </is>
      </c>
      <c r="B337" s="0" t="n">
        <v>141607</v>
      </c>
      <c r="C337" s="0" t="n">
        <v>11</v>
      </c>
      <c r="D337" s="0" t="inlineStr">
        <is>
          <t>북수원자이렉스비아</t>
        </is>
      </c>
      <c r="E337" s="0" t="inlineStr">
        <is>
          <t>2024.03.</t>
        </is>
      </c>
      <c r="F337" s="0" t="n">
        <v>2607</v>
      </c>
      <c r="G337" s="0" t="n">
        <v>32.87</v>
      </c>
      <c r="H337" s="0" t="n">
        <v>108.68</v>
      </c>
      <c r="I337" s="0" t="n">
        <v>25.51</v>
      </c>
      <c r="J337" s="0" t="n">
        <v>84.34999999999999</v>
      </c>
      <c r="K337" s="0" t="n">
        <v>381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108A</t>
        </is>
      </c>
      <c r="X337" s="0" t="n">
        <v>29</v>
      </c>
      <c r="Y337" s="0" t="n">
        <v>20</v>
      </c>
      <c r="Z337" s="0" t="inlineStr">
        <is>
          <t>https://new.land.naver.com/complexes/141607?tab=detail&amp;rf=Y</t>
        </is>
      </c>
      <c r="AA337" s="0" t="inlineStr">
        <is>
          <t>경기도 수원시 장안구 정자동 530-6번지 일원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장안구</t>
        </is>
      </c>
      <c r="AE337" s="0" t="inlineStr">
        <is>
          <t>정자동</t>
        </is>
      </c>
      <c r="AG337" s="0" t="inlineStr">
        <is>
          <t>경기도 수원시 장안구</t>
        </is>
      </c>
      <c r="AH337" s="0" t="n">
        <v>184</v>
      </c>
      <c r="AI337" s="0" t="n">
        <v>228</v>
      </c>
      <c r="AJ337" s="0" t="n">
        <v>14</v>
      </c>
      <c r="AK337" s="0" t="n">
        <v>3671</v>
      </c>
      <c r="AL337" s="0" t="n">
        <v>1.41</v>
      </c>
    </row>
    <row r="338">
      <c r="A338" s="0" t="inlineStr">
        <is>
          <t>[정자동]</t>
        </is>
      </c>
      <c r="B338" s="0" t="n">
        <v>141607</v>
      </c>
      <c r="C338" s="0" t="n">
        <v>12</v>
      </c>
      <c r="D338" s="0" t="inlineStr">
        <is>
          <t>북수원자이렉스비아</t>
        </is>
      </c>
      <c r="E338" s="0" t="inlineStr">
        <is>
          <t>2024.03.</t>
        </is>
      </c>
      <c r="F338" s="0" t="n">
        <v>2607</v>
      </c>
      <c r="G338" s="0" t="n">
        <v>33.16</v>
      </c>
      <c r="H338" s="0" t="n">
        <v>109.63</v>
      </c>
      <c r="I338" s="0" t="n">
        <v>25.68</v>
      </c>
      <c r="J338" s="0" t="n">
        <v>84.91</v>
      </c>
      <c r="K338" s="0" t="n">
        <v>164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109B</t>
        </is>
      </c>
      <c r="X338" s="0" t="n">
        <v>29</v>
      </c>
      <c r="Y338" s="0" t="n">
        <v>20</v>
      </c>
      <c r="Z338" s="0" t="inlineStr">
        <is>
          <t>https://new.land.naver.com/complexes/141607?tab=detail&amp;rf=Y</t>
        </is>
      </c>
      <c r="AA338" s="0" t="inlineStr">
        <is>
          <t>경기도 수원시 장안구 정자동 530-6번지 일원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장안구</t>
        </is>
      </c>
      <c r="AE338" s="0" t="inlineStr">
        <is>
          <t>정자동</t>
        </is>
      </c>
      <c r="AG338" s="0" t="inlineStr">
        <is>
          <t>경기도 수원시 장안구</t>
        </is>
      </c>
      <c r="AH338" s="0" t="n">
        <v>184</v>
      </c>
      <c r="AI338" s="0" t="n">
        <v>228</v>
      </c>
      <c r="AJ338" s="0" t="n">
        <v>14</v>
      </c>
      <c r="AK338" s="0" t="n">
        <v>3671</v>
      </c>
      <c r="AL338" s="0" t="n">
        <v>1.41</v>
      </c>
    </row>
    <row r="339">
      <c r="A339" s="0" t="inlineStr">
        <is>
          <t>[정자동]</t>
        </is>
      </c>
      <c r="B339" s="0" t="n">
        <v>141607</v>
      </c>
      <c r="C339" s="0" t="n">
        <v>13</v>
      </c>
      <c r="D339" s="0" t="inlineStr">
        <is>
          <t>북수원자이렉스비아</t>
        </is>
      </c>
      <c r="E339" s="0" t="inlineStr">
        <is>
          <t>2024.03.</t>
        </is>
      </c>
      <c r="F339" s="0" t="n">
        <v>2607</v>
      </c>
      <c r="G339" s="0" t="n">
        <v>33.01</v>
      </c>
      <c r="H339" s="0" t="n">
        <v>109.15</v>
      </c>
      <c r="I339" s="0" t="n">
        <v>25.51</v>
      </c>
      <c r="J339" s="0" t="n">
        <v>84.36</v>
      </c>
      <c r="K339" s="0" t="n">
        <v>70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109C</t>
        </is>
      </c>
      <c r="X339" s="0" t="n">
        <v>29</v>
      </c>
      <c r="Y339" s="0" t="n">
        <v>20</v>
      </c>
      <c r="Z339" s="0" t="inlineStr">
        <is>
          <t>https://new.land.naver.com/complexes/141607?tab=detail&amp;rf=Y</t>
        </is>
      </c>
      <c r="AA339" s="0" t="inlineStr">
        <is>
          <t>경기도 수원시 장안구 정자동 530-6번지 일원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장안구</t>
        </is>
      </c>
      <c r="AE339" s="0" t="inlineStr">
        <is>
          <t>정자동</t>
        </is>
      </c>
      <c r="AG339" s="0" t="inlineStr">
        <is>
          <t>경기도 수원시 장안구</t>
        </is>
      </c>
      <c r="AH339" s="0" t="n">
        <v>184</v>
      </c>
      <c r="AI339" s="0" t="n">
        <v>228</v>
      </c>
      <c r="AJ339" s="0" t="n">
        <v>14</v>
      </c>
      <c r="AK339" s="0" t="n">
        <v>3671</v>
      </c>
      <c r="AL339" s="0" t="n">
        <v>1.41</v>
      </c>
    </row>
    <row r="340">
      <c r="A340" s="0" t="inlineStr">
        <is>
          <t>[정자동]</t>
        </is>
      </c>
      <c r="B340" s="0" t="n">
        <v>141607</v>
      </c>
      <c r="C340" s="0" t="n">
        <v>14</v>
      </c>
      <c r="D340" s="0" t="inlineStr">
        <is>
          <t>북수원자이렉스비아</t>
        </is>
      </c>
      <c r="E340" s="0" t="inlineStr">
        <is>
          <t>2024.03.</t>
        </is>
      </c>
      <c r="F340" s="0" t="n">
        <v>2607</v>
      </c>
      <c r="G340" s="0" t="n">
        <v>38.65</v>
      </c>
      <c r="H340" s="0" t="n">
        <v>127.78</v>
      </c>
      <c r="I340" s="0" t="n">
        <v>30.11</v>
      </c>
      <c r="J340" s="0" t="n">
        <v>99.54000000000001</v>
      </c>
      <c r="K340" s="0" t="n">
        <v>108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127</v>
      </c>
      <c r="X340" s="0" t="n">
        <v>29</v>
      </c>
      <c r="Y340" s="0" t="n">
        <v>20</v>
      </c>
      <c r="Z340" s="0" t="inlineStr">
        <is>
          <t>https://new.land.naver.com/complexes/141607?tab=detail&amp;rf=Y</t>
        </is>
      </c>
      <c r="AA340" s="0" t="inlineStr">
        <is>
          <t>경기도 수원시 장안구 정자동 530-6번지 일원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장안구</t>
        </is>
      </c>
      <c r="AE340" s="0" t="inlineStr">
        <is>
          <t>정자동</t>
        </is>
      </c>
      <c r="AG340" s="0" t="inlineStr">
        <is>
          <t>경기도 수원시 장안구</t>
        </is>
      </c>
      <c r="AH340" s="0" t="n">
        <v>184</v>
      </c>
      <c r="AI340" s="0" t="n">
        <v>228</v>
      </c>
      <c r="AJ340" s="0" t="n">
        <v>14</v>
      </c>
      <c r="AK340" s="0" t="n">
        <v>3671</v>
      </c>
      <c r="AL340" s="0" t="n">
        <v>1.41</v>
      </c>
    </row>
    <row r="341">
      <c r="A341" s="0" t="inlineStr">
        <is>
          <t>[정자동]</t>
        </is>
      </c>
      <c r="B341" s="0" t="n">
        <v>131582</v>
      </c>
      <c r="C341" s="0" t="n">
        <v>1</v>
      </c>
      <c r="D341" s="0" t="inlineStr">
        <is>
          <t>동산</t>
        </is>
      </c>
      <c r="E341" s="0" t="inlineStr">
        <is>
          <t>1984.10.</t>
        </is>
      </c>
      <c r="F341" s="0" t="n">
        <v>12</v>
      </c>
      <c r="G341" s="0" t="n">
        <v>27.91</v>
      </c>
      <c r="H341" s="0" t="n">
        <v>92.28</v>
      </c>
      <c r="I341" s="0" t="n">
        <v>23.5</v>
      </c>
      <c r="J341" s="0" t="n">
        <v>77.7</v>
      </c>
      <c r="K341" s="0" t="n">
        <v>4</v>
      </c>
      <c r="T341" s="0" t="n">
        <v>3</v>
      </c>
      <c r="U341" s="0" t="n">
        <v>2</v>
      </c>
      <c r="V341" s="0" t="inlineStr">
        <is>
          <t>계단식</t>
        </is>
      </c>
      <c r="W341" s="0" t="n">
        <v>92</v>
      </c>
      <c r="X341" s="0" t="n">
        <v>4</v>
      </c>
      <c r="Y341" s="0" t="n">
        <v>4</v>
      </c>
      <c r="Z341" s="0" t="inlineStr">
        <is>
          <t>https://new.land.naver.com/complexes/131582?tab=detail&amp;rf=Y</t>
        </is>
      </c>
      <c r="AA341" s="0" t="inlineStr">
        <is>
          <t>경기도 수원시 장안구 정자동 42-2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장안구</t>
        </is>
      </c>
      <c r="AE341" s="0" t="inlineStr">
        <is>
          <t>정자동</t>
        </is>
      </c>
      <c r="AG341" s="0" t="inlineStr">
        <is>
          <t>경기도 수원시 장안구 수성로261번길 72-17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[정자동]</t>
        </is>
      </c>
      <c r="B342" s="0" t="n">
        <v>131582</v>
      </c>
      <c r="C342" s="0" t="n">
        <v>2</v>
      </c>
      <c r="D342" s="0" t="inlineStr">
        <is>
          <t>동산</t>
        </is>
      </c>
      <c r="E342" s="0" t="inlineStr">
        <is>
          <t>1984.10.</t>
        </is>
      </c>
      <c r="F342" s="0" t="n">
        <v>12</v>
      </c>
      <c r="G342" s="0" t="n">
        <v>29.92</v>
      </c>
      <c r="H342" s="0" t="n">
        <v>98.94</v>
      </c>
      <c r="I342" s="0" t="n">
        <v>25.51</v>
      </c>
      <c r="J342" s="0" t="n">
        <v>84.36</v>
      </c>
      <c r="K342" s="0" t="n">
        <v>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98</v>
      </c>
      <c r="X342" s="0" t="n">
        <v>4</v>
      </c>
      <c r="Y342" s="0" t="n">
        <v>4</v>
      </c>
      <c r="Z342" s="0" t="inlineStr">
        <is>
          <t>https://new.land.naver.com/complexes/131582?tab=detail&amp;rf=Y</t>
        </is>
      </c>
      <c r="AA342" s="0" t="inlineStr">
        <is>
          <t>경기도 수원시 장안구 정자동 42-2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장안구</t>
        </is>
      </c>
      <c r="AE342" s="0" t="inlineStr">
        <is>
          <t>정자동</t>
        </is>
      </c>
      <c r="AG342" s="0" t="inlineStr">
        <is>
          <t>경기도 수원시 장안구 수성로261번길 72-17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[정자동]</t>
        </is>
      </c>
      <c r="B343" s="0" t="n">
        <v>124134</v>
      </c>
      <c r="C343" s="0" t="n">
        <v>1</v>
      </c>
      <c r="D343" s="0" t="inlineStr">
        <is>
          <t>건우까사미</t>
        </is>
      </c>
      <c r="E343" s="0" t="inlineStr">
        <is>
          <t>2018.11.</t>
        </is>
      </c>
      <c r="F343" s="0" t="n">
        <v>56</v>
      </c>
      <c r="G343" s="0" t="n">
        <v>20.27</v>
      </c>
      <c r="H343" s="0" t="n">
        <v>67.04000000000001</v>
      </c>
      <c r="I343" s="0" t="n">
        <v>15.59</v>
      </c>
      <c r="J343" s="0" t="n">
        <v>51.54</v>
      </c>
      <c r="K343" s="0" t="n">
        <v>14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67</v>
      </c>
      <c r="X343" s="0" t="n">
        <v>16</v>
      </c>
      <c r="Y343" s="0" t="n">
        <v>16</v>
      </c>
      <c r="Z343" s="0" t="inlineStr">
        <is>
          <t>https://new.land.naver.com/complexes/124134?tab=detail&amp;rf=Y</t>
        </is>
      </c>
      <c r="AA343" s="0" t="inlineStr">
        <is>
          <t>경기도 수원시 장안구 정자동 534-2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장안구</t>
        </is>
      </c>
      <c r="AE343" s="0" t="inlineStr">
        <is>
          <t>정자동</t>
        </is>
      </c>
      <c r="AG343" s="0" t="inlineStr">
        <is>
          <t>경기도 수원시 장안구 파장로 91</t>
        </is>
      </c>
      <c r="AH343" s="0" t="n">
        <v>0</v>
      </c>
      <c r="AI343" s="0" t="n">
        <v>499</v>
      </c>
      <c r="AJ343" s="0" t="n">
        <v>60</v>
      </c>
      <c r="AK343" s="0" t="n">
        <v>52</v>
      </c>
      <c r="AL343" s="0" t="n">
        <v>0.93</v>
      </c>
    </row>
    <row r="344">
      <c r="A344" s="0" t="inlineStr">
        <is>
          <t>[정자동]</t>
        </is>
      </c>
      <c r="B344" s="0" t="n">
        <v>124134</v>
      </c>
      <c r="C344" s="0" t="n">
        <v>2</v>
      </c>
      <c r="D344" s="0" t="inlineStr">
        <is>
          <t>건우까사미</t>
        </is>
      </c>
      <c r="E344" s="0" t="inlineStr">
        <is>
          <t>2018.11.</t>
        </is>
      </c>
      <c r="F344" s="0" t="n">
        <v>56</v>
      </c>
      <c r="G344" s="0" t="n">
        <v>20.78</v>
      </c>
      <c r="H344" s="0" t="n">
        <v>68.72</v>
      </c>
      <c r="I344" s="0" t="n">
        <v>15.99</v>
      </c>
      <c r="J344" s="0" t="n">
        <v>52.88</v>
      </c>
      <c r="K344" s="0" t="n">
        <v>14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68</v>
      </c>
      <c r="X344" s="0" t="n">
        <v>16</v>
      </c>
      <c r="Y344" s="0" t="n">
        <v>16</v>
      </c>
      <c r="Z344" s="0" t="inlineStr">
        <is>
          <t>https://new.land.naver.com/complexes/124134?tab=detail&amp;rf=Y</t>
        </is>
      </c>
      <c r="AA344" s="0" t="inlineStr">
        <is>
          <t>경기도 수원시 장안구 정자동 534-2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장안구</t>
        </is>
      </c>
      <c r="AE344" s="0" t="inlineStr">
        <is>
          <t>정자동</t>
        </is>
      </c>
      <c r="AG344" s="0" t="inlineStr">
        <is>
          <t>경기도 수원시 장안구 파장로 91</t>
        </is>
      </c>
      <c r="AH344" s="0" t="n">
        <v>0</v>
      </c>
      <c r="AI344" s="0" t="n">
        <v>499</v>
      </c>
      <c r="AJ344" s="0" t="n">
        <v>60</v>
      </c>
      <c r="AK344" s="0" t="n">
        <v>52</v>
      </c>
      <c r="AL344" s="0" t="n">
        <v>0.93</v>
      </c>
    </row>
    <row r="345">
      <c r="A345" s="0" t="inlineStr">
        <is>
          <t>[정자동]</t>
        </is>
      </c>
      <c r="B345" s="0" t="n">
        <v>124134</v>
      </c>
      <c r="C345" s="0" t="n">
        <v>3</v>
      </c>
      <c r="D345" s="0" t="inlineStr">
        <is>
          <t>건우까사미</t>
        </is>
      </c>
      <c r="E345" s="0" t="inlineStr">
        <is>
          <t>2018.11.</t>
        </is>
      </c>
      <c r="F345" s="0" t="n">
        <v>56</v>
      </c>
      <c r="G345" s="0" t="n">
        <v>22.23</v>
      </c>
      <c r="H345" s="0" t="n">
        <v>73.52</v>
      </c>
      <c r="I345" s="0" t="n">
        <v>17.13</v>
      </c>
      <c r="J345" s="0" t="n">
        <v>56.65</v>
      </c>
      <c r="K345" s="0" t="n">
        <v>14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73A</t>
        </is>
      </c>
      <c r="X345" s="0" t="n">
        <v>16</v>
      </c>
      <c r="Y345" s="0" t="n">
        <v>16</v>
      </c>
      <c r="Z345" s="0" t="inlineStr">
        <is>
          <t>https://new.land.naver.com/complexes/124134?tab=detail&amp;rf=Y</t>
        </is>
      </c>
      <c r="AA345" s="0" t="inlineStr">
        <is>
          <t>경기도 수원시 장안구 정자동 534-2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장안구</t>
        </is>
      </c>
      <c r="AE345" s="0" t="inlineStr">
        <is>
          <t>정자동</t>
        </is>
      </c>
      <c r="AG345" s="0" t="inlineStr">
        <is>
          <t>경기도 수원시 장안구 파장로 91</t>
        </is>
      </c>
      <c r="AH345" s="0" t="n">
        <v>0</v>
      </c>
      <c r="AI345" s="0" t="n">
        <v>499</v>
      </c>
      <c r="AJ345" s="0" t="n">
        <v>60</v>
      </c>
      <c r="AK345" s="0" t="n">
        <v>52</v>
      </c>
      <c r="AL345" s="0" t="n">
        <v>0.93</v>
      </c>
    </row>
    <row r="346">
      <c r="A346" s="0" t="inlineStr">
        <is>
          <t>[정자동]</t>
        </is>
      </c>
      <c r="B346" s="0" t="n">
        <v>124134</v>
      </c>
      <c r="C346" s="0" t="n">
        <v>4</v>
      </c>
      <c r="D346" s="0" t="inlineStr">
        <is>
          <t>건우까사미</t>
        </is>
      </c>
      <c r="E346" s="0" t="inlineStr">
        <is>
          <t>2018.11.</t>
        </is>
      </c>
      <c r="F346" s="0" t="n">
        <v>56</v>
      </c>
      <c r="G346" s="0" t="n">
        <v>22.48</v>
      </c>
      <c r="H346" s="0" t="n">
        <v>74.33</v>
      </c>
      <c r="I346" s="0" t="n">
        <v>17.41</v>
      </c>
      <c r="J346" s="0" t="n">
        <v>57.58</v>
      </c>
      <c r="K346" s="0" t="n">
        <v>14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74B</t>
        </is>
      </c>
      <c r="X346" s="0" t="n">
        <v>16</v>
      </c>
      <c r="Y346" s="0" t="n">
        <v>16</v>
      </c>
      <c r="Z346" s="0" t="inlineStr">
        <is>
          <t>https://new.land.naver.com/complexes/124134?tab=detail&amp;rf=Y</t>
        </is>
      </c>
      <c r="AA346" s="0" t="inlineStr">
        <is>
          <t>경기도 수원시 장안구 정자동 534-2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장안구</t>
        </is>
      </c>
      <c r="AE346" s="0" t="inlineStr">
        <is>
          <t>정자동</t>
        </is>
      </c>
      <c r="AG346" s="0" t="inlineStr">
        <is>
          <t>경기도 수원시 장안구 파장로 91</t>
        </is>
      </c>
      <c r="AH346" s="0" t="n">
        <v>0</v>
      </c>
      <c r="AI346" s="0" t="n">
        <v>499</v>
      </c>
      <c r="AJ346" s="0" t="n">
        <v>60</v>
      </c>
      <c r="AK346" s="0" t="n">
        <v>52</v>
      </c>
      <c r="AL346" s="0" t="n">
        <v>0.93</v>
      </c>
    </row>
    <row r="347">
      <c r="A347" s="0" t="inlineStr">
        <is>
          <t>[정자동]</t>
        </is>
      </c>
      <c r="B347" s="0" t="n">
        <v>10344</v>
      </c>
      <c r="C347" s="0" t="n">
        <v>1</v>
      </c>
      <c r="D347" s="0" t="inlineStr">
        <is>
          <t>대월마을8단지대림진흥</t>
        </is>
      </c>
      <c r="E347" s="0" t="inlineStr">
        <is>
          <t>2001.11.</t>
        </is>
      </c>
      <c r="F347" s="0" t="n">
        <v>534</v>
      </c>
      <c r="G347" s="0" t="n">
        <v>34.55</v>
      </c>
      <c r="H347" s="0" t="n">
        <v>114.23</v>
      </c>
      <c r="I347" s="0" t="n">
        <v>25.69</v>
      </c>
      <c r="J347" s="0" t="n">
        <v>84.94</v>
      </c>
      <c r="K347" s="0" t="n">
        <v>534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114</v>
      </c>
      <c r="X347" s="0" t="n">
        <v>24</v>
      </c>
      <c r="Y347" s="0" t="n">
        <v>20</v>
      </c>
      <c r="Z347" s="0" t="inlineStr">
        <is>
          <t>https://new.land.naver.com/complexes/10344?tab=detail&amp;rf=Y</t>
        </is>
      </c>
      <c r="AA347" s="0" t="inlineStr">
        <is>
          <t>경기도 수원시 장안구 정자동 914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장안구</t>
        </is>
      </c>
      <c r="AE347" s="0" t="inlineStr">
        <is>
          <t>정자동</t>
        </is>
      </c>
      <c r="AG347" s="0" t="inlineStr">
        <is>
          <t>경기도 수원시 장안구 천천로74번길 92</t>
        </is>
      </c>
      <c r="AH347" s="0" t="n">
        <v>0</v>
      </c>
      <c r="AI347" s="0" t="n">
        <v>213</v>
      </c>
      <c r="AJ347" s="0" t="n">
        <v>13</v>
      </c>
      <c r="AK347" s="0" t="n">
        <v>682</v>
      </c>
      <c r="AL347" s="0" t="n">
        <v>1.28</v>
      </c>
    </row>
    <row r="348">
      <c r="A348" s="0" t="inlineStr">
        <is>
          <t>[정자동]</t>
        </is>
      </c>
      <c r="B348" s="0" t="n">
        <v>127881</v>
      </c>
      <c r="C348" s="0" t="n">
        <v>1</v>
      </c>
      <c r="D348" s="0" t="inlineStr">
        <is>
          <t>비바체하임</t>
        </is>
      </c>
      <c r="E348" s="0" t="inlineStr">
        <is>
          <t>2019.10.</t>
        </is>
      </c>
      <c r="F348" s="0" t="n">
        <v>72</v>
      </c>
      <c r="G348" s="0" t="n">
        <v>25.9</v>
      </c>
      <c r="H348" s="0" t="n">
        <v>85.63</v>
      </c>
      <c r="I348" s="0" t="n">
        <v>18.96</v>
      </c>
      <c r="J348" s="0" t="n">
        <v>62.68</v>
      </c>
      <c r="K348" s="0" t="n">
        <v>54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85</v>
      </c>
      <c r="X348" s="0" t="n">
        <v>20</v>
      </c>
      <c r="Y348" s="0" t="n">
        <v>20</v>
      </c>
      <c r="Z348" s="0" t="inlineStr">
        <is>
          <t>https://new.land.naver.com/complexes/127881?tab=detail&amp;rf=Y</t>
        </is>
      </c>
      <c r="AA348" s="0" t="inlineStr">
        <is>
          <t>경기도 수원시 장안구 정자동 1-10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장안구</t>
        </is>
      </c>
      <c r="AE348" s="0" t="inlineStr">
        <is>
          <t>정자동</t>
        </is>
      </c>
      <c r="AG348" s="0" t="inlineStr">
        <is>
          <t>경기도 수원시 장안구 송정로104번길 21</t>
        </is>
      </c>
      <c r="AH348" s="0" t="n">
        <v>0</v>
      </c>
      <c r="AI348" s="0" t="n">
        <v>498</v>
      </c>
      <c r="AJ348" s="0" t="n">
        <v>66</v>
      </c>
      <c r="AK348" s="0" t="n">
        <v>71</v>
      </c>
      <c r="AL348" s="0" t="n">
        <v>0.99</v>
      </c>
    </row>
    <row r="349">
      <c r="A349" s="0" t="inlineStr">
        <is>
          <t>[정자동]</t>
        </is>
      </c>
      <c r="B349" s="0" t="n">
        <v>127881</v>
      </c>
      <c r="C349" s="0" t="n">
        <v>2</v>
      </c>
      <c r="D349" s="0" t="inlineStr">
        <is>
          <t>비바체하임</t>
        </is>
      </c>
      <c r="E349" s="0" t="inlineStr">
        <is>
          <t>2019.10.</t>
        </is>
      </c>
      <c r="F349" s="0" t="n">
        <v>72</v>
      </c>
      <c r="G349" s="0" t="n">
        <v>27.09</v>
      </c>
      <c r="H349" s="0" t="n">
        <v>89.56</v>
      </c>
      <c r="I349" s="0" t="n">
        <v>19.69</v>
      </c>
      <c r="J349" s="0" t="n">
        <v>65.09999999999999</v>
      </c>
      <c r="K349" s="0" t="n">
        <v>18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89</v>
      </c>
      <c r="X349" s="0" t="n">
        <v>20</v>
      </c>
      <c r="Y349" s="0" t="n">
        <v>20</v>
      </c>
      <c r="Z349" s="0" t="inlineStr">
        <is>
          <t>https://new.land.naver.com/complexes/127881?tab=detail&amp;rf=Y</t>
        </is>
      </c>
      <c r="AA349" s="0" t="inlineStr">
        <is>
          <t>경기도 수원시 장안구 정자동 1-10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장안구</t>
        </is>
      </c>
      <c r="AE349" s="0" t="inlineStr">
        <is>
          <t>정자동</t>
        </is>
      </c>
      <c r="AG349" s="0" t="inlineStr">
        <is>
          <t>경기도 수원시 장안구 송정로104번길 21</t>
        </is>
      </c>
      <c r="AH349" s="0" t="n">
        <v>0</v>
      </c>
      <c r="AI349" s="0" t="n">
        <v>498</v>
      </c>
      <c r="AJ349" s="0" t="n">
        <v>66</v>
      </c>
      <c r="AK349" s="0" t="n">
        <v>71</v>
      </c>
      <c r="AL349" s="0" t="n">
        <v>0.99</v>
      </c>
    </row>
    <row r="350">
      <c r="A350" s="0" t="inlineStr">
        <is>
          <t>[정자동]</t>
        </is>
      </c>
      <c r="B350" s="0" t="n">
        <v>7972</v>
      </c>
      <c r="C350" s="0" t="n">
        <v>1</v>
      </c>
      <c r="D350" s="0" t="inlineStr">
        <is>
          <t>꽃뫼노을마을장안</t>
        </is>
      </c>
      <c r="E350" s="0" t="inlineStr">
        <is>
          <t>1999.08.</t>
        </is>
      </c>
      <c r="F350" s="0" t="n">
        <v>188</v>
      </c>
      <c r="G350" s="0" t="n">
        <v>24.35</v>
      </c>
      <c r="H350" s="0" t="n">
        <v>80.51000000000001</v>
      </c>
      <c r="I350" s="0" t="n">
        <v>18.11</v>
      </c>
      <c r="J350" s="0" t="n">
        <v>59.9</v>
      </c>
      <c r="K350" s="0" t="n">
        <v>188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80</v>
      </c>
      <c r="X350" s="0" t="n">
        <v>20</v>
      </c>
      <c r="Y350" s="0" t="n">
        <v>16</v>
      </c>
      <c r="Z350" s="0" t="inlineStr">
        <is>
          <t>https://new.land.naver.com/complexes/7972?tab=detail&amp;rf=Y</t>
        </is>
      </c>
      <c r="AA350" s="0" t="inlineStr">
        <is>
          <t>경기도 수원시 장안구 정자동 900-1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장안구</t>
        </is>
      </c>
      <c r="AE350" s="0" t="inlineStr">
        <is>
          <t>정자동</t>
        </is>
      </c>
      <c r="AG350" s="0" t="inlineStr">
        <is>
          <t>경기도 수원시 장안구 덕영대로639번길 70</t>
        </is>
      </c>
      <c r="AH350" s="0" t="n">
        <v>0</v>
      </c>
      <c r="AI350" s="0" t="n">
        <v>230</v>
      </c>
      <c r="AJ350" s="0" t="n">
        <v>19</v>
      </c>
      <c r="AK350" s="0" t="n">
        <v>190</v>
      </c>
      <c r="AL350" s="0" t="n">
        <v>1.01</v>
      </c>
    </row>
    <row r="351">
      <c r="A351" s="0" t="inlineStr">
        <is>
          <t>[정자동]</t>
        </is>
      </c>
      <c r="B351" s="0" t="n">
        <v>19333</v>
      </c>
      <c r="C351" s="0" t="n">
        <v>1</v>
      </c>
      <c r="D351" s="0" t="inlineStr">
        <is>
          <t>노블레스</t>
        </is>
      </c>
      <c r="E351" s="0" t="inlineStr">
        <is>
          <t>2003.04.</t>
        </is>
      </c>
      <c r="F351" s="0" t="n">
        <v>42</v>
      </c>
      <c r="G351" s="0" t="n">
        <v>32.14</v>
      </c>
      <c r="H351" s="0" t="n">
        <v>106.27</v>
      </c>
      <c r="I351" s="0" t="n">
        <v>25.54</v>
      </c>
      <c r="J351" s="0" t="n">
        <v>84.43000000000001</v>
      </c>
      <c r="K351" s="0" t="n">
        <v>42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106</v>
      </c>
      <c r="X351" s="0" t="n">
        <v>8</v>
      </c>
      <c r="Y351" s="0" t="n">
        <v>8</v>
      </c>
      <c r="Z351" s="0" t="inlineStr">
        <is>
          <t>https://new.land.naver.com/complexes/19333?tab=detail&amp;rf=Y</t>
        </is>
      </c>
      <c r="AA351" s="0" t="inlineStr">
        <is>
          <t>경기도 수원시 장안구 정자동 45-2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장안구</t>
        </is>
      </c>
      <c r="AE351" s="0" t="inlineStr">
        <is>
          <t>정자동</t>
        </is>
      </c>
      <c r="AG351" s="0" t="inlineStr">
        <is>
          <t>경기도 수원시 장안구 장안로103번길 37</t>
        </is>
      </c>
      <c r="AH351" s="0" t="n">
        <v>0</v>
      </c>
      <c r="AI351" s="0" t="n">
        <v>234</v>
      </c>
      <c r="AJ351" s="0" t="n">
        <v>40</v>
      </c>
      <c r="AK351" s="0" t="n">
        <v>39</v>
      </c>
      <c r="AL351" s="0" t="n">
        <v>0.93</v>
      </c>
    </row>
    <row r="352">
      <c r="A352" s="0" t="inlineStr">
        <is>
          <t>[정자동]</t>
        </is>
      </c>
      <c r="B352" s="0" t="n">
        <v>3655</v>
      </c>
      <c r="C352" s="0" t="n">
        <v>1</v>
      </c>
      <c r="D352" s="0" t="inlineStr">
        <is>
          <t>북수원리버파크</t>
        </is>
      </c>
      <c r="E352" s="0" t="inlineStr">
        <is>
          <t>2002.10.</t>
        </is>
      </c>
      <c r="F352" s="0" t="n">
        <v>805</v>
      </c>
      <c r="G352" s="0" t="n">
        <v>20.55</v>
      </c>
      <c r="H352" s="0" t="n">
        <v>67.95</v>
      </c>
      <c r="I352" s="0" t="n">
        <v>15.06</v>
      </c>
      <c r="J352" s="0" t="n">
        <v>49.8</v>
      </c>
      <c r="K352" s="0" t="n">
        <v>59</v>
      </c>
      <c r="T352" s="0" t="n">
        <v>2</v>
      </c>
      <c r="U352" s="0" t="n">
        <v>1</v>
      </c>
      <c r="V352" s="0" t="inlineStr">
        <is>
          <t>계단식</t>
        </is>
      </c>
      <c r="W352" s="0" t="n">
        <v>67</v>
      </c>
      <c r="X352" s="0" t="n">
        <v>25</v>
      </c>
      <c r="Y352" s="0" t="n">
        <v>20</v>
      </c>
      <c r="Z352" s="0" t="inlineStr">
        <is>
          <t>https://new.land.naver.com/complexes/3655?tab=detail&amp;rf=Y</t>
        </is>
      </c>
      <c r="AA352" s="0" t="inlineStr">
        <is>
          <t>경기도 수원시 장안구 정자동 913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장안구</t>
        </is>
      </c>
      <c r="AE352" s="0" t="inlineStr">
        <is>
          <t>정자동</t>
        </is>
      </c>
      <c r="AG352" s="0" t="inlineStr">
        <is>
          <t>경기도 수원시 장안구 천천로74번길 35</t>
        </is>
      </c>
      <c r="AH352" s="0" t="n">
        <v>0</v>
      </c>
      <c r="AI352" s="0" t="n">
        <v>211</v>
      </c>
      <c r="AJ352" s="0" t="n">
        <v>15</v>
      </c>
      <c r="AK352" s="0" t="n">
        <v>809</v>
      </c>
      <c r="AL352" s="0" t="n">
        <v>1</v>
      </c>
    </row>
    <row r="353">
      <c r="A353" s="0" t="inlineStr">
        <is>
          <t>[정자동]</t>
        </is>
      </c>
      <c r="B353" s="0" t="n">
        <v>3655</v>
      </c>
      <c r="C353" s="0" t="n">
        <v>2</v>
      </c>
      <c r="D353" s="0" t="inlineStr">
        <is>
          <t>북수원리버파크</t>
        </is>
      </c>
      <c r="E353" s="0" t="inlineStr">
        <is>
          <t>2002.10.</t>
        </is>
      </c>
      <c r="F353" s="0" t="n">
        <v>805</v>
      </c>
      <c r="G353" s="0" t="n">
        <v>24.73</v>
      </c>
      <c r="H353" s="0" t="n">
        <v>81.76000000000001</v>
      </c>
      <c r="I353" s="0" t="n">
        <v>18.12</v>
      </c>
      <c r="J353" s="0" t="n">
        <v>59.92</v>
      </c>
      <c r="K353" s="0" t="n">
        <v>674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81B</t>
        </is>
      </c>
      <c r="X353" s="0" t="n">
        <v>25</v>
      </c>
      <c r="Y353" s="0" t="n">
        <v>20</v>
      </c>
      <c r="Z353" s="0" t="inlineStr">
        <is>
          <t>https://new.land.naver.com/complexes/3655?tab=detail&amp;rf=Y</t>
        </is>
      </c>
      <c r="AA353" s="0" t="inlineStr">
        <is>
          <t>경기도 수원시 장안구 정자동 913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장안구</t>
        </is>
      </c>
      <c r="AE353" s="0" t="inlineStr">
        <is>
          <t>정자동</t>
        </is>
      </c>
      <c r="AG353" s="0" t="inlineStr">
        <is>
          <t>경기도 수원시 장안구 천천로74번길 35</t>
        </is>
      </c>
      <c r="AH353" s="0" t="n">
        <v>0</v>
      </c>
      <c r="AI353" s="0" t="n">
        <v>211</v>
      </c>
      <c r="AJ353" s="0" t="n">
        <v>15</v>
      </c>
      <c r="AK353" s="0" t="n">
        <v>809</v>
      </c>
      <c r="AL353" s="0" t="n">
        <v>1</v>
      </c>
    </row>
    <row r="354">
      <c r="A354" s="0" t="inlineStr">
        <is>
          <t>[정자동]</t>
        </is>
      </c>
      <c r="B354" s="0" t="n">
        <v>3655</v>
      </c>
      <c r="C354" s="0" t="n">
        <v>3</v>
      </c>
      <c r="D354" s="0" t="inlineStr">
        <is>
          <t>북수원리버파크</t>
        </is>
      </c>
      <c r="E354" s="0" t="inlineStr">
        <is>
          <t>2002.10.</t>
        </is>
      </c>
      <c r="F354" s="0" t="n">
        <v>805</v>
      </c>
      <c r="G354" s="0" t="n">
        <v>24.74</v>
      </c>
      <c r="H354" s="0" t="n">
        <v>81.79000000000001</v>
      </c>
      <c r="I354" s="0" t="n">
        <v>18.13</v>
      </c>
      <c r="J354" s="0" t="n">
        <v>59.94</v>
      </c>
      <c r="K354" s="0" t="n">
        <v>72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81C</t>
        </is>
      </c>
      <c r="X354" s="0" t="n">
        <v>25</v>
      </c>
      <c r="Y354" s="0" t="n">
        <v>20</v>
      </c>
      <c r="Z354" s="0" t="inlineStr">
        <is>
          <t>https://new.land.naver.com/complexes/3655?tab=detail&amp;rf=Y</t>
        </is>
      </c>
      <c r="AA354" s="0" t="inlineStr">
        <is>
          <t>경기도 수원시 장안구 정자동 913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장안구</t>
        </is>
      </c>
      <c r="AE354" s="0" t="inlineStr">
        <is>
          <t>정자동</t>
        </is>
      </c>
      <c r="AG354" s="0" t="inlineStr">
        <is>
          <t>경기도 수원시 장안구 천천로74번길 35</t>
        </is>
      </c>
      <c r="AH354" s="0" t="n">
        <v>0</v>
      </c>
      <c r="AI354" s="0" t="n">
        <v>211</v>
      </c>
      <c r="AJ354" s="0" t="n">
        <v>15</v>
      </c>
      <c r="AK354" s="0" t="n">
        <v>809</v>
      </c>
      <c r="AL354" s="0" t="n">
        <v>1</v>
      </c>
    </row>
    <row r="355">
      <c r="A355" s="0" t="inlineStr">
        <is>
          <t>[정자동]</t>
        </is>
      </c>
      <c r="B355" s="0" t="n">
        <v>122463</v>
      </c>
      <c r="C355" s="0" t="n">
        <v>1</v>
      </c>
      <c r="D355" s="0" t="inlineStr">
        <is>
          <t>상현재오렌지4259(도시형)</t>
        </is>
      </c>
      <c r="E355" s="0" t="inlineStr">
        <is>
          <t>2017.03.</t>
        </is>
      </c>
      <c r="F355" s="0" t="n">
        <v>16</v>
      </c>
      <c r="G355" s="0" t="n">
        <v>8.76</v>
      </c>
      <c r="H355" s="0" t="n">
        <v>28.99</v>
      </c>
      <c r="I355" s="0" t="n">
        <v>6.46</v>
      </c>
      <c r="J355" s="0" t="n">
        <v>21.37</v>
      </c>
      <c r="K355" s="0" t="n">
        <v>1</v>
      </c>
      <c r="T355" s="0" t="n">
        <v>1</v>
      </c>
      <c r="U355" s="0" t="n">
        <v>1</v>
      </c>
      <c r="V355" s="0" t="inlineStr">
        <is>
          <t>계단식</t>
        </is>
      </c>
      <c r="W355" s="0" t="n">
        <v>28</v>
      </c>
      <c r="X355" s="0" t="n">
        <v>5</v>
      </c>
      <c r="Y355" s="0" t="n">
        <v>5</v>
      </c>
      <c r="Z355" s="0" t="inlineStr">
        <is>
          <t>https://new.land.naver.com/complexes/122463?tab=detail&amp;rf=Y</t>
        </is>
      </c>
      <c r="AA355" s="0" t="inlineStr">
        <is>
          <t>경기도 수원시 장안구 정자동 42-59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장안구</t>
        </is>
      </c>
      <c r="AE355" s="0" t="inlineStr">
        <is>
          <t>정자동</t>
        </is>
      </c>
      <c r="AG355" s="0" t="inlineStr">
        <is>
          <t>경기도 수원시 장안구 장안로115번길 23</t>
        </is>
      </c>
      <c r="AH355" s="0" t="n">
        <v>16</v>
      </c>
      <c r="AI355" s="0" t="n">
        <v>226</v>
      </c>
      <c r="AJ355" s="0" t="n">
        <v>59</v>
      </c>
      <c r="AK355" s="0" t="n">
        <v>0</v>
      </c>
      <c r="AL355" s="0" t="n">
        <v>0</v>
      </c>
    </row>
    <row r="356">
      <c r="A356" s="0" t="inlineStr">
        <is>
          <t>[정자동]</t>
        </is>
      </c>
      <c r="B356" s="0" t="n">
        <v>122463</v>
      </c>
      <c r="C356" s="0" t="n">
        <v>2</v>
      </c>
      <c r="D356" s="0" t="inlineStr">
        <is>
          <t>상현재오렌지4259(도시형)</t>
        </is>
      </c>
      <c r="E356" s="0" t="inlineStr">
        <is>
          <t>2017.03.</t>
        </is>
      </c>
      <c r="F356" s="0" t="n">
        <v>16</v>
      </c>
      <c r="G356" s="0" t="n">
        <v>9.74</v>
      </c>
      <c r="H356" s="0" t="n">
        <v>32.22</v>
      </c>
      <c r="I356" s="0" t="n">
        <v>7.18</v>
      </c>
      <c r="J356" s="0" t="n">
        <v>23.75</v>
      </c>
      <c r="K356" s="0" t="n">
        <v>1</v>
      </c>
      <c r="T356" s="0" t="n">
        <v>1</v>
      </c>
      <c r="U356" s="0" t="n">
        <v>1</v>
      </c>
      <c r="V356" s="0" t="inlineStr">
        <is>
          <t>계단식</t>
        </is>
      </c>
      <c r="W356" s="0" t="inlineStr">
        <is>
          <t>32A</t>
        </is>
      </c>
      <c r="X356" s="0" t="n">
        <v>5</v>
      </c>
      <c r="Y356" s="0" t="n">
        <v>5</v>
      </c>
      <c r="Z356" s="0" t="inlineStr">
        <is>
          <t>https://new.land.naver.com/complexes/122463?tab=detail&amp;rf=Y</t>
        </is>
      </c>
      <c r="AA356" s="0" t="inlineStr">
        <is>
          <t>경기도 수원시 장안구 정자동 42-59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장안구</t>
        </is>
      </c>
      <c r="AE356" s="0" t="inlineStr">
        <is>
          <t>정자동</t>
        </is>
      </c>
      <c r="AG356" s="0" t="inlineStr">
        <is>
          <t>경기도 수원시 장안구 장안로115번길 23</t>
        </is>
      </c>
      <c r="AH356" s="0" t="n">
        <v>16</v>
      </c>
      <c r="AI356" s="0" t="n">
        <v>226</v>
      </c>
      <c r="AJ356" s="0" t="n">
        <v>59</v>
      </c>
      <c r="AK356" s="0" t="n">
        <v>0</v>
      </c>
      <c r="AL356" s="0" t="n">
        <v>0</v>
      </c>
    </row>
    <row r="357">
      <c r="A357" s="0" t="inlineStr">
        <is>
          <t>[정자동]</t>
        </is>
      </c>
      <c r="B357" s="0" t="n">
        <v>122463</v>
      </c>
      <c r="C357" s="0" t="n">
        <v>3</v>
      </c>
      <c r="D357" s="0" t="inlineStr">
        <is>
          <t>상현재오렌지4259(도시형)</t>
        </is>
      </c>
      <c r="E357" s="0" t="inlineStr">
        <is>
          <t>2017.03.</t>
        </is>
      </c>
      <c r="F357" s="0" t="n">
        <v>16</v>
      </c>
      <c r="G357" s="0" t="n">
        <v>10.39</v>
      </c>
      <c r="H357" s="0" t="n">
        <v>34.38</v>
      </c>
      <c r="I357" s="0" t="n">
        <v>7.66</v>
      </c>
      <c r="J357" s="0" t="n">
        <v>25.34</v>
      </c>
      <c r="K357" s="0" t="n">
        <v>1</v>
      </c>
      <c r="T357" s="0" t="n">
        <v>1</v>
      </c>
      <c r="U357" s="0" t="n">
        <v>1</v>
      </c>
      <c r="V357" s="0" t="inlineStr">
        <is>
          <t>계단식</t>
        </is>
      </c>
      <c r="W357" s="0" t="inlineStr">
        <is>
          <t>34B</t>
        </is>
      </c>
      <c r="X357" s="0" t="n">
        <v>5</v>
      </c>
      <c r="Y357" s="0" t="n">
        <v>5</v>
      </c>
      <c r="Z357" s="0" t="inlineStr">
        <is>
          <t>https://new.land.naver.com/complexes/122463?tab=detail&amp;rf=Y</t>
        </is>
      </c>
      <c r="AA357" s="0" t="inlineStr">
        <is>
          <t>경기도 수원시 장안구 정자동 42-59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장안구</t>
        </is>
      </c>
      <c r="AE357" s="0" t="inlineStr">
        <is>
          <t>정자동</t>
        </is>
      </c>
      <c r="AG357" s="0" t="inlineStr">
        <is>
          <t>경기도 수원시 장안구 장안로115번길 23</t>
        </is>
      </c>
      <c r="AH357" s="0" t="n">
        <v>16</v>
      </c>
      <c r="AI357" s="0" t="n">
        <v>226</v>
      </c>
      <c r="AJ357" s="0" t="n">
        <v>59</v>
      </c>
      <c r="AK357" s="0" t="n">
        <v>0</v>
      </c>
      <c r="AL357" s="0" t="n">
        <v>0</v>
      </c>
    </row>
    <row r="358">
      <c r="A358" s="0" t="inlineStr">
        <is>
          <t>[정자동]</t>
        </is>
      </c>
      <c r="B358" s="0" t="n">
        <v>122463</v>
      </c>
      <c r="C358" s="0" t="n">
        <v>4</v>
      </c>
      <c r="D358" s="0" t="inlineStr">
        <is>
          <t>상현재오렌지4259(도시형)</t>
        </is>
      </c>
      <c r="E358" s="0" t="inlineStr">
        <is>
          <t>2017.03.</t>
        </is>
      </c>
      <c r="F358" s="0" t="n">
        <v>16</v>
      </c>
      <c r="G358" s="0" t="n">
        <v>11.35</v>
      </c>
      <c r="H358" s="0" t="n">
        <v>37.54</v>
      </c>
      <c r="I358" s="0" t="n">
        <v>8.369999999999999</v>
      </c>
      <c r="J358" s="0" t="n">
        <v>27.67</v>
      </c>
      <c r="K358" s="0" t="n">
        <v>5</v>
      </c>
      <c r="T358" s="0" t="n">
        <v>1</v>
      </c>
      <c r="U358" s="0" t="n">
        <v>1</v>
      </c>
      <c r="V358" s="0" t="inlineStr">
        <is>
          <t>계단식</t>
        </is>
      </c>
      <c r="W358" s="0" t="inlineStr">
        <is>
          <t>37B</t>
        </is>
      </c>
      <c r="X358" s="0" t="n">
        <v>5</v>
      </c>
      <c r="Y358" s="0" t="n">
        <v>5</v>
      </c>
      <c r="Z358" s="0" t="inlineStr">
        <is>
          <t>https://new.land.naver.com/complexes/122463?tab=detail&amp;rf=Y</t>
        </is>
      </c>
      <c r="AA358" s="0" t="inlineStr">
        <is>
          <t>경기도 수원시 장안구 정자동 42-59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장안구</t>
        </is>
      </c>
      <c r="AE358" s="0" t="inlineStr">
        <is>
          <t>정자동</t>
        </is>
      </c>
      <c r="AG358" s="0" t="inlineStr">
        <is>
          <t>경기도 수원시 장안구 장안로115번길 23</t>
        </is>
      </c>
      <c r="AH358" s="0" t="n">
        <v>16</v>
      </c>
      <c r="AI358" s="0" t="n">
        <v>226</v>
      </c>
      <c r="AJ358" s="0" t="n">
        <v>59</v>
      </c>
      <c r="AK358" s="0" t="n">
        <v>0</v>
      </c>
      <c r="AL358" s="0" t="n">
        <v>0</v>
      </c>
    </row>
    <row r="359">
      <c r="A359" s="0" t="inlineStr">
        <is>
          <t>[정자동]</t>
        </is>
      </c>
      <c r="B359" s="0" t="n">
        <v>122463</v>
      </c>
      <c r="C359" s="0" t="n">
        <v>5</v>
      </c>
      <c r="D359" s="0" t="inlineStr">
        <is>
          <t>상현재오렌지4259(도시형)</t>
        </is>
      </c>
      <c r="E359" s="0" t="inlineStr">
        <is>
          <t>2017.03.</t>
        </is>
      </c>
      <c r="F359" s="0" t="n">
        <v>16</v>
      </c>
      <c r="G359" s="0" t="n">
        <v>11.32</v>
      </c>
      <c r="H359" s="0" t="n">
        <v>37.43</v>
      </c>
      <c r="I359" s="0" t="n">
        <v>8.34</v>
      </c>
      <c r="J359" s="0" t="n">
        <v>27.59</v>
      </c>
      <c r="K359" s="0" t="n">
        <v>1</v>
      </c>
      <c r="T359" s="0" t="n">
        <v>1</v>
      </c>
      <c r="U359" s="0" t="n">
        <v>1</v>
      </c>
      <c r="V359" s="0" t="inlineStr">
        <is>
          <t>계단식</t>
        </is>
      </c>
      <c r="W359" s="0" t="inlineStr">
        <is>
          <t>37A</t>
        </is>
      </c>
      <c r="X359" s="0" t="n">
        <v>5</v>
      </c>
      <c r="Y359" s="0" t="n">
        <v>5</v>
      </c>
      <c r="Z359" s="0" t="inlineStr">
        <is>
          <t>https://new.land.naver.com/complexes/122463?tab=detail&amp;rf=Y</t>
        </is>
      </c>
      <c r="AA359" s="0" t="inlineStr">
        <is>
          <t>경기도 수원시 장안구 정자동 42-59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장안구</t>
        </is>
      </c>
      <c r="AE359" s="0" t="inlineStr">
        <is>
          <t>정자동</t>
        </is>
      </c>
      <c r="AG359" s="0" t="inlineStr">
        <is>
          <t>경기도 수원시 장안구 장안로115번길 23</t>
        </is>
      </c>
      <c r="AH359" s="0" t="n">
        <v>16</v>
      </c>
      <c r="AI359" s="0" t="n">
        <v>226</v>
      </c>
      <c r="AJ359" s="0" t="n">
        <v>59</v>
      </c>
      <c r="AK359" s="0" t="n">
        <v>0</v>
      </c>
      <c r="AL359" s="0" t="n">
        <v>0</v>
      </c>
    </row>
    <row r="360">
      <c r="A360" s="0" t="inlineStr">
        <is>
          <t>[정자동]</t>
        </is>
      </c>
      <c r="B360" s="0" t="n">
        <v>122463</v>
      </c>
      <c r="C360" s="0" t="n">
        <v>6</v>
      </c>
      <c r="D360" s="0" t="inlineStr">
        <is>
          <t>상현재오렌지4259(도시형)</t>
        </is>
      </c>
      <c r="E360" s="0" t="inlineStr">
        <is>
          <t>2017.03.</t>
        </is>
      </c>
      <c r="F360" s="0" t="n">
        <v>16</v>
      </c>
      <c r="G360" s="0" t="n">
        <v>11.38</v>
      </c>
      <c r="H360" s="0" t="n">
        <v>37.62</v>
      </c>
      <c r="I360" s="0" t="n">
        <v>8.380000000000001</v>
      </c>
      <c r="J360" s="0" t="n">
        <v>27.73</v>
      </c>
      <c r="K360" s="0" t="n">
        <v>1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37C</t>
        </is>
      </c>
      <c r="X360" s="0" t="n">
        <v>5</v>
      </c>
      <c r="Y360" s="0" t="n">
        <v>5</v>
      </c>
      <c r="Z360" s="0" t="inlineStr">
        <is>
          <t>https://new.land.naver.com/complexes/122463?tab=detail&amp;rf=Y</t>
        </is>
      </c>
      <c r="AA360" s="0" t="inlineStr">
        <is>
          <t>경기도 수원시 장안구 정자동 42-59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장안구</t>
        </is>
      </c>
      <c r="AE360" s="0" t="inlineStr">
        <is>
          <t>정자동</t>
        </is>
      </c>
      <c r="AG360" s="0" t="inlineStr">
        <is>
          <t>경기도 수원시 장안구 장안로115번길 23</t>
        </is>
      </c>
      <c r="AH360" s="0" t="n">
        <v>16</v>
      </c>
      <c r="AI360" s="0" t="n">
        <v>226</v>
      </c>
      <c r="AJ360" s="0" t="n">
        <v>59</v>
      </c>
      <c r="AK360" s="0" t="n">
        <v>0</v>
      </c>
      <c r="AL360" s="0" t="n">
        <v>0</v>
      </c>
    </row>
    <row r="361">
      <c r="A361" s="0" t="inlineStr">
        <is>
          <t>[정자동]</t>
        </is>
      </c>
      <c r="B361" s="0" t="n">
        <v>122463</v>
      </c>
      <c r="C361" s="0" t="n">
        <v>7</v>
      </c>
      <c r="D361" s="0" t="inlineStr">
        <is>
          <t>상현재오렌지4259(도시형)</t>
        </is>
      </c>
      <c r="E361" s="0" t="inlineStr">
        <is>
          <t>2017.03.</t>
        </is>
      </c>
      <c r="F361" s="0" t="n">
        <v>16</v>
      </c>
      <c r="G361" s="0" t="n">
        <v>11.93</v>
      </c>
      <c r="H361" s="0" t="n">
        <v>39.45</v>
      </c>
      <c r="I361" s="0" t="n">
        <v>8.789999999999999</v>
      </c>
      <c r="J361" s="0" t="n">
        <v>29.08</v>
      </c>
      <c r="K361" s="0" t="n">
        <v>2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39A</t>
        </is>
      </c>
      <c r="X361" s="0" t="n">
        <v>5</v>
      </c>
      <c r="Y361" s="0" t="n">
        <v>5</v>
      </c>
      <c r="Z361" s="0" t="inlineStr">
        <is>
          <t>https://new.land.naver.com/complexes/122463?tab=detail&amp;rf=Y</t>
        </is>
      </c>
      <c r="AA361" s="0" t="inlineStr">
        <is>
          <t>경기도 수원시 장안구 정자동 42-59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장안구</t>
        </is>
      </c>
      <c r="AE361" s="0" t="inlineStr">
        <is>
          <t>정자동</t>
        </is>
      </c>
      <c r="AG361" s="0" t="inlineStr">
        <is>
          <t>경기도 수원시 장안구 장안로115번길 23</t>
        </is>
      </c>
      <c r="AH361" s="0" t="n">
        <v>16</v>
      </c>
      <c r="AI361" s="0" t="n">
        <v>226</v>
      </c>
      <c r="AJ361" s="0" t="n">
        <v>59</v>
      </c>
      <c r="AK361" s="0" t="n">
        <v>0</v>
      </c>
      <c r="AL361" s="0" t="n">
        <v>0</v>
      </c>
    </row>
    <row r="362">
      <c r="A362" s="0" t="inlineStr">
        <is>
          <t>[정자동]</t>
        </is>
      </c>
      <c r="B362" s="0" t="n">
        <v>122463</v>
      </c>
      <c r="C362" s="0" t="n">
        <v>8</v>
      </c>
      <c r="D362" s="0" t="inlineStr">
        <is>
          <t>상현재오렌지4259(도시형)</t>
        </is>
      </c>
      <c r="E362" s="0" t="inlineStr">
        <is>
          <t>2017.03.</t>
        </is>
      </c>
      <c r="F362" s="0" t="n">
        <v>16</v>
      </c>
      <c r="G362" s="0" t="n">
        <v>12.06</v>
      </c>
      <c r="H362" s="0" t="n">
        <v>39.87</v>
      </c>
      <c r="I362" s="0" t="n">
        <v>8.890000000000001</v>
      </c>
      <c r="J362" s="0" t="n">
        <v>29.39</v>
      </c>
      <c r="K362" s="0" t="n">
        <v>1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39B</t>
        </is>
      </c>
      <c r="X362" s="0" t="n">
        <v>5</v>
      </c>
      <c r="Y362" s="0" t="n">
        <v>5</v>
      </c>
      <c r="Z362" s="0" t="inlineStr">
        <is>
          <t>https://new.land.naver.com/complexes/122463?tab=detail&amp;rf=Y</t>
        </is>
      </c>
      <c r="AA362" s="0" t="inlineStr">
        <is>
          <t>경기도 수원시 장안구 정자동 42-59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장안구</t>
        </is>
      </c>
      <c r="AE362" s="0" t="inlineStr">
        <is>
          <t>정자동</t>
        </is>
      </c>
      <c r="AG362" s="0" t="inlineStr">
        <is>
          <t>경기도 수원시 장안구 장안로115번길 23</t>
        </is>
      </c>
      <c r="AH362" s="0" t="n">
        <v>16</v>
      </c>
      <c r="AI362" s="0" t="n">
        <v>226</v>
      </c>
      <c r="AJ362" s="0" t="n">
        <v>59</v>
      </c>
      <c r="AK362" s="0" t="n">
        <v>0</v>
      </c>
      <c r="AL362" s="0" t="n">
        <v>0</v>
      </c>
    </row>
    <row r="363">
      <c r="A363" s="0" t="inlineStr">
        <is>
          <t>[정자동]</t>
        </is>
      </c>
      <c r="B363" s="0" t="n">
        <v>122463</v>
      </c>
      <c r="C363" s="0" t="n">
        <v>9</v>
      </c>
      <c r="D363" s="0" t="inlineStr">
        <is>
          <t>상현재오렌지4259(도시형)</t>
        </is>
      </c>
      <c r="E363" s="0" t="inlineStr">
        <is>
          <t>2017.03.</t>
        </is>
      </c>
      <c r="F363" s="0" t="n">
        <v>16</v>
      </c>
      <c r="G363" s="0" t="n">
        <v>12.25</v>
      </c>
      <c r="H363" s="0" t="n">
        <v>40.51</v>
      </c>
      <c r="I363" s="0" t="n">
        <v>9.029999999999999</v>
      </c>
      <c r="J363" s="0" t="n">
        <v>29.86</v>
      </c>
      <c r="K363" s="0" t="n">
        <v>2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40D</t>
        </is>
      </c>
      <c r="X363" s="0" t="n">
        <v>5</v>
      </c>
      <c r="Y363" s="0" t="n">
        <v>5</v>
      </c>
      <c r="Z363" s="0" t="inlineStr">
        <is>
          <t>https://new.land.naver.com/complexes/122463?tab=detail&amp;rf=Y</t>
        </is>
      </c>
      <c r="AA363" s="0" t="inlineStr">
        <is>
          <t>경기도 수원시 장안구 정자동 42-59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장안구</t>
        </is>
      </c>
      <c r="AE363" s="0" t="inlineStr">
        <is>
          <t>정자동</t>
        </is>
      </c>
      <c r="AG363" s="0" t="inlineStr">
        <is>
          <t>경기도 수원시 장안구 장안로115번길 23</t>
        </is>
      </c>
      <c r="AH363" s="0" t="n">
        <v>16</v>
      </c>
      <c r="AI363" s="0" t="n">
        <v>226</v>
      </c>
      <c r="AJ363" s="0" t="n">
        <v>59</v>
      </c>
      <c r="AK363" s="0" t="n">
        <v>0</v>
      </c>
      <c r="AL363" s="0" t="n">
        <v>0</v>
      </c>
    </row>
    <row r="364">
      <c r="A364" s="0" t="inlineStr">
        <is>
          <t>[정자동]</t>
        </is>
      </c>
      <c r="B364" s="0" t="n">
        <v>122463</v>
      </c>
      <c r="C364" s="0" t="n">
        <v>10</v>
      </c>
      <c r="D364" s="0" t="inlineStr">
        <is>
          <t>상현재오렌지4259(도시형)</t>
        </is>
      </c>
      <c r="E364" s="0" t="inlineStr">
        <is>
          <t>2017.03.</t>
        </is>
      </c>
      <c r="F364" s="0" t="n">
        <v>16</v>
      </c>
      <c r="G364" s="0" t="n">
        <v>12.17</v>
      </c>
      <c r="H364" s="0" t="n">
        <v>40.25</v>
      </c>
      <c r="I364" s="0" t="n">
        <v>8.970000000000001</v>
      </c>
      <c r="J364" s="0" t="n">
        <v>29.67</v>
      </c>
      <c r="K364" s="0" t="n">
        <v>1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40C</t>
        </is>
      </c>
      <c r="X364" s="0" t="n">
        <v>5</v>
      </c>
      <c r="Y364" s="0" t="n">
        <v>5</v>
      </c>
      <c r="Z364" s="0" t="inlineStr">
        <is>
          <t>https://new.land.naver.com/complexes/122463?tab=detail&amp;rf=Y</t>
        </is>
      </c>
      <c r="AA364" s="0" t="inlineStr">
        <is>
          <t>경기도 수원시 장안구 정자동 42-59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장안구</t>
        </is>
      </c>
      <c r="AE364" s="0" t="inlineStr">
        <is>
          <t>정자동</t>
        </is>
      </c>
      <c r="AG364" s="0" t="inlineStr">
        <is>
          <t>경기도 수원시 장안구 장안로115번길 23</t>
        </is>
      </c>
      <c r="AH364" s="0" t="n">
        <v>16</v>
      </c>
      <c r="AI364" s="0" t="n">
        <v>226</v>
      </c>
      <c r="AJ364" s="0" t="n">
        <v>59</v>
      </c>
      <c r="AK364" s="0" t="n">
        <v>0</v>
      </c>
      <c r="AL364" s="0" t="n">
        <v>0</v>
      </c>
    </row>
    <row r="365">
      <c r="A365" s="0" t="inlineStr">
        <is>
          <t>[정자동]</t>
        </is>
      </c>
      <c r="B365" s="0" t="n">
        <v>2706</v>
      </c>
      <c r="C365" s="0" t="n">
        <v>1</v>
      </c>
      <c r="D365" s="0" t="inlineStr">
        <is>
          <t>송학</t>
        </is>
      </c>
      <c r="E365" s="0" t="inlineStr">
        <is>
          <t>1982.10.</t>
        </is>
      </c>
      <c r="F365" s="0" t="n">
        <v>138</v>
      </c>
      <c r="G365" s="0" t="n">
        <v>13</v>
      </c>
      <c r="H365" s="0" t="n">
        <v>42.98</v>
      </c>
      <c r="I365" s="0" t="n">
        <v>9.6</v>
      </c>
      <c r="J365" s="0" t="n">
        <v>31.74</v>
      </c>
      <c r="K365" s="0" t="n">
        <v>114</v>
      </c>
      <c r="T365" s="0" t="n">
        <v>2</v>
      </c>
      <c r="U365" s="0" t="n">
        <v>1</v>
      </c>
      <c r="V365" s="0" t="inlineStr">
        <is>
          <t>복도식</t>
        </is>
      </c>
      <c r="W365" s="0" t="n">
        <v>42</v>
      </c>
      <c r="X365" s="0" t="n">
        <v>6</v>
      </c>
      <c r="Y365" s="0" t="n">
        <v>6</v>
      </c>
      <c r="Z365" s="0" t="inlineStr">
        <is>
          <t>https://new.land.naver.com/complexes/2706?tab=detail&amp;rf=Y</t>
        </is>
      </c>
      <c r="AA365" s="0" t="inlineStr">
        <is>
          <t>경기도 수원시 장안구 정자동 36-23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장안구</t>
        </is>
      </c>
      <c r="AE365" s="0" t="inlineStr">
        <is>
          <t>정자동</t>
        </is>
      </c>
      <c r="AG365" s="0" t="inlineStr">
        <is>
          <t>경기도 수원시 장안구 송정로 82</t>
        </is>
      </c>
      <c r="AH365" s="0" t="n">
        <v>0</v>
      </c>
      <c r="AI365" s="0" t="n">
        <v>232</v>
      </c>
      <c r="AJ365" s="0" t="n">
        <v>47</v>
      </c>
      <c r="AK365" s="0" t="n">
        <v>0</v>
      </c>
      <c r="AL365" s="0" t="n">
        <v>0</v>
      </c>
    </row>
    <row r="366">
      <c r="A366" s="0" t="inlineStr">
        <is>
          <t>[정자동]</t>
        </is>
      </c>
      <c r="B366" s="0" t="n">
        <v>2706</v>
      </c>
      <c r="C366" s="0" t="n">
        <v>2</v>
      </c>
      <c r="D366" s="0" t="inlineStr">
        <is>
          <t>송학</t>
        </is>
      </c>
      <c r="E366" s="0" t="inlineStr">
        <is>
          <t>1982.10.</t>
        </is>
      </c>
      <c r="F366" s="0" t="n">
        <v>138</v>
      </c>
      <c r="G366" s="0" t="n">
        <v>22</v>
      </c>
      <c r="H366" s="0" t="n">
        <v>72.73</v>
      </c>
      <c r="I366" s="0" t="n">
        <v>18.17</v>
      </c>
      <c r="J366" s="0" t="n">
        <v>60.07</v>
      </c>
      <c r="K366" s="0" t="n">
        <v>18</v>
      </c>
      <c r="T366" s="0" t="n">
        <v>2</v>
      </c>
      <c r="U366" s="0" t="n">
        <v>1</v>
      </c>
      <c r="V366" s="0" t="inlineStr">
        <is>
          <t>복도식</t>
        </is>
      </c>
      <c r="W366" s="0" t="n">
        <v>72</v>
      </c>
      <c r="X366" s="0" t="n">
        <v>6</v>
      </c>
      <c r="Y366" s="0" t="n">
        <v>6</v>
      </c>
      <c r="Z366" s="0" t="inlineStr">
        <is>
          <t>https://new.land.naver.com/complexes/2706?tab=detail&amp;rf=Y</t>
        </is>
      </c>
      <c r="AA366" s="0" t="inlineStr">
        <is>
          <t>경기도 수원시 장안구 정자동 36-23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장안구</t>
        </is>
      </c>
      <c r="AE366" s="0" t="inlineStr">
        <is>
          <t>정자동</t>
        </is>
      </c>
      <c r="AG366" s="0" t="inlineStr">
        <is>
          <t>경기도 수원시 장안구 송정로 82</t>
        </is>
      </c>
      <c r="AH366" s="0" t="n">
        <v>0</v>
      </c>
      <c r="AI366" s="0" t="n">
        <v>232</v>
      </c>
      <c r="AJ366" s="0" t="n">
        <v>47</v>
      </c>
      <c r="AK366" s="0" t="n">
        <v>0</v>
      </c>
      <c r="AL366" s="0" t="n">
        <v>0</v>
      </c>
    </row>
    <row r="367">
      <c r="A367" s="0" t="inlineStr">
        <is>
          <t>[정자동]</t>
        </is>
      </c>
      <c r="B367" s="0" t="n">
        <v>2706</v>
      </c>
      <c r="C367" s="0" t="n">
        <v>3</v>
      </c>
      <c r="D367" s="0" t="inlineStr">
        <is>
          <t>송학</t>
        </is>
      </c>
      <c r="E367" s="0" t="inlineStr">
        <is>
          <t>1982.10.</t>
        </is>
      </c>
      <c r="F367" s="0" t="n">
        <v>138</v>
      </c>
      <c r="G367" s="0" t="n">
        <v>25.99</v>
      </c>
      <c r="H367" s="0" t="n">
        <v>85.95</v>
      </c>
      <c r="I367" s="0" t="n">
        <v>22.66</v>
      </c>
      <c r="J367" s="0" t="n">
        <v>74.91</v>
      </c>
      <c r="K367" s="0" t="n">
        <v>6</v>
      </c>
      <c r="T367" s="0" t="n">
        <v>3</v>
      </c>
      <c r="U367" s="0" t="n">
        <v>1</v>
      </c>
      <c r="V367" s="0" t="inlineStr">
        <is>
          <t>복도식</t>
        </is>
      </c>
      <c r="W367" s="0" t="n">
        <v>85</v>
      </c>
      <c r="X367" s="0" t="n">
        <v>6</v>
      </c>
      <c r="Y367" s="0" t="n">
        <v>6</v>
      </c>
      <c r="Z367" s="0" t="inlineStr">
        <is>
          <t>https://new.land.naver.com/complexes/2706?tab=detail&amp;rf=Y</t>
        </is>
      </c>
      <c r="AA367" s="0" t="inlineStr">
        <is>
          <t>경기도 수원시 장안구 정자동 36-23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장안구</t>
        </is>
      </c>
      <c r="AE367" s="0" t="inlineStr">
        <is>
          <t>정자동</t>
        </is>
      </c>
      <c r="AG367" s="0" t="inlineStr">
        <is>
          <t>경기도 수원시 장안구 송정로 82</t>
        </is>
      </c>
      <c r="AH367" s="0" t="n">
        <v>0</v>
      </c>
      <c r="AI367" s="0" t="n">
        <v>232</v>
      </c>
      <c r="AJ367" s="0" t="n">
        <v>47</v>
      </c>
      <c r="AK367" s="0" t="n">
        <v>0</v>
      </c>
      <c r="AL367" s="0" t="n">
        <v>0</v>
      </c>
    </row>
    <row r="368">
      <c r="A368" s="0" t="inlineStr">
        <is>
          <t>[정자동]</t>
        </is>
      </c>
      <c r="B368" s="0" t="n">
        <v>2710</v>
      </c>
      <c r="C368" s="0" t="n">
        <v>1</v>
      </c>
      <c r="D368" s="0" t="inlineStr">
        <is>
          <t>연꽃마을풍림</t>
        </is>
      </c>
      <c r="E368" s="0" t="inlineStr">
        <is>
          <t>1999.11.</t>
        </is>
      </c>
      <c r="F368" s="0" t="n">
        <v>792</v>
      </c>
      <c r="G368" s="0" t="n">
        <v>37.22</v>
      </c>
      <c r="H368" s="0" t="n">
        <v>123.05</v>
      </c>
      <c r="I368" s="0" t="n">
        <v>30</v>
      </c>
      <c r="J368" s="0" t="n">
        <v>99.18000000000001</v>
      </c>
      <c r="K368" s="0" t="n">
        <v>350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123</v>
      </c>
      <c r="X368" s="0" t="n">
        <v>21</v>
      </c>
      <c r="Y368" s="0" t="n">
        <v>16</v>
      </c>
      <c r="Z368" s="0" t="inlineStr">
        <is>
          <t>https://new.land.naver.com/complexes/2710?tab=detail&amp;rf=Y</t>
        </is>
      </c>
      <c r="AA368" s="0" t="inlineStr">
        <is>
          <t>경기도 수원시 장안구 정자동 872-1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장안구</t>
        </is>
      </c>
      <c r="AE368" s="0" t="inlineStr">
        <is>
          <t>정자동</t>
        </is>
      </c>
      <c r="AG368" s="0" t="inlineStr">
        <is>
          <t>경기도 수원시 장안구 정자천로189번길 47</t>
        </is>
      </c>
      <c r="AH368" s="0" t="n">
        <v>0</v>
      </c>
      <c r="AI368" s="0" t="n">
        <v>238</v>
      </c>
      <c r="AJ368" s="0" t="n">
        <v>18</v>
      </c>
      <c r="AK368" s="0" t="n">
        <v>1309</v>
      </c>
      <c r="AL368" s="0" t="n">
        <v>1.65</v>
      </c>
    </row>
    <row r="369">
      <c r="A369" s="0" t="inlineStr">
        <is>
          <t>[정자동]</t>
        </is>
      </c>
      <c r="B369" s="0" t="n">
        <v>2710</v>
      </c>
      <c r="C369" s="0" t="n">
        <v>2</v>
      </c>
      <c r="D369" s="0" t="inlineStr">
        <is>
          <t>연꽃마을풍림</t>
        </is>
      </c>
      <c r="E369" s="0" t="inlineStr">
        <is>
          <t>1999.11.</t>
        </is>
      </c>
      <c r="F369" s="0" t="n">
        <v>792</v>
      </c>
      <c r="G369" s="0" t="n">
        <v>47.72</v>
      </c>
      <c r="H369" s="0" t="n">
        <v>157.77</v>
      </c>
      <c r="I369" s="0" t="n">
        <v>38.46</v>
      </c>
      <c r="J369" s="0" t="n">
        <v>127.17</v>
      </c>
      <c r="K369" s="0" t="n">
        <v>442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157</v>
      </c>
      <c r="X369" s="0" t="n">
        <v>21</v>
      </c>
      <c r="Y369" s="0" t="n">
        <v>16</v>
      </c>
      <c r="Z369" s="0" t="inlineStr">
        <is>
          <t>https://new.land.naver.com/complexes/2710?tab=detail&amp;rf=Y</t>
        </is>
      </c>
      <c r="AA369" s="0" t="inlineStr">
        <is>
          <t>경기도 수원시 장안구 정자동 872-1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장안구</t>
        </is>
      </c>
      <c r="AE369" s="0" t="inlineStr">
        <is>
          <t>정자동</t>
        </is>
      </c>
      <c r="AG369" s="0" t="inlineStr">
        <is>
          <t>경기도 수원시 장안구 정자천로189번길 47</t>
        </is>
      </c>
      <c r="AH369" s="0" t="n">
        <v>0</v>
      </c>
      <c r="AI369" s="0" t="n">
        <v>238</v>
      </c>
      <c r="AJ369" s="0" t="n">
        <v>18</v>
      </c>
      <c r="AK369" s="0" t="n">
        <v>1309</v>
      </c>
      <c r="AL369" s="0" t="n">
        <v>1.65</v>
      </c>
    </row>
    <row r="370">
      <c r="A370" s="0" t="inlineStr">
        <is>
          <t>[정자동]</t>
        </is>
      </c>
      <c r="B370" s="0" t="n">
        <v>8209</v>
      </c>
      <c r="C370" s="0" t="n">
        <v>1</v>
      </c>
      <c r="D370" s="0" t="inlineStr">
        <is>
          <t>현대</t>
        </is>
      </c>
      <c r="E370" s="0" t="inlineStr">
        <is>
          <t>1989.12.</t>
        </is>
      </c>
      <c r="F370" s="0" t="n">
        <v>227</v>
      </c>
      <c r="G370" s="0" t="n">
        <v>24.45</v>
      </c>
      <c r="H370" s="0" t="n">
        <v>80.84</v>
      </c>
      <c r="I370" s="0" t="n">
        <v>18.95</v>
      </c>
      <c r="J370" s="0" t="n">
        <v>62.67</v>
      </c>
      <c r="K370" s="0" t="n">
        <v>19</v>
      </c>
      <c r="T370" s="0" t="n">
        <v>2</v>
      </c>
      <c r="U370" s="0" t="n">
        <v>1</v>
      </c>
      <c r="V370" s="0" t="inlineStr">
        <is>
          <t>복도식</t>
        </is>
      </c>
      <c r="W370" s="0" t="n">
        <v>80</v>
      </c>
      <c r="X370" s="0" t="n">
        <v>10</v>
      </c>
      <c r="Y370" s="0" t="n">
        <v>9</v>
      </c>
      <c r="Z370" s="0" t="inlineStr">
        <is>
          <t>https://new.land.naver.com/complexes/8209?tab=detail&amp;rf=Y</t>
        </is>
      </c>
      <c r="AA370" s="0" t="inlineStr">
        <is>
          <t>경기도 수원시 장안구 정자동 30-1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장안구</t>
        </is>
      </c>
      <c r="AE370" s="0" t="inlineStr">
        <is>
          <t>정자동</t>
        </is>
      </c>
      <c r="AG370" s="0" t="inlineStr">
        <is>
          <t>경기도 수원시 장안구 정자천로188번길 71-21</t>
        </is>
      </c>
      <c r="AH370" s="0" t="n">
        <v>0</v>
      </c>
      <c r="AI370" s="0" t="n">
        <v>198</v>
      </c>
      <c r="AJ370" s="0" t="n">
        <v>22</v>
      </c>
      <c r="AK370" s="0" t="n">
        <v>195</v>
      </c>
      <c r="AL370" s="0" t="n">
        <v>0.86</v>
      </c>
    </row>
    <row r="371">
      <c r="A371" s="0" t="inlineStr">
        <is>
          <t>[정자동]</t>
        </is>
      </c>
      <c r="B371" s="0" t="n">
        <v>8209</v>
      </c>
      <c r="C371" s="0" t="n">
        <v>2</v>
      </c>
      <c r="D371" s="0" t="inlineStr">
        <is>
          <t>현대</t>
        </is>
      </c>
      <c r="E371" s="0" t="inlineStr">
        <is>
          <t>1989.12.</t>
        </is>
      </c>
      <c r="F371" s="0" t="n">
        <v>227</v>
      </c>
      <c r="G371" s="0" t="n">
        <v>27.69</v>
      </c>
      <c r="H371" s="0" t="n">
        <v>91.55</v>
      </c>
      <c r="I371" s="0" t="n">
        <v>21.46</v>
      </c>
      <c r="J371" s="0" t="n">
        <v>70.95999999999999</v>
      </c>
      <c r="K371" s="0" t="n">
        <v>60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91</v>
      </c>
      <c r="X371" s="0" t="n">
        <v>10</v>
      </c>
      <c r="Y371" s="0" t="n">
        <v>9</v>
      </c>
      <c r="Z371" s="0" t="inlineStr">
        <is>
          <t>https://new.land.naver.com/complexes/8209?tab=detail&amp;rf=Y</t>
        </is>
      </c>
      <c r="AA371" s="0" t="inlineStr">
        <is>
          <t>경기도 수원시 장안구 정자동 30-1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장안구</t>
        </is>
      </c>
      <c r="AE371" s="0" t="inlineStr">
        <is>
          <t>정자동</t>
        </is>
      </c>
      <c r="AG371" s="0" t="inlineStr">
        <is>
          <t>경기도 수원시 장안구 정자천로188번길 71-21</t>
        </is>
      </c>
      <c r="AH371" s="0" t="n">
        <v>0</v>
      </c>
      <c r="AI371" s="0" t="n">
        <v>198</v>
      </c>
      <c r="AJ371" s="0" t="n">
        <v>22</v>
      </c>
      <c r="AK371" s="0" t="n">
        <v>195</v>
      </c>
      <c r="AL371" s="0" t="n">
        <v>0.86</v>
      </c>
    </row>
    <row r="372">
      <c r="A372" s="0" t="inlineStr">
        <is>
          <t>[정자동]</t>
        </is>
      </c>
      <c r="B372" s="0" t="n">
        <v>8209</v>
      </c>
      <c r="C372" s="0" t="n">
        <v>3</v>
      </c>
      <c r="D372" s="0" t="inlineStr">
        <is>
          <t>현대</t>
        </is>
      </c>
      <c r="E372" s="0" t="inlineStr">
        <is>
          <t>1989.12.</t>
        </is>
      </c>
      <c r="F372" s="0" t="n">
        <v>227</v>
      </c>
      <c r="G372" s="0" t="n">
        <v>31.7</v>
      </c>
      <c r="H372" s="0" t="n">
        <v>104.81</v>
      </c>
      <c r="I372" s="0" t="n">
        <v>25.57</v>
      </c>
      <c r="J372" s="0" t="n">
        <v>84.53</v>
      </c>
      <c r="K372" s="0" t="n">
        <v>20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104B</t>
        </is>
      </c>
      <c r="X372" s="0" t="n">
        <v>10</v>
      </c>
      <c r="Y372" s="0" t="n">
        <v>9</v>
      </c>
      <c r="Z372" s="0" t="inlineStr">
        <is>
          <t>https://new.land.naver.com/complexes/8209?tab=detail&amp;rf=Y</t>
        </is>
      </c>
      <c r="AA372" s="0" t="inlineStr">
        <is>
          <t>경기도 수원시 장안구 정자동 30-1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장안구</t>
        </is>
      </c>
      <c r="AE372" s="0" t="inlineStr">
        <is>
          <t>정자동</t>
        </is>
      </c>
      <c r="AG372" s="0" t="inlineStr">
        <is>
          <t>경기도 수원시 장안구 정자천로188번길 71-21</t>
        </is>
      </c>
      <c r="AH372" s="0" t="n">
        <v>0</v>
      </c>
      <c r="AI372" s="0" t="n">
        <v>198</v>
      </c>
      <c r="AJ372" s="0" t="n">
        <v>22</v>
      </c>
      <c r="AK372" s="0" t="n">
        <v>195</v>
      </c>
      <c r="AL372" s="0" t="n">
        <v>0.86</v>
      </c>
    </row>
    <row r="373">
      <c r="A373" s="0" t="inlineStr">
        <is>
          <t>[정자동]</t>
        </is>
      </c>
      <c r="B373" s="0" t="n">
        <v>8209</v>
      </c>
      <c r="C373" s="0" t="n">
        <v>4</v>
      </c>
      <c r="D373" s="0" t="inlineStr">
        <is>
          <t>현대</t>
        </is>
      </c>
      <c r="E373" s="0" t="inlineStr">
        <is>
          <t>1989.12.</t>
        </is>
      </c>
      <c r="F373" s="0" t="n">
        <v>227</v>
      </c>
      <c r="G373" s="0" t="n">
        <v>31.85</v>
      </c>
      <c r="H373" s="0" t="n">
        <v>105.32</v>
      </c>
      <c r="I373" s="0" t="n">
        <v>25.69</v>
      </c>
      <c r="J373" s="0" t="n">
        <v>84.94</v>
      </c>
      <c r="K373" s="0" t="n">
        <v>118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105A</t>
        </is>
      </c>
      <c r="X373" s="0" t="n">
        <v>10</v>
      </c>
      <c r="Y373" s="0" t="n">
        <v>9</v>
      </c>
      <c r="Z373" s="0" t="inlineStr">
        <is>
          <t>https://new.land.naver.com/complexes/8209?tab=detail&amp;rf=Y</t>
        </is>
      </c>
      <c r="AA373" s="0" t="inlineStr">
        <is>
          <t>경기도 수원시 장안구 정자동 30-1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장안구</t>
        </is>
      </c>
      <c r="AE373" s="0" t="inlineStr">
        <is>
          <t>정자동</t>
        </is>
      </c>
      <c r="AG373" s="0" t="inlineStr">
        <is>
          <t>경기도 수원시 장안구 정자천로188번길 71-21</t>
        </is>
      </c>
      <c r="AH373" s="0" t="n">
        <v>0</v>
      </c>
      <c r="AI373" s="0" t="n">
        <v>198</v>
      </c>
      <c r="AJ373" s="0" t="n">
        <v>22</v>
      </c>
      <c r="AK373" s="0" t="n">
        <v>195</v>
      </c>
      <c r="AL373" s="0" t="n">
        <v>0.86</v>
      </c>
    </row>
    <row r="374">
      <c r="A374" s="0" t="inlineStr">
        <is>
          <t>[정자동]</t>
        </is>
      </c>
      <c r="B374" s="0" t="n">
        <v>8209</v>
      </c>
      <c r="C374" s="0" t="n">
        <v>5</v>
      </c>
      <c r="D374" s="0" t="inlineStr">
        <is>
          <t>현대</t>
        </is>
      </c>
      <c r="E374" s="0" t="inlineStr">
        <is>
          <t>1989.12.</t>
        </is>
      </c>
      <c r="F374" s="0" t="n">
        <v>227</v>
      </c>
      <c r="G374" s="0" t="n">
        <v>33.12</v>
      </c>
      <c r="H374" s="0" t="n">
        <v>109.49</v>
      </c>
      <c r="I374" s="0" t="n">
        <v>25.68</v>
      </c>
      <c r="J374" s="0" t="n">
        <v>84.91</v>
      </c>
      <c r="K374" s="0" t="n">
        <v>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109</v>
      </c>
      <c r="X374" s="0" t="n">
        <v>10</v>
      </c>
      <c r="Y374" s="0" t="n">
        <v>9</v>
      </c>
      <c r="Z374" s="0" t="inlineStr">
        <is>
          <t>https://new.land.naver.com/complexes/8209?tab=detail&amp;rf=Y</t>
        </is>
      </c>
      <c r="AA374" s="0" t="inlineStr">
        <is>
          <t>경기도 수원시 장안구 정자동 30-1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장안구</t>
        </is>
      </c>
      <c r="AE374" s="0" t="inlineStr">
        <is>
          <t>정자동</t>
        </is>
      </c>
      <c r="AG374" s="0" t="inlineStr">
        <is>
          <t>경기도 수원시 장안구 정자천로188번길 71-21</t>
        </is>
      </c>
      <c r="AH374" s="0" t="n">
        <v>0</v>
      </c>
      <c r="AI374" s="0" t="n">
        <v>198</v>
      </c>
      <c r="AJ374" s="0" t="n">
        <v>22</v>
      </c>
      <c r="AK374" s="0" t="n">
        <v>195</v>
      </c>
      <c r="AL374" s="0" t="n">
        <v>0.86</v>
      </c>
    </row>
    <row r="375">
      <c r="A375" s="0" t="inlineStr">
        <is>
          <t>[정자동]</t>
        </is>
      </c>
      <c r="B375" s="0" t="n">
        <v>4003</v>
      </c>
      <c r="C375" s="0" t="n">
        <v>1</v>
      </c>
      <c r="D375" s="0" t="inlineStr">
        <is>
          <t>화서역파크뷰</t>
        </is>
      </c>
      <c r="E375" s="0" t="inlineStr">
        <is>
          <t>2000.12.</t>
        </is>
      </c>
      <c r="F375" s="0" t="n">
        <v>530</v>
      </c>
      <c r="G375" s="0" t="n">
        <v>21.1</v>
      </c>
      <c r="H375" s="0" t="n">
        <v>69.78</v>
      </c>
      <c r="I375" s="0" t="n">
        <v>14.99</v>
      </c>
      <c r="J375" s="0" t="n">
        <v>49.56</v>
      </c>
      <c r="K375" s="0" t="n">
        <v>112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69</v>
      </c>
      <c r="X375" s="0" t="n">
        <v>23</v>
      </c>
      <c r="Y375" s="0" t="n">
        <v>16</v>
      </c>
      <c r="Z375" s="0" t="inlineStr">
        <is>
          <t>https://new.land.naver.com/complexes/4003?tab=detail&amp;rf=Y</t>
        </is>
      </c>
      <c r="AA375" s="0" t="inlineStr">
        <is>
          <t>경기도 수원시 장안구 정자동 882-5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장안구</t>
        </is>
      </c>
      <c r="AE375" s="0" t="inlineStr">
        <is>
          <t>정자동</t>
        </is>
      </c>
      <c r="AG375" s="0" t="inlineStr">
        <is>
          <t>경기도 수원시 장안구 대평로51번길 56</t>
        </is>
      </c>
      <c r="AH375" s="0" t="n">
        <v>0</v>
      </c>
      <c r="AI375" s="0" t="n">
        <v>228</v>
      </c>
      <c r="AJ375" s="0" t="n">
        <v>19</v>
      </c>
      <c r="AK375" s="0" t="n">
        <v>554</v>
      </c>
      <c r="AL375" s="0" t="n">
        <v>1.05</v>
      </c>
    </row>
    <row r="376">
      <c r="A376" s="0" t="inlineStr">
        <is>
          <t>[정자동]</t>
        </is>
      </c>
      <c r="B376" s="0" t="n">
        <v>4003</v>
      </c>
      <c r="C376" s="0" t="n">
        <v>2</v>
      </c>
      <c r="D376" s="0" t="inlineStr">
        <is>
          <t>화서역파크뷰</t>
        </is>
      </c>
      <c r="E376" s="0" t="inlineStr">
        <is>
          <t>2000.12.</t>
        </is>
      </c>
      <c r="F376" s="0" t="n">
        <v>530</v>
      </c>
      <c r="G376" s="0" t="n">
        <v>24.5</v>
      </c>
      <c r="H376" s="0" t="n">
        <v>81.02</v>
      </c>
      <c r="I376" s="0" t="n">
        <v>18.13</v>
      </c>
      <c r="J376" s="0" t="n">
        <v>59.94</v>
      </c>
      <c r="K376" s="0" t="n">
        <v>418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81</v>
      </c>
      <c r="X376" s="0" t="n">
        <v>23</v>
      </c>
      <c r="Y376" s="0" t="n">
        <v>16</v>
      </c>
      <c r="Z376" s="0" t="inlineStr">
        <is>
          <t>https://new.land.naver.com/complexes/4003?tab=detail&amp;rf=Y</t>
        </is>
      </c>
      <c r="AA376" s="0" t="inlineStr">
        <is>
          <t>경기도 수원시 장안구 정자동 882-5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장안구</t>
        </is>
      </c>
      <c r="AE376" s="0" t="inlineStr">
        <is>
          <t>정자동</t>
        </is>
      </c>
      <c r="AG376" s="0" t="inlineStr">
        <is>
          <t>경기도 수원시 장안구 대평로51번길 56</t>
        </is>
      </c>
      <c r="AH376" s="0" t="n">
        <v>0</v>
      </c>
      <c r="AI376" s="0" t="n">
        <v>228</v>
      </c>
      <c r="AJ376" s="0" t="n">
        <v>19</v>
      </c>
      <c r="AK376" s="0" t="n">
        <v>554</v>
      </c>
      <c r="AL376" s="0" t="n">
        <v>1.05</v>
      </c>
    </row>
    <row r="377">
      <c r="A377" s="0" t="inlineStr">
        <is>
          <t>[정자동]</t>
        </is>
      </c>
      <c r="B377" s="0" t="n">
        <v>7967</v>
      </c>
      <c r="C377" s="0" t="n">
        <v>1</v>
      </c>
      <c r="D377" s="0" t="inlineStr">
        <is>
          <t>화서역현대벽산</t>
        </is>
      </c>
      <c r="E377" s="0" t="inlineStr">
        <is>
          <t>1999.08.</t>
        </is>
      </c>
      <c r="F377" s="0" t="n">
        <v>792</v>
      </c>
      <c r="G377" s="0" t="n">
        <v>23.98</v>
      </c>
      <c r="H377" s="0" t="n">
        <v>79.28</v>
      </c>
      <c r="I377" s="0" t="n">
        <v>18.13</v>
      </c>
      <c r="J377" s="0" t="n">
        <v>59.95</v>
      </c>
      <c r="K377" s="0" t="n">
        <v>396</v>
      </c>
      <c r="T377" s="0" t="n">
        <v>3</v>
      </c>
      <c r="U377" s="0" t="n">
        <v>1</v>
      </c>
      <c r="V377" s="0" t="inlineStr">
        <is>
          <t>계단식</t>
        </is>
      </c>
      <c r="W377" s="0" t="inlineStr">
        <is>
          <t>79B</t>
        </is>
      </c>
      <c r="X377" s="0" t="n">
        <v>24</v>
      </c>
      <c r="Y377" s="0" t="n">
        <v>15</v>
      </c>
      <c r="Z377" s="0" t="inlineStr">
        <is>
          <t>https://new.land.naver.com/complexes/7967?tab=detail&amp;rf=Y</t>
        </is>
      </c>
      <c r="AA377" s="0" t="inlineStr">
        <is>
          <t>경기도 수원시 장안구 정자동 886-1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장안구</t>
        </is>
      </c>
      <c r="AE377" s="0" t="inlineStr">
        <is>
          <t>정자동</t>
        </is>
      </c>
      <c r="AG377" s="0" t="inlineStr">
        <is>
          <t>경기도 수원시 장안구 정자천로188번길 64</t>
        </is>
      </c>
      <c r="AH377" s="0" t="n">
        <v>0</v>
      </c>
      <c r="AI377" s="0" t="n">
        <v>228</v>
      </c>
      <c r="AJ377" s="0" t="n">
        <v>19</v>
      </c>
      <c r="AK377" s="0" t="n">
        <v>799</v>
      </c>
      <c r="AL377" s="0" t="n">
        <v>1.01</v>
      </c>
    </row>
    <row r="378">
      <c r="A378" s="0" t="inlineStr">
        <is>
          <t>[정자동]</t>
        </is>
      </c>
      <c r="B378" s="0" t="n">
        <v>7967</v>
      </c>
      <c r="C378" s="0" t="n">
        <v>2</v>
      </c>
      <c r="D378" s="0" t="inlineStr">
        <is>
          <t>화서역현대벽산</t>
        </is>
      </c>
      <c r="E378" s="0" t="inlineStr">
        <is>
          <t>1999.08.</t>
        </is>
      </c>
      <c r="F378" s="0" t="n">
        <v>792</v>
      </c>
      <c r="G378" s="0" t="n">
        <v>23.95</v>
      </c>
      <c r="H378" s="0" t="n">
        <v>79.19</v>
      </c>
      <c r="I378" s="0" t="n">
        <v>18.11</v>
      </c>
      <c r="J378" s="0" t="n">
        <v>59.88</v>
      </c>
      <c r="K378" s="0" t="n">
        <v>292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79A</t>
        </is>
      </c>
      <c r="X378" s="0" t="n">
        <v>24</v>
      </c>
      <c r="Y378" s="0" t="n">
        <v>15</v>
      </c>
      <c r="Z378" s="0" t="inlineStr">
        <is>
          <t>https://new.land.naver.com/complexes/7967?tab=detail&amp;rf=Y</t>
        </is>
      </c>
      <c r="AA378" s="0" t="inlineStr">
        <is>
          <t>경기도 수원시 장안구 정자동 886-1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장안구</t>
        </is>
      </c>
      <c r="AE378" s="0" t="inlineStr">
        <is>
          <t>정자동</t>
        </is>
      </c>
      <c r="AG378" s="0" t="inlineStr">
        <is>
          <t>경기도 수원시 장안구 정자천로188번길 64</t>
        </is>
      </c>
      <c r="AH378" s="0" t="n">
        <v>0</v>
      </c>
      <c r="AI378" s="0" t="n">
        <v>228</v>
      </c>
      <c r="AJ378" s="0" t="n">
        <v>19</v>
      </c>
      <c r="AK378" s="0" t="n">
        <v>799</v>
      </c>
      <c r="AL378" s="0" t="n">
        <v>1.01</v>
      </c>
    </row>
    <row r="379">
      <c r="A379" s="0" t="inlineStr">
        <is>
          <t>[정자동]</t>
        </is>
      </c>
      <c r="B379" s="0" t="n">
        <v>7967</v>
      </c>
      <c r="C379" s="0" t="n">
        <v>3</v>
      </c>
      <c r="D379" s="0" t="inlineStr">
        <is>
          <t>화서역현대벽산</t>
        </is>
      </c>
      <c r="E379" s="0" t="inlineStr">
        <is>
          <t>1999.08.</t>
        </is>
      </c>
      <c r="F379" s="0" t="n">
        <v>792</v>
      </c>
      <c r="G379" s="0" t="n">
        <v>23.97</v>
      </c>
      <c r="H379" s="0" t="n">
        <v>79.27</v>
      </c>
      <c r="I379" s="0" t="n">
        <v>18.13</v>
      </c>
      <c r="J379" s="0" t="n">
        <v>59.94</v>
      </c>
      <c r="K379" s="0" t="n">
        <v>104</v>
      </c>
      <c r="T379" s="0" t="n">
        <v>2</v>
      </c>
      <c r="U379" s="0" t="n">
        <v>1</v>
      </c>
      <c r="V379" s="0" t="inlineStr">
        <is>
          <t>계단식</t>
        </is>
      </c>
      <c r="W379" s="0" t="inlineStr">
        <is>
          <t>79C</t>
        </is>
      </c>
      <c r="X379" s="0" t="n">
        <v>24</v>
      </c>
      <c r="Y379" s="0" t="n">
        <v>15</v>
      </c>
      <c r="Z379" s="0" t="inlineStr">
        <is>
          <t>https://new.land.naver.com/complexes/7967?tab=detail&amp;rf=Y</t>
        </is>
      </c>
      <c r="AA379" s="0" t="inlineStr">
        <is>
          <t>경기도 수원시 장안구 정자동 886-1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장안구</t>
        </is>
      </c>
      <c r="AE379" s="0" t="inlineStr">
        <is>
          <t>정자동</t>
        </is>
      </c>
      <c r="AG379" s="0" t="inlineStr">
        <is>
          <t>경기도 수원시 장안구 정자천로188번길 64</t>
        </is>
      </c>
      <c r="AH379" s="0" t="n">
        <v>0</v>
      </c>
      <c r="AI379" s="0" t="n">
        <v>228</v>
      </c>
      <c r="AJ379" s="0" t="n">
        <v>19</v>
      </c>
      <c r="AK379" s="0" t="n">
        <v>799</v>
      </c>
      <c r="AL379" s="0" t="n">
        <v>1.01</v>
      </c>
    </row>
    <row r="380">
      <c r="A380" s="0" t="inlineStr">
        <is>
          <t>[정자동]</t>
        </is>
      </c>
      <c r="B380" s="0" t="n">
        <v>2702</v>
      </c>
      <c r="C380" s="0" t="n">
        <v>1</v>
      </c>
      <c r="D380" s="0" t="inlineStr">
        <is>
          <t>동남타운</t>
        </is>
      </c>
      <c r="E380" s="0" t="inlineStr">
        <is>
          <t>1997.03.</t>
        </is>
      </c>
      <c r="F380" s="0" t="n">
        <v>126</v>
      </c>
      <c r="G380" s="0" t="n">
        <v>23.29</v>
      </c>
      <c r="H380" s="0" t="n">
        <v>77.02</v>
      </c>
      <c r="I380" s="0" t="n">
        <v>17.96</v>
      </c>
      <c r="J380" s="0" t="n">
        <v>59.4</v>
      </c>
      <c r="K380" s="0" t="n">
        <v>52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77</v>
      </c>
      <c r="X380" s="0" t="n">
        <v>18</v>
      </c>
      <c r="Y380" s="0" t="n">
        <v>11</v>
      </c>
      <c r="Z380" s="0" t="inlineStr">
        <is>
          <t>https://new.land.naver.com/complexes/2702?tab=detail&amp;rf=Y</t>
        </is>
      </c>
      <c r="AA380" s="0" t="inlineStr">
        <is>
          <t>경기도 수원시 장안구 정자동 390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장안구</t>
        </is>
      </c>
      <c r="AE380" s="0" t="inlineStr">
        <is>
          <t>정자동</t>
        </is>
      </c>
      <c r="AG380" s="0" t="inlineStr">
        <is>
          <t>경기도 수원시 장안구 정자로 158</t>
        </is>
      </c>
      <c r="AH380" s="0" t="n">
        <v>0</v>
      </c>
      <c r="AI380" s="0" t="n">
        <v>278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[정자동]</t>
        </is>
      </c>
      <c r="B381" s="0" t="n">
        <v>2702</v>
      </c>
      <c r="C381" s="0" t="n">
        <v>2</v>
      </c>
      <c r="D381" s="0" t="inlineStr">
        <is>
          <t>동남타운</t>
        </is>
      </c>
      <c r="E381" s="0" t="inlineStr">
        <is>
          <t>1997.03.</t>
        </is>
      </c>
      <c r="F381" s="0" t="n">
        <v>126</v>
      </c>
      <c r="G381" s="0" t="n">
        <v>33.28</v>
      </c>
      <c r="H381" s="0" t="n">
        <v>110.04</v>
      </c>
      <c r="I381" s="0" t="n">
        <v>25.67</v>
      </c>
      <c r="J381" s="0" t="n">
        <v>84.86</v>
      </c>
      <c r="K381" s="0" t="n">
        <v>62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110</v>
      </c>
      <c r="X381" s="0" t="n">
        <v>18</v>
      </c>
      <c r="Y381" s="0" t="n">
        <v>11</v>
      </c>
      <c r="Z381" s="0" t="inlineStr">
        <is>
          <t>https://new.land.naver.com/complexes/2702?tab=detail&amp;rf=Y</t>
        </is>
      </c>
      <c r="AA381" s="0" t="inlineStr">
        <is>
          <t>경기도 수원시 장안구 정자동 390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장안구</t>
        </is>
      </c>
      <c r="AE381" s="0" t="inlineStr">
        <is>
          <t>정자동</t>
        </is>
      </c>
      <c r="AG381" s="0" t="inlineStr">
        <is>
          <t>경기도 수원시 장안구 정자로 158</t>
        </is>
      </c>
      <c r="AH381" s="0" t="n">
        <v>0</v>
      </c>
      <c r="AI381" s="0" t="n">
        <v>278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[정자동]</t>
        </is>
      </c>
      <c r="B382" s="0" t="n">
        <v>2702</v>
      </c>
      <c r="C382" s="0" t="n">
        <v>3</v>
      </c>
      <c r="D382" s="0" t="inlineStr">
        <is>
          <t>동남타운</t>
        </is>
      </c>
      <c r="E382" s="0" t="inlineStr">
        <is>
          <t>1997.03.</t>
        </is>
      </c>
      <c r="F382" s="0" t="n">
        <v>126</v>
      </c>
      <c r="G382" s="0" t="n">
        <v>52.14</v>
      </c>
      <c r="H382" s="0" t="n">
        <v>172.37</v>
      </c>
      <c r="I382" s="0" t="n">
        <v>40.21</v>
      </c>
      <c r="J382" s="0" t="n">
        <v>132.93</v>
      </c>
      <c r="K382" s="0" t="n">
        <v>12</v>
      </c>
      <c r="T382" s="0" t="n">
        <v>4</v>
      </c>
      <c r="U382" s="0" t="n">
        <v>1</v>
      </c>
      <c r="V382" s="0" t="inlineStr">
        <is>
          <t>계단식</t>
        </is>
      </c>
      <c r="W382" s="0" t="n">
        <v>172</v>
      </c>
      <c r="X382" s="0" t="n">
        <v>18</v>
      </c>
      <c r="Y382" s="0" t="n">
        <v>11</v>
      </c>
      <c r="Z382" s="0" t="inlineStr">
        <is>
          <t>https://new.land.naver.com/complexes/2702?tab=detail&amp;rf=Y</t>
        </is>
      </c>
      <c r="AA382" s="0" t="inlineStr">
        <is>
          <t>경기도 수원시 장안구 정자동 390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장안구</t>
        </is>
      </c>
      <c r="AE382" s="0" t="inlineStr">
        <is>
          <t>정자동</t>
        </is>
      </c>
      <c r="AG382" s="0" t="inlineStr">
        <is>
          <t>경기도 수원시 장안구 정자로 158</t>
        </is>
      </c>
      <c r="AH382" s="0" t="n">
        <v>0</v>
      </c>
      <c r="AI382" s="0" t="n">
        <v>278</v>
      </c>
      <c r="AJ382" s="0" t="n">
        <v>26</v>
      </c>
      <c r="AK382" s="0" t="n">
        <v>0</v>
      </c>
      <c r="AL382" s="0" t="n">
        <v>0</v>
      </c>
    </row>
    <row r="383">
      <c r="A383" s="0" t="inlineStr">
        <is>
          <t>[정자동]</t>
        </is>
      </c>
      <c r="B383" s="0" t="n">
        <v>11292</v>
      </c>
      <c r="C383" s="0" t="n">
        <v>1</v>
      </c>
      <c r="D383" s="0" t="inlineStr">
        <is>
          <t>경원</t>
        </is>
      </c>
      <c r="E383" s="0" t="inlineStr">
        <is>
          <t>1985.03.</t>
        </is>
      </c>
      <c r="F383" s="0" t="n">
        <v>48</v>
      </c>
      <c r="G383" s="0" t="n">
        <v>16.7</v>
      </c>
      <c r="H383" s="0" t="n">
        <v>55.23</v>
      </c>
      <c r="I383" s="0" t="n">
        <v>12.57</v>
      </c>
      <c r="J383" s="0" t="n">
        <v>41.58</v>
      </c>
      <c r="K383" s="0" t="n">
        <v>12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55</v>
      </c>
      <c r="X383" s="0" t="n">
        <v>6</v>
      </c>
      <c r="Y383" s="0" t="n">
        <v>6</v>
      </c>
      <c r="Z383" s="0" t="inlineStr">
        <is>
          <t>https://new.land.naver.com/complexes/11292?tab=detail&amp;rf=Y</t>
        </is>
      </c>
      <c r="AA383" s="0" t="inlineStr">
        <is>
          <t>경기도 수원시 장안구 정자동 41-12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장안구</t>
        </is>
      </c>
      <c r="AE383" s="0" t="inlineStr">
        <is>
          <t>정자동</t>
        </is>
      </c>
      <c r="AG383" s="0" t="inlineStr">
        <is>
          <t>경기도 수원시 장안구 장안로103번길 4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[정자동]</t>
        </is>
      </c>
      <c r="B384" s="0" t="n">
        <v>11292</v>
      </c>
      <c r="C384" s="0" t="n">
        <v>2</v>
      </c>
      <c r="D384" s="0" t="inlineStr">
        <is>
          <t>경원</t>
        </is>
      </c>
      <c r="E384" s="0" t="inlineStr">
        <is>
          <t>1985.03.</t>
        </is>
      </c>
      <c r="F384" s="0" t="n">
        <v>48</v>
      </c>
      <c r="G384" s="0" t="n">
        <v>21.34</v>
      </c>
      <c r="H384" s="0" t="n">
        <v>70.56</v>
      </c>
      <c r="I384" s="0" t="n">
        <v>16.55</v>
      </c>
      <c r="J384" s="0" t="n">
        <v>54.72</v>
      </c>
      <c r="K384" s="0" t="n">
        <v>6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70</v>
      </c>
      <c r="X384" s="0" t="n">
        <v>6</v>
      </c>
      <c r="Y384" s="0" t="n">
        <v>6</v>
      </c>
      <c r="Z384" s="0" t="inlineStr">
        <is>
          <t>https://new.land.naver.com/complexes/11292?tab=detail&amp;rf=Y</t>
        </is>
      </c>
      <c r="AA384" s="0" t="inlineStr">
        <is>
          <t>경기도 수원시 장안구 정자동 41-12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장안구</t>
        </is>
      </c>
      <c r="AE384" s="0" t="inlineStr">
        <is>
          <t>정자동</t>
        </is>
      </c>
      <c r="AG384" s="0" t="inlineStr">
        <is>
          <t>경기도 수원시 장안구 장안로103번길 4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[정자동]</t>
        </is>
      </c>
      <c r="B385" s="0" t="n">
        <v>11292</v>
      </c>
      <c r="C385" s="0" t="n">
        <v>3</v>
      </c>
      <c r="D385" s="0" t="inlineStr">
        <is>
          <t>경원</t>
        </is>
      </c>
      <c r="E385" s="0" t="inlineStr">
        <is>
          <t>1985.03.</t>
        </is>
      </c>
      <c r="F385" s="0" t="n">
        <v>48</v>
      </c>
      <c r="G385" s="0" t="n">
        <v>24.83</v>
      </c>
      <c r="H385" s="0" t="n">
        <v>82.11</v>
      </c>
      <c r="I385" s="0" t="n">
        <v>19.54</v>
      </c>
      <c r="J385" s="0" t="n">
        <v>64.62</v>
      </c>
      <c r="K385" s="0" t="n">
        <v>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82A</t>
        </is>
      </c>
      <c r="X385" s="0" t="n">
        <v>6</v>
      </c>
      <c r="Y385" s="0" t="n">
        <v>6</v>
      </c>
      <c r="Z385" s="0" t="inlineStr">
        <is>
          <t>https://new.land.naver.com/complexes/11292?tab=detail&amp;rf=Y</t>
        </is>
      </c>
      <c r="AA385" s="0" t="inlineStr">
        <is>
          <t>경기도 수원시 장안구 정자동 41-12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장안구</t>
        </is>
      </c>
      <c r="AE385" s="0" t="inlineStr">
        <is>
          <t>정자동</t>
        </is>
      </c>
      <c r="AG385" s="0" t="inlineStr">
        <is>
          <t>경기도 수원시 장안구 장안로103번길 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[정자동]</t>
        </is>
      </c>
      <c r="B386" s="0" t="n">
        <v>11292</v>
      </c>
      <c r="C386" s="0" t="n">
        <v>4</v>
      </c>
      <c r="D386" s="0" t="inlineStr">
        <is>
          <t>경원</t>
        </is>
      </c>
      <c r="E386" s="0" t="inlineStr">
        <is>
          <t>1985.03.</t>
        </is>
      </c>
      <c r="F386" s="0" t="n">
        <v>48</v>
      </c>
      <c r="G386" s="0" t="n">
        <v>25.25</v>
      </c>
      <c r="H386" s="0" t="n">
        <v>83.5</v>
      </c>
      <c r="I386" s="0" t="n">
        <v>20.03</v>
      </c>
      <c r="J386" s="0" t="n">
        <v>66.23999999999999</v>
      </c>
      <c r="K386" s="0" t="n">
        <v>24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83B</t>
        </is>
      </c>
      <c r="X386" s="0" t="n">
        <v>6</v>
      </c>
      <c r="Y386" s="0" t="n">
        <v>6</v>
      </c>
      <c r="Z386" s="0" t="inlineStr">
        <is>
          <t>https://new.land.naver.com/complexes/11292?tab=detail&amp;rf=Y</t>
        </is>
      </c>
      <c r="AA386" s="0" t="inlineStr">
        <is>
          <t>경기도 수원시 장안구 정자동 41-12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장안구</t>
        </is>
      </c>
      <c r="AE386" s="0" t="inlineStr">
        <is>
          <t>정자동</t>
        </is>
      </c>
      <c r="AG386" s="0" t="inlineStr">
        <is>
          <t>경기도 수원시 장안구 장안로103번길 4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[정자동]</t>
        </is>
      </c>
      <c r="B387" s="0" t="n">
        <v>22878</v>
      </c>
      <c r="C387" s="0" t="n">
        <v>1</v>
      </c>
      <c r="D387" s="0" t="inlineStr">
        <is>
          <t>정자벽산블루밍</t>
        </is>
      </c>
      <c r="E387" s="0" t="inlineStr">
        <is>
          <t>2007.04.</t>
        </is>
      </c>
      <c r="F387" s="0" t="n">
        <v>481</v>
      </c>
      <c r="G387" s="0" t="n">
        <v>24.16</v>
      </c>
      <c r="H387" s="0" t="n">
        <v>79.90000000000001</v>
      </c>
      <c r="I387" s="0" t="n">
        <v>18.14</v>
      </c>
      <c r="J387" s="0" t="n">
        <v>59.99</v>
      </c>
      <c r="K387" s="0" t="n">
        <v>82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79A</t>
        </is>
      </c>
      <c r="X387" s="0" t="n">
        <v>15</v>
      </c>
      <c r="Y387" s="0" t="n">
        <v>9</v>
      </c>
      <c r="Z387" s="0" t="inlineStr">
        <is>
          <t>https://new.land.naver.com/complexes/22878?tab=detail&amp;rf=Y</t>
        </is>
      </c>
      <c r="AA387" s="0" t="inlineStr">
        <is>
          <t>경기도 수원시 장안구 정자동 423-1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장안구</t>
        </is>
      </c>
      <c r="AE387" s="0" t="inlineStr">
        <is>
          <t>정자동</t>
        </is>
      </c>
      <c r="AG387" s="0" t="inlineStr">
        <is>
          <t>경기도 수원시 장안구 파장로 53</t>
        </is>
      </c>
      <c r="AH387" s="0" t="n">
        <v>0</v>
      </c>
      <c r="AI387" s="0" t="n">
        <v>229</v>
      </c>
      <c r="AJ387" s="0" t="n">
        <v>22</v>
      </c>
      <c r="AK387" s="0" t="n">
        <v>558</v>
      </c>
      <c r="AL387" s="0" t="n">
        <v>1.16</v>
      </c>
    </row>
    <row r="388">
      <c r="A388" s="0" t="inlineStr">
        <is>
          <t>[정자동]</t>
        </is>
      </c>
      <c r="B388" s="0" t="n">
        <v>22878</v>
      </c>
      <c r="C388" s="0" t="n">
        <v>2</v>
      </c>
      <c r="D388" s="0" t="inlineStr">
        <is>
          <t>정자벽산블루밍</t>
        </is>
      </c>
      <c r="E388" s="0" t="inlineStr">
        <is>
          <t>2007.04.</t>
        </is>
      </c>
      <c r="F388" s="0" t="n">
        <v>481</v>
      </c>
      <c r="G388" s="0" t="n">
        <v>24.16</v>
      </c>
      <c r="H388" s="0" t="n">
        <v>79.90000000000001</v>
      </c>
      <c r="I388" s="0" t="n">
        <v>18.14</v>
      </c>
      <c r="J388" s="0" t="n">
        <v>59.99</v>
      </c>
      <c r="K388" s="0" t="n">
        <v>27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79B</t>
        </is>
      </c>
      <c r="X388" s="0" t="n">
        <v>15</v>
      </c>
      <c r="Y388" s="0" t="n">
        <v>9</v>
      </c>
      <c r="Z388" s="0" t="inlineStr">
        <is>
          <t>https://new.land.naver.com/complexes/22878?tab=detail&amp;rf=Y</t>
        </is>
      </c>
      <c r="AA388" s="0" t="inlineStr">
        <is>
          <t>경기도 수원시 장안구 정자동 423-1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장안구</t>
        </is>
      </c>
      <c r="AE388" s="0" t="inlineStr">
        <is>
          <t>정자동</t>
        </is>
      </c>
      <c r="AG388" s="0" t="inlineStr">
        <is>
          <t>경기도 수원시 장안구 파장로 53</t>
        </is>
      </c>
      <c r="AH388" s="0" t="n">
        <v>0</v>
      </c>
      <c r="AI388" s="0" t="n">
        <v>229</v>
      </c>
      <c r="AJ388" s="0" t="n">
        <v>22</v>
      </c>
      <c r="AK388" s="0" t="n">
        <v>558</v>
      </c>
      <c r="AL388" s="0" t="n">
        <v>1.16</v>
      </c>
    </row>
    <row r="389">
      <c r="A389" s="0" t="inlineStr">
        <is>
          <t>[정자동]</t>
        </is>
      </c>
      <c r="B389" s="0" t="n">
        <v>22878</v>
      </c>
      <c r="C389" s="0" t="n">
        <v>3</v>
      </c>
      <c r="D389" s="0" t="inlineStr">
        <is>
          <t>정자벽산블루밍</t>
        </is>
      </c>
      <c r="E389" s="0" t="inlineStr">
        <is>
          <t>2007.04.</t>
        </is>
      </c>
      <c r="F389" s="0" t="n">
        <v>481</v>
      </c>
      <c r="G389" s="0" t="n">
        <v>33.68</v>
      </c>
      <c r="H389" s="0" t="n">
        <v>111.36</v>
      </c>
      <c r="I389" s="0" t="n">
        <v>25.7</v>
      </c>
      <c r="J389" s="0" t="n">
        <v>84.98</v>
      </c>
      <c r="K389" s="0" t="n">
        <v>284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111</v>
      </c>
      <c r="X389" s="0" t="n">
        <v>15</v>
      </c>
      <c r="Y389" s="0" t="n">
        <v>9</v>
      </c>
      <c r="Z389" s="0" t="inlineStr">
        <is>
          <t>https://new.land.naver.com/complexes/22878?tab=detail&amp;rf=Y</t>
        </is>
      </c>
      <c r="AA389" s="0" t="inlineStr">
        <is>
          <t>경기도 수원시 장안구 정자동 423-1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장안구</t>
        </is>
      </c>
      <c r="AE389" s="0" t="inlineStr">
        <is>
          <t>정자동</t>
        </is>
      </c>
      <c r="AG389" s="0" t="inlineStr">
        <is>
          <t>경기도 수원시 장안구 파장로 53</t>
        </is>
      </c>
      <c r="AH389" s="0" t="n">
        <v>0</v>
      </c>
      <c r="AI389" s="0" t="n">
        <v>229</v>
      </c>
      <c r="AJ389" s="0" t="n">
        <v>22</v>
      </c>
      <c r="AK389" s="0" t="n">
        <v>558</v>
      </c>
      <c r="AL389" s="0" t="n">
        <v>1.16</v>
      </c>
    </row>
    <row r="390">
      <c r="A390" s="0" t="inlineStr">
        <is>
          <t>[정자동]</t>
        </is>
      </c>
      <c r="B390" s="0" t="n">
        <v>22878</v>
      </c>
      <c r="C390" s="0" t="n">
        <v>4</v>
      </c>
      <c r="D390" s="0" t="inlineStr">
        <is>
          <t>정자벽산블루밍</t>
        </is>
      </c>
      <c r="E390" s="0" t="inlineStr">
        <is>
          <t>2007.04.</t>
        </is>
      </c>
      <c r="F390" s="0" t="n">
        <v>481</v>
      </c>
      <c r="G390" s="0" t="n">
        <v>46.84</v>
      </c>
      <c r="H390" s="0" t="n">
        <v>154.87</v>
      </c>
      <c r="I390" s="0" t="n">
        <v>38.38</v>
      </c>
      <c r="J390" s="0" t="n">
        <v>126.88</v>
      </c>
      <c r="K390" s="0" t="n">
        <v>88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154</v>
      </c>
      <c r="X390" s="0" t="n">
        <v>15</v>
      </c>
      <c r="Y390" s="0" t="n">
        <v>9</v>
      </c>
      <c r="Z390" s="0" t="inlineStr">
        <is>
          <t>https://new.land.naver.com/complexes/22878?tab=detail&amp;rf=Y</t>
        </is>
      </c>
      <c r="AA390" s="0" t="inlineStr">
        <is>
          <t>경기도 수원시 장안구 정자동 423-1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장안구</t>
        </is>
      </c>
      <c r="AE390" s="0" t="inlineStr">
        <is>
          <t>정자동</t>
        </is>
      </c>
      <c r="AG390" s="0" t="inlineStr">
        <is>
          <t>경기도 수원시 장안구 파장로 53</t>
        </is>
      </c>
      <c r="AH390" s="0" t="n">
        <v>0</v>
      </c>
      <c r="AI390" s="0" t="n">
        <v>229</v>
      </c>
      <c r="AJ390" s="0" t="n">
        <v>22</v>
      </c>
      <c r="AK390" s="0" t="n">
        <v>558</v>
      </c>
      <c r="AL390" s="0" t="n">
        <v>1.16</v>
      </c>
    </row>
    <row r="391">
      <c r="A391" s="0" t="inlineStr">
        <is>
          <t>[정자동]</t>
        </is>
      </c>
      <c r="B391" s="0" t="n">
        <v>2703</v>
      </c>
      <c r="C391" s="0" t="n">
        <v>1</v>
      </c>
      <c r="D391" s="0" t="inlineStr">
        <is>
          <t>백설마을5단지성지,동양고속</t>
        </is>
      </c>
      <c r="E391" s="0" t="inlineStr">
        <is>
          <t>1999.10.</t>
        </is>
      </c>
      <c r="F391" s="0" t="n">
        <v>576</v>
      </c>
      <c r="G391" s="0" t="n">
        <v>37.98</v>
      </c>
      <c r="H391" s="0" t="n">
        <v>125.58</v>
      </c>
      <c r="I391" s="0" t="n">
        <v>30.21</v>
      </c>
      <c r="J391" s="0" t="n">
        <v>99.89</v>
      </c>
      <c r="K391" s="0" t="n">
        <v>368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125</v>
      </c>
      <c r="X391" s="0" t="n">
        <v>20</v>
      </c>
      <c r="Y391" s="0" t="n">
        <v>17</v>
      </c>
      <c r="Z391" s="0" t="inlineStr">
        <is>
          <t>https://new.land.naver.com/complexes/2703?tab=detail&amp;rf=Y</t>
        </is>
      </c>
      <c r="AA391" s="0" t="inlineStr">
        <is>
          <t>경기도 수원시 장안구 정자동 879-1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장안구</t>
        </is>
      </c>
      <c r="AE391" s="0" t="inlineStr">
        <is>
          <t>정자동</t>
        </is>
      </c>
      <c r="AG391" s="0" t="inlineStr">
        <is>
          <t>경기도 수원시 장안구 정자천로133번길 26</t>
        </is>
      </c>
      <c r="AH391" s="0" t="n">
        <v>0</v>
      </c>
      <c r="AI391" s="0" t="n">
        <v>239</v>
      </c>
      <c r="AJ391" s="0" t="n">
        <v>18</v>
      </c>
      <c r="AK391" s="0" t="n">
        <v>958</v>
      </c>
      <c r="AL391" s="0" t="n">
        <v>1.66</v>
      </c>
    </row>
    <row r="392">
      <c r="A392" s="0" t="inlineStr">
        <is>
          <t>[정자동]</t>
        </is>
      </c>
      <c r="B392" s="0" t="n">
        <v>2703</v>
      </c>
      <c r="C392" s="0" t="n">
        <v>2</v>
      </c>
      <c r="D392" s="0" t="inlineStr">
        <is>
          <t>백설마을5단지성지,동양고속</t>
        </is>
      </c>
      <c r="E392" s="0" t="inlineStr">
        <is>
          <t>1999.10.</t>
        </is>
      </c>
      <c r="F392" s="0" t="n">
        <v>576</v>
      </c>
      <c r="G392" s="0" t="n">
        <v>49.74</v>
      </c>
      <c r="H392" s="0" t="n">
        <v>164.45</v>
      </c>
      <c r="I392" s="0" t="n">
        <v>41.02</v>
      </c>
      <c r="J392" s="0" t="n">
        <v>135.63</v>
      </c>
      <c r="K392" s="0" t="n">
        <v>208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164</v>
      </c>
      <c r="X392" s="0" t="n">
        <v>20</v>
      </c>
      <c r="Y392" s="0" t="n">
        <v>17</v>
      </c>
      <c r="Z392" s="0" t="inlineStr">
        <is>
          <t>https://new.land.naver.com/complexes/2703?tab=detail&amp;rf=Y</t>
        </is>
      </c>
      <c r="AA392" s="0" t="inlineStr">
        <is>
          <t>경기도 수원시 장안구 정자동 879-1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장안구</t>
        </is>
      </c>
      <c r="AE392" s="0" t="inlineStr">
        <is>
          <t>정자동</t>
        </is>
      </c>
      <c r="AG392" s="0" t="inlineStr">
        <is>
          <t>경기도 수원시 장안구 정자천로133번길 26</t>
        </is>
      </c>
      <c r="AH392" s="0" t="n">
        <v>0</v>
      </c>
      <c r="AI392" s="0" t="n">
        <v>239</v>
      </c>
      <c r="AJ392" s="0" t="n">
        <v>18</v>
      </c>
      <c r="AK392" s="0" t="n">
        <v>958</v>
      </c>
      <c r="AL392" s="0" t="n">
        <v>1.66</v>
      </c>
    </row>
    <row r="393">
      <c r="A393" s="0" t="inlineStr">
        <is>
          <t>[정자동]</t>
        </is>
      </c>
      <c r="B393" s="0" t="n">
        <v>3650</v>
      </c>
      <c r="C393" s="0" t="n">
        <v>1</v>
      </c>
      <c r="D393" s="0" t="inlineStr">
        <is>
          <t>청솔마을한라</t>
        </is>
      </c>
      <c r="E393" s="0" t="inlineStr">
        <is>
          <t>2001.07.</t>
        </is>
      </c>
      <c r="F393" s="0" t="n">
        <v>845</v>
      </c>
      <c r="G393" s="0" t="n">
        <v>26.37</v>
      </c>
      <c r="H393" s="0" t="n">
        <v>87.2</v>
      </c>
      <c r="I393" s="0" t="n">
        <v>18.14</v>
      </c>
      <c r="J393" s="0" t="n">
        <v>59.99</v>
      </c>
      <c r="K393" s="0" t="n">
        <v>168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87</v>
      </c>
      <c r="X393" s="0" t="n">
        <v>23</v>
      </c>
      <c r="Y393" s="0" t="n">
        <v>16</v>
      </c>
      <c r="Z393" s="0" t="inlineStr">
        <is>
          <t>https://new.land.naver.com/complexes/3650?tab=detail&amp;rf=Y</t>
        </is>
      </c>
      <c r="AA393" s="0" t="inlineStr">
        <is>
          <t>경기도 수원시 장안구 정자동 919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장안구</t>
        </is>
      </c>
      <c r="AE393" s="0" t="inlineStr">
        <is>
          <t>정자동</t>
        </is>
      </c>
      <c r="AG393" s="0" t="inlineStr">
        <is>
          <t>경기도 수원시 장안구 만석로20번길 28</t>
        </is>
      </c>
      <c r="AH393" s="0" t="n">
        <v>0</v>
      </c>
      <c r="AI393" s="0" t="n">
        <v>218</v>
      </c>
      <c r="AJ393" s="0" t="n">
        <v>18</v>
      </c>
      <c r="AK393" s="0" t="n">
        <v>857</v>
      </c>
      <c r="AL393" s="0" t="n">
        <v>1.01</v>
      </c>
    </row>
    <row r="394">
      <c r="A394" s="0" t="inlineStr">
        <is>
          <t>[정자동]</t>
        </is>
      </c>
      <c r="B394" s="0" t="n">
        <v>3650</v>
      </c>
      <c r="C394" s="0" t="n">
        <v>2</v>
      </c>
      <c r="D394" s="0" t="inlineStr">
        <is>
          <t>청솔마을한라</t>
        </is>
      </c>
      <c r="E394" s="0" t="inlineStr">
        <is>
          <t>2001.07.</t>
        </is>
      </c>
      <c r="F394" s="0" t="n">
        <v>845</v>
      </c>
      <c r="G394" s="0" t="n">
        <v>27.03</v>
      </c>
      <c r="H394" s="0" t="n">
        <v>89.38</v>
      </c>
      <c r="I394" s="0" t="n">
        <v>18.14</v>
      </c>
      <c r="J394" s="0" t="n">
        <v>59.98</v>
      </c>
      <c r="K394" s="0" t="n">
        <v>677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89</v>
      </c>
      <c r="X394" s="0" t="n">
        <v>23</v>
      </c>
      <c r="Y394" s="0" t="n">
        <v>16</v>
      </c>
      <c r="Z394" s="0" t="inlineStr">
        <is>
          <t>https://new.land.naver.com/complexes/3650?tab=detail&amp;rf=Y</t>
        </is>
      </c>
      <c r="AA394" s="0" t="inlineStr">
        <is>
          <t>경기도 수원시 장안구 정자동 919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장안구</t>
        </is>
      </c>
      <c r="AE394" s="0" t="inlineStr">
        <is>
          <t>정자동</t>
        </is>
      </c>
      <c r="AG394" s="0" t="inlineStr">
        <is>
          <t>경기도 수원시 장안구 만석로20번길 28</t>
        </is>
      </c>
      <c r="AH394" s="0" t="n">
        <v>0</v>
      </c>
      <c r="AI394" s="0" t="n">
        <v>218</v>
      </c>
      <c r="AJ394" s="0" t="n">
        <v>18</v>
      </c>
      <c r="AK394" s="0" t="n">
        <v>857</v>
      </c>
      <c r="AL394" s="0" t="n">
        <v>1.01</v>
      </c>
    </row>
    <row r="395">
      <c r="A395" s="0" t="inlineStr">
        <is>
          <t>[정자동]</t>
        </is>
      </c>
      <c r="B395" s="0" t="n">
        <v>2708</v>
      </c>
      <c r="C395" s="0" t="n">
        <v>1</v>
      </c>
      <c r="D395" s="0" t="inlineStr">
        <is>
          <t>꽃뫼노을마을신안</t>
        </is>
      </c>
      <c r="E395" s="0" t="inlineStr">
        <is>
          <t>1999.10.</t>
        </is>
      </c>
      <c r="F395" s="0" t="n">
        <v>358</v>
      </c>
      <c r="G395" s="0" t="n">
        <v>29.07</v>
      </c>
      <c r="H395" s="0" t="n">
        <v>96.12</v>
      </c>
      <c r="I395" s="0" t="n">
        <v>21.98</v>
      </c>
      <c r="J395" s="0" t="n">
        <v>72.69</v>
      </c>
      <c r="K395" s="0" t="n">
        <v>176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96</v>
      </c>
      <c r="X395" s="0" t="n">
        <v>20</v>
      </c>
      <c r="Y395" s="0" t="n">
        <v>17</v>
      </c>
      <c r="Z395" s="0" t="inlineStr">
        <is>
          <t>https://new.land.naver.com/complexes/2708?tab=detail&amp;rf=Y</t>
        </is>
      </c>
      <c r="AA395" s="0" t="inlineStr">
        <is>
          <t>경기도 수원시 장안구 정자동 883-6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장안구</t>
        </is>
      </c>
      <c r="AE395" s="0" t="inlineStr">
        <is>
          <t>정자동</t>
        </is>
      </c>
      <c r="AG395" s="0" t="inlineStr">
        <is>
          <t>경기도 수원시 장안구 대평로51번길 22</t>
        </is>
      </c>
      <c r="AH395" s="0" t="n">
        <v>0</v>
      </c>
      <c r="AI395" s="0" t="n">
        <v>229</v>
      </c>
      <c r="AJ395" s="0" t="n">
        <v>19</v>
      </c>
      <c r="AK395" s="0" t="n">
        <v>371</v>
      </c>
      <c r="AL395" s="0" t="n">
        <v>1.04</v>
      </c>
    </row>
    <row r="396">
      <c r="A396" s="0" t="inlineStr">
        <is>
          <t>[정자동]</t>
        </is>
      </c>
      <c r="B396" s="0" t="n">
        <v>2708</v>
      </c>
      <c r="C396" s="0" t="n">
        <v>2</v>
      </c>
      <c r="D396" s="0" t="inlineStr">
        <is>
          <t>꽃뫼노을마을신안</t>
        </is>
      </c>
      <c r="E396" s="0" t="inlineStr">
        <is>
          <t>1999.10.</t>
        </is>
      </c>
      <c r="F396" s="0" t="n">
        <v>358</v>
      </c>
      <c r="G396" s="0" t="n">
        <v>33.33</v>
      </c>
      <c r="H396" s="0" t="n">
        <v>110.21</v>
      </c>
      <c r="I396" s="0" t="n">
        <v>25.69</v>
      </c>
      <c r="J396" s="0" t="n">
        <v>84.94</v>
      </c>
      <c r="K396" s="0" t="n">
        <v>182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110</v>
      </c>
      <c r="X396" s="0" t="n">
        <v>20</v>
      </c>
      <c r="Y396" s="0" t="n">
        <v>17</v>
      </c>
      <c r="Z396" s="0" t="inlineStr">
        <is>
          <t>https://new.land.naver.com/complexes/2708?tab=detail&amp;rf=Y</t>
        </is>
      </c>
      <c r="AA396" s="0" t="inlineStr">
        <is>
          <t>경기도 수원시 장안구 정자동 883-6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장안구</t>
        </is>
      </c>
      <c r="AE396" s="0" t="inlineStr">
        <is>
          <t>정자동</t>
        </is>
      </c>
      <c r="AG396" s="0" t="inlineStr">
        <is>
          <t>경기도 수원시 장안구 대평로51번길 22</t>
        </is>
      </c>
      <c r="AH396" s="0" t="n">
        <v>0</v>
      </c>
      <c r="AI396" s="0" t="n">
        <v>229</v>
      </c>
      <c r="AJ396" s="0" t="n">
        <v>19</v>
      </c>
      <c r="AK396" s="0" t="n">
        <v>371</v>
      </c>
      <c r="AL396" s="0" t="n">
        <v>1.04</v>
      </c>
    </row>
    <row r="397">
      <c r="A397" s="0" t="inlineStr">
        <is>
          <t>[정자동]</t>
        </is>
      </c>
      <c r="B397" s="0" t="n">
        <v>11198</v>
      </c>
      <c r="C397" s="0" t="n">
        <v>1</v>
      </c>
      <c r="D397" s="0" t="inlineStr">
        <is>
          <t>보은</t>
        </is>
      </c>
      <c r="E397" s="0" t="inlineStr">
        <is>
          <t>1985.06.</t>
        </is>
      </c>
      <c r="F397" s="0" t="n">
        <v>81</v>
      </c>
      <c r="G397" s="0" t="n">
        <v>25.59</v>
      </c>
      <c r="H397" s="0" t="n">
        <v>84.62</v>
      </c>
      <c r="I397" s="0" t="n">
        <v>19.08</v>
      </c>
      <c r="J397" s="0" t="n">
        <v>63.09</v>
      </c>
      <c r="K397" s="0" t="n">
        <v>9</v>
      </c>
      <c r="T397" s="0" t="n">
        <v>3</v>
      </c>
      <c r="U397" s="0" t="n">
        <v>1</v>
      </c>
      <c r="V397" s="0" t="inlineStr">
        <is>
          <t>복도식</t>
        </is>
      </c>
      <c r="W397" s="0" t="inlineStr">
        <is>
          <t>84A</t>
        </is>
      </c>
      <c r="X397" s="0" t="n">
        <v>9</v>
      </c>
      <c r="Y397" s="0" t="n">
        <v>9</v>
      </c>
      <c r="Z397" s="0" t="inlineStr">
        <is>
          <t>https://new.land.naver.com/complexes/11198?tab=detail&amp;rf=Y</t>
        </is>
      </c>
      <c r="AA397" s="0" t="inlineStr">
        <is>
          <t>경기도 수원시 장안구 정자동 31-3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장안구</t>
        </is>
      </c>
      <c r="AE397" s="0" t="inlineStr">
        <is>
          <t>정자동</t>
        </is>
      </c>
      <c r="AG397" s="0" t="inlineStr">
        <is>
          <t>경기도 수원시 장안구 수성로275번길 92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[정자동]</t>
        </is>
      </c>
      <c r="B398" s="0" t="n">
        <v>11198</v>
      </c>
      <c r="C398" s="0" t="n">
        <v>2</v>
      </c>
      <c r="D398" s="0" t="inlineStr">
        <is>
          <t>보은</t>
        </is>
      </c>
      <c r="E398" s="0" t="inlineStr">
        <is>
          <t>1985.06.</t>
        </is>
      </c>
      <c r="F398" s="0" t="n">
        <v>81</v>
      </c>
      <c r="G398" s="0" t="n">
        <v>26.29</v>
      </c>
      <c r="H398" s="0" t="n">
        <v>86.92</v>
      </c>
      <c r="I398" s="0" t="n">
        <v>19.6</v>
      </c>
      <c r="J398" s="0" t="n">
        <v>64.8</v>
      </c>
      <c r="K398" s="0" t="n">
        <v>9</v>
      </c>
      <c r="T398" s="0" t="n">
        <v>2</v>
      </c>
      <c r="U398" s="0" t="n">
        <v>1</v>
      </c>
      <c r="V398" s="0" t="inlineStr">
        <is>
          <t>계단식</t>
        </is>
      </c>
      <c r="W398" s="0" t="inlineStr">
        <is>
          <t>86B</t>
        </is>
      </c>
      <c r="X398" s="0" t="n">
        <v>9</v>
      </c>
      <c r="Y398" s="0" t="n">
        <v>9</v>
      </c>
      <c r="Z398" s="0" t="inlineStr">
        <is>
          <t>https://new.land.naver.com/complexes/11198?tab=detail&amp;rf=Y</t>
        </is>
      </c>
      <c r="AA398" s="0" t="inlineStr">
        <is>
          <t>경기도 수원시 장안구 정자동 31-3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장안구</t>
        </is>
      </c>
      <c r="AE398" s="0" t="inlineStr">
        <is>
          <t>정자동</t>
        </is>
      </c>
      <c r="AG398" s="0" t="inlineStr">
        <is>
          <t>경기도 수원시 장안구 수성로275번길 92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[정자동]</t>
        </is>
      </c>
      <c r="B399" s="0" t="n">
        <v>11198</v>
      </c>
      <c r="C399" s="0" t="n">
        <v>3</v>
      </c>
      <c r="D399" s="0" t="inlineStr">
        <is>
          <t>보은</t>
        </is>
      </c>
      <c r="E399" s="0" t="inlineStr">
        <is>
          <t>1985.06.</t>
        </is>
      </c>
      <c r="F399" s="0" t="n">
        <v>81</v>
      </c>
      <c r="G399" s="0" t="n">
        <v>26.76</v>
      </c>
      <c r="H399" s="0" t="n">
        <v>88.48</v>
      </c>
      <c r="I399" s="0" t="n">
        <v>19.95</v>
      </c>
      <c r="J399" s="0" t="n">
        <v>65.97</v>
      </c>
      <c r="K399" s="0" t="n">
        <v>9</v>
      </c>
      <c r="T399" s="0" t="n">
        <v>3</v>
      </c>
      <c r="U399" s="0" t="n">
        <v>1</v>
      </c>
      <c r="V399" s="0" t="inlineStr">
        <is>
          <t>복도식</t>
        </is>
      </c>
      <c r="W399" s="0" t="n">
        <v>88</v>
      </c>
      <c r="X399" s="0" t="n">
        <v>9</v>
      </c>
      <c r="Y399" s="0" t="n">
        <v>9</v>
      </c>
      <c r="Z399" s="0" t="inlineStr">
        <is>
          <t>https://new.land.naver.com/complexes/11198?tab=detail&amp;rf=Y</t>
        </is>
      </c>
      <c r="AA399" s="0" t="inlineStr">
        <is>
          <t>경기도 수원시 장안구 정자동 31-3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장안구</t>
        </is>
      </c>
      <c r="AE399" s="0" t="inlineStr">
        <is>
          <t>정자동</t>
        </is>
      </c>
      <c r="AG399" s="0" t="inlineStr">
        <is>
          <t>경기도 수원시 장안구 수성로275번길 92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[정자동]</t>
        </is>
      </c>
      <c r="B400" s="0" t="n">
        <v>11198</v>
      </c>
      <c r="C400" s="0" t="n">
        <v>4</v>
      </c>
      <c r="D400" s="0" t="inlineStr">
        <is>
          <t>보은</t>
        </is>
      </c>
      <c r="E400" s="0" t="inlineStr">
        <is>
          <t>1985.06.</t>
        </is>
      </c>
      <c r="F400" s="0" t="n">
        <v>81</v>
      </c>
      <c r="G400" s="0" t="n">
        <v>30.45</v>
      </c>
      <c r="H400" s="0" t="n">
        <v>100.67</v>
      </c>
      <c r="I400" s="0" t="n">
        <v>22.69</v>
      </c>
      <c r="J400" s="0" t="n">
        <v>75.04000000000001</v>
      </c>
      <c r="K400" s="0" t="n">
        <v>9</v>
      </c>
      <c r="T400" s="0" t="n">
        <v>3</v>
      </c>
      <c r="U400" s="0" t="n">
        <v>1</v>
      </c>
      <c r="V400" s="0" t="inlineStr">
        <is>
          <t>복도식</t>
        </is>
      </c>
      <c r="W400" s="0" t="n">
        <v>100</v>
      </c>
      <c r="X400" s="0" t="n">
        <v>9</v>
      </c>
      <c r="Y400" s="0" t="n">
        <v>9</v>
      </c>
      <c r="Z400" s="0" t="inlineStr">
        <is>
          <t>https://new.land.naver.com/complexes/11198?tab=detail&amp;rf=Y</t>
        </is>
      </c>
      <c r="AA400" s="0" t="inlineStr">
        <is>
          <t>경기도 수원시 장안구 정자동 31-3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장안구</t>
        </is>
      </c>
      <c r="AE400" s="0" t="inlineStr">
        <is>
          <t>정자동</t>
        </is>
      </c>
      <c r="AG400" s="0" t="inlineStr">
        <is>
          <t>경기도 수원시 장안구 수성로275번길 92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[정자동]</t>
        </is>
      </c>
      <c r="B401" s="0" t="n">
        <v>11198</v>
      </c>
      <c r="C401" s="0" t="n">
        <v>5</v>
      </c>
      <c r="D401" s="0" t="inlineStr">
        <is>
          <t>보은</t>
        </is>
      </c>
      <c r="E401" s="0" t="inlineStr">
        <is>
          <t>1985.06.</t>
        </is>
      </c>
      <c r="F401" s="0" t="n">
        <v>81</v>
      </c>
      <c r="G401" s="0" t="n">
        <v>30.67</v>
      </c>
      <c r="H401" s="0" t="n">
        <v>101.41</v>
      </c>
      <c r="I401" s="0" t="n">
        <v>22.86</v>
      </c>
      <c r="J401" s="0" t="n">
        <v>75.59999999999999</v>
      </c>
      <c r="K401" s="0" t="n">
        <v>27</v>
      </c>
      <c r="T401" s="0" t="n">
        <v>3</v>
      </c>
      <c r="U401" s="0" t="n">
        <v>1</v>
      </c>
      <c r="V401" s="0" t="inlineStr">
        <is>
          <t>복도식</t>
        </is>
      </c>
      <c r="W401" s="0" t="n">
        <v>101</v>
      </c>
      <c r="X401" s="0" t="n">
        <v>9</v>
      </c>
      <c r="Y401" s="0" t="n">
        <v>9</v>
      </c>
      <c r="Z401" s="0" t="inlineStr">
        <is>
          <t>https://new.land.naver.com/complexes/11198?tab=detail&amp;rf=Y</t>
        </is>
      </c>
      <c r="AA401" s="0" t="inlineStr">
        <is>
          <t>경기도 수원시 장안구 정자동 31-3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장안구</t>
        </is>
      </c>
      <c r="AE401" s="0" t="inlineStr">
        <is>
          <t>정자동</t>
        </is>
      </c>
      <c r="AG401" s="0" t="inlineStr">
        <is>
          <t>경기도 수원시 장안구 수성로275번길 92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[정자동]</t>
        </is>
      </c>
      <c r="B402" s="0" t="n">
        <v>11198</v>
      </c>
      <c r="C402" s="0" t="n">
        <v>6</v>
      </c>
      <c r="D402" s="0" t="inlineStr">
        <is>
          <t>보은</t>
        </is>
      </c>
      <c r="E402" s="0" t="inlineStr">
        <is>
          <t>1985.06.</t>
        </is>
      </c>
      <c r="F402" s="0" t="n">
        <v>81</v>
      </c>
      <c r="G402" s="0" t="n">
        <v>32.63</v>
      </c>
      <c r="H402" s="0" t="n">
        <v>107.9</v>
      </c>
      <c r="I402" s="0" t="n">
        <v>24.33</v>
      </c>
      <c r="J402" s="0" t="n">
        <v>80.44</v>
      </c>
      <c r="K402" s="0" t="n">
        <v>9</v>
      </c>
      <c r="T402" s="0" t="n">
        <v>3</v>
      </c>
      <c r="U402" s="0" t="n">
        <v>1</v>
      </c>
      <c r="V402" s="0" t="inlineStr">
        <is>
          <t>복도식</t>
        </is>
      </c>
      <c r="W402" s="0" t="n">
        <v>107</v>
      </c>
      <c r="X402" s="0" t="n">
        <v>9</v>
      </c>
      <c r="Y402" s="0" t="n">
        <v>9</v>
      </c>
      <c r="Z402" s="0" t="inlineStr">
        <is>
          <t>https://new.land.naver.com/complexes/11198?tab=detail&amp;rf=Y</t>
        </is>
      </c>
      <c r="AA402" s="0" t="inlineStr">
        <is>
          <t>경기도 수원시 장안구 정자동 31-3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장안구</t>
        </is>
      </c>
      <c r="AE402" s="0" t="inlineStr">
        <is>
          <t>정자동</t>
        </is>
      </c>
      <c r="AG402" s="0" t="inlineStr">
        <is>
          <t>경기도 수원시 장안구 수성로275번길 92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[정자동]</t>
        </is>
      </c>
      <c r="B403" s="0" t="n">
        <v>11198</v>
      </c>
      <c r="C403" s="0" t="n">
        <v>7</v>
      </c>
      <c r="D403" s="0" t="inlineStr">
        <is>
          <t>보은</t>
        </is>
      </c>
      <c r="E403" s="0" t="inlineStr">
        <is>
          <t>1985.06.</t>
        </is>
      </c>
      <c r="F403" s="0" t="n">
        <v>81</v>
      </c>
      <c r="G403" s="0" t="n">
        <v>33.55</v>
      </c>
      <c r="H403" s="0" t="n">
        <v>110.92</v>
      </c>
      <c r="I403" s="0" t="n">
        <v>25.01</v>
      </c>
      <c r="J403" s="0" t="n">
        <v>82.68000000000001</v>
      </c>
      <c r="K403" s="0" t="n">
        <v>9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110</v>
      </c>
      <c r="X403" s="0" t="n">
        <v>9</v>
      </c>
      <c r="Y403" s="0" t="n">
        <v>9</v>
      </c>
      <c r="Z403" s="0" t="inlineStr">
        <is>
          <t>https://new.land.naver.com/complexes/11198?tab=detail&amp;rf=Y</t>
        </is>
      </c>
      <c r="AA403" s="0" t="inlineStr">
        <is>
          <t>경기도 수원시 장안구 정자동 31-3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장안구</t>
        </is>
      </c>
      <c r="AE403" s="0" t="inlineStr">
        <is>
          <t>정자동</t>
        </is>
      </c>
      <c r="AG403" s="0" t="inlineStr">
        <is>
          <t>경기도 수원시 장안구 수성로275번길 92</t>
        </is>
      </c>
      <c r="AH403" s="0" t="n">
        <v>0</v>
      </c>
      <c r="AI403" s="0" t="n">
        <v>0</v>
      </c>
      <c r="AJ403" s="0" t="n">
        <v>0</v>
      </c>
      <c r="AK403" s="0" t="n">
        <v>0</v>
      </c>
      <c r="AL403" s="0" t="n">
        <v>0</v>
      </c>
    </row>
    <row r="404">
      <c r="A404" s="0" t="inlineStr">
        <is>
          <t>[정자동]</t>
        </is>
      </c>
      <c r="B404" s="0" t="n">
        <v>138742</v>
      </c>
      <c r="C404" s="0" t="n">
        <v>1</v>
      </c>
      <c r="D404" s="0" t="inlineStr">
        <is>
          <t>익주</t>
        </is>
      </c>
      <c r="E404" s="0" t="inlineStr">
        <is>
          <t>1992.03.</t>
        </is>
      </c>
      <c r="F404" s="0" t="n">
        <v>19</v>
      </c>
      <c r="G404" s="0" t="n">
        <v>32.01</v>
      </c>
      <c r="H404" s="0" t="n">
        <v>105.84</v>
      </c>
      <c r="I404" s="0" t="n">
        <v>26.08</v>
      </c>
      <c r="J404" s="0" t="n">
        <v>86.22</v>
      </c>
      <c r="K404" s="0" t="n">
        <v>10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5</v>
      </c>
      <c r="Y404" s="0" t="n">
        <v>5</v>
      </c>
      <c r="Z404" s="0" t="inlineStr">
        <is>
          <t>https://new.land.naver.com/complexes/138742?tab=detail&amp;rf=Y</t>
        </is>
      </c>
      <c r="AA404" s="0" t="inlineStr">
        <is>
          <t>경기도 수원시 장안구 정자동 23-7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장안구</t>
        </is>
      </c>
      <c r="AE404" s="0" t="inlineStr">
        <is>
          <t>정자동</t>
        </is>
      </c>
      <c r="AG404" s="0" t="inlineStr">
        <is>
          <t>경기도 수원시 장안구 장안로151번길 18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[정자동]</t>
        </is>
      </c>
      <c r="B405" s="0" t="n">
        <v>138742</v>
      </c>
      <c r="C405" s="0" t="n">
        <v>2</v>
      </c>
      <c r="D405" s="0" t="inlineStr">
        <is>
          <t>익주</t>
        </is>
      </c>
      <c r="E405" s="0" t="inlineStr">
        <is>
          <t>1992.03.</t>
        </is>
      </c>
      <c r="F405" s="0" t="n">
        <v>19</v>
      </c>
      <c r="G405" s="0" t="n">
        <v>34.81</v>
      </c>
      <c r="H405" s="0" t="n">
        <v>115.09</v>
      </c>
      <c r="I405" s="0" t="n">
        <v>28.36</v>
      </c>
      <c r="J405" s="0" t="n">
        <v>93.76000000000001</v>
      </c>
      <c r="K405" s="0" t="n">
        <v>5</v>
      </c>
      <c r="T405" s="0" t="n">
        <v>4</v>
      </c>
      <c r="U405" s="0" t="n">
        <v>2</v>
      </c>
      <c r="V405" s="0" t="inlineStr">
        <is>
          <t>계단식</t>
        </is>
      </c>
      <c r="W405" s="0" t="n">
        <v>115</v>
      </c>
      <c r="X405" s="0" t="n">
        <v>5</v>
      </c>
      <c r="Y405" s="0" t="n">
        <v>5</v>
      </c>
      <c r="Z405" s="0" t="inlineStr">
        <is>
          <t>https://new.land.naver.com/complexes/138742?tab=detail&amp;rf=Y</t>
        </is>
      </c>
      <c r="AA405" s="0" t="inlineStr">
        <is>
          <t>경기도 수원시 장안구 정자동 23-7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장안구</t>
        </is>
      </c>
      <c r="AE405" s="0" t="inlineStr">
        <is>
          <t>정자동</t>
        </is>
      </c>
      <c r="AG405" s="0" t="inlineStr">
        <is>
          <t>경기도 수원시 장안구 장안로151번길 18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[정자동]</t>
        </is>
      </c>
      <c r="B406" s="0" t="n">
        <v>138742</v>
      </c>
      <c r="C406" s="0" t="n">
        <v>3</v>
      </c>
      <c r="D406" s="0" t="inlineStr">
        <is>
          <t>익주</t>
        </is>
      </c>
      <c r="E406" s="0" t="inlineStr">
        <is>
          <t>1992.03.</t>
        </is>
      </c>
      <c r="F406" s="0" t="n">
        <v>19</v>
      </c>
      <c r="G406" s="0" t="n">
        <v>39.08</v>
      </c>
      <c r="H406" s="0" t="n">
        <v>129.22</v>
      </c>
      <c r="I406" s="0" t="n">
        <v>31.84</v>
      </c>
      <c r="J406" s="0" t="n">
        <v>105.27</v>
      </c>
      <c r="K406" s="0" t="n">
        <v>3</v>
      </c>
      <c r="T406" s="0" t="n">
        <v>4</v>
      </c>
      <c r="U406" s="0" t="n">
        <v>2</v>
      </c>
      <c r="V406" s="0" t="inlineStr">
        <is>
          <t>계단식</t>
        </is>
      </c>
      <c r="W406" s="0" t="n">
        <v>129</v>
      </c>
      <c r="X406" s="0" t="n">
        <v>5</v>
      </c>
      <c r="Y406" s="0" t="n">
        <v>5</v>
      </c>
      <c r="Z406" s="0" t="inlineStr">
        <is>
          <t>https://new.land.naver.com/complexes/138742?tab=detail&amp;rf=Y</t>
        </is>
      </c>
      <c r="AA406" s="0" t="inlineStr">
        <is>
          <t>경기도 수원시 장안구 정자동 23-7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장안구</t>
        </is>
      </c>
      <c r="AE406" s="0" t="inlineStr">
        <is>
          <t>정자동</t>
        </is>
      </c>
      <c r="AG406" s="0" t="inlineStr">
        <is>
          <t>경기도 수원시 장안구 장안로151번길 18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[정자동]</t>
        </is>
      </c>
      <c r="B407" s="0" t="n">
        <v>138742</v>
      </c>
      <c r="C407" s="0" t="n">
        <v>4</v>
      </c>
      <c r="D407" s="0" t="inlineStr">
        <is>
          <t>익주</t>
        </is>
      </c>
      <c r="E407" s="0" t="inlineStr">
        <is>
          <t>1992.03.</t>
        </is>
      </c>
      <c r="F407" s="0" t="n">
        <v>19</v>
      </c>
      <c r="G407" s="0" t="n">
        <v>51.93</v>
      </c>
      <c r="H407" s="0" t="n">
        <v>171.69</v>
      </c>
      <c r="I407" s="0" t="n">
        <v>42.31</v>
      </c>
      <c r="J407" s="0" t="n">
        <v>139.9</v>
      </c>
      <c r="K407" s="0" t="n">
        <v>1</v>
      </c>
      <c r="T407" s="0" t="n">
        <v>5</v>
      </c>
      <c r="U407" s="0" t="n">
        <v>3</v>
      </c>
      <c r="V407" s="0" t="inlineStr">
        <is>
          <t>계단식</t>
        </is>
      </c>
      <c r="W407" s="0" t="n">
        <v>171</v>
      </c>
      <c r="X407" s="0" t="n">
        <v>5</v>
      </c>
      <c r="Y407" s="0" t="n">
        <v>5</v>
      </c>
      <c r="Z407" s="0" t="inlineStr">
        <is>
          <t>https://new.land.naver.com/complexes/138742?tab=detail&amp;rf=Y</t>
        </is>
      </c>
      <c r="AA407" s="0" t="inlineStr">
        <is>
          <t>경기도 수원시 장안구 정자동 23-7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장안구</t>
        </is>
      </c>
      <c r="AE407" s="0" t="inlineStr">
        <is>
          <t>정자동</t>
        </is>
      </c>
      <c r="AG407" s="0" t="inlineStr">
        <is>
          <t>경기도 수원시 장안구 장안로151번길 18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[정자동]</t>
        </is>
      </c>
      <c r="B408" s="0" t="n">
        <v>18095</v>
      </c>
      <c r="C408" s="0" t="n">
        <v>1</v>
      </c>
      <c r="D408" s="0" t="inlineStr">
        <is>
          <t>세종리바트</t>
        </is>
      </c>
      <c r="E408" s="0" t="inlineStr">
        <is>
          <t>2001.11.</t>
        </is>
      </c>
      <c r="F408" s="0" t="n">
        <v>17</v>
      </c>
      <c r="G408" s="0" t="n">
        <v>12.27</v>
      </c>
      <c r="H408" s="0" t="n">
        <v>40.59</v>
      </c>
      <c r="I408" s="0" t="n">
        <v>7.75</v>
      </c>
      <c r="J408" s="0" t="n">
        <v>25.65</v>
      </c>
      <c r="K408" s="0" t="n">
        <v>3</v>
      </c>
      <c r="T408" s="0" t="n">
        <v>1</v>
      </c>
      <c r="U408" s="0" t="n">
        <v>1</v>
      </c>
      <c r="V408" s="0" t="inlineStr">
        <is>
          <t>복도식</t>
        </is>
      </c>
      <c r="W408" s="0" t="n">
        <v>40</v>
      </c>
      <c r="X408" s="0" t="n">
        <v>7</v>
      </c>
      <c r="Y408" s="0" t="n">
        <v>7</v>
      </c>
      <c r="Z408" s="0" t="inlineStr">
        <is>
          <t>https://new.land.naver.com/complexes/18095?tab=detail&amp;rf=Y</t>
        </is>
      </c>
      <c r="AA408" s="0" t="inlineStr">
        <is>
          <t>경기도 수원시 장안구 정자동 23-1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장안구</t>
        </is>
      </c>
      <c r="AE408" s="0" t="inlineStr">
        <is>
          <t>정자동</t>
        </is>
      </c>
      <c r="AG408" s="0" t="inlineStr">
        <is>
          <t>경기도 수원시 장안구 장안로155번길 15</t>
        </is>
      </c>
      <c r="AH408" s="0" t="n">
        <v>0</v>
      </c>
      <c r="AI408" s="0" t="n">
        <v>249</v>
      </c>
      <c r="AJ408" s="0" t="n">
        <v>48</v>
      </c>
      <c r="AK408" s="0" t="n">
        <v>11</v>
      </c>
      <c r="AL408" s="0" t="n">
        <v>0.65</v>
      </c>
    </row>
    <row r="409">
      <c r="A409" s="0" t="inlineStr">
        <is>
          <t>[정자동]</t>
        </is>
      </c>
      <c r="B409" s="0" t="n">
        <v>18095</v>
      </c>
      <c r="C409" s="0" t="n">
        <v>2</v>
      </c>
      <c r="D409" s="0" t="inlineStr">
        <is>
          <t>세종리바트</t>
        </is>
      </c>
      <c r="E409" s="0" t="inlineStr">
        <is>
          <t>2001.11.</t>
        </is>
      </c>
      <c r="F409" s="0" t="n">
        <v>17</v>
      </c>
      <c r="G409" s="0" t="n">
        <v>13.14</v>
      </c>
      <c r="H409" s="0" t="n">
        <v>43.44</v>
      </c>
      <c r="I409" s="0" t="n">
        <v>8.300000000000001</v>
      </c>
      <c r="J409" s="0" t="n">
        <v>27.45</v>
      </c>
      <c r="K409" s="0" t="n">
        <v>3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43A</t>
        </is>
      </c>
      <c r="X409" s="0" t="n">
        <v>7</v>
      </c>
      <c r="Y409" s="0" t="n">
        <v>7</v>
      </c>
      <c r="Z409" s="0" t="inlineStr">
        <is>
          <t>https://new.land.naver.com/complexes/18095?tab=detail&amp;rf=Y</t>
        </is>
      </c>
      <c r="AA409" s="0" t="inlineStr">
        <is>
          <t>경기도 수원시 장안구 정자동 23-1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장안구</t>
        </is>
      </c>
      <c r="AE409" s="0" t="inlineStr">
        <is>
          <t>정자동</t>
        </is>
      </c>
      <c r="AG409" s="0" t="inlineStr">
        <is>
          <t>경기도 수원시 장안구 장안로155번길 15</t>
        </is>
      </c>
      <c r="AH409" s="0" t="n">
        <v>0</v>
      </c>
      <c r="AI409" s="0" t="n">
        <v>249</v>
      </c>
      <c r="AJ409" s="0" t="n">
        <v>48</v>
      </c>
      <c r="AK409" s="0" t="n">
        <v>11</v>
      </c>
      <c r="AL409" s="0" t="n">
        <v>0.65</v>
      </c>
    </row>
    <row r="410">
      <c r="A410" s="0" t="inlineStr">
        <is>
          <t>[정자동]</t>
        </is>
      </c>
      <c r="B410" s="0" t="n">
        <v>18095</v>
      </c>
      <c r="C410" s="0" t="n">
        <v>3</v>
      </c>
      <c r="D410" s="0" t="inlineStr">
        <is>
          <t>세종리바트</t>
        </is>
      </c>
      <c r="E410" s="0" t="inlineStr">
        <is>
          <t>2001.11.</t>
        </is>
      </c>
      <c r="F410" s="0" t="n">
        <v>17</v>
      </c>
      <c r="G410" s="0" t="n">
        <v>13.44</v>
      </c>
      <c r="H410" s="0" t="n">
        <v>44.44</v>
      </c>
      <c r="I410" s="0" t="n">
        <v>8.49</v>
      </c>
      <c r="J410" s="0" t="n">
        <v>28.08</v>
      </c>
      <c r="K410" s="0" t="n">
        <v>3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44B</t>
        </is>
      </c>
      <c r="X410" s="0" t="n">
        <v>7</v>
      </c>
      <c r="Y410" s="0" t="n">
        <v>7</v>
      </c>
      <c r="Z410" s="0" t="inlineStr">
        <is>
          <t>https://new.land.naver.com/complexes/18095?tab=detail&amp;rf=Y</t>
        </is>
      </c>
      <c r="AA410" s="0" t="inlineStr">
        <is>
          <t>경기도 수원시 장안구 정자동 23-1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장안구</t>
        </is>
      </c>
      <c r="AE410" s="0" t="inlineStr">
        <is>
          <t>정자동</t>
        </is>
      </c>
      <c r="AG410" s="0" t="inlineStr">
        <is>
          <t>경기도 수원시 장안구 장안로155번길 15</t>
        </is>
      </c>
      <c r="AH410" s="0" t="n">
        <v>0</v>
      </c>
      <c r="AI410" s="0" t="n">
        <v>249</v>
      </c>
      <c r="AJ410" s="0" t="n">
        <v>48</v>
      </c>
      <c r="AK410" s="0" t="n">
        <v>11</v>
      </c>
      <c r="AL410" s="0" t="n">
        <v>0.65</v>
      </c>
    </row>
    <row r="411">
      <c r="A411" s="0" t="inlineStr">
        <is>
          <t>[정자동]</t>
        </is>
      </c>
      <c r="B411" s="0" t="n">
        <v>18095</v>
      </c>
      <c r="C411" s="0" t="n">
        <v>4</v>
      </c>
      <c r="D411" s="0" t="inlineStr">
        <is>
          <t>세종리바트</t>
        </is>
      </c>
      <c r="E411" s="0" t="inlineStr">
        <is>
          <t>2001.11.</t>
        </is>
      </c>
      <c r="F411" s="0" t="n">
        <v>17</v>
      </c>
      <c r="G411" s="0" t="n">
        <v>13.91</v>
      </c>
      <c r="H411" s="0" t="n">
        <v>46</v>
      </c>
      <c r="I411" s="0" t="n">
        <v>8.789999999999999</v>
      </c>
      <c r="J411" s="0" t="n">
        <v>29.07</v>
      </c>
      <c r="K411" s="0" t="n">
        <v>6</v>
      </c>
      <c r="T411" s="0" t="n">
        <v>1</v>
      </c>
      <c r="U411" s="0" t="n">
        <v>1</v>
      </c>
      <c r="V411" s="0" t="inlineStr">
        <is>
          <t>복도식</t>
        </is>
      </c>
      <c r="W411" s="0" t="n">
        <v>46</v>
      </c>
      <c r="X411" s="0" t="n">
        <v>7</v>
      </c>
      <c r="Y411" s="0" t="n">
        <v>7</v>
      </c>
      <c r="Z411" s="0" t="inlineStr">
        <is>
          <t>https://new.land.naver.com/complexes/18095?tab=detail&amp;rf=Y</t>
        </is>
      </c>
      <c r="AA411" s="0" t="inlineStr">
        <is>
          <t>경기도 수원시 장안구 정자동 23-1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장안구</t>
        </is>
      </c>
      <c r="AE411" s="0" t="inlineStr">
        <is>
          <t>정자동</t>
        </is>
      </c>
      <c r="AG411" s="0" t="inlineStr">
        <is>
          <t>경기도 수원시 장안구 장안로155번길 15</t>
        </is>
      </c>
      <c r="AH411" s="0" t="n">
        <v>0</v>
      </c>
      <c r="AI411" s="0" t="n">
        <v>249</v>
      </c>
      <c r="AJ411" s="0" t="n">
        <v>48</v>
      </c>
      <c r="AK411" s="0" t="n">
        <v>11</v>
      </c>
      <c r="AL411" s="0" t="n">
        <v>0.65</v>
      </c>
    </row>
    <row r="412">
      <c r="A412" s="0" t="inlineStr">
        <is>
          <t>[정자동]</t>
        </is>
      </c>
      <c r="B412" s="0" t="n">
        <v>18095</v>
      </c>
      <c r="C412" s="0" t="n">
        <v>5</v>
      </c>
      <c r="D412" s="0" t="inlineStr">
        <is>
          <t>세종리바트</t>
        </is>
      </c>
      <c r="E412" s="0" t="inlineStr">
        <is>
          <t>2001.11.</t>
        </is>
      </c>
      <c r="F412" s="0" t="n">
        <v>17</v>
      </c>
      <c r="G412" s="0" t="n">
        <v>18.71</v>
      </c>
      <c r="H412" s="0" t="n">
        <v>61.86</v>
      </c>
      <c r="I412" s="0" t="n">
        <v>11.25</v>
      </c>
      <c r="J412" s="0" t="n">
        <v>37.2</v>
      </c>
      <c r="K412" s="0" t="n">
        <v>2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61</v>
      </c>
      <c r="X412" s="0" t="n">
        <v>7</v>
      </c>
      <c r="Y412" s="0" t="n">
        <v>7</v>
      </c>
      <c r="Z412" s="0" t="inlineStr">
        <is>
          <t>https://new.land.naver.com/complexes/18095?tab=detail&amp;rf=Y</t>
        </is>
      </c>
      <c r="AA412" s="0" t="inlineStr">
        <is>
          <t>경기도 수원시 장안구 정자동 23-1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장안구</t>
        </is>
      </c>
      <c r="AE412" s="0" t="inlineStr">
        <is>
          <t>정자동</t>
        </is>
      </c>
      <c r="AG412" s="0" t="inlineStr">
        <is>
          <t>경기도 수원시 장안구 장안로155번길 15</t>
        </is>
      </c>
      <c r="AH412" s="0" t="n">
        <v>0</v>
      </c>
      <c r="AI412" s="0" t="n">
        <v>249</v>
      </c>
      <c r="AJ412" s="0" t="n">
        <v>48</v>
      </c>
      <c r="AK412" s="0" t="n">
        <v>11</v>
      </c>
      <c r="AL412" s="0" t="n">
        <v>0.65</v>
      </c>
    </row>
    <row r="413">
      <c r="A413" s="0" t="inlineStr">
        <is>
          <t>[정자동]</t>
        </is>
      </c>
      <c r="B413" s="0" t="n">
        <v>17269</v>
      </c>
      <c r="C413" s="0" t="n">
        <v>1</v>
      </c>
      <c r="D413" s="0" t="inlineStr">
        <is>
          <t>동신3차</t>
        </is>
      </c>
      <c r="E413" s="0" t="inlineStr">
        <is>
          <t>1989.12.</t>
        </is>
      </c>
      <c r="F413" s="0" t="n">
        <v>330</v>
      </c>
      <c r="G413" s="0" t="n">
        <v>28.08</v>
      </c>
      <c r="H413" s="0" t="n">
        <v>92.84999999999999</v>
      </c>
      <c r="I413" s="0" t="n">
        <v>20.92</v>
      </c>
      <c r="J413" s="0" t="n">
        <v>69.18000000000001</v>
      </c>
      <c r="K413" s="0" t="n">
        <v>90</v>
      </c>
      <c r="T413" s="0" t="n">
        <v>3</v>
      </c>
      <c r="U413" s="0" t="n">
        <v>1</v>
      </c>
      <c r="V413" s="0" t="inlineStr">
        <is>
          <t>복도식</t>
        </is>
      </c>
      <c r="W413" s="0" t="n">
        <v>92</v>
      </c>
      <c r="X413" s="0" t="n">
        <v>15</v>
      </c>
      <c r="Y413" s="0" t="n">
        <v>15</v>
      </c>
      <c r="Z413" s="0" t="inlineStr">
        <is>
          <t>https://new.land.naver.com/complexes/17269?tab=detail&amp;rf=Y</t>
        </is>
      </c>
      <c r="AA413" s="0" t="inlineStr">
        <is>
          <t>경기도 수원시 장안구 정자동 304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장안구</t>
        </is>
      </c>
      <c r="AE413" s="0" t="inlineStr">
        <is>
          <t>정자동</t>
        </is>
      </c>
      <c r="AG413" s="0" t="inlineStr">
        <is>
          <t>경기도 수원시 장안구 장안로 200</t>
        </is>
      </c>
      <c r="AH413" s="0" t="n">
        <v>0</v>
      </c>
      <c r="AI413" s="0" t="n">
        <v>238</v>
      </c>
      <c r="AJ413" s="0" t="n">
        <v>16</v>
      </c>
      <c r="AK413" s="0" t="n">
        <v>0</v>
      </c>
      <c r="AL413" s="0" t="n">
        <v>0</v>
      </c>
    </row>
    <row r="414">
      <c r="A414" s="0" t="inlineStr">
        <is>
          <t>[정자동]</t>
        </is>
      </c>
      <c r="B414" s="0" t="n">
        <v>17269</v>
      </c>
      <c r="C414" s="0" t="n">
        <v>2</v>
      </c>
      <c r="D414" s="0" t="inlineStr">
        <is>
          <t>동신3차</t>
        </is>
      </c>
      <c r="E414" s="0" t="inlineStr">
        <is>
          <t>1989.12.</t>
        </is>
      </c>
      <c r="F414" s="0" t="n">
        <v>330</v>
      </c>
      <c r="G414" s="0" t="n">
        <v>34.67</v>
      </c>
      <c r="H414" s="0" t="n">
        <v>114.62</v>
      </c>
      <c r="I414" s="0" t="n">
        <v>25.69</v>
      </c>
      <c r="J414" s="0" t="n">
        <v>84.93000000000001</v>
      </c>
      <c r="K414" s="0" t="n">
        <v>240</v>
      </c>
      <c r="T414" s="0" t="n">
        <v>4</v>
      </c>
      <c r="U414" s="0" t="n">
        <v>2</v>
      </c>
      <c r="V414" s="0" t="inlineStr">
        <is>
          <t>복도식</t>
        </is>
      </c>
      <c r="W414" s="0" t="n">
        <v>114</v>
      </c>
      <c r="X414" s="0" t="n">
        <v>15</v>
      </c>
      <c r="Y414" s="0" t="n">
        <v>15</v>
      </c>
      <c r="Z414" s="0" t="inlineStr">
        <is>
          <t>https://new.land.naver.com/complexes/17269?tab=detail&amp;rf=Y</t>
        </is>
      </c>
      <c r="AA414" s="0" t="inlineStr">
        <is>
          <t>경기도 수원시 장안구 정자동 304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장안구</t>
        </is>
      </c>
      <c r="AE414" s="0" t="inlineStr">
        <is>
          <t>정자동</t>
        </is>
      </c>
      <c r="AG414" s="0" t="inlineStr">
        <is>
          <t>경기도 수원시 장안구 장안로 200</t>
        </is>
      </c>
      <c r="AH414" s="0" t="n">
        <v>0</v>
      </c>
      <c r="AI414" s="0" t="n">
        <v>238</v>
      </c>
      <c r="AJ414" s="0" t="n">
        <v>16</v>
      </c>
      <c r="AK414" s="0" t="n">
        <v>0</v>
      </c>
      <c r="AL414" s="0" t="n">
        <v>0</v>
      </c>
    </row>
    <row r="415">
      <c r="A415" s="0" t="inlineStr">
        <is>
          <t>[정자동]</t>
        </is>
      </c>
      <c r="B415" s="0" t="n">
        <v>25066</v>
      </c>
      <c r="C415" s="0" t="n">
        <v>1</v>
      </c>
      <c r="D415" s="0" t="inlineStr">
        <is>
          <t>정자KTe-편한세상</t>
        </is>
      </c>
      <c r="E415" s="0" t="inlineStr">
        <is>
          <t>2008.01.</t>
        </is>
      </c>
      <c r="F415" s="0" t="n">
        <v>288</v>
      </c>
      <c r="G415" s="0" t="n">
        <v>32.03</v>
      </c>
      <c r="H415" s="0" t="n">
        <v>105.89</v>
      </c>
      <c r="I415" s="0" t="n">
        <v>25.63</v>
      </c>
      <c r="J415" s="0" t="n">
        <v>84.76000000000001</v>
      </c>
      <c r="K415" s="0" t="n">
        <v>58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105</v>
      </c>
      <c r="X415" s="0" t="n">
        <v>15</v>
      </c>
      <c r="Y415" s="0" t="n">
        <v>13</v>
      </c>
      <c r="Z415" s="0" t="inlineStr">
        <is>
          <t>https://new.land.naver.com/complexes/25066?tab=detail&amp;rf=Y</t>
        </is>
      </c>
      <c r="AA415" s="0" t="inlineStr">
        <is>
          <t>경기도 수원시 장안구 정자동 24-1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장안구</t>
        </is>
      </c>
      <c r="AE415" s="0" t="inlineStr">
        <is>
          <t>정자동</t>
        </is>
      </c>
      <c r="AG415" s="0" t="inlineStr">
        <is>
          <t>경기도 수원시 장안구 정자천로188번길 21</t>
        </is>
      </c>
      <c r="AH415" s="0" t="n">
        <v>0</v>
      </c>
      <c r="AI415" s="0" t="n">
        <v>229</v>
      </c>
      <c r="AJ415" s="0" t="n">
        <v>19</v>
      </c>
      <c r="AK415" s="0" t="n">
        <v>504</v>
      </c>
      <c r="AL415" s="0" t="n">
        <v>1.75</v>
      </c>
    </row>
    <row r="416">
      <c r="A416" s="0" t="inlineStr">
        <is>
          <t>[정자동]</t>
        </is>
      </c>
      <c r="B416" s="0" t="n">
        <v>25066</v>
      </c>
      <c r="C416" s="0" t="n">
        <v>2</v>
      </c>
      <c r="D416" s="0" t="inlineStr">
        <is>
          <t>정자KTe-편한세상</t>
        </is>
      </c>
      <c r="E416" s="0" t="inlineStr">
        <is>
          <t>2008.01.</t>
        </is>
      </c>
      <c r="F416" s="0" t="n">
        <v>288</v>
      </c>
      <c r="G416" s="0" t="n">
        <v>46.37</v>
      </c>
      <c r="H416" s="0" t="n">
        <v>153.29</v>
      </c>
      <c r="I416" s="0" t="n">
        <v>38.98</v>
      </c>
      <c r="J416" s="0" t="n">
        <v>128.86</v>
      </c>
      <c r="K416" s="0" t="n">
        <v>118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153</v>
      </c>
      <c r="X416" s="0" t="n">
        <v>15</v>
      </c>
      <c r="Y416" s="0" t="n">
        <v>13</v>
      </c>
      <c r="Z416" s="0" t="inlineStr">
        <is>
          <t>https://new.land.naver.com/complexes/25066?tab=detail&amp;rf=Y</t>
        </is>
      </c>
      <c r="AA416" s="0" t="inlineStr">
        <is>
          <t>경기도 수원시 장안구 정자동 24-1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장안구</t>
        </is>
      </c>
      <c r="AE416" s="0" t="inlineStr">
        <is>
          <t>정자동</t>
        </is>
      </c>
      <c r="AG416" s="0" t="inlineStr">
        <is>
          <t>경기도 수원시 장안구 정자천로188번길 21</t>
        </is>
      </c>
      <c r="AH416" s="0" t="n">
        <v>0</v>
      </c>
      <c r="AI416" s="0" t="n">
        <v>229</v>
      </c>
      <c r="AJ416" s="0" t="n">
        <v>19</v>
      </c>
      <c r="AK416" s="0" t="n">
        <v>504</v>
      </c>
      <c r="AL416" s="0" t="n">
        <v>1.75</v>
      </c>
    </row>
    <row r="417">
      <c r="A417" s="0" t="inlineStr">
        <is>
          <t>[정자동]</t>
        </is>
      </c>
      <c r="B417" s="0" t="n">
        <v>25066</v>
      </c>
      <c r="C417" s="0" t="n">
        <v>3</v>
      </c>
      <c r="D417" s="0" t="inlineStr">
        <is>
          <t>정자KTe-편한세상</t>
        </is>
      </c>
      <c r="E417" s="0" t="inlineStr">
        <is>
          <t>2008.01.</t>
        </is>
      </c>
      <c r="F417" s="0" t="n">
        <v>288</v>
      </c>
      <c r="G417" s="0" t="n">
        <v>50.84</v>
      </c>
      <c r="H417" s="0" t="n">
        <v>168.07</v>
      </c>
      <c r="I417" s="0" t="n">
        <v>42.56</v>
      </c>
      <c r="J417" s="0" t="n">
        <v>140.72</v>
      </c>
      <c r="K417" s="0" t="n">
        <v>60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168A</t>
        </is>
      </c>
      <c r="X417" s="0" t="n">
        <v>15</v>
      </c>
      <c r="Y417" s="0" t="n">
        <v>13</v>
      </c>
      <c r="Z417" s="0" t="inlineStr">
        <is>
          <t>https://new.land.naver.com/complexes/25066?tab=detail&amp;rf=Y</t>
        </is>
      </c>
      <c r="AA417" s="0" t="inlineStr">
        <is>
          <t>경기도 수원시 장안구 정자동 24-1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장안구</t>
        </is>
      </c>
      <c r="AE417" s="0" t="inlineStr">
        <is>
          <t>정자동</t>
        </is>
      </c>
      <c r="AG417" s="0" t="inlineStr">
        <is>
          <t>경기도 수원시 장안구 정자천로188번길 21</t>
        </is>
      </c>
      <c r="AH417" s="0" t="n">
        <v>0</v>
      </c>
      <c r="AI417" s="0" t="n">
        <v>229</v>
      </c>
      <c r="AJ417" s="0" t="n">
        <v>19</v>
      </c>
      <c r="AK417" s="0" t="n">
        <v>504</v>
      </c>
      <c r="AL417" s="0" t="n">
        <v>1.75</v>
      </c>
    </row>
    <row r="418">
      <c r="A418" s="0" t="inlineStr">
        <is>
          <t>[정자동]</t>
        </is>
      </c>
      <c r="B418" s="0" t="n">
        <v>25066</v>
      </c>
      <c r="C418" s="0" t="n">
        <v>4</v>
      </c>
      <c r="D418" s="0" t="inlineStr">
        <is>
          <t>정자KTe-편한세상</t>
        </is>
      </c>
      <c r="E418" s="0" t="inlineStr">
        <is>
          <t>2008.01.</t>
        </is>
      </c>
      <c r="F418" s="0" t="n">
        <v>288</v>
      </c>
      <c r="G418" s="0" t="n">
        <v>50.84</v>
      </c>
      <c r="H418" s="0" t="n">
        <v>168.09</v>
      </c>
      <c r="I418" s="0" t="n">
        <v>43.38</v>
      </c>
      <c r="J418" s="0" t="n">
        <v>143.41</v>
      </c>
      <c r="K418" s="0" t="n">
        <v>52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168B</t>
        </is>
      </c>
      <c r="X418" s="0" t="n">
        <v>15</v>
      </c>
      <c r="Y418" s="0" t="n">
        <v>13</v>
      </c>
      <c r="Z418" s="0" t="inlineStr">
        <is>
          <t>https://new.land.naver.com/complexes/25066?tab=detail&amp;rf=Y</t>
        </is>
      </c>
      <c r="AA418" s="0" t="inlineStr">
        <is>
          <t>경기도 수원시 장안구 정자동 24-1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장안구</t>
        </is>
      </c>
      <c r="AE418" s="0" t="inlineStr">
        <is>
          <t>정자동</t>
        </is>
      </c>
      <c r="AG418" s="0" t="inlineStr">
        <is>
          <t>경기도 수원시 장안구 정자천로188번길 21</t>
        </is>
      </c>
      <c r="AH418" s="0" t="n">
        <v>0</v>
      </c>
      <c r="AI418" s="0" t="n">
        <v>229</v>
      </c>
      <c r="AJ418" s="0" t="n">
        <v>19</v>
      </c>
      <c r="AK418" s="0" t="n">
        <v>504</v>
      </c>
      <c r="AL418" s="0" t="n">
        <v>1.75</v>
      </c>
    </row>
    <row r="419">
      <c r="A419" s="0" t="inlineStr">
        <is>
          <t>[정자동]</t>
        </is>
      </c>
      <c r="B419" s="0" t="n">
        <v>26666</v>
      </c>
      <c r="C419" s="0" t="n">
        <v>1</v>
      </c>
      <c r="D419" s="0" t="inlineStr">
        <is>
          <t>가림</t>
        </is>
      </c>
      <c r="E419" s="0" t="inlineStr">
        <is>
          <t>2007.11.</t>
        </is>
      </c>
      <c r="F419" s="0" t="n">
        <v>56</v>
      </c>
      <c r="G419" s="0" t="n">
        <v>27.72</v>
      </c>
      <c r="H419" s="0" t="n">
        <v>91.65000000000001</v>
      </c>
      <c r="I419" s="0" t="n">
        <v>23.89</v>
      </c>
      <c r="J419" s="0" t="n">
        <v>78.98999999999999</v>
      </c>
      <c r="K419" s="0" t="n">
        <v>8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91A</t>
        </is>
      </c>
      <c r="X419" s="0" t="n">
        <v>10</v>
      </c>
      <c r="Y419" s="0" t="n">
        <v>10</v>
      </c>
      <c r="Z419" s="0" t="inlineStr">
        <is>
          <t>https://new.land.naver.com/complexes/26666?tab=detail&amp;rf=Y</t>
        </is>
      </c>
      <c r="AA419" s="0" t="inlineStr">
        <is>
          <t>경기도 수원시 장안구 정자동 36-20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장안구</t>
        </is>
      </c>
      <c r="AE419" s="0" t="inlineStr">
        <is>
          <t>정자동</t>
        </is>
      </c>
      <c r="AG419" s="0" t="inlineStr">
        <is>
          <t>경기도 수원시 장안구 송정로76번길 14</t>
        </is>
      </c>
      <c r="AH419" s="0" t="n">
        <v>0</v>
      </c>
      <c r="AI419" s="0" t="n">
        <v>356</v>
      </c>
      <c r="AJ419" s="0" t="n">
        <v>47</v>
      </c>
      <c r="AK419" s="0" t="n">
        <v>68</v>
      </c>
      <c r="AL419" s="0" t="n">
        <v>1.21</v>
      </c>
    </row>
    <row r="420">
      <c r="A420" s="0" t="inlineStr">
        <is>
          <t>[정자동]</t>
        </is>
      </c>
      <c r="B420" s="0" t="n">
        <v>26666</v>
      </c>
      <c r="C420" s="0" t="n">
        <v>2</v>
      </c>
      <c r="D420" s="0" t="inlineStr">
        <is>
          <t>가림</t>
        </is>
      </c>
      <c r="E420" s="0" t="inlineStr">
        <is>
          <t>2007.11.</t>
        </is>
      </c>
      <c r="F420" s="0" t="n">
        <v>56</v>
      </c>
      <c r="G420" s="0" t="n">
        <v>28.2</v>
      </c>
      <c r="H420" s="0" t="n">
        <v>93.23</v>
      </c>
      <c r="I420" s="0" t="n">
        <v>24.3</v>
      </c>
      <c r="J420" s="0" t="n">
        <v>80.34999999999999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93B</t>
        </is>
      </c>
      <c r="X420" s="0" t="n">
        <v>10</v>
      </c>
      <c r="Y420" s="0" t="n">
        <v>10</v>
      </c>
      <c r="Z420" s="0" t="inlineStr">
        <is>
          <t>https://new.land.naver.com/complexes/26666?tab=detail&amp;rf=Y</t>
        </is>
      </c>
      <c r="AA420" s="0" t="inlineStr">
        <is>
          <t>경기도 수원시 장안구 정자동 36-20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장안구</t>
        </is>
      </c>
      <c r="AE420" s="0" t="inlineStr">
        <is>
          <t>정자동</t>
        </is>
      </c>
      <c r="AG420" s="0" t="inlineStr">
        <is>
          <t>경기도 수원시 장안구 송정로76번길 14</t>
        </is>
      </c>
      <c r="AH420" s="0" t="n">
        <v>0</v>
      </c>
      <c r="AI420" s="0" t="n">
        <v>356</v>
      </c>
      <c r="AJ420" s="0" t="n">
        <v>47</v>
      </c>
      <c r="AK420" s="0" t="n">
        <v>68</v>
      </c>
      <c r="AL420" s="0" t="n">
        <v>1.21</v>
      </c>
    </row>
    <row r="421">
      <c r="A421" s="0" t="inlineStr">
        <is>
          <t>[정자동]</t>
        </is>
      </c>
      <c r="B421" s="0" t="n">
        <v>26666</v>
      </c>
      <c r="C421" s="0" t="n">
        <v>3</v>
      </c>
      <c r="D421" s="0" t="inlineStr">
        <is>
          <t>가림</t>
        </is>
      </c>
      <c r="E421" s="0" t="inlineStr">
        <is>
          <t>2007.11.</t>
        </is>
      </c>
      <c r="F421" s="0" t="n">
        <v>56</v>
      </c>
      <c r="G421" s="0" t="n">
        <v>29.79</v>
      </c>
      <c r="H421" s="0" t="n">
        <v>98.51000000000001</v>
      </c>
      <c r="I421" s="0" t="n">
        <v>25.68</v>
      </c>
      <c r="J421" s="0" t="n">
        <v>84.90000000000001</v>
      </c>
      <c r="K421" s="0" t="n">
        <v>8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98</v>
      </c>
      <c r="X421" s="0" t="n">
        <v>10</v>
      </c>
      <c r="Y421" s="0" t="n">
        <v>10</v>
      </c>
      <c r="Z421" s="0" t="inlineStr">
        <is>
          <t>https://new.land.naver.com/complexes/26666?tab=detail&amp;rf=Y</t>
        </is>
      </c>
      <c r="AA421" s="0" t="inlineStr">
        <is>
          <t>경기도 수원시 장안구 정자동 36-20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장안구</t>
        </is>
      </c>
      <c r="AE421" s="0" t="inlineStr">
        <is>
          <t>정자동</t>
        </is>
      </c>
      <c r="AG421" s="0" t="inlineStr">
        <is>
          <t>경기도 수원시 장안구 송정로76번길 14</t>
        </is>
      </c>
      <c r="AH421" s="0" t="n">
        <v>0</v>
      </c>
      <c r="AI421" s="0" t="n">
        <v>356</v>
      </c>
      <c r="AJ421" s="0" t="n">
        <v>47</v>
      </c>
      <c r="AK421" s="0" t="n">
        <v>68</v>
      </c>
      <c r="AL421" s="0" t="n">
        <v>1.21</v>
      </c>
    </row>
    <row r="422">
      <c r="A422" s="0" t="inlineStr">
        <is>
          <t>[정자동]</t>
        </is>
      </c>
      <c r="B422" s="0" t="n">
        <v>26666</v>
      </c>
      <c r="C422" s="0" t="n">
        <v>4</v>
      </c>
      <c r="D422" s="0" t="inlineStr">
        <is>
          <t>가림</t>
        </is>
      </c>
      <c r="E422" s="0" t="inlineStr">
        <is>
          <t>2007.11.</t>
        </is>
      </c>
      <c r="F422" s="0" t="n">
        <v>56</v>
      </c>
      <c r="G422" s="0" t="n">
        <v>31.93</v>
      </c>
      <c r="H422" s="0" t="n">
        <v>105.57</v>
      </c>
      <c r="I422" s="0" t="n">
        <v>27.52</v>
      </c>
      <c r="J422" s="0" t="n">
        <v>90.98</v>
      </c>
      <c r="K422" s="0" t="n">
        <v>8</v>
      </c>
      <c r="T422" s="0" t="n">
        <v>4</v>
      </c>
      <c r="U422" s="0" t="n">
        <v>2</v>
      </c>
      <c r="V422" s="0" t="inlineStr">
        <is>
          <t>계단식</t>
        </is>
      </c>
      <c r="W422" s="0" t="inlineStr">
        <is>
          <t>105A</t>
        </is>
      </c>
      <c r="X422" s="0" t="n">
        <v>10</v>
      </c>
      <c r="Y422" s="0" t="n">
        <v>10</v>
      </c>
      <c r="Z422" s="0" t="inlineStr">
        <is>
          <t>https://new.land.naver.com/complexes/26666?tab=detail&amp;rf=Y</t>
        </is>
      </c>
      <c r="AA422" s="0" t="inlineStr">
        <is>
          <t>경기도 수원시 장안구 정자동 36-20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장안구</t>
        </is>
      </c>
      <c r="AE422" s="0" t="inlineStr">
        <is>
          <t>정자동</t>
        </is>
      </c>
      <c r="AG422" s="0" t="inlineStr">
        <is>
          <t>경기도 수원시 장안구 송정로76번길 14</t>
        </is>
      </c>
      <c r="AH422" s="0" t="n">
        <v>0</v>
      </c>
      <c r="AI422" s="0" t="n">
        <v>356</v>
      </c>
      <c r="AJ422" s="0" t="n">
        <v>47</v>
      </c>
      <c r="AK422" s="0" t="n">
        <v>68</v>
      </c>
      <c r="AL422" s="0" t="n">
        <v>1.21</v>
      </c>
    </row>
    <row r="423">
      <c r="A423" s="0" t="inlineStr">
        <is>
          <t>[정자동]</t>
        </is>
      </c>
      <c r="B423" s="0" t="n">
        <v>26666</v>
      </c>
      <c r="C423" s="0" t="n">
        <v>5</v>
      </c>
      <c r="D423" s="0" t="inlineStr">
        <is>
          <t>가림</t>
        </is>
      </c>
      <c r="E423" s="0" t="inlineStr">
        <is>
          <t>2007.11.</t>
        </is>
      </c>
      <c r="F423" s="0" t="n">
        <v>56</v>
      </c>
      <c r="G423" s="0" t="n">
        <v>32.18</v>
      </c>
      <c r="H423" s="0" t="n">
        <v>106.4</v>
      </c>
      <c r="I423" s="0" t="n">
        <v>27.73</v>
      </c>
      <c r="J423" s="0" t="n">
        <v>91.7</v>
      </c>
      <c r="K423" s="0" t="n">
        <v>8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106B</t>
        </is>
      </c>
      <c r="X423" s="0" t="n">
        <v>10</v>
      </c>
      <c r="Y423" s="0" t="n">
        <v>10</v>
      </c>
      <c r="Z423" s="0" t="inlineStr">
        <is>
          <t>https://new.land.naver.com/complexes/26666?tab=detail&amp;rf=Y</t>
        </is>
      </c>
      <c r="AA423" s="0" t="inlineStr">
        <is>
          <t>경기도 수원시 장안구 정자동 36-20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장안구</t>
        </is>
      </c>
      <c r="AE423" s="0" t="inlineStr">
        <is>
          <t>정자동</t>
        </is>
      </c>
      <c r="AG423" s="0" t="inlineStr">
        <is>
          <t>경기도 수원시 장안구 송정로76번길 14</t>
        </is>
      </c>
      <c r="AH423" s="0" t="n">
        <v>0</v>
      </c>
      <c r="AI423" s="0" t="n">
        <v>356</v>
      </c>
      <c r="AJ423" s="0" t="n">
        <v>47</v>
      </c>
      <c r="AK423" s="0" t="n">
        <v>68</v>
      </c>
      <c r="AL423" s="0" t="n">
        <v>1.21</v>
      </c>
    </row>
    <row r="424">
      <c r="A424" s="0" t="inlineStr">
        <is>
          <t>[정자동]</t>
        </is>
      </c>
      <c r="B424" s="0" t="n">
        <v>26666</v>
      </c>
      <c r="C424" s="0" t="n">
        <v>6</v>
      </c>
      <c r="D424" s="0" t="inlineStr">
        <is>
          <t>가림</t>
        </is>
      </c>
      <c r="E424" s="0" t="inlineStr">
        <is>
          <t>2007.11.</t>
        </is>
      </c>
      <c r="F424" s="0" t="n">
        <v>56</v>
      </c>
      <c r="G424" s="0" t="n">
        <v>32.89</v>
      </c>
      <c r="H424" s="0" t="n">
        <v>108.76</v>
      </c>
      <c r="I424" s="0" t="n">
        <v>28.35</v>
      </c>
      <c r="J424" s="0" t="n">
        <v>93.73</v>
      </c>
      <c r="K424" s="0" t="n">
        <v>8</v>
      </c>
      <c r="T424" s="0" t="n">
        <v>4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10</v>
      </c>
      <c r="Y424" s="0" t="n">
        <v>10</v>
      </c>
      <c r="Z424" s="0" t="inlineStr">
        <is>
          <t>https://new.land.naver.com/complexes/26666?tab=detail&amp;rf=Y</t>
        </is>
      </c>
      <c r="AA424" s="0" t="inlineStr">
        <is>
          <t>경기도 수원시 장안구 정자동 36-20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장안구</t>
        </is>
      </c>
      <c r="AE424" s="0" t="inlineStr">
        <is>
          <t>정자동</t>
        </is>
      </c>
      <c r="AG424" s="0" t="inlineStr">
        <is>
          <t>경기도 수원시 장안구 송정로76번길 14</t>
        </is>
      </c>
      <c r="AH424" s="0" t="n">
        <v>0</v>
      </c>
      <c r="AI424" s="0" t="n">
        <v>356</v>
      </c>
      <c r="AJ424" s="0" t="n">
        <v>47</v>
      </c>
      <c r="AK424" s="0" t="n">
        <v>68</v>
      </c>
      <c r="AL424" s="0" t="n">
        <v>1.21</v>
      </c>
    </row>
    <row r="425">
      <c r="A425" s="0" t="inlineStr">
        <is>
          <t>[정자동]</t>
        </is>
      </c>
      <c r="B425" s="0" t="n">
        <v>26666</v>
      </c>
      <c r="C425" s="0" t="n">
        <v>7</v>
      </c>
      <c r="D425" s="0" t="inlineStr">
        <is>
          <t>가림</t>
        </is>
      </c>
      <c r="E425" s="0" t="inlineStr">
        <is>
          <t>2007.11.</t>
        </is>
      </c>
      <c r="F425" s="0" t="n">
        <v>56</v>
      </c>
      <c r="G425" s="0" t="n">
        <v>33.63</v>
      </c>
      <c r="H425" s="0" t="n">
        <v>111.18</v>
      </c>
      <c r="I425" s="0" t="n">
        <v>28.99</v>
      </c>
      <c r="J425" s="0" t="n">
        <v>95.84</v>
      </c>
      <c r="K425" s="0" t="n">
        <v>8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10</v>
      </c>
      <c r="Y425" s="0" t="n">
        <v>10</v>
      </c>
      <c r="Z425" s="0" t="inlineStr">
        <is>
          <t>https://new.land.naver.com/complexes/26666?tab=detail&amp;rf=Y</t>
        </is>
      </c>
      <c r="AA425" s="0" t="inlineStr">
        <is>
          <t>경기도 수원시 장안구 정자동 36-20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장안구</t>
        </is>
      </c>
      <c r="AE425" s="0" t="inlineStr">
        <is>
          <t>정자동</t>
        </is>
      </c>
      <c r="AG425" s="0" t="inlineStr">
        <is>
          <t>경기도 수원시 장안구 송정로76번길 14</t>
        </is>
      </c>
      <c r="AH425" s="0" t="n">
        <v>0</v>
      </c>
      <c r="AI425" s="0" t="n">
        <v>356</v>
      </c>
      <c r="AJ425" s="0" t="n">
        <v>47</v>
      </c>
      <c r="AK425" s="0" t="n">
        <v>68</v>
      </c>
      <c r="AL425" s="0" t="n">
        <v>1.21</v>
      </c>
    </row>
    <row r="426">
      <c r="A426" s="0" t="inlineStr">
        <is>
          <t>[정자동]</t>
        </is>
      </c>
      <c r="B426" s="0" t="n">
        <v>1837</v>
      </c>
      <c r="C426" s="0" t="n">
        <v>1</v>
      </c>
      <c r="D426" s="0" t="inlineStr">
        <is>
          <t>백설마을5단지삼환나우빌</t>
        </is>
      </c>
      <c r="E426" s="0" t="inlineStr">
        <is>
          <t>1999.11.</t>
        </is>
      </c>
      <c r="F426" s="0" t="n">
        <v>772</v>
      </c>
      <c r="G426" s="0" t="n">
        <v>25.1</v>
      </c>
      <c r="H426" s="0" t="n">
        <v>83</v>
      </c>
      <c r="I426" s="0" t="n">
        <v>18.09</v>
      </c>
      <c r="J426" s="0" t="n">
        <v>59.83</v>
      </c>
      <c r="K426" s="0" t="n">
        <v>772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83</v>
      </c>
      <c r="X426" s="0" t="n">
        <v>23</v>
      </c>
      <c r="Y426" s="0" t="n">
        <v>16</v>
      </c>
      <c r="Z426" s="0" t="inlineStr">
        <is>
          <t>https://new.land.naver.com/complexes/1837?tab=detail&amp;rf=Y</t>
        </is>
      </c>
      <c r="AA426" s="0" t="inlineStr">
        <is>
          <t>경기도 수원시 장안구 정자동 880-3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장안구</t>
        </is>
      </c>
      <c r="AE426" s="0" t="inlineStr">
        <is>
          <t>정자동</t>
        </is>
      </c>
      <c r="AG426" s="0" t="inlineStr">
        <is>
          <t>경기도 수원시 장안구 천천로22번길 34</t>
        </is>
      </c>
      <c r="AH426" s="0" t="n">
        <v>0</v>
      </c>
      <c r="AI426" s="0" t="n">
        <v>229</v>
      </c>
      <c r="AJ426" s="0" t="n">
        <v>18</v>
      </c>
      <c r="AK426" s="0" t="n">
        <v>778</v>
      </c>
      <c r="AL426" s="0" t="n">
        <v>1.01</v>
      </c>
    </row>
    <row r="427">
      <c r="A427" s="0" t="inlineStr">
        <is>
          <t>[정자동]</t>
        </is>
      </c>
      <c r="B427" s="0" t="n">
        <v>119236</v>
      </c>
      <c r="C427" s="0" t="n">
        <v>1</v>
      </c>
      <c r="D427" s="0" t="inlineStr">
        <is>
          <t>캐슬일레븐(도시형)</t>
        </is>
      </c>
      <c r="E427" s="0" t="inlineStr">
        <is>
          <t>2017.12.</t>
        </is>
      </c>
      <c r="F427" s="0" t="n">
        <v>18</v>
      </c>
      <c r="G427" s="0" t="n">
        <v>11.41</v>
      </c>
      <c r="H427" s="0" t="n">
        <v>37.72</v>
      </c>
      <c r="I427" s="0" t="n">
        <v>7.03</v>
      </c>
      <c r="J427" s="0" t="n">
        <v>23.26</v>
      </c>
      <c r="K427" s="0" t="n">
        <v>12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37E</t>
        </is>
      </c>
      <c r="X427" s="0" t="n">
        <v>13</v>
      </c>
      <c r="Y427" s="0" t="n">
        <v>13</v>
      </c>
      <c r="Z427" s="0" t="inlineStr">
        <is>
          <t>https://new.land.naver.com/complexes/119236?tab=detail&amp;rf=Y</t>
        </is>
      </c>
      <c r="AA427" s="0" t="inlineStr">
        <is>
          <t>경기도 수원시 장안구 정자동 9-4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장안구</t>
        </is>
      </c>
      <c r="AE427" s="0" t="inlineStr">
        <is>
          <t>정자동</t>
        </is>
      </c>
      <c r="AG427" s="0" t="inlineStr">
        <is>
          <t>경기도 수원시 장안구 송정로90번길 11</t>
        </is>
      </c>
      <c r="AH427" s="0" t="n">
        <v>0</v>
      </c>
      <c r="AI427" s="0" t="n">
        <v>499</v>
      </c>
      <c r="AJ427" s="0" t="n">
        <v>69</v>
      </c>
      <c r="AK427" s="0" t="n">
        <v>14</v>
      </c>
      <c r="AL427" s="0" t="n">
        <v>0.78</v>
      </c>
    </row>
    <row r="428">
      <c r="A428" s="0" t="inlineStr">
        <is>
          <t>[정자동]</t>
        </is>
      </c>
      <c r="B428" s="0" t="n">
        <v>119236</v>
      </c>
      <c r="C428" s="0" t="n">
        <v>2</v>
      </c>
      <c r="D428" s="0" t="inlineStr">
        <is>
          <t>캐슬일레븐(도시형)</t>
        </is>
      </c>
      <c r="E428" s="0" t="inlineStr">
        <is>
          <t>2017.12.</t>
        </is>
      </c>
      <c r="F428" s="0" t="n">
        <v>18</v>
      </c>
      <c r="G428" s="0" t="n">
        <v>11.53</v>
      </c>
      <c r="H428" s="0" t="n">
        <v>38.14</v>
      </c>
      <c r="I428" s="0" t="n">
        <v>7.11</v>
      </c>
      <c r="J428" s="0" t="n">
        <v>23.52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inlineStr">
        <is>
          <t>38G</t>
        </is>
      </c>
      <c r="X428" s="0" t="n">
        <v>13</v>
      </c>
      <c r="Y428" s="0" t="n">
        <v>13</v>
      </c>
      <c r="Z428" s="0" t="inlineStr">
        <is>
          <t>https://new.land.naver.com/complexes/119236?tab=detail&amp;rf=Y</t>
        </is>
      </c>
      <c r="AA428" s="0" t="inlineStr">
        <is>
          <t>경기도 수원시 장안구 정자동 9-4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장안구</t>
        </is>
      </c>
      <c r="AE428" s="0" t="inlineStr">
        <is>
          <t>정자동</t>
        </is>
      </c>
      <c r="AG428" s="0" t="inlineStr">
        <is>
          <t>경기도 수원시 장안구 송정로90번길 11</t>
        </is>
      </c>
      <c r="AH428" s="0" t="n">
        <v>0</v>
      </c>
      <c r="AI428" s="0" t="n">
        <v>499</v>
      </c>
      <c r="AJ428" s="0" t="n">
        <v>69</v>
      </c>
      <c r="AK428" s="0" t="n">
        <v>14</v>
      </c>
      <c r="AL428" s="0" t="n">
        <v>0.78</v>
      </c>
    </row>
    <row r="429">
      <c r="A429" s="0" t="inlineStr">
        <is>
          <t>[정자동]</t>
        </is>
      </c>
      <c r="B429" s="0" t="n">
        <v>119236</v>
      </c>
      <c r="C429" s="0" t="n">
        <v>3</v>
      </c>
      <c r="D429" s="0" t="inlineStr">
        <is>
          <t>캐슬일레븐(도시형)</t>
        </is>
      </c>
      <c r="E429" s="0" t="inlineStr">
        <is>
          <t>2017.12.</t>
        </is>
      </c>
      <c r="F429" s="0" t="n">
        <v>18</v>
      </c>
      <c r="G429" s="0" t="n">
        <v>24.16</v>
      </c>
      <c r="H429" s="0" t="n">
        <v>79.87</v>
      </c>
      <c r="I429" s="0" t="n">
        <v>14.9</v>
      </c>
      <c r="J429" s="0" t="n">
        <v>49.26</v>
      </c>
      <c r="K429" s="0" t="n">
        <v>3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79F</t>
        </is>
      </c>
      <c r="X429" s="0" t="n">
        <v>13</v>
      </c>
      <c r="Y429" s="0" t="n">
        <v>13</v>
      </c>
      <c r="Z429" s="0" t="inlineStr">
        <is>
          <t>https://new.land.naver.com/complexes/119236?tab=detail&amp;rf=Y</t>
        </is>
      </c>
      <c r="AA429" s="0" t="inlineStr">
        <is>
          <t>경기도 수원시 장안구 정자동 9-4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장안구</t>
        </is>
      </c>
      <c r="AE429" s="0" t="inlineStr">
        <is>
          <t>정자동</t>
        </is>
      </c>
      <c r="AG429" s="0" t="inlineStr">
        <is>
          <t>경기도 수원시 장안구 송정로90번길 11</t>
        </is>
      </c>
      <c r="AH429" s="0" t="n">
        <v>0</v>
      </c>
      <c r="AI429" s="0" t="n">
        <v>499</v>
      </c>
      <c r="AJ429" s="0" t="n">
        <v>69</v>
      </c>
      <c r="AK429" s="0" t="n">
        <v>14</v>
      </c>
      <c r="AL429" s="0" t="n">
        <v>0.78</v>
      </c>
    </row>
    <row r="430">
      <c r="A430" s="0" t="inlineStr">
        <is>
          <t>[정자동]</t>
        </is>
      </c>
      <c r="B430" s="0" t="n">
        <v>124824</v>
      </c>
      <c r="C430" s="0" t="n">
        <v>1</v>
      </c>
      <c r="D430" s="0" t="inlineStr">
        <is>
          <t>예은퍼스트타워</t>
        </is>
      </c>
      <c r="E430" s="0" t="inlineStr">
        <is>
          <t>2019.03.</t>
        </is>
      </c>
      <c r="F430" s="0" t="n">
        <v>18</v>
      </c>
      <c r="G430" s="0" t="n">
        <v>28.78</v>
      </c>
      <c r="H430" s="0" t="n">
        <v>95.16</v>
      </c>
      <c r="I430" s="0" t="n">
        <v>25.7</v>
      </c>
      <c r="J430" s="0" t="n">
        <v>84.97</v>
      </c>
      <c r="K430" s="0" t="n">
        <v>18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95</v>
      </c>
      <c r="X430" s="0" t="n">
        <v>10</v>
      </c>
      <c r="Y430" s="0" t="n">
        <v>10</v>
      </c>
      <c r="Z430" s="0" t="inlineStr">
        <is>
          <t>https://new.land.naver.com/complexes/124824?tab=detail&amp;rf=Y</t>
        </is>
      </c>
      <c r="AA430" s="0" t="inlineStr">
        <is>
          <t>경기도 수원시 장안구 정자동 36-21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장안구</t>
        </is>
      </c>
      <c r="AE430" s="0" t="inlineStr">
        <is>
          <t>정자동</t>
        </is>
      </c>
      <c r="AG430" s="0" t="inlineStr">
        <is>
          <t>경기도 수원시 장안구 송정로76번길 6</t>
        </is>
      </c>
      <c r="AH430" s="0" t="n">
        <v>0</v>
      </c>
      <c r="AI430" s="0" t="n">
        <v>388</v>
      </c>
      <c r="AJ430" s="0" t="n">
        <v>51</v>
      </c>
      <c r="AK430" s="0" t="n">
        <v>18</v>
      </c>
      <c r="AL430" s="0" t="n">
        <v>1</v>
      </c>
    </row>
    <row r="431">
      <c r="A431" s="0" t="inlineStr">
        <is>
          <t>[정자동]</t>
        </is>
      </c>
      <c r="B431" s="0" t="n">
        <v>132108</v>
      </c>
      <c r="C431" s="0" t="n">
        <v>1</v>
      </c>
      <c r="D431" s="0" t="inlineStr">
        <is>
          <t>화서역푸르지오브리시엘</t>
        </is>
      </c>
      <c r="E431" s="0" t="inlineStr">
        <is>
          <t>2023.09.</t>
        </is>
      </c>
      <c r="F431" s="0" t="n">
        <v>665</v>
      </c>
      <c r="G431" s="0" t="n">
        <v>36.38</v>
      </c>
      <c r="H431" s="0" t="n">
        <v>120.28</v>
      </c>
      <c r="I431" s="0" t="n">
        <v>25.67</v>
      </c>
      <c r="J431" s="0" t="n">
        <v>84.86</v>
      </c>
      <c r="K431" s="0" t="n">
        <v>225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120A</t>
        </is>
      </c>
      <c r="X431" s="0" t="n">
        <v>41</v>
      </c>
      <c r="Y431" s="0" t="n">
        <v>36</v>
      </c>
      <c r="Z431" s="0" t="inlineStr">
        <is>
          <t>https://new.land.naver.com/complexes/132108?tab=detail&amp;rf=Y</t>
        </is>
      </c>
      <c r="AA431" s="0" t="inlineStr">
        <is>
          <t>경기도 수원시 장안구 정자동 111번지 일대(대유평지구 2블럭)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장안구</t>
        </is>
      </c>
      <c r="AE431" s="0" t="inlineStr">
        <is>
          <t>정자동</t>
        </is>
      </c>
      <c r="AG431" s="0" t="inlineStr">
        <is>
          <t>경기도 수원시 장안구</t>
        </is>
      </c>
      <c r="AH431" s="0" t="n">
        <v>0</v>
      </c>
      <c r="AI431" s="0" t="n">
        <v>499</v>
      </c>
      <c r="AJ431" s="0" t="n">
        <v>0</v>
      </c>
      <c r="AK431" s="0" t="n">
        <v>939</v>
      </c>
      <c r="AL431" s="0" t="n">
        <v>1.41</v>
      </c>
    </row>
    <row r="432">
      <c r="A432" s="0" t="inlineStr">
        <is>
          <t>[정자동]</t>
        </is>
      </c>
      <c r="B432" s="0" t="n">
        <v>132108</v>
      </c>
      <c r="C432" s="0" t="n">
        <v>2</v>
      </c>
      <c r="D432" s="0" t="inlineStr">
        <is>
          <t>화서역푸르지오브리시엘</t>
        </is>
      </c>
      <c r="E432" s="0" t="inlineStr">
        <is>
          <t>2023.09.</t>
        </is>
      </c>
      <c r="F432" s="0" t="n">
        <v>665</v>
      </c>
      <c r="G432" s="0" t="n">
        <v>36.72</v>
      </c>
      <c r="H432" s="0" t="n">
        <v>121.41</v>
      </c>
      <c r="I432" s="0" t="n">
        <v>25.69</v>
      </c>
      <c r="J432" s="0" t="n">
        <v>84.93000000000001</v>
      </c>
      <c r="K432" s="0" t="n">
        <v>146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121B</t>
        </is>
      </c>
      <c r="X432" s="0" t="n">
        <v>41</v>
      </c>
      <c r="Y432" s="0" t="n">
        <v>36</v>
      </c>
      <c r="Z432" s="0" t="inlineStr">
        <is>
          <t>https://new.land.naver.com/complexes/132108?tab=detail&amp;rf=Y</t>
        </is>
      </c>
      <c r="AA432" s="0" t="inlineStr">
        <is>
          <t>경기도 수원시 장안구 정자동 111번지 일대(대유평지구 2블럭)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장안구</t>
        </is>
      </c>
      <c r="AE432" s="0" t="inlineStr">
        <is>
          <t>정자동</t>
        </is>
      </c>
      <c r="AG432" s="0" t="inlineStr">
        <is>
          <t>경기도 수원시 장안구</t>
        </is>
      </c>
      <c r="AH432" s="0" t="n">
        <v>0</v>
      </c>
      <c r="AI432" s="0" t="n">
        <v>499</v>
      </c>
      <c r="AJ432" s="0" t="n">
        <v>0</v>
      </c>
      <c r="AK432" s="0" t="n">
        <v>939</v>
      </c>
      <c r="AL432" s="0" t="n">
        <v>1.41</v>
      </c>
    </row>
    <row r="433">
      <c r="A433" s="0" t="inlineStr">
        <is>
          <t>[정자동]</t>
        </is>
      </c>
      <c r="B433" s="0" t="n">
        <v>132108</v>
      </c>
      <c r="C433" s="0" t="n">
        <v>3</v>
      </c>
      <c r="D433" s="0" t="inlineStr">
        <is>
          <t>화서역푸르지오브리시엘</t>
        </is>
      </c>
      <c r="E433" s="0" t="inlineStr">
        <is>
          <t>2023.09.</t>
        </is>
      </c>
      <c r="F433" s="0" t="n">
        <v>665</v>
      </c>
      <c r="G433" s="0" t="n">
        <v>37</v>
      </c>
      <c r="H433" s="0" t="n">
        <v>122.34</v>
      </c>
      <c r="I433" s="0" t="n">
        <v>25.66</v>
      </c>
      <c r="J433" s="0" t="n">
        <v>84.84999999999999</v>
      </c>
      <c r="K433" s="0" t="n">
        <v>72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122C</t>
        </is>
      </c>
      <c r="X433" s="0" t="n">
        <v>41</v>
      </c>
      <c r="Y433" s="0" t="n">
        <v>36</v>
      </c>
      <c r="Z433" s="0" t="inlineStr">
        <is>
          <t>https://new.land.naver.com/complexes/132108?tab=detail&amp;rf=Y</t>
        </is>
      </c>
      <c r="AA433" s="0" t="inlineStr">
        <is>
          <t>경기도 수원시 장안구 정자동 111번지 일대(대유평지구 2블럭)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장안구</t>
        </is>
      </c>
      <c r="AE433" s="0" t="inlineStr">
        <is>
          <t>정자동</t>
        </is>
      </c>
      <c r="AG433" s="0" t="inlineStr">
        <is>
          <t>경기도 수원시 장안구</t>
        </is>
      </c>
      <c r="AH433" s="0" t="n">
        <v>0</v>
      </c>
      <c r="AI433" s="0" t="n">
        <v>499</v>
      </c>
      <c r="AJ433" s="0" t="n">
        <v>0</v>
      </c>
      <c r="AK433" s="0" t="n">
        <v>939</v>
      </c>
      <c r="AL433" s="0" t="n">
        <v>1.41</v>
      </c>
    </row>
    <row r="434">
      <c r="A434" s="0" t="inlineStr">
        <is>
          <t>[정자동]</t>
        </is>
      </c>
      <c r="B434" s="0" t="n">
        <v>132108</v>
      </c>
      <c r="C434" s="0" t="n">
        <v>4</v>
      </c>
      <c r="D434" s="0" t="inlineStr">
        <is>
          <t>화서역푸르지오브리시엘</t>
        </is>
      </c>
      <c r="E434" s="0" t="inlineStr">
        <is>
          <t>2023.09.</t>
        </is>
      </c>
      <c r="F434" s="0" t="n">
        <v>665</v>
      </c>
      <c r="G434" s="0" t="n">
        <v>44.65</v>
      </c>
      <c r="H434" s="0" t="n">
        <v>147.61</v>
      </c>
      <c r="I434" s="0" t="n">
        <v>31.75</v>
      </c>
      <c r="J434" s="0" t="n">
        <v>104.98</v>
      </c>
      <c r="K434" s="0" t="n">
        <v>110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147A</t>
        </is>
      </c>
      <c r="X434" s="0" t="n">
        <v>41</v>
      </c>
      <c r="Y434" s="0" t="n">
        <v>36</v>
      </c>
      <c r="Z434" s="0" t="inlineStr">
        <is>
          <t>https://new.land.naver.com/complexes/132108?tab=detail&amp;rf=Y</t>
        </is>
      </c>
      <c r="AA434" s="0" t="inlineStr">
        <is>
          <t>경기도 수원시 장안구 정자동 111번지 일대(대유평지구 2블럭)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장안구</t>
        </is>
      </c>
      <c r="AE434" s="0" t="inlineStr">
        <is>
          <t>정자동</t>
        </is>
      </c>
      <c r="AG434" s="0" t="inlineStr">
        <is>
          <t>경기도 수원시 장안구</t>
        </is>
      </c>
      <c r="AH434" s="0" t="n">
        <v>0</v>
      </c>
      <c r="AI434" s="0" t="n">
        <v>499</v>
      </c>
      <c r="AJ434" s="0" t="n">
        <v>0</v>
      </c>
      <c r="AK434" s="0" t="n">
        <v>939</v>
      </c>
      <c r="AL434" s="0" t="n">
        <v>1.41</v>
      </c>
    </row>
    <row r="435">
      <c r="A435" s="0" t="inlineStr">
        <is>
          <t>[정자동]</t>
        </is>
      </c>
      <c r="B435" s="0" t="n">
        <v>132108</v>
      </c>
      <c r="C435" s="0" t="n">
        <v>5</v>
      </c>
      <c r="D435" s="0" t="inlineStr">
        <is>
          <t>화서역푸르지오브리시엘</t>
        </is>
      </c>
      <c r="E435" s="0" t="inlineStr">
        <is>
          <t>2023.09.</t>
        </is>
      </c>
      <c r="F435" s="0" t="n">
        <v>665</v>
      </c>
      <c r="G435" s="0" t="n">
        <v>45.5</v>
      </c>
      <c r="H435" s="0" t="n">
        <v>150.42</v>
      </c>
      <c r="I435" s="0" t="n">
        <v>31.73</v>
      </c>
      <c r="J435" s="0" t="n">
        <v>104.92</v>
      </c>
      <c r="K435" s="0" t="n">
        <v>72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150B</t>
        </is>
      </c>
      <c r="X435" s="0" t="n">
        <v>41</v>
      </c>
      <c r="Y435" s="0" t="n">
        <v>36</v>
      </c>
      <c r="Z435" s="0" t="inlineStr">
        <is>
          <t>https://new.land.naver.com/complexes/132108?tab=detail&amp;rf=Y</t>
        </is>
      </c>
      <c r="AA435" s="0" t="inlineStr">
        <is>
          <t>경기도 수원시 장안구 정자동 111번지 일대(대유평지구 2블럭)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장안구</t>
        </is>
      </c>
      <c r="AE435" s="0" t="inlineStr">
        <is>
          <t>정자동</t>
        </is>
      </c>
      <c r="AG435" s="0" t="inlineStr">
        <is>
          <t>경기도 수원시 장안구</t>
        </is>
      </c>
      <c r="AH435" s="0" t="n">
        <v>0</v>
      </c>
      <c r="AI435" s="0" t="n">
        <v>499</v>
      </c>
      <c r="AJ435" s="0" t="n">
        <v>0</v>
      </c>
      <c r="AK435" s="0" t="n">
        <v>939</v>
      </c>
      <c r="AL435" s="0" t="n">
        <v>1.41</v>
      </c>
    </row>
    <row r="436">
      <c r="A436" s="0" t="inlineStr">
        <is>
          <t>[정자동]</t>
        </is>
      </c>
      <c r="B436" s="0" t="n">
        <v>132108</v>
      </c>
      <c r="C436" s="0" t="n">
        <v>6</v>
      </c>
      <c r="D436" s="0" t="inlineStr">
        <is>
          <t>화서역푸르지오브리시엘</t>
        </is>
      </c>
      <c r="E436" s="0" t="inlineStr">
        <is>
          <t>2023.09.</t>
        </is>
      </c>
      <c r="F436" s="0" t="n">
        <v>665</v>
      </c>
      <c r="G436" s="0" t="n">
        <v>45.78</v>
      </c>
      <c r="H436" s="0" t="n">
        <v>151.35</v>
      </c>
      <c r="I436" s="0" t="n">
        <v>31.68</v>
      </c>
      <c r="J436" s="0" t="n">
        <v>104.75</v>
      </c>
      <c r="K436" s="0" t="n">
        <v>35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151C</t>
        </is>
      </c>
      <c r="X436" s="0" t="n">
        <v>41</v>
      </c>
      <c r="Y436" s="0" t="n">
        <v>36</v>
      </c>
      <c r="Z436" s="0" t="inlineStr">
        <is>
          <t>https://new.land.naver.com/complexes/132108?tab=detail&amp;rf=Y</t>
        </is>
      </c>
      <c r="AA436" s="0" t="inlineStr">
        <is>
          <t>경기도 수원시 장안구 정자동 111번지 일대(대유평지구 2블럭)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장안구</t>
        </is>
      </c>
      <c r="AE436" s="0" t="inlineStr">
        <is>
          <t>정자동</t>
        </is>
      </c>
      <c r="AG436" s="0" t="inlineStr">
        <is>
          <t>경기도 수원시 장안구</t>
        </is>
      </c>
      <c r="AH436" s="0" t="n">
        <v>0</v>
      </c>
      <c r="AI436" s="0" t="n">
        <v>499</v>
      </c>
      <c r="AJ436" s="0" t="n">
        <v>0</v>
      </c>
      <c r="AK436" s="0" t="n">
        <v>939</v>
      </c>
      <c r="AL436" s="0" t="n">
        <v>1.41</v>
      </c>
    </row>
    <row r="437">
      <c r="A437" s="0" t="inlineStr">
        <is>
          <t>[정자동]</t>
        </is>
      </c>
      <c r="B437" s="0" t="n">
        <v>132108</v>
      </c>
      <c r="C437" s="0" t="n">
        <v>7</v>
      </c>
      <c r="D437" s="0" t="inlineStr">
        <is>
          <t>화서역푸르지오브리시엘</t>
        </is>
      </c>
      <c r="E437" s="0" t="inlineStr">
        <is>
          <t>2023.09.</t>
        </is>
      </c>
      <c r="F437" s="0" t="n">
        <v>665</v>
      </c>
      <c r="G437" s="0" t="n">
        <v>67.31</v>
      </c>
      <c r="H437" s="0" t="n">
        <v>222.54</v>
      </c>
      <c r="I437" s="0" t="n">
        <v>46.82</v>
      </c>
      <c r="J437" s="0" t="n">
        <v>154.8</v>
      </c>
      <c r="K437" s="0" t="n">
        <v>2</v>
      </c>
      <c r="T437" s="0" t="n">
        <v>3</v>
      </c>
      <c r="U437" s="0" t="n">
        <v>3</v>
      </c>
      <c r="V437" s="0" t="inlineStr">
        <is>
          <t>계단식</t>
        </is>
      </c>
      <c r="W437" s="0" t="inlineStr">
        <is>
          <t>222B</t>
        </is>
      </c>
      <c r="X437" s="0" t="n">
        <v>41</v>
      </c>
      <c r="Y437" s="0" t="n">
        <v>36</v>
      </c>
      <c r="Z437" s="0" t="inlineStr">
        <is>
          <t>https://new.land.naver.com/complexes/132108?tab=detail&amp;rf=Y</t>
        </is>
      </c>
      <c r="AA437" s="0" t="inlineStr">
        <is>
          <t>경기도 수원시 장안구 정자동 111번지 일대(대유평지구 2블럭)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장안구</t>
        </is>
      </c>
      <c r="AE437" s="0" t="inlineStr">
        <is>
          <t>정자동</t>
        </is>
      </c>
      <c r="AG437" s="0" t="inlineStr">
        <is>
          <t>경기도 수원시 장안구</t>
        </is>
      </c>
      <c r="AH437" s="0" t="n">
        <v>0</v>
      </c>
      <c r="AI437" s="0" t="n">
        <v>499</v>
      </c>
      <c r="AJ437" s="0" t="n">
        <v>0</v>
      </c>
      <c r="AK437" s="0" t="n">
        <v>939</v>
      </c>
      <c r="AL437" s="0" t="n">
        <v>1.41</v>
      </c>
    </row>
    <row r="438">
      <c r="A438" s="0" t="inlineStr">
        <is>
          <t>[정자동]</t>
        </is>
      </c>
      <c r="B438" s="0" t="n">
        <v>132108</v>
      </c>
      <c r="C438" s="0" t="n">
        <v>8</v>
      </c>
      <c r="D438" s="0" t="inlineStr">
        <is>
          <t>화서역푸르지오브리시엘</t>
        </is>
      </c>
      <c r="E438" s="0" t="inlineStr">
        <is>
          <t>2023.09.</t>
        </is>
      </c>
      <c r="F438" s="0" t="n">
        <v>665</v>
      </c>
      <c r="G438" s="0" t="n">
        <v>67.18000000000001</v>
      </c>
      <c r="H438" s="0" t="n">
        <v>222.09</v>
      </c>
      <c r="I438" s="0" t="n">
        <v>46.82</v>
      </c>
      <c r="J438" s="0" t="n">
        <v>154.78</v>
      </c>
      <c r="K438" s="0" t="n">
        <v>1</v>
      </c>
      <c r="T438" s="0" t="n">
        <v>3</v>
      </c>
      <c r="U438" s="0" t="n">
        <v>3</v>
      </c>
      <c r="V438" s="0" t="inlineStr">
        <is>
          <t>계단식</t>
        </is>
      </c>
      <c r="W438" s="0" t="inlineStr">
        <is>
          <t>222A</t>
        </is>
      </c>
      <c r="X438" s="0" t="n">
        <v>41</v>
      </c>
      <c r="Y438" s="0" t="n">
        <v>36</v>
      </c>
      <c r="Z438" s="0" t="inlineStr">
        <is>
          <t>https://new.land.naver.com/complexes/132108?tab=detail&amp;rf=Y</t>
        </is>
      </c>
      <c r="AA438" s="0" t="inlineStr">
        <is>
          <t>경기도 수원시 장안구 정자동 111번지 일대(대유평지구 2블럭)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장안구</t>
        </is>
      </c>
      <c r="AE438" s="0" t="inlineStr">
        <is>
          <t>정자동</t>
        </is>
      </c>
      <c r="AG438" s="0" t="inlineStr">
        <is>
          <t>경기도 수원시 장안구</t>
        </is>
      </c>
      <c r="AH438" s="0" t="n">
        <v>0</v>
      </c>
      <c r="AI438" s="0" t="n">
        <v>499</v>
      </c>
      <c r="AJ438" s="0" t="n">
        <v>0</v>
      </c>
      <c r="AK438" s="0" t="n">
        <v>939</v>
      </c>
      <c r="AL438" s="0" t="n">
        <v>1.41</v>
      </c>
    </row>
    <row r="439">
      <c r="A439" s="0" t="inlineStr">
        <is>
          <t>[정자동]</t>
        </is>
      </c>
      <c r="B439" s="0" t="n">
        <v>132108</v>
      </c>
      <c r="C439" s="0" t="n">
        <v>9</v>
      </c>
      <c r="D439" s="0" t="inlineStr">
        <is>
          <t>화서역푸르지오브리시엘</t>
        </is>
      </c>
      <c r="E439" s="0" t="inlineStr">
        <is>
          <t>2023.09.</t>
        </is>
      </c>
      <c r="F439" s="0" t="n">
        <v>665</v>
      </c>
      <c r="G439" s="0" t="n">
        <v>82.58</v>
      </c>
      <c r="H439" s="0" t="n">
        <v>273.01</v>
      </c>
      <c r="I439" s="0" t="n">
        <v>57.36</v>
      </c>
      <c r="J439" s="0" t="n">
        <v>189.62</v>
      </c>
      <c r="K439" s="0" t="n">
        <v>1</v>
      </c>
      <c r="T439" s="0" t="n">
        <v>3</v>
      </c>
      <c r="U439" s="0" t="n">
        <v>3</v>
      </c>
      <c r="V439" s="0" t="inlineStr">
        <is>
          <t>계단식</t>
        </is>
      </c>
      <c r="W439" s="0" t="inlineStr">
        <is>
          <t>273B</t>
        </is>
      </c>
      <c r="X439" s="0" t="n">
        <v>41</v>
      </c>
      <c r="Y439" s="0" t="n">
        <v>36</v>
      </c>
      <c r="Z439" s="0" t="inlineStr">
        <is>
          <t>https://new.land.naver.com/complexes/132108?tab=detail&amp;rf=Y</t>
        </is>
      </c>
      <c r="AA439" s="0" t="inlineStr">
        <is>
          <t>경기도 수원시 장안구 정자동 111번지 일대(대유평지구 2블럭)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장안구</t>
        </is>
      </c>
      <c r="AE439" s="0" t="inlineStr">
        <is>
          <t>정자동</t>
        </is>
      </c>
      <c r="AG439" s="0" t="inlineStr">
        <is>
          <t>경기도 수원시 장안구</t>
        </is>
      </c>
      <c r="AH439" s="0" t="n">
        <v>0</v>
      </c>
      <c r="AI439" s="0" t="n">
        <v>499</v>
      </c>
      <c r="AJ439" s="0" t="n">
        <v>0</v>
      </c>
      <c r="AK439" s="0" t="n">
        <v>939</v>
      </c>
      <c r="AL439" s="0" t="n">
        <v>1.41</v>
      </c>
    </row>
    <row r="440">
      <c r="A440" s="0" t="inlineStr">
        <is>
          <t>[정자동]</t>
        </is>
      </c>
      <c r="B440" s="0" t="n">
        <v>132108</v>
      </c>
      <c r="C440" s="0" t="n">
        <v>10</v>
      </c>
      <c r="D440" s="0" t="inlineStr">
        <is>
          <t>화서역푸르지오브리시엘</t>
        </is>
      </c>
      <c r="E440" s="0" t="inlineStr">
        <is>
          <t>2023.09.</t>
        </is>
      </c>
      <c r="F440" s="0" t="n">
        <v>665</v>
      </c>
      <c r="G440" s="0" t="n">
        <v>82.91</v>
      </c>
      <c r="H440" s="0" t="n">
        <v>274.09</v>
      </c>
      <c r="I440" s="0" t="n">
        <v>57.39</v>
      </c>
      <c r="J440" s="0" t="n">
        <v>189.75</v>
      </c>
      <c r="K440" s="0" t="n">
        <v>1</v>
      </c>
      <c r="T440" s="0" t="n">
        <v>3</v>
      </c>
      <c r="U440" s="0" t="n">
        <v>3</v>
      </c>
      <c r="V440" s="0" t="inlineStr">
        <is>
          <t>계단식</t>
        </is>
      </c>
      <c r="W440" s="0" t="inlineStr">
        <is>
          <t>274A</t>
        </is>
      </c>
      <c r="X440" s="0" t="n">
        <v>41</v>
      </c>
      <c r="Y440" s="0" t="n">
        <v>36</v>
      </c>
      <c r="Z440" s="0" t="inlineStr">
        <is>
          <t>https://new.land.naver.com/complexes/132108?tab=detail&amp;rf=Y</t>
        </is>
      </c>
      <c r="AA440" s="0" t="inlineStr">
        <is>
          <t>경기도 수원시 장안구 정자동 111번지 일대(대유평지구 2블럭)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장안구</t>
        </is>
      </c>
      <c r="AE440" s="0" t="inlineStr">
        <is>
          <t>정자동</t>
        </is>
      </c>
      <c r="AG440" s="0" t="inlineStr">
        <is>
          <t>경기도 수원시 장안구</t>
        </is>
      </c>
      <c r="AH440" s="0" t="n">
        <v>0</v>
      </c>
      <c r="AI440" s="0" t="n">
        <v>499</v>
      </c>
      <c r="AJ440" s="0" t="n">
        <v>0</v>
      </c>
      <c r="AK440" s="0" t="n">
        <v>939</v>
      </c>
      <c r="AL440" s="0" t="n">
        <v>1.41</v>
      </c>
    </row>
    <row r="441">
      <c r="A441" s="0" t="inlineStr">
        <is>
          <t>[정자동]</t>
        </is>
      </c>
      <c r="B441" s="0" t="n">
        <v>2704</v>
      </c>
      <c r="C441" s="0" t="n">
        <v>1</v>
      </c>
      <c r="D441" s="0" t="inlineStr">
        <is>
          <t>삼성미도</t>
        </is>
      </c>
      <c r="E441" s="0" t="inlineStr">
        <is>
          <t>1997.08.</t>
        </is>
      </c>
      <c r="F441" s="0" t="n">
        <v>251</v>
      </c>
      <c r="G441" s="0" t="n">
        <v>25.29</v>
      </c>
      <c r="H441" s="0" t="n">
        <v>83.63</v>
      </c>
      <c r="I441" s="0" t="n">
        <v>17.88</v>
      </c>
      <c r="J441" s="0" t="n">
        <v>59.12</v>
      </c>
      <c r="K441" s="0" t="n">
        <v>135</v>
      </c>
      <c r="T441" s="0" t="n">
        <v>3</v>
      </c>
      <c r="U441" s="0" t="n">
        <v>1</v>
      </c>
      <c r="V441" s="0" t="inlineStr">
        <is>
          <t>복도식</t>
        </is>
      </c>
      <c r="W441" s="0" t="n">
        <v>83</v>
      </c>
      <c r="X441" s="0" t="n">
        <v>20</v>
      </c>
      <c r="Y441" s="0" t="n">
        <v>10</v>
      </c>
      <c r="Z441" s="0" t="inlineStr">
        <is>
          <t>https://new.land.naver.com/complexes/2704?tab=detail&amp;rf=Y</t>
        </is>
      </c>
      <c r="AA441" s="0" t="inlineStr">
        <is>
          <t>경기도 수원시 장안구 정자동 378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장안구</t>
        </is>
      </c>
      <c r="AE441" s="0" t="inlineStr">
        <is>
          <t>정자동</t>
        </is>
      </c>
      <c r="AG441" s="0" t="inlineStr">
        <is>
          <t>경기도 수원시 장안구 대평로162번길 50</t>
        </is>
      </c>
      <c r="AH441" s="0" t="n">
        <v>0</v>
      </c>
      <c r="AI441" s="0" t="n">
        <v>300</v>
      </c>
      <c r="AJ441" s="0" t="n">
        <v>20</v>
      </c>
      <c r="AK441" s="0" t="n">
        <v>0</v>
      </c>
      <c r="AL441" s="0" t="n">
        <v>0</v>
      </c>
    </row>
    <row r="442">
      <c r="A442" s="0" t="inlineStr">
        <is>
          <t>[정자동]</t>
        </is>
      </c>
      <c r="B442" s="0" t="n">
        <v>2704</v>
      </c>
      <c r="C442" s="0" t="n">
        <v>2</v>
      </c>
      <c r="D442" s="0" t="inlineStr">
        <is>
          <t>삼성미도</t>
        </is>
      </c>
      <c r="E442" s="0" t="inlineStr">
        <is>
          <t>1997.08.</t>
        </is>
      </c>
      <c r="F442" s="0" t="n">
        <v>251</v>
      </c>
      <c r="G442" s="0" t="n">
        <v>31.48</v>
      </c>
      <c r="H442" s="0" t="n">
        <v>104.07</v>
      </c>
      <c r="I442" s="0" t="n">
        <v>25.52</v>
      </c>
      <c r="J442" s="0" t="n">
        <v>84.37</v>
      </c>
      <c r="K442" s="0" t="n">
        <v>116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104</v>
      </c>
      <c r="X442" s="0" t="n">
        <v>20</v>
      </c>
      <c r="Y442" s="0" t="n">
        <v>10</v>
      </c>
      <c r="Z442" s="0" t="inlineStr">
        <is>
          <t>https://new.land.naver.com/complexes/2704?tab=detail&amp;rf=Y</t>
        </is>
      </c>
      <c r="AA442" s="0" t="inlineStr">
        <is>
          <t>경기도 수원시 장안구 정자동 378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장안구</t>
        </is>
      </c>
      <c r="AE442" s="0" t="inlineStr">
        <is>
          <t>정자동</t>
        </is>
      </c>
      <c r="AG442" s="0" t="inlineStr">
        <is>
          <t>경기도 수원시 장안구 대평로162번길 50</t>
        </is>
      </c>
      <c r="AH442" s="0" t="n">
        <v>0</v>
      </c>
      <c r="AI442" s="0" t="n">
        <v>300</v>
      </c>
      <c r="AJ442" s="0" t="n">
        <v>20</v>
      </c>
      <c r="AK442" s="0" t="n">
        <v>0</v>
      </c>
      <c r="AL442" s="0" t="n">
        <v>0</v>
      </c>
    </row>
    <row r="443">
      <c r="A443" s="0" t="inlineStr">
        <is>
          <t>[정자동]</t>
        </is>
      </c>
      <c r="B443" s="0" t="n">
        <v>17267</v>
      </c>
      <c r="C443" s="0" t="n">
        <v>1</v>
      </c>
      <c r="D443" s="0" t="inlineStr">
        <is>
          <t>동신2차</t>
        </is>
      </c>
      <c r="E443" s="0" t="inlineStr">
        <is>
          <t>1988.05.</t>
        </is>
      </c>
      <c r="F443" s="0" t="n">
        <v>1992</v>
      </c>
      <c r="G443" s="0" t="n">
        <v>17.3</v>
      </c>
      <c r="H443" s="0" t="n">
        <v>57.21</v>
      </c>
      <c r="I443" s="0" t="n">
        <v>13.01</v>
      </c>
      <c r="J443" s="0" t="n">
        <v>43.02</v>
      </c>
      <c r="K443" s="0" t="n">
        <v>492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57</v>
      </c>
      <c r="X443" s="0" t="n">
        <v>15</v>
      </c>
      <c r="Y443" s="0" t="n">
        <v>12</v>
      </c>
      <c r="Z443" s="0" t="inlineStr">
        <is>
          <t>https://new.land.naver.com/complexes/17267?tab=detail&amp;rf=Y</t>
        </is>
      </c>
      <c r="AA443" s="0" t="inlineStr">
        <is>
          <t>경기도 수원시 장안구 정자동 395-3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장안구</t>
        </is>
      </c>
      <c r="AE443" s="0" t="inlineStr">
        <is>
          <t>정자동</t>
        </is>
      </c>
      <c r="AG443" s="0" t="inlineStr">
        <is>
          <t>경기도 수원시 장안구 장안로 211</t>
        </is>
      </c>
      <c r="AH443" s="0" t="n">
        <v>0</v>
      </c>
      <c r="AI443" s="0" t="n">
        <v>232</v>
      </c>
      <c r="AJ443" s="0" t="n">
        <v>16</v>
      </c>
      <c r="AK443" s="0" t="n">
        <v>1800</v>
      </c>
      <c r="AL443" s="0" t="n">
        <v>0.9</v>
      </c>
    </row>
    <row r="444">
      <c r="A444" s="0" t="inlineStr">
        <is>
          <t>[정자동]</t>
        </is>
      </c>
      <c r="B444" s="0" t="n">
        <v>17267</v>
      </c>
      <c r="C444" s="0" t="n">
        <v>2</v>
      </c>
      <c r="D444" s="0" t="inlineStr">
        <is>
          <t>동신2차</t>
        </is>
      </c>
      <c r="E444" s="0" t="inlineStr">
        <is>
          <t>1988.05.</t>
        </is>
      </c>
      <c r="F444" s="0" t="n">
        <v>1992</v>
      </c>
      <c r="G444" s="0" t="n">
        <v>19.31</v>
      </c>
      <c r="H444" s="0" t="n">
        <v>63.84</v>
      </c>
      <c r="I444" s="0" t="n">
        <v>14.58</v>
      </c>
      <c r="J444" s="0" t="n">
        <v>48.23</v>
      </c>
      <c r="K444" s="0" t="n">
        <v>240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63</v>
      </c>
      <c r="X444" s="0" t="n">
        <v>15</v>
      </c>
      <c r="Y444" s="0" t="n">
        <v>12</v>
      </c>
      <c r="Z444" s="0" t="inlineStr">
        <is>
          <t>https://new.land.naver.com/complexes/17267?tab=detail&amp;rf=Y</t>
        </is>
      </c>
      <c r="AA444" s="0" t="inlineStr">
        <is>
          <t>경기도 수원시 장안구 정자동 395-3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장안구</t>
        </is>
      </c>
      <c r="AE444" s="0" t="inlineStr">
        <is>
          <t>정자동</t>
        </is>
      </c>
      <c r="AG444" s="0" t="inlineStr">
        <is>
          <t>경기도 수원시 장안구 장안로 211</t>
        </is>
      </c>
      <c r="AH444" s="0" t="n">
        <v>0</v>
      </c>
      <c r="AI444" s="0" t="n">
        <v>232</v>
      </c>
      <c r="AJ444" s="0" t="n">
        <v>16</v>
      </c>
      <c r="AK444" s="0" t="n">
        <v>1800</v>
      </c>
      <c r="AL444" s="0" t="n">
        <v>0.9</v>
      </c>
    </row>
    <row r="445">
      <c r="A445" s="0" t="inlineStr">
        <is>
          <t>[정자동]</t>
        </is>
      </c>
      <c r="B445" s="0" t="n">
        <v>17267</v>
      </c>
      <c r="C445" s="0" t="n">
        <v>3</v>
      </c>
      <c r="D445" s="0" t="inlineStr">
        <is>
          <t>동신2차</t>
        </is>
      </c>
      <c r="E445" s="0" t="inlineStr">
        <is>
          <t>1988.05.</t>
        </is>
      </c>
      <c r="F445" s="0" t="n">
        <v>1992</v>
      </c>
      <c r="G445" s="0" t="n">
        <v>23.8</v>
      </c>
      <c r="H445" s="0" t="n">
        <v>78.68000000000001</v>
      </c>
      <c r="I445" s="0" t="n">
        <v>18.04</v>
      </c>
      <c r="J445" s="0" t="n">
        <v>59.66</v>
      </c>
      <c r="K445" s="0" t="n">
        <v>210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78</v>
      </c>
      <c r="X445" s="0" t="n">
        <v>15</v>
      </c>
      <c r="Y445" s="0" t="n">
        <v>12</v>
      </c>
      <c r="Z445" s="0" t="inlineStr">
        <is>
          <t>https://new.land.naver.com/complexes/17267?tab=detail&amp;rf=Y</t>
        </is>
      </c>
      <c r="AA445" s="0" t="inlineStr">
        <is>
          <t>경기도 수원시 장안구 정자동 395-3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장안구</t>
        </is>
      </c>
      <c r="AE445" s="0" t="inlineStr">
        <is>
          <t>정자동</t>
        </is>
      </c>
      <c r="AG445" s="0" t="inlineStr">
        <is>
          <t>경기도 수원시 장안구 장안로 211</t>
        </is>
      </c>
      <c r="AH445" s="0" t="n">
        <v>0</v>
      </c>
      <c r="AI445" s="0" t="n">
        <v>232</v>
      </c>
      <c r="AJ445" s="0" t="n">
        <v>16</v>
      </c>
      <c r="AK445" s="0" t="n">
        <v>1800</v>
      </c>
      <c r="AL445" s="0" t="n">
        <v>0.9</v>
      </c>
    </row>
    <row r="446">
      <c r="A446" s="0" t="inlineStr">
        <is>
          <t>[정자동]</t>
        </is>
      </c>
      <c r="B446" s="0" t="n">
        <v>17267</v>
      </c>
      <c r="C446" s="0" t="n">
        <v>4</v>
      </c>
      <c r="D446" s="0" t="inlineStr">
        <is>
          <t>동신2차</t>
        </is>
      </c>
      <c r="E446" s="0" t="inlineStr">
        <is>
          <t>1988.05.</t>
        </is>
      </c>
      <c r="F446" s="0" t="n">
        <v>1992</v>
      </c>
      <c r="G446" s="0" t="n">
        <v>25.45</v>
      </c>
      <c r="H446" s="0" t="n">
        <v>84.16</v>
      </c>
      <c r="I446" s="0" t="n">
        <v>19.14</v>
      </c>
      <c r="J446" s="0" t="n">
        <v>63.29</v>
      </c>
      <c r="K446" s="0" t="n">
        <v>336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15</v>
      </c>
      <c r="Y446" s="0" t="n">
        <v>12</v>
      </c>
      <c r="Z446" s="0" t="inlineStr">
        <is>
          <t>https://new.land.naver.com/complexes/17267?tab=detail&amp;rf=Y</t>
        </is>
      </c>
      <c r="AA446" s="0" t="inlineStr">
        <is>
          <t>경기도 수원시 장안구 정자동 395-3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장안구</t>
        </is>
      </c>
      <c r="AE446" s="0" t="inlineStr">
        <is>
          <t>정자동</t>
        </is>
      </c>
      <c r="AG446" s="0" t="inlineStr">
        <is>
          <t>경기도 수원시 장안구 장안로 211</t>
        </is>
      </c>
      <c r="AH446" s="0" t="n">
        <v>0</v>
      </c>
      <c r="AI446" s="0" t="n">
        <v>232</v>
      </c>
      <c r="AJ446" s="0" t="n">
        <v>16</v>
      </c>
      <c r="AK446" s="0" t="n">
        <v>1800</v>
      </c>
      <c r="AL446" s="0" t="n">
        <v>0.9</v>
      </c>
    </row>
    <row r="447">
      <c r="A447" s="0" t="inlineStr">
        <is>
          <t>[정자동]</t>
        </is>
      </c>
      <c r="B447" s="0" t="n">
        <v>17267</v>
      </c>
      <c r="C447" s="0" t="n">
        <v>5</v>
      </c>
      <c r="D447" s="0" t="inlineStr">
        <is>
          <t>동신2차</t>
        </is>
      </c>
      <c r="E447" s="0" t="inlineStr">
        <is>
          <t>1988.05.</t>
        </is>
      </c>
      <c r="F447" s="0" t="n">
        <v>1992</v>
      </c>
      <c r="G447" s="0" t="n">
        <v>27.89</v>
      </c>
      <c r="H447" s="0" t="n">
        <v>92.23</v>
      </c>
      <c r="I447" s="0" t="n">
        <v>20.91</v>
      </c>
      <c r="J447" s="0" t="n">
        <v>69.14</v>
      </c>
      <c r="K447" s="0" t="n">
        <v>375</v>
      </c>
      <c r="T447" s="0" t="n">
        <v>3</v>
      </c>
      <c r="U447" s="0" t="n">
        <v>1</v>
      </c>
      <c r="V447" s="0" t="inlineStr">
        <is>
          <t>복도식</t>
        </is>
      </c>
      <c r="W447" s="0" t="n">
        <v>92</v>
      </c>
      <c r="X447" s="0" t="n">
        <v>15</v>
      </c>
      <c r="Y447" s="0" t="n">
        <v>12</v>
      </c>
      <c r="Z447" s="0" t="inlineStr">
        <is>
          <t>https://new.land.naver.com/complexes/17267?tab=detail&amp;rf=Y</t>
        </is>
      </c>
      <c r="AA447" s="0" t="inlineStr">
        <is>
          <t>경기도 수원시 장안구 정자동 395-3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장안구</t>
        </is>
      </c>
      <c r="AE447" s="0" t="inlineStr">
        <is>
          <t>정자동</t>
        </is>
      </c>
      <c r="AG447" s="0" t="inlineStr">
        <is>
          <t>경기도 수원시 장안구 장안로 211</t>
        </is>
      </c>
      <c r="AH447" s="0" t="n">
        <v>0</v>
      </c>
      <c r="AI447" s="0" t="n">
        <v>232</v>
      </c>
      <c r="AJ447" s="0" t="n">
        <v>16</v>
      </c>
      <c r="AK447" s="0" t="n">
        <v>1800</v>
      </c>
      <c r="AL447" s="0" t="n">
        <v>0.9</v>
      </c>
    </row>
    <row r="448">
      <c r="A448" s="0" t="inlineStr">
        <is>
          <t>[정자동]</t>
        </is>
      </c>
      <c r="B448" s="0" t="n">
        <v>17267</v>
      </c>
      <c r="C448" s="0" t="n">
        <v>6</v>
      </c>
      <c r="D448" s="0" t="inlineStr">
        <is>
          <t>동신2차</t>
        </is>
      </c>
      <c r="E448" s="0" t="inlineStr">
        <is>
          <t>1988.05.</t>
        </is>
      </c>
      <c r="F448" s="0" t="n">
        <v>1992</v>
      </c>
      <c r="G448" s="0" t="n">
        <v>34.01</v>
      </c>
      <c r="H448" s="0" t="n">
        <v>112.45</v>
      </c>
      <c r="I448" s="0" t="n">
        <v>25.7</v>
      </c>
      <c r="J448" s="0" t="n">
        <v>84.98</v>
      </c>
      <c r="K448" s="0" t="n">
        <v>339</v>
      </c>
      <c r="T448" s="0" t="n">
        <v>4</v>
      </c>
      <c r="U448" s="0" t="n">
        <v>2</v>
      </c>
      <c r="V448" s="0" t="inlineStr">
        <is>
          <t>복도식</t>
        </is>
      </c>
      <c r="W448" s="0" t="n">
        <v>112</v>
      </c>
      <c r="X448" s="0" t="n">
        <v>15</v>
      </c>
      <c r="Y448" s="0" t="n">
        <v>12</v>
      </c>
      <c r="Z448" s="0" t="inlineStr">
        <is>
          <t>https://new.land.naver.com/complexes/17267?tab=detail&amp;rf=Y</t>
        </is>
      </c>
      <c r="AA448" s="0" t="inlineStr">
        <is>
          <t>경기도 수원시 장안구 정자동 395-3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장안구</t>
        </is>
      </c>
      <c r="AE448" s="0" t="inlineStr">
        <is>
          <t>정자동</t>
        </is>
      </c>
      <c r="AG448" s="0" t="inlineStr">
        <is>
          <t>경기도 수원시 장안구 장안로 211</t>
        </is>
      </c>
      <c r="AH448" s="0" t="n">
        <v>0</v>
      </c>
      <c r="AI448" s="0" t="n">
        <v>232</v>
      </c>
      <c r="AJ448" s="0" t="n">
        <v>16</v>
      </c>
      <c r="AK448" s="0" t="n">
        <v>1800</v>
      </c>
      <c r="AL448" s="0" t="n">
        <v>0.9</v>
      </c>
    </row>
    <row r="449">
      <c r="A449" s="0" t="inlineStr">
        <is>
          <t>[정자동]</t>
        </is>
      </c>
      <c r="B449" s="0" t="n">
        <v>1845</v>
      </c>
      <c r="C449" s="0" t="n">
        <v>1</v>
      </c>
      <c r="D449" s="0" t="inlineStr">
        <is>
          <t>동신1차</t>
        </is>
      </c>
      <c r="E449" s="0" t="inlineStr">
        <is>
          <t>1987.05.</t>
        </is>
      </c>
      <c r="F449" s="0" t="n">
        <v>1548</v>
      </c>
      <c r="G449" s="0" t="n">
        <v>17.25</v>
      </c>
      <c r="H449" s="0" t="n">
        <v>57.03</v>
      </c>
      <c r="I449" s="0" t="n">
        <v>13.01</v>
      </c>
      <c r="J449" s="0" t="n">
        <v>43.03</v>
      </c>
      <c r="K449" s="0" t="n">
        <v>222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57</v>
      </c>
      <c r="X449" s="0" t="n">
        <v>15</v>
      </c>
      <c r="Y449" s="0" t="n">
        <v>12</v>
      </c>
      <c r="Z449" s="0" t="inlineStr">
        <is>
          <t>https://new.land.naver.com/complexes/1845?tab=detail&amp;rf=Y</t>
        </is>
      </c>
      <c r="AA449" s="0" t="inlineStr">
        <is>
          <t>경기도 수원시 장안구 정자동 395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장안구</t>
        </is>
      </c>
      <c r="AE449" s="0" t="inlineStr">
        <is>
          <t>정자동</t>
        </is>
      </c>
      <c r="AG449" s="0" t="inlineStr">
        <is>
          <t>경기도 수원시 장안구 장안로 232</t>
        </is>
      </c>
      <c r="AH449" s="0" t="n">
        <v>0</v>
      </c>
      <c r="AI449" s="0" t="n">
        <v>219</v>
      </c>
      <c r="AJ449" s="0" t="n">
        <v>17</v>
      </c>
      <c r="AK449" s="0" t="n">
        <v>0</v>
      </c>
      <c r="AL449" s="0" t="n">
        <v>0</v>
      </c>
    </row>
    <row r="450">
      <c r="A450" s="0" t="inlineStr">
        <is>
          <t>[정자동]</t>
        </is>
      </c>
      <c r="B450" s="0" t="n">
        <v>1845</v>
      </c>
      <c r="C450" s="0" t="n">
        <v>2</v>
      </c>
      <c r="D450" s="0" t="inlineStr">
        <is>
          <t>동신1차</t>
        </is>
      </c>
      <c r="E450" s="0" t="inlineStr">
        <is>
          <t>1987.05.</t>
        </is>
      </c>
      <c r="F450" s="0" t="n">
        <v>1548</v>
      </c>
      <c r="G450" s="0" t="n">
        <v>22.71</v>
      </c>
      <c r="H450" s="0" t="n">
        <v>75.09</v>
      </c>
      <c r="I450" s="0" t="n">
        <v>17.15</v>
      </c>
      <c r="J450" s="0" t="n">
        <v>56.71</v>
      </c>
      <c r="K450" s="0" t="n">
        <v>972</v>
      </c>
      <c r="T450" s="0" t="n">
        <v>3</v>
      </c>
      <c r="U450" s="0" t="n">
        <v>1</v>
      </c>
      <c r="V450" s="0" t="inlineStr">
        <is>
          <t>복도식</t>
        </is>
      </c>
      <c r="W450" s="0" t="n">
        <v>75</v>
      </c>
      <c r="X450" s="0" t="n">
        <v>15</v>
      </c>
      <c r="Y450" s="0" t="n">
        <v>12</v>
      </c>
      <c r="Z450" s="0" t="inlineStr">
        <is>
          <t>https://new.land.naver.com/complexes/1845?tab=detail&amp;rf=Y</t>
        </is>
      </c>
      <c r="AA450" s="0" t="inlineStr">
        <is>
          <t>경기도 수원시 장안구 정자동 395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장안구</t>
        </is>
      </c>
      <c r="AE450" s="0" t="inlineStr">
        <is>
          <t>정자동</t>
        </is>
      </c>
      <c r="AG450" s="0" t="inlineStr">
        <is>
          <t>경기도 수원시 장안구 장안로 232</t>
        </is>
      </c>
      <c r="AH450" s="0" t="n">
        <v>0</v>
      </c>
      <c r="AI450" s="0" t="n">
        <v>219</v>
      </c>
      <c r="AJ450" s="0" t="n">
        <v>17</v>
      </c>
      <c r="AK450" s="0" t="n">
        <v>0</v>
      </c>
      <c r="AL450" s="0" t="n">
        <v>0</v>
      </c>
    </row>
    <row r="451">
      <c r="A451" s="0" t="inlineStr">
        <is>
          <t>[정자동]</t>
        </is>
      </c>
      <c r="B451" s="0" t="n">
        <v>1845</v>
      </c>
      <c r="C451" s="0" t="n">
        <v>3</v>
      </c>
      <c r="D451" s="0" t="inlineStr">
        <is>
          <t>동신1차</t>
        </is>
      </c>
      <c r="E451" s="0" t="inlineStr">
        <is>
          <t>1987.05.</t>
        </is>
      </c>
      <c r="F451" s="0" t="n">
        <v>1548</v>
      </c>
      <c r="G451" s="0" t="n">
        <v>26.74</v>
      </c>
      <c r="H451" s="0" t="n">
        <v>88.42</v>
      </c>
      <c r="I451" s="0" t="n">
        <v>20.23</v>
      </c>
      <c r="J451" s="0" t="n">
        <v>66.88</v>
      </c>
      <c r="K451" s="0" t="n">
        <v>204</v>
      </c>
      <c r="T451" s="0" t="n">
        <v>3</v>
      </c>
      <c r="U451" s="0" t="n">
        <v>1</v>
      </c>
      <c r="V451" s="0" t="inlineStr">
        <is>
          <t>복도식</t>
        </is>
      </c>
      <c r="W451" s="0" t="n">
        <v>88</v>
      </c>
      <c r="X451" s="0" t="n">
        <v>15</v>
      </c>
      <c r="Y451" s="0" t="n">
        <v>12</v>
      </c>
      <c r="Z451" s="0" t="inlineStr">
        <is>
          <t>https://new.land.naver.com/complexes/1845?tab=detail&amp;rf=Y</t>
        </is>
      </c>
      <c r="AA451" s="0" t="inlineStr">
        <is>
          <t>경기도 수원시 장안구 정자동 395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장안구</t>
        </is>
      </c>
      <c r="AE451" s="0" t="inlineStr">
        <is>
          <t>정자동</t>
        </is>
      </c>
      <c r="AG451" s="0" t="inlineStr">
        <is>
          <t>경기도 수원시 장안구 장안로 232</t>
        </is>
      </c>
      <c r="AH451" s="0" t="n">
        <v>0</v>
      </c>
      <c r="AI451" s="0" t="n">
        <v>219</v>
      </c>
      <c r="AJ451" s="0" t="n">
        <v>17</v>
      </c>
      <c r="AK451" s="0" t="n">
        <v>0</v>
      </c>
      <c r="AL451" s="0" t="n">
        <v>0</v>
      </c>
    </row>
    <row r="452">
      <c r="A452" s="0" t="inlineStr">
        <is>
          <t>[정자동]</t>
        </is>
      </c>
      <c r="B452" s="0" t="n">
        <v>1845</v>
      </c>
      <c r="C452" s="0" t="n">
        <v>4</v>
      </c>
      <c r="D452" s="0" t="inlineStr">
        <is>
          <t>동신1차</t>
        </is>
      </c>
      <c r="E452" s="0" t="inlineStr">
        <is>
          <t>1987.05.</t>
        </is>
      </c>
      <c r="F452" s="0" t="n">
        <v>1548</v>
      </c>
      <c r="G452" s="0" t="n">
        <v>29.9</v>
      </c>
      <c r="H452" s="0" t="n">
        <v>98.84999999999999</v>
      </c>
      <c r="I452" s="0" t="n">
        <v>23.3</v>
      </c>
      <c r="J452" s="0" t="n">
        <v>77.05</v>
      </c>
      <c r="K452" s="0" t="n">
        <v>150</v>
      </c>
      <c r="T452" s="0" t="n">
        <v>3</v>
      </c>
      <c r="U452" s="0" t="n">
        <v>1</v>
      </c>
      <c r="V452" s="0" t="inlineStr">
        <is>
          <t>복도식</t>
        </is>
      </c>
      <c r="W452" s="0" t="n">
        <v>98</v>
      </c>
      <c r="X452" s="0" t="n">
        <v>15</v>
      </c>
      <c r="Y452" s="0" t="n">
        <v>12</v>
      </c>
      <c r="Z452" s="0" t="inlineStr">
        <is>
          <t>https://new.land.naver.com/complexes/1845?tab=detail&amp;rf=Y</t>
        </is>
      </c>
      <c r="AA452" s="0" t="inlineStr">
        <is>
          <t>경기도 수원시 장안구 정자동 395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장안구</t>
        </is>
      </c>
      <c r="AE452" s="0" t="inlineStr">
        <is>
          <t>정자동</t>
        </is>
      </c>
      <c r="AG452" s="0" t="inlineStr">
        <is>
          <t>경기도 수원시 장안구 장안로 232</t>
        </is>
      </c>
      <c r="AH452" s="0" t="n">
        <v>0</v>
      </c>
      <c r="AI452" s="0" t="n">
        <v>219</v>
      </c>
      <c r="AJ452" s="0" t="n">
        <v>17</v>
      </c>
      <c r="AK452" s="0" t="n">
        <v>0</v>
      </c>
      <c r="AL452" s="0" t="n">
        <v>0</v>
      </c>
    </row>
    <row r="453">
      <c r="A453" s="0" t="inlineStr">
        <is>
          <t>[정자동]</t>
        </is>
      </c>
      <c r="B453" s="0" t="n">
        <v>17451</v>
      </c>
      <c r="C453" s="0" t="n">
        <v>1</v>
      </c>
      <c r="D453" s="0" t="inlineStr">
        <is>
          <t>수원정자금강에스쁘아</t>
        </is>
      </c>
      <c r="E453" s="0" t="inlineStr">
        <is>
          <t>2005.04.</t>
        </is>
      </c>
      <c r="F453" s="0" t="n">
        <v>164</v>
      </c>
      <c r="G453" s="0" t="n">
        <v>24</v>
      </c>
      <c r="H453" s="0" t="n">
        <v>79.34</v>
      </c>
      <c r="I453" s="0" t="n">
        <v>18.11</v>
      </c>
      <c r="J453" s="0" t="n">
        <v>59.9</v>
      </c>
      <c r="K453" s="0" t="n">
        <v>65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79</v>
      </c>
      <c r="X453" s="0" t="n">
        <v>18</v>
      </c>
      <c r="Y453" s="0" t="n">
        <v>4</v>
      </c>
      <c r="Z453" s="0" t="inlineStr">
        <is>
          <t>https://new.land.naver.com/complexes/17451?tab=detail&amp;rf=Y</t>
        </is>
      </c>
      <c r="AA453" s="0" t="inlineStr">
        <is>
          <t>경기도 수원시 장안구 정자동 69-45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장안구</t>
        </is>
      </c>
      <c r="AE453" s="0" t="inlineStr">
        <is>
          <t>정자동</t>
        </is>
      </c>
      <c r="AG453" s="0" t="inlineStr">
        <is>
          <t>경기도 수원시 장안구 영화로71번길 24</t>
        </is>
      </c>
      <c r="AH453" s="0" t="n">
        <v>0</v>
      </c>
      <c r="AI453" s="0" t="n">
        <v>262</v>
      </c>
      <c r="AJ453" s="0" t="n">
        <v>27</v>
      </c>
      <c r="AK453" s="0" t="n">
        <v>168</v>
      </c>
      <c r="AL453" s="0" t="n">
        <v>1.02</v>
      </c>
    </row>
    <row r="454">
      <c r="A454" s="0" t="inlineStr">
        <is>
          <t>[정자동]</t>
        </is>
      </c>
      <c r="B454" s="0" t="n">
        <v>17451</v>
      </c>
      <c r="C454" s="0" t="n">
        <v>2</v>
      </c>
      <c r="D454" s="0" t="inlineStr">
        <is>
          <t>수원정자금강에스쁘아</t>
        </is>
      </c>
      <c r="E454" s="0" t="inlineStr">
        <is>
          <t>2005.04.</t>
        </is>
      </c>
      <c r="F454" s="0" t="n">
        <v>164</v>
      </c>
      <c r="G454" s="0" t="n">
        <v>29.28</v>
      </c>
      <c r="H454" s="0" t="n">
        <v>96.8</v>
      </c>
      <c r="I454" s="0" t="n">
        <v>22.26</v>
      </c>
      <c r="J454" s="0" t="n">
        <v>73.61</v>
      </c>
      <c r="K454" s="0" t="n">
        <v>27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96</v>
      </c>
      <c r="X454" s="0" t="n">
        <v>18</v>
      </c>
      <c r="Y454" s="0" t="n">
        <v>4</v>
      </c>
      <c r="Z454" s="0" t="inlineStr">
        <is>
          <t>https://new.land.naver.com/complexes/17451?tab=detail&amp;rf=Y</t>
        </is>
      </c>
      <c r="AA454" s="0" t="inlineStr">
        <is>
          <t>경기도 수원시 장안구 정자동 69-45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장안구</t>
        </is>
      </c>
      <c r="AE454" s="0" t="inlineStr">
        <is>
          <t>정자동</t>
        </is>
      </c>
      <c r="AG454" s="0" t="inlineStr">
        <is>
          <t>경기도 수원시 장안구 영화로71번길 24</t>
        </is>
      </c>
      <c r="AH454" s="0" t="n">
        <v>0</v>
      </c>
      <c r="AI454" s="0" t="n">
        <v>262</v>
      </c>
      <c r="AJ454" s="0" t="n">
        <v>27</v>
      </c>
      <c r="AK454" s="0" t="n">
        <v>168</v>
      </c>
      <c r="AL454" s="0" t="n">
        <v>1.02</v>
      </c>
    </row>
    <row r="455">
      <c r="A455" s="0" t="inlineStr">
        <is>
          <t>[정자동]</t>
        </is>
      </c>
      <c r="B455" s="0" t="n">
        <v>17451</v>
      </c>
      <c r="C455" s="0" t="n">
        <v>3</v>
      </c>
      <c r="D455" s="0" t="inlineStr">
        <is>
          <t>수원정자금강에스쁘아</t>
        </is>
      </c>
      <c r="E455" s="0" t="inlineStr">
        <is>
          <t>2005.04.</t>
        </is>
      </c>
      <c r="F455" s="0" t="n">
        <v>164</v>
      </c>
      <c r="G455" s="0" t="n">
        <v>31.88</v>
      </c>
      <c r="H455" s="0" t="n">
        <v>105.41</v>
      </c>
      <c r="I455" s="0" t="n">
        <v>25.7</v>
      </c>
      <c r="J455" s="0" t="n">
        <v>84.97</v>
      </c>
      <c r="K455" s="0" t="n">
        <v>72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105</v>
      </c>
      <c r="X455" s="0" t="n">
        <v>18</v>
      </c>
      <c r="Y455" s="0" t="n">
        <v>4</v>
      </c>
      <c r="Z455" s="0" t="inlineStr">
        <is>
          <t>https://new.land.naver.com/complexes/17451?tab=detail&amp;rf=Y</t>
        </is>
      </c>
      <c r="AA455" s="0" t="inlineStr">
        <is>
          <t>경기도 수원시 장안구 정자동 69-45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장안구</t>
        </is>
      </c>
      <c r="AE455" s="0" t="inlineStr">
        <is>
          <t>정자동</t>
        </is>
      </c>
      <c r="AG455" s="0" t="inlineStr">
        <is>
          <t>경기도 수원시 장안구 영화로71번길 24</t>
        </is>
      </c>
      <c r="AH455" s="0" t="n">
        <v>0</v>
      </c>
      <c r="AI455" s="0" t="n">
        <v>262</v>
      </c>
      <c r="AJ455" s="0" t="n">
        <v>27</v>
      </c>
      <c r="AK455" s="0" t="n">
        <v>168</v>
      </c>
      <c r="AL455" s="0" t="n">
        <v>1.02</v>
      </c>
    </row>
    <row r="456">
      <c r="A456" s="0" t="inlineStr">
        <is>
          <t>[정자동]</t>
        </is>
      </c>
      <c r="B456" s="0" t="n">
        <v>100050</v>
      </c>
      <c r="C456" s="0" t="n">
        <v>1</v>
      </c>
      <c r="D456" s="0" t="inlineStr">
        <is>
          <t>정자희성연인2차</t>
        </is>
      </c>
      <c r="E456" s="0" t="inlineStr">
        <is>
          <t>2009.04.</t>
        </is>
      </c>
      <c r="F456" s="0" t="n">
        <v>84</v>
      </c>
      <c r="G456" s="0" t="n">
        <v>24.21</v>
      </c>
      <c r="H456" s="0" t="n">
        <v>80.05</v>
      </c>
      <c r="I456" s="0" t="n">
        <v>18.14</v>
      </c>
      <c r="J456" s="0" t="n">
        <v>59.98</v>
      </c>
      <c r="K456" s="0" t="n">
        <v>17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80B</t>
        </is>
      </c>
      <c r="X456" s="0" t="n">
        <v>15</v>
      </c>
      <c r="Y456" s="0" t="n">
        <v>8</v>
      </c>
      <c r="Z456" s="0" t="inlineStr">
        <is>
          <t>https://new.land.naver.com/complexes/100050?tab=detail&amp;rf=Y</t>
        </is>
      </c>
      <c r="AA456" s="0" t="inlineStr">
        <is>
          <t>경기도 수원시 장안구 정자동 69-2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장안구</t>
        </is>
      </c>
      <c r="AE456" s="0" t="inlineStr">
        <is>
          <t>정자동</t>
        </is>
      </c>
      <c r="AG456" s="0" t="inlineStr">
        <is>
          <t>경기도 수원시 장안구 영화로85번길 21</t>
        </is>
      </c>
      <c r="AH456" s="0" t="n">
        <v>0</v>
      </c>
      <c r="AI456" s="0" t="n">
        <v>198</v>
      </c>
      <c r="AJ456" s="0" t="n">
        <v>18</v>
      </c>
      <c r="AK456" s="0" t="n">
        <v>86</v>
      </c>
      <c r="AL456" s="0" t="n">
        <v>1.02</v>
      </c>
    </row>
    <row r="457">
      <c r="A457" s="0" t="inlineStr">
        <is>
          <t>[정자동]</t>
        </is>
      </c>
      <c r="B457" s="0" t="n">
        <v>100050</v>
      </c>
      <c r="C457" s="0" t="n">
        <v>2</v>
      </c>
      <c r="D457" s="0" t="inlineStr">
        <is>
          <t>정자희성연인2차</t>
        </is>
      </c>
      <c r="E457" s="0" t="inlineStr">
        <is>
          <t>2009.04.</t>
        </is>
      </c>
      <c r="F457" s="0" t="n">
        <v>84</v>
      </c>
      <c r="G457" s="0" t="n">
        <v>24.21</v>
      </c>
      <c r="H457" s="0" t="n">
        <v>80.05</v>
      </c>
      <c r="I457" s="0" t="n">
        <v>18.14</v>
      </c>
      <c r="J457" s="0" t="n">
        <v>59.98</v>
      </c>
      <c r="K457" s="0" t="n">
        <v>8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80C</t>
        </is>
      </c>
      <c r="X457" s="0" t="n">
        <v>15</v>
      </c>
      <c r="Y457" s="0" t="n">
        <v>8</v>
      </c>
      <c r="Z457" s="0" t="inlineStr">
        <is>
          <t>https://new.land.naver.com/complexes/100050?tab=detail&amp;rf=Y</t>
        </is>
      </c>
      <c r="AA457" s="0" t="inlineStr">
        <is>
          <t>경기도 수원시 장안구 정자동 69-2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장안구</t>
        </is>
      </c>
      <c r="AE457" s="0" t="inlineStr">
        <is>
          <t>정자동</t>
        </is>
      </c>
      <c r="AG457" s="0" t="inlineStr">
        <is>
          <t>경기도 수원시 장안구 영화로85번길 21</t>
        </is>
      </c>
      <c r="AH457" s="0" t="n">
        <v>0</v>
      </c>
      <c r="AI457" s="0" t="n">
        <v>198</v>
      </c>
      <c r="AJ457" s="0" t="n">
        <v>18</v>
      </c>
      <c r="AK457" s="0" t="n">
        <v>86</v>
      </c>
      <c r="AL457" s="0" t="n">
        <v>1.02</v>
      </c>
    </row>
    <row r="458">
      <c r="A458" s="0" t="inlineStr">
        <is>
          <t>[정자동]</t>
        </is>
      </c>
      <c r="B458" s="0" t="n">
        <v>100050</v>
      </c>
      <c r="C458" s="0" t="n">
        <v>3</v>
      </c>
      <c r="D458" s="0" t="inlineStr">
        <is>
          <t>정자희성연인2차</t>
        </is>
      </c>
      <c r="E458" s="0" t="inlineStr">
        <is>
          <t>2009.04.</t>
        </is>
      </c>
      <c r="F458" s="0" t="n">
        <v>84</v>
      </c>
      <c r="G458" s="0" t="n">
        <v>34.33</v>
      </c>
      <c r="H458" s="0" t="n">
        <v>113.49</v>
      </c>
      <c r="I458" s="0" t="n">
        <v>25.69</v>
      </c>
      <c r="J458" s="0" t="n">
        <v>84.94</v>
      </c>
      <c r="K458" s="0" t="n">
        <v>59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113A</t>
        </is>
      </c>
      <c r="X458" s="0" t="n">
        <v>15</v>
      </c>
      <c r="Y458" s="0" t="n">
        <v>8</v>
      </c>
      <c r="Z458" s="0" t="inlineStr">
        <is>
          <t>https://new.land.naver.com/complexes/100050?tab=detail&amp;rf=Y</t>
        </is>
      </c>
      <c r="AA458" s="0" t="inlineStr">
        <is>
          <t>경기도 수원시 장안구 정자동 69-2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장안구</t>
        </is>
      </c>
      <c r="AE458" s="0" t="inlineStr">
        <is>
          <t>정자동</t>
        </is>
      </c>
      <c r="AG458" s="0" t="inlineStr">
        <is>
          <t>경기도 수원시 장안구 영화로85번길 21</t>
        </is>
      </c>
      <c r="AH458" s="0" t="n">
        <v>0</v>
      </c>
      <c r="AI458" s="0" t="n">
        <v>198</v>
      </c>
      <c r="AJ458" s="0" t="n">
        <v>18</v>
      </c>
      <c r="AK458" s="0" t="n">
        <v>86</v>
      </c>
      <c r="AL458" s="0" t="n">
        <v>1.02</v>
      </c>
    </row>
    <row r="459">
      <c r="A459" s="0" t="inlineStr">
        <is>
          <t>[정자동]</t>
        </is>
      </c>
      <c r="B459" s="0" t="n">
        <v>7976</v>
      </c>
      <c r="C459" s="0" t="n">
        <v>1</v>
      </c>
      <c r="D459" s="0" t="inlineStr">
        <is>
          <t>연꽃마을벽산</t>
        </is>
      </c>
      <c r="E459" s="0" t="inlineStr">
        <is>
          <t>2000.06.</t>
        </is>
      </c>
      <c r="F459" s="0" t="n">
        <v>392</v>
      </c>
      <c r="G459" s="0" t="n">
        <v>32.99</v>
      </c>
      <c r="H459" s="0" t="n">
        <v>109.06</v>
      </c>
      <c r="I459" s="0" t="n">
        <v>25.7</v>
      </c>
      <c r="J459" s="0" t="n">
        <v>84.95999999999999</v>
      </c>
      <c r="K459" s="0" t="n">
        <v>392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109</v>
      </c>
      <c r="X459" s="0" t="n">
        <v>25</v>
      </c>
      <c r="Y459" s="0" t="n">
        <v>16</v>
      </c>
      <c r="Z459" s="0" t="inlineStr">
        <is>
          <t>https://new.land.naver.com/complexes/7976?tab=detail&amp;rf=Y</t>
        </is>
      </c>
      <c r="AA459" s="0" t="inlineStr">
        <is>
          <t>경기도 수원시 장안구 정자동 873-3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장안구</t>
        </is>
      </c>
      <c r="AE459" s="0" t="inlineStr">
        <is>
          <t>정자동</t>
        </is>
      </c>
      <c r="AG459" s="0" t="inlineStr">
        <is>
          <t>경기도 수원시 장안구 정자천로189번길 40</t>
        </is>
      </c>
      <c r="AH459" s="0" t="n">
        <v>0</v>
      </c>
      <c r="AI459" s="0" t="n">
        <v>229</v>
      </c>
      <c r="AJ459" s="0" t="n">
        <v>17</v>
      </c>
      <c r="AK459" s="0" t="n">
        <v>421</v>
      </c>
      <c r="AL459" s="0" t="n">
        <v>1.07</v>
      </c>
    </row>
    <row r="460">
      <c r="A460" s="0" t="inlineStr">
        <is>
          <t>[정자동]</t>
        </is>
      </c>
      <c r="B460" s="0" t="n">
        <v>10757</v>
      </c>
      <c r="C460" s="0" t="n">
        <v>1</v>
      </c>
      <c r="D460" s="0" t="inlineStr">
        <is>
          <t>화서역위너스파크</t>
        </is>
      </c>
      <c r="E460" s="0" t="inlineStr">
        <is>
          <t>2002.09.</t>
        </is>
      </c>
      <c r="F460" s="0" t="n">
        <v>583</v>
      </c>
      <c r="G460" s="0" t="n">
        <v>32.5</v>
      </c>
      <c r="H460" s="0" t="n">
        <v>107.47</v>
      </c>
      <c r="I460" s="0" t="n">
        <v>25.54</v>
      </c>
      <c r="J460" s="0" t="n">
        <v>84.45</v>
      </c>
      <c r="K460" s="0" t="n">
        <v>408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107A</t>
        </is>
      </c>
      <c r="X460" s="0" t="n">
        <v>25</v>
      </c>
      <c r="Y460" s="0" t="n">
        <v>16</v>
      </c>
      <c r="Z460" s="0" t="inlineStr">
        <is>
          <t>https://new.land.naver.com/complexes/10757?tab=detail&amp;rf=Y</t>
        </is>
      </c>
      <c r="AA460" s="0" t="inlineStr">
        <is>
          <t>경기도 수원시 장안구 정자동 922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장안구</t>
        </is>
      </c>
      <c r="AE460" s="0" t="inlineStr">
        <is>
          <t>정자동</t>
        </is>
      </c>
      <c r="AG460" s="0" t="inlineStr">
        <is>
          <t>경기도 수원시 장안구 천천로21번길 33</t>
        </is>
      </c>
      <c r="AH460" s="0" t="n">
        <v>0</v>
      </c>
      <c r="AI460" s="0" t="n">
        <v>215</v>
      </c>
      <c r="AJ460" s="0" t="n">
        <v>15</v>
      </c>
      <c r="AK460" s="0" t="n">
        <v>587</v>
      </c>
      <c r="AL460" s="0" t="n">
        <v>1.01</v>
      </c>
    </row>
    <row r="461">
      <c r="A461" s="0" t="inlineStr">
        <is>
          <t>[정자동]</t>
        </is>
      </c>
      <c r="B461" s="0" t="n">
        <v>10757</v>
      </c>
      <c r="C461" s="0" t="n">
        <v>2</v>
      </c>
      <c r="D461" s="0" t="inlineStr">
        <is>
          <t>화서역위너스파크</t>
        </is>
      </c>
      <c r="E461" s="0" t="inlineStr">
        <is>
          <t>2002.09.</t>
        </is>
      </c>
      <c r="F461" s="0" t="n">
        <v>583</v>
      </c>
      <c r="G461" s="0" t="n">
        <v>32.53</v>
      </c>
      <c r="H461" s="0" t="n">
        <v>107.55</v>
      </c>
      <c r="I461" s="0" t="n">
        <v>25.56</v>
      </c>
      <c r="J461" s="0" t="n">
        <v>84.51000000000001</v>
      </c>
      <c r="K461" s="0" t="n">
        <v>130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107B</t>
        </is>
      </c>
      <c r="X461" s="0" t="n">
        <v>25</v>
      </c>
      <c r="Y461" s="0" t="n">
        <v>16</v>
      </c>
      <c r="Z461" s="0" t="inlineStr">
        <is>
          <t>https://new.land.naver.com/complexes/10757?tab=detail&amp;rf=Y</t>
        </is>
      </c>
      <c r="AA461" s="0" t="inlineStr">
        <is>
          <t>경기도 수원시 장안구 정자동 922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장안구</t>
        </is>
      </c>
      <c r="AE461" s="0" t="inlineStr">
        <is>
          <t>정자동</t>
        </is>
      </c>
      <c r="AG461" s="0" t="inlineStr">
        <is>
          <t>경기도 수원시 장안구 천천로21번길 33</t>
        </is>
      </c>
      <c r="AH461" s="0" t="n">
        <v>0</v>
      </c>
      <c r="AI461" s="0" t="n">
        <v>215</v>
      </c>
      <c r="AJ461" s="0" t="n">
        <v>15</v>
      </c>
      <c r="AK461" s="0" t="n">
        <v>587</v>
      </c>
      <c r="AL461" s="0" t="n">
        <v>1.01</v>
      </c>
    </row>
    <row r="462">
      <c r="A462" s="0" t="inlineStr">
        <is>
          <t>[정자동]</t>
        </is>
      </c>
      <c r="B462" s="0" t="n">
        <v>10757</v>
      </c>
      <c r="C462" s="0" t="n">
        <v>3</v>
      </c>
      <c r="D462" s="0" t="inlineStr">
        <is>
          <t>화서역위너스파크</t>
        </is>
      </c>
      <c r="E462" s="0" t="inlineStr">
        <is>
          <t>2002.09.</t>
        </is>
      </c>
      <c r="F462" s="0" t="n">
        <v>583</v>
      </c>
      <c r="G462" s="0" t="n">
        <v>32.6</v>
      </c>
      <c r="H462" s="0" t="n">
        <v>107.8</v>
      </c>
      <c r="I462" s="0" t="n">
        <v>25.62</v>
      </c>
      <c r="J462" s="0" t="n">
        <v>84.70999999999999</v>
      </c>
      <c r="K462" s="0" t="n">
        <v>45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107C</t>
        </is>
      </c>
      <c r="X462" s="0" t="n">
        <v>25</v>
      </c>
      <c r="Y462" s="0" t="n">
        <v>16</v>
      </c>
      <c r="Z462" s="0" t="inlineStr">
        <is>
          <t>https://new.land.naver.com/complexes/10757?tab=detail&amp;rf=Y</t>
        </is>
      </c>
      <c r="AA462" s="0" t="inlineStr">
        <is>
          <t>경기도 수원시 장안구 정자동 922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장안구</t>
        </is>
      </c>
      <c r="AE462" s="0" t="inlineStr">
        <is>
          <t>정자동</t>
        </is>
      </c>
      <c r="AG462" s="0" t="inlineStr">
        <is>
          <t>경기도 수원시 장안구 천천로21번길 33</t>
        </is>
      </c>
      <c r="AH462" s="0" t="n">
        <v>0</v>
      </c>
      <c r="AI462" s="0" t="n">
        <v>215</v>
      </c>
      <c r="AJ462" s="0" t="n">
        <v>15</v>
      </c>
      <c r="AK462" s="0" t="n">
        <v>587</v>
      </c>
      <c r="AL462" s="0" t="n">
        <v>1.01</v>
      </c>
    </row>
    <row r="463">
      <c r="A463" s="0" t="inlineStr">
        <is>
          <t>[정자동]</t>
        </is>
      </c>
      <c r="B463" s="0" t="n">
        <v>1847</v>
      </c>
      <c r="C463" s="0" t="n">
        <v>1</v>
      </c>
      <c r="D463" s="0" t="inlineStr">
        <is>
          <t>기산</t>
        </is>
      </c>
      <c r="E463" s="0" t="inlineStr">
        <is>
          <t>1992.03.</t>
        </is>
      </c>
      <c r="F463" s="0" t="n">
        <v>134</v>
      </c>
      <c r="G463" s="0" t="n">
        <v>22.7</v>
      </c>
      <c r="H463" s="0" t="n">
        <v>75.06999999999999</v>
      </c>
      <c r="I463" s="0" t="n">
        <v>17.8</v>
      </c>
      <c r="J463" s="0" t="n">
        <v>58.87</v>
      </c>
      <c r="K463" s="0" t="n">
        <v>57</v>
      </c>
      <c r="T463" s="0" t="n">
        <v>3</v>
      </c>
      <c r="U463" s="0" t="n">
        <v>1</v>
      </c>
      <c r="V463" s="0" t="inlineStr">
        <is>
          <t>복도식</t>
        </is>
      </c>
      <c r="W463" s="0" t="n">
        <v>75</v>
      </c>
      <c r="X463" s="0" t="n">
        <v>12</v>
      </c>
      <c r="Y463" s="0" t="n">
        <v>8</v>
      </c>
      <c r="Z463" s="0" t="inlineStr">
        <is>
          <t>https://new.land.naver.com/complexes/1847?tab=detail&amp;rf=Y</t>
        </is>
      </c>
      <c r="AA463" s="0" t="inlineStr">
        <is>
          <t>경기도 수원시 장안구 정자동 13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장안구</t>
        </is>
      </c>
      <c r="AE463" s="0" t="inlineStr">
        <is>
          <t>정자동</t>
        </is>
      </c>
      <c r="AG463" s="0" t="inlineStr">
        <is>
          <t>경기도 수원시 장안구 송정로76번길 45</t>
        </is>
      </c>
      <c r="AH463" s="0" t="n">
        <v>0</v>
      </c>
      <c r="AI463" s="0" t="n">
        <v>229</v>
      </c>
      <c r="AJ463" s="0" t="n">
        <v>50</v>
      </c>
      <c r="AK463" s="0" t="n">
        <v>0</v>
      </c>
      <c r="AL463" s="0" t="n">
        <v>0</v>
      </c>
    </row>
    <row r="464">
      <c r="A464" s="0" t="inlineStr">
        <is>
          <t>[정자동]</t>
        </is>
      </c>
      <c r="B464" s="0" t="n">
        <v>1847</v>
      </c>
      <c r="C464" s="0" t="n">
        <v>2</v>
      </c>
      <c r="D464" s="0" t="inlineStr">
        <is>
          <t>기산</t>
        </is>
      </c>
      <c r="E464" s="0" t="inlineStr">
        <is>
          <t>1992.03.</t>
        </is>
      </c>
      <c r="F464" s="0" t="n">
        <v>134</v>
      </c>
      <c r="G464" s="0" t="n">
        <v>25.31</v>
      </c>
      <c r="H464" s="0" t="n">
        <v>83.68000000000001</v>
      </c>
      <c r="I464" s="0" t="n">
        <v>19.85</v>
      </c>
      <c r="J464" s="0" t="n">
        <v>65.62</v>
      </c>
      <c r="K464" s="0" t="n">
        <v>44</v>
      </c>
      <c r="T464" s="0" t="n">
        <v>3</v>
      </c>
      <c r="U464" s="0" t="n">
        <v>1</v>
      </c>
      <c r="V464" s="0" t="inlineStr">
        <is>
          <t>복도식</t>
        </is>
      </c>
      <c r="W464" s="0" t="n">
        <v>83</v>
      </c>
      <c r="X464" s="0" t="n">
        <v>12</v>
      </c>
      <c r="Y464" s="0" t="n">
        <v>8</v>
      </c>
      <c r="Z464" s="0" t="inlineStr">
        <is>
          <t>https://new.land.naver.com/complexes/1847?tab=detail&amp;rf=Y</t>
        </is>
      </c>
      <c r="AA464" s="0" t="inlineStr">
        <is>
          <t>경기도 수원시 장안구 정자동 13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장안구</t>
        </is>
      </c>
      <c r="AE464" s="0" t="inlineStr">
        <is>
          <t>정자동</t>
        </is>
      </c>
      <c r="AG464" s="0" t="inlineStr">
        <is>
          <t>경기도 수원시 장안구 송정로76번길 45</t>
        </is>
      </c>
      <c r="AH464" s="0" t="n">
        <v>0</v>
      </c>
      <c r="AI464" s="0" t="n">
        <v>229</v>
      </c>
      <c r="AJ464" s="0" t="n">
        <v>50</v>
      </c>
      <c r="AK464" s="0" t="n">
        <v>0</v>
      </c>
      <c r="AL464" s="0" t="n">
        <v>0</v>
      </c>
    </row>
    <row r="465">
      <c r="A465" s="0" t="inlineStr">
        <is>
          <t>[정자동]</t>
        </is>
      </c>
      <c r="B465" s="0" t="n">
        <v>1847</v>
      </c>
      <c r="C465" s="0" t="n">
        <v>3</v>
      </c>
      <c r="D465" s="0" t="inlineStr">
        <is>
          <t>기산</t>
        </is>
      </c>
      <c r="E465" s="0" t="inlineStr">
        <is>
          <t>1992.03.</t>
        </is>
      </c>
      <c r="F465" s="0" t="n">
        <v>134</v>
      </c>
      <c r="G465" s="0" t="n">
        <v>29.61</v>
      </c>
      <c r="H465" s="0" t="n">
        <v>97.91</v>
      </c>
      <c r="I465" s="0" t="n">
        <v>23.22</v>
      </c>
      <c r="J465" s="0" t="n">
        <v>76.78</v>
      </c>
      <c r="K465" s="0" t="n">
        <v>33</v>
      </c>
      <c r="T465" s="0" t="n">
        <v>3</v>
      </c>
      <c r="U465" s="0" t="n">
        <v>1</v>
      </c>
      <c r="V465" s="0" t="inlineStr">
        <is>
          <t>복도식</t>
        </is>
      </c>
      <c r="W465" s="0" t="n">
        <v>97</v>
      </c>
      <c r="X465" s="0" t="n">
        <v>12</v>
      </c>
      <c r="Y465" s="0" t="n">
        <v>8</v>
      </c>
      <c r="Z465" s="0" t="inlineStr">
        <is>
          <t>https://new.land.naver.com/complexes/1847?tab=detail&amp;rf=Y</t>
        </is>
      </c>
      <c r="AA465" s="0" t="inlineStr">
        <is>
          <t>경기도 수원시 장안구 정자동 13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장안구</t>
        </is>
      </c>
      <c r="AE465" s="0" t="inlineStr">
        <is>
          <t>정자동</t>
        </is>
      </c>
      <c r="AG465" s="0" t="inlineStr">
        <is>
          <t>경기도 수원시 장안구 송정로76번길 45</t>
        </is>
      </c>
      <c r="AH465" s="0" t="n">
        <v>0</v>
      </c>
      <c r="AI465" s="0" t="n">
        <v>229</v>
      </c>
      <c r="AJ465" s="0" t="n">
        <v>50</v>
      </c>
      <c r="AK465" s="0" t="n">
        <v>0</v>
      </c>
      <c r="AL465" s="0" t="n">
        <v>0</v>
      </c>
    </row>
    <row r="466">
      <c r="A466" s="0" t="inlineStr">
        <is>
          <t>[정자동]</t>
        </is>
      </c>
      <c r="B466" s="0" t="n">
        <v>121991</v>
      </c>
      <c r="C466" s="0" t="n">
        <v>1</v>
      </c>
      <c r="D466" s="0" t="inlineStr">
        <is>
          <t>화서역파크푸르지오</t>
        </is>
      </c>
      <c r="E466" s="0" t="inlineStr">
        <is>
          <t>2021.08.</t>
        </is>
      </c>
      <c r="F466" s="0" t="n">
        <v>2355</v>
      </c>
      <c r="G466" s="0" t="n">
        <v>25.37</v>
      </c>
      <c r="H466" s="0" t="n">
        <v>83.88</v>
      </c>
      <c r="I466" s="0" t="n">
        <v>18.08</v>
      </c>
      <c r="J466" s="0" t="n">
        <v>59.78</v>
      </c>
      <c r="K466" s="0" t="n">
        <v>354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83A</t>
        </is>
      </c>
      <c r="X466" s="0" t="n">
        <v>46</v>
      </c>
      <c r="Y466" s="0" t="n">
        <v>16</v>
      </c>
      <c r="Z466" s="0" t="inlineStr">
        <is>
          <t>https://new.land.naver.com/complexes/121991?tab=detail&amp;rf=Y</t>
        </is>
      </c>
      <c r="AA466" s="0" t="inlineStr">
        <is>
          <t>경기도 수원시 장안구 정자동 950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장안구</t>
        </is>
      </c>
      <c r="AE466" s="0" t="inlineStr">
        <is>
          <t>정자동</t>
        </is>
      </c>
      <c r="AG466" s="0" t="inlineStr">
        <is>
          <t>경기도 수원시 장안구 대평로 27</t>
        </is>
      </c>
      <c r="AH466" s="0" t="n">
        <v>0</v>
      </c>
      <c r="AI466" s="0" t="n">
        <v>499</v>
      </c>
      <c r="AJ466" s="0" t="n">
        <v>27</v>
      </c>
      <c r="AK466" s="0" t="n">
        <v>2920</v>
      </c>
      <c r="AL466" s="0" t="n">
        <v>1.24</v>
      </c>
    </row>
    <row r="467">
      <c r="A467" s="0" t="inlineStr">
        <is>
          <t>[정자동]</t>
        </is>
      </c>
      <c r="B467" s="0" t="n">
        <v>121991</v>
      </c>
      <c r="C467" s="0" t="n">
        <v>2</v>
      </c>
      <c r="D467" s="0" t="inlineStr">
        <is>
          <t>화서역파크푸르지오</t>
        </is>
      </c>
      <c r="E467" s="0" t="inlineStr">
        <is>
          <t>2021.08.</t>
        </is>
      </c>
      <c r="F467" s="0" t="n">
        <v>2355</v>
      </c>
      <c r="G467" s="0" t="n">
        <v>25.67</v>
      </c>
      <c r="H467" s="0" t="n">
        <v>84.89</v>
      </c>
      <c r="I467" s="0" t="n">
        <v>18.14</v>
      </c>
      <c r="J467" s="0" t="n">
        <v>59.98</v>
      </c>
      <c r="K467" s="0" t="n">
        <v>96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84B</t>
        </is>
      </c>
      <c r="X467" s="0" t="n">
        <v>46</v>
      </c>
      <c r="Y467" s="0" t="n">
        <v>16</v>
      </c>
      <c r="Z467" s="0" t="inlineStr">
        <is>
          <t>https://new.land.naver.com/complexes/121991?tab=detail&amp;rf=Y</t>
        </is>
      </c>
      <c r="AA467" s="0" t="inlineStr">
        <is>
          <t>경기도 수원시 장안구 정자동 950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장안구</t>
        </is>
      </c>
      <c r="AE467" s="0" t="inlineStr">
        <is>
          <t>정자동</t>
        </is>
      </c>
      <c r="AG467" s="0" t="inlineStr">
        <is>
          <t>경기도 수원시 장안구 대평로 27</t>
        </is>
      </c>
      <c r="AH467" s="0" t="n">
        <v>0</v>
      </c>
      <c r="AI467" s="0" t="n">
        <v>499</v>
      </c>
      <c r="AJ467" s="0" t="n">
        <v>27</v>
      </c>
      <c r="AK467" s="0" t="n">
        <v>2920</v>
      </c>
      <c r="AL467" s="0" t="n">
        <v>1.24</v>
      </c>
    </row>
    <row r="468">
      <c r="A468" s="0" t="inlineStr">
        <is>
          <t>[정자동]</t>
        </is>
      </c>
      <c r="B468" s="0" t="n">
        <v>121991</v>
      </c>
      <c r="C468" s="0" t="n">
        <v>3</v>
      </c>
      <c r="D468" s="0" t="inlineStr">
        <is>
          <t>화서역파크푸르지오</t>
        </is>
      </c>
      <c r="E468" s="0" t="inlineStr">
        <is>
          <t>2021.08.</t>
        </is>
      </c>
      <c r="F468" s="0" t="n">
        <v>2355</v>
      </c>
      <c r="G468" s="0" t="n">
        <v>31.5</v>
      </c>
      <c r="H468" s="0" t="n">
        <v>104.15</v>
      </c>
      <c r="I468" s="0" t="n">
        <v>22.67</v>
      </c>
      <c r="J468" s="0" t="n">
        <v>74.95999999999999</v>
      </c>
      <c r="K468" s="0" t="n">
        <v>259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104A</t>
        </is>
      </c>
      <c r="X468" s="0" t="n">
        <v>46</v>
      </c>
      <c r="Y468" s="0" t="n">
        <v>16</v>
      </c>
      <c r="Z468" s="0" t="inlineStr">
        <is>
          <t>https://new.land.naver.com/complexes/121991?tab=detail&amp;rf=Y</t>
        </is>
      </c>
      <c r="AA468" s="0" t="inlineStr">
        <is>
          <t>경기도 수원시 장안구 정자동 950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장안구</t>
        </is>
      </c>
      <c r="AE468" s="0" t="inlineStr">
        <is>
          <t>정자동</t>
        </is>
      </c>
      <c r="AG468" s="0" t="inlineStr">
        <is>
          <t>경기도 수원시 장안구 대평로 27</t>
        </is>
      </c>
      <c r="AH468" s="0" t="n">
        <v>0</v>
      </c>
      <c r="AI468" s="0" t="n">
        <v>499</v>
      </c>
      <c r="AJ468" s="0" t="n">
        <v>27</v>
      </c>
      <c r="AK468" s="0" t="n">
        <v>2920</v>
      </c>
      <c r="AL468" s="0" t="n">
        <v>1.24</v>
      </c>
    </row>
    <row r="469">
      <c r="A469" s="0" t="inlineStr">
        <is>
          <t>[정자동]</t>
        </is>
      </c>
      <c r="B469" s="0" t="n">
        <v>121991</v>
      </c>
      <c r="C469" s="0" t="n">
        <v>4</v>
      </c>
      <c r="D469" s="0" t="inlineStr">
        <is>
          <t>화서역파크푸르지오</t>
        </is>
      </c>
      <c r="E469" s="0" t="inlineStr">
        <is>
          <t>2021.08.</t>
        </is>
      </c>
      <c r="F469" s="0" t="n">
        <v>2355</v>
      </c>
      <c r="G469" s="0" t="n">
        <v>31.78</v>
      </c>
      <c r="H469" s="0" t="n">
        <v>105.06</v>
      </c>
      <c r="I469" s="0" t="n">
        <v>22.67</v>
      </c>
      <c r="J469" s="0" t="n">
        <v>74.95999999999999</v>
      </c>
      <c r="K469" s="0" t="n">
        <v>29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105B</t>
        </is>
      </c>
      <c r="X469" s="0" t="n">
        <v>46</v>
      </c>
      <c r="Y469" s="0" t="n">
        <v>16</v>
      </c>
      <c r="Z469" s="0" t="inlineStr">
        <is>
          <t>https://new.land.naver.com/complexes/121991?tab=detail&amp;rf=Y</t>
        </is>
      </c>
      <c r="AA469" s="0" t="inlineStr">
        <is>
          <t>경기도 수원시 장안구 정자동 950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장안구</t>
        </is>
      </c>
      <c r="AE469" s="0" t="inlineStr">
        <is>
          <t>정자동</t>
        </is>
      </c>
      <c r="AG469" s="0" t="inlineStr">
        <is>
          <t>경기도 수원시 장안구 대평로 27</t>
        </is>
      </c>
      <c r="AH469" s="0" t="n">
        <v>0</v>
      </c>
      <c r="AI469" s="0" t="n">
        <v>499</v>
      </c>
      <c r="AJ469" s="0" t="n">
        <v>27</v>
      </c>
      <c r="AK469" s="0" t="n">
        <v>2920</v>
      </c>
      <c r="AL469" s="0" t="n">
        <v>1.24</v>
      </c>
    </row>
    <row r="470">
      <c r="A470" s="0" t="inlineStr">
        <is>
          <t>[정자동]</t>
        </is>
      </c>
      <c r="B470" s="0" t="n">
        <v>121991</v>
      </c>
      <c r="C470" s="0" t="n">
        <v>5</v>
      </c>
      <c r="D470" s="0" t="inlineStr">
        <is>
          <t>화서역파크푸르지오</t>
        </is>
      </c>
      <c r="E470" s="0" t="inlineStr">
        <is>
          <t>2021.08.</t>
        </is>
      </c>
      <c r="F470" s="0" t="n">
        <v>2355</v>
      </c>
      <c r="G470" s="0" t="n">
        <v>35.37</v>
      </c>
      <c r="H470" s="0" t="n">
        <v>116.95</v>
      </c>
      <c r="I470" s="0" t="n">
        <v>25.62</v>
      </c>
      <c r="J470" s="0" t="n">
        <v>84.7</v>
      </c>
      <c r="K470" s="0" t="n">
        <v>705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116A</t>
        </is>
      </c>
      <c r="X470" s="0" t="n">
        <v>46</v>
      </c>
      <c r="Y470" s="0" t="n">
        <v>16</v>
      </c>
      <c r="Z470" s="0" t="inlineStr">
        <is>
          <t>https://new.land.naver.com/complexes/121991?tab=detail&amp;rf=Y</t>
        </is>
      </c>
      <c r="AA470" s="0" t="inlineStr">
        <is>
          <t>경기도 수원시 장안구 정자동 950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장안구</t>
        </is>
      </c>
      <c r="AE470" s="0" t="inlineStr">
        <is>
          <t>정자동</t>
        </is>
      </c>
      <c r="AG470" s="0" t="inlineStr">
        <is>
          <t>경기도 수원시 장안구 대평로 27</t>
        </is>
      </c>
      <c r="AH470" s="0" t="n">
        <v>0</v>
      </c>
      <c r="AI470" s="0" t="n">
        <v>499</v>
      </c>
      <c r="AJ470" s="0" t="n">
        <v>27</v>
      </c>
      <c r="AK470" s="0" t="n">
        <v>2920</v>
      </c>
      <c r="AL470" s="0" t="n">
        <v>1.24</v>
      </c>
    </row>
    <row r="471">
      <c r="A471" s="0" t="inlineStr">
        <is>
          <t>[정자동]</t>
        </is>
      </c>
      <c r="B471" s="0" t="n">
        <v>121991</v>
      </c>
      <c r="C471" s="0" t="n">
        <v>6</v>
      </c>
      <c r="D471" s="0" t="inlineStr">
        <is>
          <t>화서역파크푸르지오</t>
        </is>
      </c>
      <c r="E471" s="0" t="inlineStr">
        <is>
          <t>2021.08.</t>
        </is>
      </c>
      <c r="F471" s="0" t="n">
        <v>2355</v>
      </c>
      <c r="G471" s="0" t="n">
        <v>35.84</v>
      </c>
      <c r="H471" s="0" t="n">
        <v>118.48</v>
      </c>
      <c r="I471" s="0" t="n">
        <v>25.63</v>
      </c>
      <c r="J471" s="0" t="n">
        <v>84.76000000000001</v>
      </c>
      <c r="K471" s="0" t="n">
        <v>461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118B</t>
        </is>
      </c>
      <c r="X471" s="0" t="n">
        <v>46</v>
      </c>
      <c r="Y471" s="0" t="n">
        <v>16</v>
      </c>
      <c r="Z471" s="0" t="inlineStr">
        <is>
          <t>https://new.land.naver.com/complexes/121991?tab=detail&amp;rf=Y</t>
        </is>
      </c>
      <c r="AA471" s="0" t="inlineStr">
        <is>
          <t>경기도 수원시 장안구 정자동 950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장안구</t>
        </is>
      </c>
      <c r="AE471" s="0" t="inlineStr">
        <is>
          <t>정자동</t>
        </is>
      </c>
      <c r="AG471" s="0" t="inlineStr">
        <is>
          <t>경기도 수원시 장안구 대평로 27</t>
        </is>
      </c>
      <c r="AH471" s="0" t="n">
        <v>0</v>
      </c>
      <c r="AI471" s="0" t="n">
        <v>499</v>
      </c>
      <c r="AJ471" s="0" t="n">
        <v>27</v>
      </c>
      <c r="AK471" s="0" t="n">
        <v>2920</v>
      </c>
      <c r="AL471" s="0" t="n">
        <v>1.24</v>
      </c>
    </row>
    <row r="472">
      <c r="A472" s="0" t="inlineStr">
        <is>
          <t>[정자동]</t>
        </is>
      </c>
      <c r="B472" s="0" t="n">
        <v>121991</v>
      </c>
      <c r="C472" s="0" t="n">
        <v>7</v>
      </c>
      <c r="D472" s="0" t="inlineStr">
        <is>
          <t>화서역파크푸르지오</t>
        </is>
      </c>
      <c r="E472" s="0" t="inlineStr">
        <is>
          <t>2021.08.</t>
        </is>
      </c>
      <c r="F472" s="0" t="n">
        <v>2355</v>
      </c>
      <c r="G472" s="0" t="n">
        <v>35.94</v>
      </c>
      <c r="H472" s="0" t="n">
        <v>118.82</v>
      </c>
      <c r="I472" s="0" t="n">
        <v>25.65</v>
      </c>
      <c r="J472" s="0" t="n">
        <v>84.81</v>
      </c>
      <c r="K472" s="0" t="n">
        <v>214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118C</t>
        </is>
      </c>
      <c r="X472" s="0" t="n">
        <v>46</v>
      </c>
      <c r="Y472" s="0" t="n">
        <v>16</v>
      </c>
      <c r="Z472" s="0" t="inlineStr">
        <is>
          <t>https://new.land.naver.com/complexes/121991?tab=detail&amp;rf=Y</t>
        </is>
      </c>
      <c r="AA472" s="0" t="inlineStr">
        <is>
          <t>경기도 수원시 장안구 정자동 950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장안구</t>
        </is>
      </c>
      <c r="AE472" s="0" t="inlineStr">
        <is>
          <t>정자동</t>
        </is>
      </c>
      <c r="AG472" s="0" t="inlineStr">
        <is>
          <t>경기도 수원시 장안구 대평로 27</t>
        </is>
      </c>
      <c r="AH472" s="0" t="n">
        <v>0</v>
      </c>
      <c r="AI472" s="0" t="n">
        <v>499</v>
      </c>
      <c r="AJ472" s="0" t="n">
        <v>27</v>
      </c>
      <c r="AK472" s="0" t="n">
        <v>2920</v>
      </c>
      <c r="AL472" s="0" t="n">
        <v>1.24</v>
      </c>
    </row>
    <row r="473">
      <c r="A473" s="0" t="inlineStr">
        <is>
          <t>[정자동]</t>
        </is>
      </c>
      <c r="B473" s="0" t="n">
        <v>121991</v>
      </c>
      <c r="C473" s="0" t="n">
        <v>8</v>
      </c>
      <c r="D473" s="0" t="inlineStr">
        <is>
          <t>화서역파크푸르지오</t>
        </is>
      </c>
      <c r="E473" s="0" t="inlineStr">
        <is>
          <t>2021.08.</t>
        </is>
      </c>
      <c r="F473" s="0" t="n">
        <v>2355</v>
      </c>
      <c r="G473" s="0" t="n">
        <v>42.56</v>
      </c>
      <c r="H473" s="0" t="n">
        <v>140.71</v>
      </c>
      <c r="I473" s="0" t="n">
        <v>30.85</v>
      </c>
      <c r="J473" s="0" t="n">
        <v>101.99</v>
      </c>
      <c r="K473" s="0" t="n">
        <v>105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140B</t>
        </is>
      </c>
      <c r="X473" s="0" t="n">
        <v>46</v>
      </c>
      <c r="Y473" s="0" t="n">
        <v>16</v>
      </c>
      <c r="Z473" s="0" t="inlineStr">
        <is>
          <t>https://new.land.naver.com/complexes/121991?tab=detail&amp;rf=Y</t>
        </is>
      </c>
      <c r="AA473" s="0" t="inlineStr">
        <is>
          <t>경기도 수원시 장안구 정자동 950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장안구</t>
        </is>
      </c>
      <c r="AE473" s="0" t="inlineStr">
        <is>
          <t>정자동</t>
        </is>
      </c>
      <c r="AG473" s="0" t="inlineStr">
        <is>
          <t>경기도 수원시 장안구 대평로 27</t>
        </is>
      </c>
      <c r="AH473" s="0" t="n">
        <v>0</v>
      </c>
      <c r="AI473" s="0" t="n">
        <v>499</v>
      </c>
      <c r="AJ473" s="0" t="n">
        <v>27</v>
      </c>
      <c r="AK473" s="0" t="n">
        <v>2920</v>
      </c>
      <c r="AL473" s="0" t="n">
        <v>1.24</v>
      </c>
    </row>
    <row r="474">
      <c r="A474" s="0" t="inlineStr">
        <is>
          <t>[정자동]</t>
        </is>
      </c>
      <c r="B474" s="0" t="n">
        <v>121991</v>
      </c>
      <c r="C474" s="0" t="n">
        <v>9</v>
      </c>
      <c r="D474" s="0" t="inlineStr">
        <is>
          <t>화서역파크푸르지오</t>
        </is>
      </c>
      <c r="E474" s="0" t="inlineStr">
        <is>
          <t>2021.08.</t>
        </is>
      </c>
      <c r="F474" s="0" t="n">
        <v>2355</v>
      </c>
      <c r="G474" s="0" t="n">
        <v>42.72</v>
      </c>
      <c r="H474" s="0" t="n">
        <v>141.23</v>
      </c>
      <c r="I474" s="0" t="n">
        <v>30.84</v>
      </c>
      <c r="J474" s="0" t="n">
        <v>101.97</v>
      </c>
      <c r="K474" s="0" t="n">
        <v>108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141A</t>
        </is>
      </c>
      <c r="X474" s="0" t="n">
        <v>46</v>
      </c>
      <c r="Y474" s="0" t="n">
        <v>16</v>
      </c>
      <c r="Z474" s="0" t="inlineStr">
        <is>
          <t>https://new.land.naver.com/complexes/121991?tab=detail&amp;rf=Y</t>
        </is>
      </c>
      <c r="AA474" s="0" t="inlineStr">
        <is>
          <t>경기도 수원시 장안구 정자동 950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장안구</t>
        </is>
      </c>
      <c r="AE474" s="0" t="inlineStr">
        <is>
          <t>정자동</t>
        </is>
      </c>
      <c r="AG474" s="0" t="inlineStr">
        <is>
          <t>경기도 수원시 장안구 대평로 27</t>
        </is>
      </c>
      <c r="AH474" s="0" t="n">
        <v>0</v>
      </c>
      <c r="AI474" s="0" t="n">
        <v>499</v>
      </c>
      <c r="AJ474" s="0" t="n">
        <v>27</v>
      </c>
      <c r="AK474" s="0" t="n">
        <v>2920</v>
      </c>
      <c r="AL474" s="0" t="n">
        <v>1.24</v>
      </c>
    </row>
    <row r="475">
      <c r="A475" s="0" t="inlineStr">
        <is>
          <t>[정자동]</t>
        </is>
      </c>
      <c r="B475" s="0" t="n">
        <v>121991</v>
      </c>
      <c r="C475" s="0" t="n">
        <v>10</v>
      </c>
      <c r="D475" s="0" t="inlineStr">
        <is>
          <t>화서역파크푸르지오</t>
        </is>
      </c>
      <c r="E475" s="0" t="inlineStr">
        <is>
          <t>2021.08.</t>
        </is>
      </c>
      <c r="F475" s="0" t="n">
        <v>2355</v>
      </c>
      <c r="G475" s="0" t="n">
        <v>44.86</v>
      </c>
      <c r="H475" s="0" t="n">
        <v>148.32</v>
      </c>
      <c r="I475" s="0" t="n">
        <v>32.51</v>
      </c>
      <c r="J475" s="0" t="n">
        <v>107.48</v>
      </c>
      <c r="K475" s="0" t="n">
        <v>9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148A</t>
        </is>
      </c>
      <c r="X475" s="0" t="n">
        <v>46</v>
      </c>
      <c r="Y475" s="0" t="n">
        <v>16</v>
      </c>
      <c r="Z475" s="0" t="inlineStr">
        <is>
          <t>https://new.land.naver.com/complexes/121991?tab=detail&amp;rf=Y</t>
        </is>
      </c>
      <c r="AA475" s="0" t="inlineStr">
        <is>
          <t>경기도 수원시 장안구 정자동 950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장안구</t>
        </is>
      </c>
      <c r="AE475" s="0" t="inlineStr">
        <is>
          <t>정자동</t>
        </is>
      </c>
      <c r="AG475" s="0" t="inlineStr">
        <is>
          <t>경기도 수원시 장안구 대평로 27</t>
        </is>
      </c>
      <c r="AH475" s="0" t="n">
        <v>0</v>
      </c>
      <c r="AI475" s="0" t="n">
        <v>499</v>
      </c>
      <c r="AJ475" s="0" t="n">
        <v>27</v>
      </c>
      <c r="AK475" s="0" t="n">
        <v>2920</v>
      </c>
      <c r="AL475" s="0" t="n">
        <v>1.24</v>
      </c>
    </row>
    <row r="476">
      <c r="A476" s="0" t="inlineStr">
        <is>
          <t>[정자동]</t>
        </is>
      </c>
      <c r="B476" s="0" t="n">
        <v>121991</v>
      </c>
      <c r="C476" s="0" t="n">
        <v>11</v>
      </c>
      <c r="D476" s="0" t="inlineStr">
        <is>
          <t>화서역파크푸르지오</t>
        </is>
      </c>
      <c r="E476" s="0" t="inlineStr">
        <is>
          <t>2021.08.</t>
        </is>
      </c>
      <c r="F476" s="0" t="n">
        <v>2355</v>
      </c>
      <c r="G476" s="0" t="n">
        <v>44.8</v>
      </c>
      <c r="H476" s="0" t="n">
        <v>148.12</v>
      </c>
      <c r="I476" s="0" t="n">
        <v>32.59</v>
      </c>
      <c r="J476" s="0" t="n">
        <v>107.74</v>
      </c>
      <c r="K476" s="0" t="n">
        <v>9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148B</t>
        </is>
      </c>
      <c r="X476" s="0" t="n">
        <v>46</v>
      </c>
      <c r="Y476" s="0" t="n">
        <v>16</v>
      </c>
      <c r="Z476" s="0" t="inlineStr">
        <is>
          <t>https://new.land.naver.com/complexes/121991?tab=detail&amp;rf=Y</t>
        </is>
      </c>
      <c r="AA476" s="0" t="inlineStr">
        <is>
          <t>경기도 수원시 장안구 정자동 950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장안구</t>
        </is>
      </c>
      <c r="AE476" s="0" t="inlineStr">
        <is>
          <t>정자동</t>
        </is>
      </c>
      <c r="AG476" s="0" t="inlineStr">
        <is>
          <t>경기도 수원시 장안구 대평로 27</t>
        </is>
      </c>
      <c r="AH476" s="0" t="n">
        <v>0</v>
      </c>
      <c r="AI476" s="0" t="n">
        <v>499</v>
      </c>
      <c r="AJ476" s="0" t="n">
        <v>27</v>
      </c>
      <c r="AK476" s="0" t="n">
        <v>2920</v>
      </c>
      <c r="AL476" s="0" t="n">
        <v>1.24</v>
      </c>
    </row>
    <row r="477">
      <c r="A477" s="0" t="inlineStr">
        <is>
          <t>[정자동]</t>
        </is>
      </c>
      <c r="B477" s="0" t="n">
        <v>121991</v>
      </c>
      <c r="C477" s="0" t="n">
        <v>12</v>
      </c>
      <c r="D477" s="0" t="inlineStr">
        <is>
          <t>화서역파크푸르지오</t>
        </is>
      </c>
      <c r="E477" s="0" t="inlineStr">
        <is>
          <t>2021.08.</t>
        </is>
      </c>
      <c r="F477" s="0" t="n">
        <v>2355</v>
      </c>
      <c r="G477" s="0" t="n">
        <v>63.14</v>
      </c>
      <c r="H477" s="0" t="n">
        <v>208.76</v>
      </c>
      <c r="I477" s="0" t="n">
        <v>45.2</v>
      </c>
      <c r="J477" s="0" t="n">
        <v>149.43</v>
      </c>
      <c r="K477" s="0" t="n">
        <v>3</v>
      </c>
      <c r="T477" s="0" t="n">
        <v>3</v>
      </c>
      <c r="U477" s="0" t="n">
        <v>3</v>
      </c>
      <c r="V477" s="0" t="inlineStr">
        <is>
          <t>계단식</t>
        </is>
      </c>
      <c r="W477" s="0" t="inlineStr">
        <is>
          <t>208A</t>
        </is>
      </c>
      <c r="X477" s="0" t="n">
        <v>46</v>
      </c>
      <c r="Y477" s="0" t="n">
        <v>16</v>
      </c>
      <c r="Z477" s="0" t="inlineStr">
        <is>
          <t>https://new.land.naver.com/complexes/121991?tab=detail&amp;rf=Y</t>
        </is>
      </c>
      <c r="AA477" s="0" t="inlineStr">
        <is>
          <t>경기도 수원시 장안구 정자동 950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장안구</t>
        </is>
      </c>
      <c r="AE477" s="0" t="inlineStr">
        <is>
          <t>정자동</t>
        </is>
      </c>
      <c r="AG477" s="0" t="inlineStr">
        <is>
          <t>경기도 수원시 장안구 대평로 27</t>
        </is>
      </c>
      <c r="AH477" s="0" t="n">
        <v>0</v>
      </c>
      <c r="AI477" s="0" t="n">
        <v>499</v>
      </c>
      <c r="AJ477" s="0" t="n">
        <v>27</v>
      </c>
      <c r="AK477" s="0" t="n">
        <v>2920</v>
      </c>
      <c r="AL477" s="0" t="n">
        <v>1.24</v>
      </c>
    </row>
    <row r="478">
      <c r="A478" s="0" t="inlineStr">
        <is>
          <t>[정자동]</t>
        </is>
      </c>
      <c r="B478" s="0" t="n">
        <v>121991</v>
      </c>
      <c r="C478" s="0" t="n">
        <v>13</v>
      </c>
      <c r="D478" s="0" t="inlineStr">
        <is>
          <t>화서역파크푸르지오</t>
        </is>
      </c>
      <c r="E478" s="0" t="inlineStr">
        <is>
          <t>2021.08.</t>
        </is>
      </c>
      <c r="F478" s="0" t="n">
        <v>2355</v>
      </c>
      <c r="G478" s="0" t="n">
        <v>63.07</v>
      </c>
      <c r="H478" s="0" t="n">
        <v>208.51</v>
      </c>
      <c r="I478" s="0" t="n">
        <v>45.09</v>
      </c>
      <c r="J478" s="0" t="n">
        <v>149.06</v>
      </c>
      <c r="K478" s="0" t="n">
        <v>3</v>
      </c>
      <c r="T478" s="0" t="n">
        <v>3</v>
      </c>
      <c r="U478" s="0" t="n">
        <v>3</v>
      </c>
      <c r="V478" s="0" t="inlineStr">
        <is>
          <t>계단식</t>
        </is>
      </c>
      <c r="W478" s="0" t="inlineStr">
        <is>
          <t>208B</t>
        </is>
      </c>
      <c r="X478" s="0" t="n">
        <v>46</v>
      </c>
      <c r="Y478" s="0" t="n">
        <v>16</v>
      </c>
      <c r="Z478" s="0" t="inlineStr">
        <is>
          <t>https://new.land.naver.com/complexes/121991?tab=detail&amp;rf=Y</t>
        </is>
      </c>
      <c r="AA478" s="0" t="inlineStr">
        <is>
          <t>경기도 수원시 장안구 정자동 950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장안구</t>
        </is>
      </c>
      <c r="AE478" s="0" t="inlineStr">
        <is>
          <t>정자동</t>
        </is>
      </c>
      <c r="AG478" s="0" t="inlineStr">
        <is>
          <t>경기도 수원시 장안구 대평로 27</t>
        </is>
      </c>
      <c r="AH478" s="0" t="n">
        <v>0</v>
      </c>
      <c r="AI478" s="0" t="n">
        <v>499</v>
      </c>
      <c r="AJ478" s="0" t="n">
        <v>27</v>
      </c>
      <c r="AK478" s="0" t="n">
        <v>2920</v>
      </c>
      <c r="AL478" s="0" t="n">
        <v>1.24</v>
      </c>
    </row>
    <row r="479">
      <c r="A479" s="0" t="inlineStr">
        <is>
          <t>[정자동]</t>
        </is>
      </c>
      <c r="B479" s="0" t="n">
        <v>119853</v>
      </c>
      <c r="C479" s="0" t="n">
        <v>1</v>
      </c>
      <c r="D479" s="0" t="inlineStr">
        <is>
          <t>수성</t>
        </is>
      </c>
      <c r="E479" s="0" t="inlineStr">
        <is>
          <t>1979.11.</t>
        </is>
      </c>
      <c r="F479" s="0" t="n">
        <v>35</v>
      </c>
      <c r="G479" s="0" t="n">
        <v>16.32</v>
      </c>
      <c r="H479" s="0" t="n">
        <v>53.98</v>
      </c>
      <c r="I479" s="0" t="n">
        <v>16.32</v>
      </c>
      <c r="J479" s="0" t="n">
        <v>53.98</v>
      </c>
      <c r="K479" s="0" t="n">
        <v>17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53A</t>
        </is>
      </c>
      <c r="X479" s="0" t="n">
        <v>3</v>
      </c>
      <c r="Y479" s="0" t="n">
        <v>3</v>
      </c>
      <c r="Z479" s="0" t="inlineStr">
        <is>
          <t>https://new.land.naver.com/complexes/119853?tab=detail&amp;rf=Y</t>
        </is>
      </c>
      <c r="AA479" s="0" t="inlineStr">
        <is>
          <t>경기도 수원시 장안구 정자동 72-6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장안구</t>
        </is>
      </c>
      <c r="AE479" s="0" t="inlineStr">
        <is>
          <t>정자동</t>
        </is>
      </c>
      <c r="AG479" s="0" t="inlineStr">
        <is>
          <t>경기도 수원시 장안구 수성로275번길 28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[정자동]</t>
        </is>
      </c>
      <c r="B480" s="0" t="n">
        <v>119853</v>
      </c>
      <c r="C480" s="0" t="n">
        <v>2</v>
      </c>
      <c r="D480" s="0" t="inlineStr">
        <is>
          <t>수성</t>
        </is>
      </c>
      <c r="E480" s="0" t="inlineStr">
        <is>
          <t>1979.11.</t>
        </is>
      </c>
      <c r="F480" s="0" t="n">
        <v>35</v>
      </c>
      <c r="G480" s="0" t="n">
        <v>16.34</v>
      </c>
      <c r="H480" s="0" t="n">
        <v>54.02</v>
      </c>
      <c r="I480" s="0" t="n">
        <v>16.34</v>
      </c>
      <c r="J480" s="0" t="n">
        <v>54.02</v>
      </c>
      <c r="K480" s="0" t="n">
        <v>18</v>
      </c>
      <c r="T480" s="0" t="n">
        <v>3</v>
      </c>
      <c r="U480" s="0" t="n">
        <v>1</v>
      </c>
      <c r="V480" s="0" t="inlineStr">
        <is>
          <t>계단식</t>
        </is>
      </c>
      <c r="W480" s="0" t="inlineStr">
        <is>
          <t>54B</t>
        </is>
      </c>
      <c r="X480" s="0" t="n">
        <v>3</v>
      </c>
      <c r="Y480" s="0" t="n">
        <v>3</v>
      </c>
      <c r="Z480" s="0" t="inlineStr">
        <is>
          <t>https://new.land.naver.com/complexes/119853?tab=detail&amp;rf=Y</t>
        </is>
      </c>
      <c r="AA480" s="0" t="inlineStr">
        <is>
          <t>경기도 수원시 장안구 정자동 72-6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장안구</t>
        </is>
      </c>
      <c r="AE480" s="0" t="inlineStr">
        <is>
          <t>정자동</t>
        </is>
      </c>
      <c r="AG480" s="0" t="inlineStr">
        <is>
          <t>경기도 수원시 장안구 수성로275번길 28</t>
        </is>
      </c>
      <c r="AH480" s="0" t="n">
        <v>0</v>
      </c>
      <c r="AI480" s="0" t="n">
        <v>0</v>
      </c>
      <c r="AJ480" s="0" t="n">
        <v>0</v>
      </c>
      <c r="AK480" s="0" t="n">
        <v>0</v>
      </c>
      <c r="AL480" s="0" t="n">
        <v>0</v>
      </c>
    </row>
    <row r="481">
      <c r="A481" s="0" t="inlineStr">
        <is>
          <t>[정자동]</t>
        </is>
      </c>
      <c r="B481" s="0" t="n">
        <v>1844</v>
      </c>
      <c r="C481" s="0" t="n">
        <v>1</v>
      </c>
      <c r="D481" s="0" t="inlineStr">
        <is>
          <t>남서울그린맨션</t>
        </is>
      </c>
      <c r="E481" s="0" t="inlineStr">
        <is>
          <t>1990.02.</t>
        </is>
      </c>
      <c r="F481" s="0" t="n">
        <v>282</v>
      </c>
      <c r="G481" s="0" t="n">
        <v>27.85</v>
      </c>
      <c r="H481" s="0" t="n">
        <v>92.06999999999999</v>
      </c>
      <c r="I481" s="0" t="n">
        <v>23.99</v>
      </c>
      <c r="J481" s="0" t="n">
        <v>79.31999999999999</v>
      </c>
      <c r="K481" s="0" t="n">
        <v>15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92</v>
      </c>
      <c r="X481" s="0" t="n">
        <v>15</v>
      </c>
      <c r="Y481" s="0" t="n">
        <v>9</v>
      </c>
      <c r="Z481" s="0" t="inlineStr">
        <is>
          <t>https://new.land.naver.com/complexes/1844?tab=detail&amp;rf=Y</t>
        </is>
      </c>
      <c r="AA481" s="0" t="inlineStr">
        <is>
          <t>경기도 수원시 장안구 정자동 417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장안구</t>
        </is>
      </c>
      <c r="AE481" s="0" t="inlineStr">
        <is>
          <t>정자동</t>
        </is>
      </c>
      <c r="AG481" s="0" t="inlineStr">
        <is>
          <t>경기도 수원시 장안구 만석로159번길 77</t>
        </is>
      </c>
      <c r="AH481" s="0" t="n">
        <v>0</v>
      </c>
      <c r="AI481" s="0" t="n">
        <v>241</v>
      </c>
      <c r="AJ481" s="0" t="n">
        <v>17</v>
      </c>
      <c r="AK481" s="0" t="n">
        <v>286</v>
      </c>
      <c r="AL481" s="0" t="n">
        <v>1.01</v>
      </c>
    </row>
    <row r="482">
      <c r="A482" s="0" t="inlineStr">
        <is>
          <t>[정자동]</t>
        </is>
      </c>
      <c r="B482" s="0" t="n">
        <v>1844</v>
      </c>
      <c r="C482" s="0" t="n">
        <v>2</v>
      </c>
      <c r="D482" s="0" t="inlineStr">
        <is>
          <t>남서울그린맨션</t>
        </is>
      </c>
      <c r="E482" s="0" t="inlineStr">
        <is>
          <t>1990.02.</t>
        </is>
      </c>
      <c r="F482" s="0" t="n">
        <v>282</v>
      </c>
      <c r="G482" s="0" t="n">
        <v>32.14</v>
      </c>
      <c r="H482" s="0" t="n">
        <v>106.26</v>
      </c>
      <c r="I482" s="0" t="n">
        <v>27.69</v>
      </c>
      <c r="J482" s="0" t="n">
        <v>91.55</v>
      </c>
      <c r="K482" s="0" t="n">
        <v>15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106</v>
      </c>
      <c r="X482" s="0" t="n">
        <v>15</v>
      </c>
      <c r="Y482" s="0" t="n">
        <v>9</v>
      </c>
      <c r="Z482" s="0" t="inlineStr">
        <is>
          <t>https://new.land.naver.com/complexes/1844?tab=detail&amp;rf=Y</t>
        </is>
      </c>
      <c r="AA482" s="0" t="inlineStr">
        <is>
          <t>경기도 수원시 장안구 정자동 417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장안구</t>
        </is>
      </c>
      <c r="AE482" s="0" t="inlineStr">
        <is>
          <t>정자동</t>
        </is>
      </c>
      <c r="AG482" s="0" t="inlineStr">
        <is>
          <t>경기도 수원시 장안구 만석로159번길 77</t>
        </is>
      </c>
      <c r="AH482" s="0" t="n">
        <v>0</v>
      </c>
      <c r="AI482" s="0" t="n">
        <v>241</v>
      </c>
      <c r="AJ482" s="0" t="n">
        <v>17</v>
      </c>
      <c r="AK482" s="0" t="n">
        <v>286</v>
      </c>
      <c r="AL482" s="0" t="n">
        <v>1.01</v>
      </c>
    </row>
    <row r="483">
      <c r="A483" s="0" t="inlineStr">
        <is>
          <t>[정자동]</t>
        </is>
      </c>
      <c r="B483" s="0" t="n">
        <v>1844</v>
      </c>
      <c r="C483" s="0" t="n">
        <v>3</v>
      </c>
      <c r="D483" s="0" t="inlineStr">
        <is>
          <t>남서울그린맨션</t>
        </is>
      </c>
      <c r="E483" s="0" t="inlineStr">
        <is>
          <t>1990.02.</t>
        </is>
      </c>
      <c r="F483" s="0" t="n">
        <v>282</v>
      </c>
      <c r="G483" s="0" t="n">
        <v>34.73</v>
      </c>
      <c r="H483" s="0" t="n">
        <v>114.81</v>
      </c>
      <c r="I483" s="0" t="n">
        <v>29.96</v>
      </c>
      <c r="J483" s="0" t="n">
        <v>99.06999999999999</v>
      </c>
      <c r="K483" s="0" t="n">
        <v>15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114</v>
      </c>
      <c r="X483" s="0" t="n">
        <v>15</v>
      </c>
      <c r="Y483" s="0" t="n">
        <v>9</v>
      </c>
      <c r="Z483" s="0" t="inlineStr">
        <is>
          <t>https://new.land.naver.com/complexes/1844?tab=detail&amp;rf=Y</t>
        </is>
      </c>
      <c r="AA483" s="0" t="inlineStr">
        <is>
          <t>경기도 수원시 장안구 정자동 417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장안구</t>
        </is>
      </c>
      <c r="AE483" s="0" t="inlineStr">
        <is>
          <t>정자동</t>
        </is>
      </c>
      <c r="AG483" s="0" t="inlineStr">
        <is>
          <t>경기도 수원시 장안구 만석로159번길 77</t>
        </is>
      </c>
      <c r="AH483" s="0" t="n">
        <v>0</v>
      </c>
      <c r="AI483" s="0" t="n">
        <v>241</v>
      </c>
      <c r="AJ483" s="0" t="n">
        <v>17</v>
      </c>
      <c r="AK483" s="0" t="n">
        <v>286</v>
      </c>
      <c r="AL483" s="0" t="n">
        <v>1.01</v>
      </c>
    </row>
    <row r="484">
      <c r="A484" s="0" t="inlineStr">
        <is>
          <t>[정자동]</t>
        </is>
      </c>
      <c r="B484" s="0" t="n">
        <v>1844</v>
      </c>
      <c r="C484" s="0" t="n">
        <v>4</v>
      </c>
      <c r="D484" s="0" t="inlineStr">
        <is>
          <t>남서울그린맨션</t>
        </is>
      </c>
      <c r="E484" s="0" t="inlineStr">
        <is>
          <t>1990.02.</t>
        </is>
      </c>
      <c r="F484" s="0" t="n">
        <v>282</v>
      </c>
      <c r="G484" s="0" t="n">
        <v>36.88</v>
      </c>
      <c r="H484" s="0" t="n">
        <v>121.94</v>
      </c>
      <c r="I484" s="0" t="n">
        <v>31.77</v>
      </c>
      <c r="J484" s="0" t="n">
        <v>105.04</v>
      </c>
      <c r="K484" s="0" t="n">
        <v>142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121</v>
      </c>
      <c r="X484" s="0" t="n">
        <v>15</v>
      </c>
      <c r="Y484" s="0" t="n">
        <v>9</v>
      </c>
      <c r="Z484" s="0" t="inlineStr">
        <is>
          <t>https://new.land.naver.com/complexes/1844?tab=detail&amp;rf=Y</t>
        </is>
      </c>
      <c r="AA484" s="0" t="inlineStr">
        <is>
          <t>경기도 수원시 장안구 정자동 417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장안구</t>
        </is>
      </c>
      <c r="AE484" s="0" t="inlineStr">
        <is>
          <t>정자동</t>
        </is>
      </c>
      <c r="AG484" s="0" t="inlineStr">
        <is>
          <t>경기도 수원시 장안구 만석로159번길 77</t>
        </is>
      </c>
      <c r="AH484" s="0" t="n">
        <v>0</v>
      </c>
      <c r="AI484" s="0" t="n">
        <v>241</v>
      </c>
      <c r="AJ484" s="0" t="n">
        <v>17</v>
      </c>
      <c r="AK484" s="0" t="n">
        <v>286</v>
      </c>
      <c r="AL484" s="0" t="n">
        <v>1.01</v>
      </c>
    </row>
    <row r="485">
      <c r="A485" s="0" t="inlineStr">
        <is>
          <t>[정자동]</t>
        </is>
      </c>
      <c r="B485" s="0" t="n">
        <v>1844</v>
      </c>
      <c r="C485" s="0" t="n">
        <v>5</v>
      </c>
      <c r="D485" s="0" t="inlineStr">
        <is>
          <t>남서울그린맨션</t>
        </is>
      </c>
      <c r="E485" s="0" t="inlineStr">
        <is>
          <t>1990.02.</t>
        </is>
      </c>
      <c r="F485" s="0" t="n">
        <v>282</v>
      </c>
      <c r="G485" s="0" t="n">
        <v>44.21</v>
      </c>
      <c r="H485" s="0" t="n">
        <v>146.18</v>
      </c>
      <c r="I485" s="0" t="n">
        <v>38.15</v>
      </c>
      <c r="J485" s="0" t="n">
        <v>126.13</v>
      </c>
      <c r="K485" s="0" t="n">
        <v>95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146</v>
      </c>
      <c r="X485" s="0" t="n">
        <v>15</v>
      </c>
      <c r="Y485" s="0" t="n">
        <v>9</v>
      </c>
      <c r="Z485" s="0" t="inlineStr">
        <is>
          <t>https://new.land.naver.com/complexes/1844?tab=detail&amp;rf=Y</t>
        </is>
      </c>
      <c r="AA485" s="0" t="inlineStr">
        <is>
          <t>경기도 수원시 장안구 정자동 417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장안구</t>
        </is>
      </c>
      <c r="AE485" s="0" t="inlineStr">
        <is>
          <t>정자동</t>
        </is>
      </c>
      <c r="AG485" s="0" t="inlineStr">
        <is>
          <t>경기도 수원시 장안구 만석로159번길 77</t>
        </is>
      </c>
      <c r="AH485" s="0" t="n">
        <v>0</v>
      </c>
      <c r="AI485" s="0" t="n">
        <v>241</v>
      </c>
      <c r="AJ485" s="0" t="n">
        <v>17</v>
      </c>
      <c r="AK485" s="0" t="n">
        <v>286</v>
      </c>
      <c r="AL485" s="0" t="n">
        <v>1.01</v>
      </c>
    </row>
    <row r="486">
      <c r="A486" s="0" t="inlineStr">
        <is>
          <t>[정자동]</t>
        </is>
      </c>
      <c r="B486" s="0" t="n">
        <v>7977</v>
      </c>
      <c r="C486" s="0" t="n">
        <v>1</v>
      </c>
      <c r="D486" s="0" t="inlineStr">
        <is>
          <t>두견마을3단지벽산3차</t>
        </is>
      </c>
      <c r="E486" s="0" t="inlineStr">
        <is>
          <t>2000.08.</t>
        </is>
      </c>
      <c r="F486" s="0" t="n">
        <v>389</v>
      </c>
      <c r="G486" s="0" t="n">
        <v>38.55</v>
      </c>
      <c r="H486" s="0" t="n">
        <v>127.44</v>
      </c>
      <c r="I486" s="0" t="n">
        <v>30.23</v>
      </c>
      <c r="J486" s="0" t="n">
        <v>99.95</v>
      </c>
      <c r="K486" s="0" t="n">
        <v>329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127</v>
      </c>
      <c r="X486" s="0" t="n">
        <v>25</v>
      </c>
      <c r="Y486" s="0" t="n">
        <v>14</v>
      </c>
      <c r="Z486" s="0" t="inlineStr">
        <is>
          <t>https://new.land.naver.com/complexes/7977?tab=detail&amp;rf=Y</t>
        </is>
      </c>
      <c r="AA486" s="0" t="inlineStr">
        <is>
          <t>경기도 수원시 장안구 정자동 884-4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장안구</t>
        </is>
      </c>
      <c r="AE486" s="0" t="inlineStr">
        <is>
          <t>정자동</t>
        </is>
      </c>
      <c r="AG486" s="0" t="inlineStr">
        <is>
          <t>경기도 수원시 장안구 정자천로188번길 28</t>
        </is>
      </c>
      <c r="AH486" s="0" t="n">
        <v>0</v>
      </c>
      <c r="AI486" s="0" t="n">
        <v>229</v>
      </c>
      <c r="AJ486" s="0" t="n">
        <v>18</v>
      </c>
      <c r="AK486" s="0" t="n">
        <v>595</v>
      </c>
      <c r="AL486" s="0" t="n">
        <v>1.53</v>
      </c>
    </row>
    <row r="487">
      <c r="A487" s="0" t="inlineStr">
        <is>
          <t>[정자동]</t>
        </is>
      </c>
      <c r="B487" s="0" t="n">
        <v>7977</v>
      </c>
      <c r="C487" s="0" t="n">
        <v>2</v>
      </c>
      <c r="D487" s="0" t="inlineStr">
        <is>
          <t>두견마을3단지벽산3차</t>
        </is>
      </c>
      <c r="E487" s="0" t="inlineStr">
        <is>
          <t>2000.08.</t>
        </is>
      </c>
      <c r="F487" s="0" t="n">
        <v>389</v>
      </c>
      <c r="G487" s="0" t="n">
        <v>51.01</v>
      </c>
      <c r="H487" s="0" t="n">
        <v>168.64</v>
      </c>
      <c r="I487" s="0" t="n">
        <v>40.79</v>
      </c>
      <c r="J487" s="0" t="n">
        <v>134.86</v>
      </c>
      <c r="K487" s="0" t="n">
        <v>60</v>
      </c>
      <c r="T487" s="0" t="n">
        <v>4</v>
      </c>
      <c r="U487" s="0" t="n">
        <v>2</v>
      </c>
      <c r="V487" s="0" t="inlineStr">
        <is>
          <t>계단식</t>
        </is>
      </c>
      <c r="W487" s="0" t="n">
        <v>168</v>
      </c>
      <c r="X487" s="0" t="n">
        <v>25</v>
      </c>
      <c r="Y487" s="0" t="n">
        <v>14</v>
      </c>
      <c r="Z487" s="0" t="inlineStr">
        <is>
          <t>https://new.land.naver.com/complexes/7977?tab=detail&amp;rf=Y</t>
        </is>
      </c>
      <c r="AA487" s="0" t="inlineStr">
        <is>
          <t>경기도 수원시 장안구 정자동 884-4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장안구</t>
        </is>
      </c>
      <c r="AE487" s="0" t="inlineStr">
        <is>
          <t>정자동</t>
        </is>
      </c>
      <c r="AG487" s="0" t="inlineStr">
        <is>
          <t>경기도 수원시 장안구 정자천로188번길 28</t>
        </is>
      </c>
      <c r="AH487" s="0" t="n">
        <v>0</v>
      </c>
      <c r="AI487" s="0" t="n">
        <v>229</v>
      </c>
      <c r="AJ487" s="0" t="n">
        <v>18</v>
      </c>
      <c r="AK487" s="0" t="n">
        <v>595</v>
      </c>
      <c r="AL487" s="0" t="n">
        <v>1.53</v>
      </c>
    </row>
    <row r="488">
      <c r="A488" s="0" t="inlineStr">
        <is>
          <t>[정자동]</t>
        </is>
      </c>
      <c r="B488" s="0" t="n">
        <v>25743</v>
      </c>
      <c r="C488" s="0" t="n">
        <v>1</v>
      </c>
      <c r="D488" s="0" t="inlineStr">
        <is>
          <t>신부눈이부신뷰</t>
        </is>
      </c>
      <c r="E488" s="0" t="inlineStr">
        <is>
          <t>2008.03.</t>
        </is>
      </c>
      <c r="F488" s="0" t="n">
        <v>98</v>
      </c>
      <c r="G488" s="0" t="n">
        <v>24.27</v>
      </c>
      <c r="H488" s="0" t="n">
        <v>80.23999999999999</v>
      </c>
      <c r="I488" s="0" t="n">
        <v>18.13</v>
      </c>
      <c r="J488" s="0" t="n">
        <v>59.94</v>
      </c>
      <c r="K488" s="0" t="n">
        <v>93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80</v>
      </c>
      <c r="X488" s="0" t="n">
        <v>15</v>
      </c>
      <c r="Y488" s="0" t="n">
        <v>9</v>
      </c>
      <c r="Z488" s="0" t="inlineStr">
        <is>
          <t>https://new.land.naver.com/complexes/25743?tab=detail&amp;rf=Y</t>
        </is>
      </c>
      <c r="AA488" s="0" t="inlineStr">
        <is>
          <t>경기도 수원시 장안구 정자동 80-18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장안구</t>
        </is>
      </c>
      <c r="AE488" s="0" t="inlineStr">
        <is>
          <t>정자동</t>
        </is>
      </c>
      <c r="AG488" s="0" t="inlineStr">
        <is>
          <t>경기도 수원시 장안구 영화로71번길 3</t>
        </is>
      </c>
      <c r="AH488" s="0" t="n">
        <v>5</v>
      </c>
      <c r="AI488" s="0" t="n">
        <v>248</v>
      </c>
      <c r="AJ488" s="0" t="n">
        <v>22</v>
      </c>
      <c r="AK488" s="0" t="n">
        <v>99</v>
      </c>
      <c r="AL488" s="0" t="n">
        <v>1.01</v>
      </c>
    </row>
    <row r="489">
      <c r="A489" s="0" t="inlineStr">
        <is>
          <t>[정자동]</t>
        </is>
      </c>
      <c r="B489" s="0" t="n">
        <v>26624</v>
      </c>
      <c r="C489" s="0" t="n">
        <v>1</v>
      </c>
      <c r="D489" s="0" t="inlineStr">
        <is>
          <t>희성연인</t>
        </is>
      </c>
      <c r="E489" s="0" t="inlineStr">
        <is>
          <t>2006.06.</t>
        </is>
      </c>
      <c r="F489" s="0" t="n">
        <v>59</v>
      </c>
      <c r="G489" s="0" t="n">
        <v>22.76</v>
      </c>
      <c r="H489" s="0" t="n">
        <v>75.25</v>
      </c>
      <c r="I489" s="0" t="n">
        <v>17.53</v>
      </c>
      <c r="J489" s="0" t="n">
        <v>57.97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75</v>
      </c>
      <c r="X489" s="0" t="n">
        <v>13</v>
      </c>
      <c r="Y489" s="0" t="n">
        <v>7</v>
      </c>
      <c r="Z489" s="0" t="inlineStr">
        <is>
          <t>https://new.land.naver.com/complexes/26624?tab=detail&amp;rf=Y</t>
        </is>
      </c>
      <c r="AA489" s="0" t="inlineStr">
        <is>
          <t>경기도 수원시 장안구 정자동 74-7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장안구</t>
        </is>
      </c>
      <c r="AE489" s="0" t="inlineStr">
        <is>
          <t>정자동</t>
        </is>
      </c>
      <c r="AG489" s="0" t="inlineStr">
        <is>
          <t>경기도 수원시 장안구 장안로75번길 62</t>
        </is>
      </c>
      <c r="AH489" s="0" t="n">
        <v>0</v>
      </c>
      <c r="AI489" s="0" t="n">
        <v>226</v>
      </c>
      <c r="AJ489" s="0" t="n">
        <v>25</v>
      </c>
      <c r="AK489" s="0" t="n">
        <v>59</v>
      </c>
      <c r="AL489" s="0" t="n">
        <v>1</v>
      </c>
    </row>
    <row r="490">
      <c r="A490" s="0" t="inlineStr">
        <is>
          <t>[정자동]</t>
        </is>
      </c>
      <c r="B490" s="0" t="n">
        <v>26624</v>
      </c>
      <c r="C490" s="0" t="n">
        <v>2</v>
      </c>
      <c r="D490" s="0" t="inlineStr">
        <is>
          <t>희성연인</t>
        </is>
      </c>
      <c r="E490" s="0" t="inlineStr">
        <is>
          <t>2006.06.</t>
        </is>
      </c>
      <c r="F490" s="0" t="n">
        <v>59</v>
      </c>
      <c r="G490" s="0" t="n">
        <v>24.94</v>
      </c>
      <c r="H490" s="0" t="n">
        <v>82.45999999999999</v>
      </c>
      <c r="I490" s="0" t="n">
        <v>19.27</v>
      </c>
      <c r="J490" s="0" t="n">
        <v>63.73</v>
      </c>
      <c r="K490" s="0" t="n">
        <v>13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82</v>
      </c>
      <c r="X490" s="0" t="n">
        <v>13</v>
      </c>
      <c r="Y490" s="0" t="n">
        <v>7</v>
      </c>
      <c r="Z490" s="0" t="inlineStr">
        <is>
          <t>https://new.land.naver.com/complexes/26624?tab=detail&amp;rf=Y</t>
        </is>
      </c>
      <c r="AA490" s="0" t="inlineStr">
        <is>
          <t>경기도 수원시 장안구 정자동 74-7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장안구</t>
        </is>
      </c>
      <c r="AE490" s="0" t="inlineStr">
        <is>
          <t>정자동</t>
        </is>
      </c>
      <c r="AG490" s="0" t="inlineStr">
        <is>
          <t>경기도 수원시 장안구 장안로75번길 62</t>
        </is>
      </c>
      <c r="AH490" s="0" t="n">
        <v>0</v>
      </c>
      <c r="AI490" s="0" t="n">
        <v>226</v>
      </c>
      <c r="AJ490" s="0" t="n">
        <v>25</v>
      </c>
      <c r="AK490" s="0" t="n">
        <v>59</v>
      </c>
      <c r="AL490" s="0" t="n">
        <v>1</v>
      </c>
    </row>
    <row r="491">
      <c r="A491" s="0" t="inlineStr">
        <is>
          <t>[정자동]</t>
        </is>
      </c>
      <c r="B491" s="0" t="n">
        <v>26624</v>
      </c>
      <c r="C491" s="0" t="n">
        <v>3</v>
      </c>
      <c r="D491" s="0" t="inlineStr">
        <is>
          <t>희성연인</t>
        </is>
      </c>
      <c r="E491" s="0" t="inlineStr">
        <is>
          <t>2006.06.</t>
        </is>
      </c>
      <c r="F491" s="0" t="n">
        <v>59</v>
      </c>
      <c r="G491" s="0" t="n">
        <v>27.73</v>
      </c>
      <c r="H491" s="0" t="n">
        <v>91.67</v>
      </c>
      <c r="I491" s="0" t="n">
        <v>21.41</v>
      </c>
      <c r="J491" s="0" t="n">
        <v>70.78</v>
      </c>
      <c r="K491" s="0" t="n">
        <v>17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91</v>
      </c>
      <c r="X491" s="0" t="n">
        <v>13</v>
      </c>
      <c r="Y491" s="0" t="n">
        <v>7</v>
      </c>
      <c r="Z491" s="0" t="inlineStr">
        <is>
          <t>https://new.land.naver.com/complexes/26624?tab=detail&amp;rf=Y</t>
        </is>
      </c>
      <c r="AA491" s="0" t="inlineStr">
        <is>
          <t>경기도 수원시 장안구 정자동 74-7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장안구</t>
        </is>
      </c>
      <c r="AE491" s="0" t="inlineStr">
        <is>
          <t>정자동</t>
        </is>
      </c>
      <c r="AG491" s="0" t="inlineStr">
        <is>
          <t>경기도 수원시 장안구 장안로75번길 62</t>
        </is>
      </c>
      <c r="AH491" s="0" t="n">
        <v>0</v>
      </c>
      <c r="AI491" s="0" t="n">
        <v>226</v>
      </c>
      <c r="AJ491" s="0" t="n">
        <v>25</v>
      </c>
      <c r="AK491" s="0" t="n">
        <v>59</v>
      </c>
      <c r="AL491" s="0" t="n">
        <v>1</v>
      </c>
    </row>
    <row r="492">
      <c r="A492" s="0" t="inlineStr">
        <is>
          <t>[정자동]</t>
        </is>
      </c>
      <c r="B492" s="0" t="n">
        <v>26624</v>
      </c>
      <c r="C492" s="0" t="n">
        <v>4</v>
      </c>
      <c r="D492" s="0" t="inlineStr">
        <is>
          <t>희성연인</t>
        </is>
      </c>
      <c r="E492" s="0" t="inlineStr">
        <is>
          <t>2006.06.</t>
        </is>
      </c>
      <c r="F492" s="0" t="n">
        <v>59</v>
      </c>
      <c r="G492" s="0" t="n">
        <v>32.86</v>
      </c>
      <c r="H492" s="0" t="n">
        <v>108.65</v>
      </c>
      <c r="I492" s="0" t="n">
        <v>24.82</v>
      </c>
      <c r="J492" s="0" t="n">
        <v>82.06999999999999</v>
      </c>
      <c r="K492" s="0" t="n">
        <v>2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108</v>
      </c>
      <c r="X492" s="0" t="n">
        <v>13</v>
      </c>
      <c r="Y492" s="0" t="n">
        <v>7</v>
      </c>
      <c r="Z492" s="0" t="inlineStr">
        <is>
          <t>https://new.land.naver.com/complexes/26624?tab=detail&amp;rf=Y</t>
        </is>
      </c>
      <c r="AA492" s="0" t="inlineStr">
        <is>
          <t>경기도 수원시 장안구 정자동 74-7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장안구</t>
        </is>
      </c>
      <c r="AE492" s="0" t="inlineStr">
        <is>
          <t>정자동</t>
        </is>
      </c>
      <c r="AG492" s="0" t="inlineStr">
        <is>
          <t>경기도 수원시 장안구 장안로75번길 62</t>
        </is>
      </c>
      <c r="AH492" s="0" t="n">
        <v>0</v>
      </c>
      <c r="AI492" s="0" t="n">
        <v>226</v>
      </c>
      <c r="AJ492" s="0" t="n">
        <v>25</v>
      </c>
      <c r="AK492" s="0" t="n">
        <v>59</v>
      </c>
      <c r="AL492" s="0" t="n">
        <v>1</v>
      </c>
    </row>
    <row r="493">
      <c r="A493" s="0" t="inlineStr">
        <is>
          <t>[정자동]</t>
        </is>
      </c>
      <c r="B493" s="0" t="n">
        <v>26624</v>
      </c>
      <c r="C493" s="0" t="n">
        <v>5</v>
      </c>
      <c r="D493" s="0" t="inlineStr">
        <is>
          <t>희성연인</t>
        </is>
      </c>
      <c r="E493" s="0" t="inlineStr">
        <is>
          <t>2006.06.</t>
        </is>
      </c>
      <c r="F493" s="0" t="n">
        <v>59</v>
      </c>
      <c r="G493" s="0" t="n">
        <v>32.99</v>
      </c>
      <c r="H493" s="0" t="n">
        <v>109.09</v>
      </c>
      <c r="I493" s="0" t="n">
        <v>25.68</v>
      </c>
      <c r="J493" s="0" t="n">
        <v>84.91</v>
      </c>
      <c r="K493" s="0" t="n">
        <v>26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109</v>
      </c>
      <c r="X493" s="0" t="n">
        <v>13</v>
      </c>
      <c r="Y493" s="0" t="n">
        <v>7</v>
      </c>
      <c r="Z493" s="0" t="inlineStr">
        <is>
          <t>https://new.land.naver.com/complexes/26624?tab=detail&amp;rf=Y</t>
        </is>
      </c>
      <c r="AA493" s="0" t="inlineStr">
        <is>
          <t>경기도 수원시 장안구 정자동 74-7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장안구</t>
        </is>
      </c>
      <c r="AE493" s="0" t="inlineStr">
        <is>
          <t>정자동</t>
        </is>
      </c>
      <c r="AG493" s="0" t="inlineStr">
        <is>
          <t>경기도 수원시 장안구 장안로75번길 62</t>
        </is>
      </c>
      <c r="AH493" s="0" t="n">
        <v>0</v>
      </c>
      <c r="AI493" s="0" t="n">
        <v>226</v>
      </c>
      <c r="AJ493" s="0" t="n">
        <v>25</v>
      </c>
      <c r="AK493" s="0" t="n">
        <v>59</v>
      </c>
      <c r="AL493" s="0" t="n">
        <v>1</v>
      </c>
    </row>
    <row r="494">
      <c r="A494" s="0" t="inlineStr">
        <is>
          <t>[정자동]</t>
        </is>
      </c>
      <c r="B494" s="0" t="n">
        <v>7974</v>
      </c>
      <c r="C494" s="0" t="n">
        <v>1</v>
      </c>
      <c r="D494" s="0" t="inlineStr">
        <is>
          <t>백설마을5단지현대.코오롱</t>
        </is>
      </c>
      <c r="E494" s="0" t="inlineStr">
        <is>
          <t>1999.08.</t>
        </is>
      </c>
      <c r="F494" s="0" t="n">
        <v>692</v>
      </c>
      <c r="G494" s="0" t="n">
        <v>24.64</v>
      </c>
      <c r="H494" s="0" t="n">
        <v>81.45999999999999</v>
      </c>
      <c r="I494" s="0" t="n">
        <v>18.08</v>
      </c>
      <c r="J494" s="0" t="n">
        <v>59.79</v>
      </c>
      <c r="K494" s="0" t="n">
        <v>692</v>
      </c>
      <c r="T494" s="0" t="n">
        <v>3</v>
      </c>
      <c r="U494" s="0" t="n">
        <v>1</v>
      </c>
      <c r="V494" s="0" t="inlineStr">
        <is>
          <t>계단식</t>
        </is>
      </c>
      <c r="W494" s="0" t="n">
        <v>81</v>
      </c>
      <c r="X494" s="0" t="n">
        <v>20</v>
      </c>
      <c r="Y494" s="0" t="n">
        <v>16</v>
      </c>
      <c r="Z494" s="0" t="inlineStr">
        <is>
          <t>https://new.land.naver.com/complexes/7974?tab=detail&amp;rf=Y</t>
        </is>
      </c>
      <c r="AA494" s="0" t="inlineStr">
        <is>
          <t>경기도 수원시 장안구 정자동 870-1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장안구</t>
        </is>
      </c>
      <c r="AE494" s="0" t="inlineStr">
        <is>
          <t>정자동</t>
        </is>
      </c>
      <c r="AG494" s="0" t="inlineStr">
        <is>
          <t>경기도 수원시 장안구 만석로68번길 10</t>
        </is>
      </c>
      <c r="AH494" s="0" t="n">
        <v>0</v>
      </c>
      <c r="AI494" s="0" t="n">
        <v>229</v>
      </c>
      <c r="AJ494" s="0" t="n">
        <v>20</v>
      </c>
      <c r="AK494" s="0" t="n">
        <v>701</v>
      </c>
      <c r="AL494" s="0" t="n">
        <v>1.01</v>
      </c>
    </row>
    <row r="495">
      <c r="A495" s="0" t="inlineStr">
        <is>
          <t>[정자동]</t>
        </is>
      </c>
      <c r="B495" s="0" t="n">
        <v>3641</v>
      </c>
      <c r="C495" s="0" t="n">
        <v>1</v>
      </c>
      <c r="D495" s="0" t="inlineStr">
        <is>
          <t>백설에듀빌</t>
        </is>
      </c>
      <c r="E495" s="0" t="inlineStr">
        <is>
          <t>2001.08.</t>
        </is>
      </c>
      <c r="F495" s="0" t="n">
        <v>348</v>
      </c>
      <c r="G495" s="0" t="n">
        <v>33.81</v>
      </c>
      <c r="H495" s="0" t="n">
        <v>111.77</v>
      </c>
      <c r="I495" s="0" t="n">
        <v>25.7</v>
      </c>
      <c r="J495" s="0" t="n">
        <v>84.95999999999999</v>
      </c>
      <c r="K495" s="0" t="n">
        <v>324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111A</t>
        </is>
      </c>
      <c r="X495" s="0" t="n">
        <v>24</v>
      </c>
      <c r="Y495" s="0" t="n">
        <v>18</v>
      </c>
      <c r="Z495" s="0" t="inlineStr">
        <is>
          <t>https://new.land.naver.com/complexes/3641?tab=detail&amp;rf=Y</t>
        </is>
      </c>
      <c r="AA495" s="0" t="inlineStr">
        <is>
          <t>경기도 수원시 장안구 정자동 871-4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장안구</t>
        </is>
      </c>
      <c r="AE495" s="0" t="inlineStr">
        <is>
          <t>정자동</t>
        </is>
      </c>
      <c r="AG495" s="0" t="inlineStr">
        <is>
          <t>경기도 수원시 장안구 대평로89번길 32</t>
        </is>
      </c>
      <c r="AH495" s="0" t="n">
        <v>0</v>
      </c>
      <c r="AI495" s="0" t="n">
        <v>224</v>
      </c>
      <c r="AJ495" s="0" t="n">
        <v>15</v>
      </c>
      <c r="AK495" s="0" t="n">
        <v>348</v>
      </c>
      <c r="AL495" s="0" t="n">
        <v>1</v>
      </c>
    </row>
    <row r="496">
      <c r="A496" s="0" t="inlineStr">
        <is>
          <t>[정자동]</t>
        </is>
      </c>
      <c r="B496" s="0" t="n">
        <v>3641</v>
      </c>
      <c r="C496" s="0" t="n">
        <v>2</v>
      </c>
      <c r="D496" s="0" t="inlineStr">
        <is>
          <t>백설에듀빌</t>
        </is>
      </c>
      <c r="E496" s="0" t="inlineStr">
        <is>
          <t>2001.08.</t>
        </is>
      </c>
      <c r="F496" s="0" t="n">
        <v>348</v>
      </c>
      <c r="G496" s="0" t="n">
        <v>33.79</v>
      </c>
      <c r="H496" s="0" t="n">
        <v>111.73</v>
      </c>
      <c r="I496" s="0" t="n">
        <v>25.69</v>
      </c>
      <c r="J496" s="0" t="n">
        <v>84.93000000000001</v>
      </c>
      <c r="K496" s="0" t="n">
        <v>24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111B</t>
        </is>
      </c>
      <c r="X496" s="0" t="n">
        <v>24</v>
      </c>
      <c r="Y496" s="0" t="n">
        <v>18</v>
      </c>
      <c r="Z496" s="0" t="inlineStr">
        <is>
          <t>https://new.land.naver.com/complexes/3641?tab=detail&amp;rf=Y</t>
        </is>
      </c>
      <c r="AA496" s="0" t="inlineStr">
        <is>
          <t>경기도 수원시 장안구 정자동 871-4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장안구</t>
        </is>
      </c>
      <c r="AE496" s="0" t="inlineStr">
        <is>
          <t>정자동</t>
        </is>
      </c>
      <c r="AG496" s="0" t="inlineStr">
        <is>
          <t>경기도 수원시 장안구 대평로89번길 32</t>
        </is>
      </c>
      <c r="AH496" s="0" t="n">
        <v>0</v>
      </c>
      <c r="AI496" s="0" t="n">
        <v>224</v>
      </c>
      <c r="AJ496" s="0" t="n">
        <v>15</v>
      </c>
      <c r="AK496" s="0" t="n">
        <v>348</v>
      </c>
      <c r="AL496" s="0" t="n">
        <v>1</v>
      </c>
    </row>
    <row r="497">
      <c r="A497" s="0" t="inlineStr">
        <is>
          <t>[정자동]</t>
        </is>
      </c>
      <c r="B497" s="0" t="n">
        <v>7969</v>
      </c>
      <c r="C497" s="0" t="n">
        <v>1</v>
      </c>
      <c r="D497" s="0" t="inlineStr">
        <is>
          <t>화서역우방센트럴파크</t>
        </is>
      </c>
      <c r="E497" s="0" t="inlineStr">
        <is>
          <t>1999.08.</t>
        </is>
      </c>
      <c r="F497" s="0" t="n">
        <v>1335</v>
      </c>
      <c r="G497" s="0" t="n">
        <v>24.03</v>
      </c>
      <c r="H497" s="0" t="n">
        <v>79.45999999999999</v>
      </c>
      <c r="I497" s="0" t="n">
        <v>18.14</v>
      </c>
      <c r="J497" s="0" t="n">
        <v>59.98</v>
      </c>
      <c r="K497" s="0" t="n">
        <v>1071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79A</t>
        </is>
      </c>
      <c r="X497" s="0" t="n">
        <v>22</v>
      </c>
      <c r="Y497" s="0" t="n">
        <v>16</v>
      </c>
      <c r="Z497" s="0" t="inlineStr">
        <is>
          <t>https://new.land.naver.com/complexes/7969?tab=detail&amp;rf=Y</t>
        </is>
      </c>
      <c r="AA497" s="0" t="inlineStr">
        <is>
          <t>경기도 수원시 장안구 정자동 887-1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장안구</t>
        </is>
      </c>
      <c r="AE497" s="0" t="inlineStr">
        <is>
          <t>정자동</t>
        </is>
      </c>
      <c r="AG497" s="0" t="inlineStr">
        <is>
          <t>경기도 수원시 장안구 수성로245번길 21</t>
        </is>
      </c>
      <c r="AH497" s="0" t="n">
        <v>0</v>
      </c>
      <c r="AI497" s="0" t="n">
        <v>229</v>
      </c>
      <c r="AJ497" s="0" t="n">
        <v>18</v>
      </c>
      <c r="AK497" s="0" t="n">
        <v>1355</v>
      </c>
      <c r="AL497" s="0" t="n">
        <v>1.01</v>
      </c>
    </row>
    <row r="498">
      <c r="A498" s="0" t="inlineStr">
        <is>
          <t>[정자동]</t>
        </is>
      </c>
      <c r="B498" s="0" t="n">
        <v>7969</v>
      </c>
      <c r="C498" s="0" t="n">
        <v>2</v>
      </c>
      <c r="D498" s="0" t="inlineStr">
        <is>
          <t>화서역우방센트럴파크</t>
        </is>
      </c>
      <c r="E498" s="0" t="inlineStr">
        <is>
          <t>1999.08.</t>
        </is>
      </c>
      <c r="F498" s="0" t="n">
        <v>1335</v>
      </c>
      <c r="G498" s="0" t="n">
        <v>24.2</v>
      </c>
      <c r="H498" s="0" t="n">
        <v>80</v>
      </c>
      <c r="I498" s="0" t="n">
        <v>18.13</v>
      </c>
      <c r="J498" s="0" t="n">
        <v>59.96</v>
      </c>
      <c r="K498" s="0" t="n">
        <v>264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80B</t>
        </is>
      </c>
      <c r="X498" s="0" t="n">
        <v>22</v>
      </c>
      <c r="Y498" s="0" t="n">
        <v>16</v>
      </c>
      <c r="Z498" s="0" t="inlineStr">
        <is>
          <t>https://new.land.naver.com/complexes/7969?tab=detail&amp;rf=Y</t>
        </is>
      </c>
      <c r="AA498" s="0" t="inlineStr">
        <is>
          <t>경기도 수원시 장안구 정자동 887-1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장안구</t>
        </is>
      </c>
      <c r="AE498" s="0" t="inlineStr">
        <is>
          <t>정자동</t>
        </is>
      </c>
      <c r="AG498" s="0" t="inlineStr">
        <is>
          <t>경기도 수원시 장안구 수성로245번길 21</t>
        </is>
      </c>
      <c r="AH498" s="0" t="n">
        <v>0</v>
      </c>
      <c r="AI498" s="0" t="n">
        <v>229</v>
      </c>
      <c r="AJ498" s="0" t="n">
        <v>18</v>
      </c>
      <c r="AK498" s="0" t="n">
        <v>1355</v>
      </c>
      <c r="AL498" s="0" t="n">
        <v>1.01</v>
      </c>
    </row>
    <row r="499">
      <c r="A499" s="0" t="inlineStr">
        <is>
          <t>[정자동]</t>
        </is>
      </c>
      <c r="B499" s="0" t="n">
        <v>105706</v>
      </c>
      <c r="C499" s="0" t="n">
        <v>1</v>
      </c>
      <c r="D499" s="0" t="inlineStr">
        <is>
          <t>효성</t>
        </is>
      </c>
      <c r="E499" s="0" t="inlineStr">
        <is>
          <t>1985.02.</t>
        </is>
      </c>
      <c r="F499" s="0" t="n">
        <v>54</v>
      </c>
      <c r="G499" s="0" t="n">
        <v>27.34</v>
      </c>
      <c r="H499" s="0" t="n">
        <v>90.39</v>
      </c>
      <c r="I499" s="0" t="n">
        <v>22.84</v>
      </c>
      <c r="J499" s="0" t="n">
        <v>75.51000000000001</v>
      </c>
      <c r="K499" s="0" t="n">
        <v>54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90</v>
      </c>
      <c r="X499" s="0" t="n">
        <v>6</v>
      </c>
      <c r="Y499" s="0" t="n">
        <v>3</v>
      </c>
      <c r="Z499" s="0" t="inlineStr">
        <is>
          <t>https://new.land.naver.com/complexes/105706?tab=detail&amp;rf=Y</t>
        </is>
      </c>
      <c r="AA499" s="0" t="inlineStr">
        <is>
          <t>경기도 수원시 장안구 정자동 11-1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장안구</t>
        </is>
      </c>
      <c r="AE499" s="0" t="inlineStr">
        <is>
          <t>정자동</t>
        </is>
      </c>
      <c r="AG499" s="0" t="inlineStr">
        <is>
          <t>경기도 수원시 장안구 송정로90번길 4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[정자동]</t>
        </is>
      </c>
      <c r="B500" s="0" t="n">
        <v>2707</v>
      </c>
      <c r="C500" s="0" t="n">
        <v>1</v>
      </c>
      <c r="D500" s="0" t="inlineStr">
        <is>
          <t>신미주</t>
        </is>
      </c>
      <c r="E500" s="0" t="inlineStr">
        <is>
          <t>1991.08.</t>
        </is>
      </c>
      <c r="F500" s="0" t="n">
        <v>189</v>
      </c>
      <c r="G500" s="0" t="n">
        <v>27.76</v>
      </c>
      <c r="H500" s="0" t="n">
        <v>91.79000000000001</v>
      </c>
      <c r="I500" s="0" t="n">
        <v>20.38</v>
      </c>
      <c r="J500" s="0" t="n">
        <v>67.38</v>
      </c>
      <c r="K500" s="0" t="n">
        <v>42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91</v>
      </c>
      <c r="X500" s="0" t="n">
        <v>15</v>
      </c>
      <c r="Y500" s="0" t="n">
        <v>12</v>
      </c>
      <c r="Z500" s="0" t="inlineStr">
        <is>
          <t>https://new.land.naver.com/complexes/2707?tab=detail&amp;rf=Y</t>
        </is>
      </c>
      <c r="AA500" s="0" t="inlineStr">
        <is>
          <t>경기도 수원시 장안구 정자동 29-1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장안구</t>
        </is>
      </c>
      <c r="AE500" s="0" t="inlineStr">
        <is>
          <t>정자동</t>
        </is>
      </c>
      <c r="AG500" s="0" t="inlineStr">
        <is>
          <t>경기도 수원시 장안구 수성로275번길 133</t>
        </is>
      </c>
      <c r="AH500" s="0" t="n">
        <v>0</v>
      </c>
      <c r="AI500" s="0" t="n">
        <v>298</v>
      </c>
      <c r="AJ500" s="0" t="n">
        <v>21</v>
      </c>
      <c r="AK500" s="0" t="n">
        <v>0</v>
      </c>
      <c r="AL500" s="0" t="n">
        <v>0</v>
      </c>
    </row>
    <row r="501">
      <c r="A501" s="0" t="inlineStr">
        <is>
          <t>[정자동]</t>
        </is>
      </c>
      <c r="B501" s="0" t="n">
        <v>2707</v>
      </c>
      <c r="C501" s="0" t="n">
        <v>2</v>
      </c>
      <c r="D501" s="0" t="inlineStr">
        <is>
          <t>신미주</t>
        </is>
      </c>
      <c r="E501" s="0" t="inlineStr">
        <is>
          <t>1991.08.</t>
        </is>
      </c>
      <c r="F501" s="0" t="n">
        <v>189</v>
      </c>
      <c r="G501" s="0" t="n">
        <v>29.85</v>
      </c>
      <c r="H501" s="0" t="n">
        <v>98.7</v>
      </c>
      <c r="I501" s="0" t="n">
        <v>21.97</v>
      </c>
      <c r="J501" s="0" t="n">
        <v>72.64</v>
      </c>
      <c r="K501" s="0" t="n">
        <v>52</v>
      </c>
      <c r="T501" s="0" t="n">
        <v>3</v>
      </c>
      <c r="U501" s="0" t="n">
        <v>1</v>
      </c>
      <c r="V501" s="0" t="inlineStr">
        <is>
          <t>복도식</t>
        </is>
      </c>
      <c r="W501" s="0" t="n">
        <v>98</v>
      </c>
      <c r="X501" s="0" t="n">
        <v>15</v>
      </c>
      <c r="Y501" s="0" t="n">
        <v>12</v>
      </c>
      <c r="Z501" s="0" t="inlineStr">
        <is>
          <t>https://new.land.naver.com/complexes/2707?tab=detail&amp;rf=Y</t>
        </is>
      </c>
      <c r="AA501" s="0" t="inlineStr">
        <is>
          <t>경기도 수원시 장안구 정자동 29-1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장안구</t>
        </is>
      </c>
      <c r="AE501" s="0" t="inlineStr">
        <is>
          <t>정자동</t>
        </is>
      </c>
      <c r="AG501" s="0" t="inlineStr">
        <is>
          <t>경기도 수원시 장안구 수성로275번길 133</t>
        </is>
      </c>
      <c r="AH501" s="0" t="n">
        <v>0</v>
      </c>
      <c r="AI501" s="0" t="n">
        <v>298</v>
      </c>
      <c r="AJ501" s="0" t="n">
        <v>21</v>
      </c>
      <c r="AK501" s="0" t="n">
        <v>0</v>
      </c>
      <c r="AL501" s="0" t="n">
        <v>0</v>
      </c>
    </row>
    <row r="502">
      <c r="A502" s="0" t="inlineStr">
        <is>
          <t>[정자동]</t>
        </is>
      </c>
      <c r="B502" s="0" t="n">
        <v>2707</v>
      </c>
      <c r="C502" s="0" t="n">
        <v>3</v>
      </c>
      <c r="D502" s="0" t="inlineStr">
        <is>
          <t>신미주</t>
        </is>
      </c>
      <c r="E502" s="0" t="inlineStr">
        <is>
          <t>1991.08.</t>
        </is>
      </c>
      <c r="F502" s="0" t="n">
        <v>189</v>
      </c>
      <c r="G502" s="0" t="n">
        <v>31.49</v>
      </c>
      <c r="H502" s="0" t="n">
        <v>104.1</v>
      </c>
      <c r="I502" s="0" t="n">
        <v>23.1</v>
      </c>
      <c r="J502" s="0" t="n">
        <v>76.38</v>
      </c>
      <c r="K502" s="0" t="n">
        <v>95</v>
      </c>
      <c r="T502" s="0" t="n">
        <v>3</v>
      </c>
      <c r="U502" s="0" t="n">
        <v>2</v>
      </c>
      <c r="V502" s="0" t="inlineStr">
        <is>
          <t>복도식</t>
        </is>
      </c>
      <c r="W502" s="0" t="n">
        <v>104</v>
      </c>
      <c r="X502" s="0" t="n">
        <v>15</v>
      </c>
      <c r="Y502" s="0" t="n">
        <v>12</v>
      </c>
      <c r="Z502" s="0" t="inlineStr">
        <is>
          <t>https://new.land.naver.com/complexes/2707?tab=detail&amp;rf=Y</t>
        </is>
      </c>
      <c r="AA502" s="0" t="inlineStr">
        <is>
          <t>경기도 수원시 장안구 정자동 29-1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장안구</t>
        </is>
      </c>
      <c r="AE502" s="0" t="inlineStr">
        <is>
          <t>정자동</t>
        </is>
      </c>
      <c r="AG502" s="0" t="inlineStr">
        <is>
          <t>경기도 수원시 장안구 수성로275번길 133</t>
        </is>
      </c>
      <c r="AH502" s="0" t="n">
        <v>0</v>
      </c>
      <c r="AI502" s="0" t="n">
        <v>298</v>
      </c>
      <c r="AJ502" s="0" t="n">
        <v>21</v>
      </c>
      <c r="AK502" s="0" t="n">
        <v>0</v>
      </c>
      <c r="AL502" s="0" t="n">
        <v>0</v>
      </c>
    </row>
    <row r="503">
      <c r="A503" s="0" t="inlineStr">
        <is>
          <t>[정자동]</t>
        </is>
      </c>
      <c r="B503" s="0" t="n">
        <v>7968</v>
      </c>
      <c r="C503" s="0" t="n">
        <v>1</v>
      </c>
      <c r="D503" s="0" t="inlineStr">
        <is>
          <t>벽산그랜드코아</t>
        </is>
      </c>
      <c r="E503" s="0" t="inlineStr">
        <is>
          <t>1994.04.</t>
        </is>
      </c>
      <c r="F503" s="0" t="n">
        <v>76</v>
      </c>
      <c r="G503" s="0" t="n">
        <v>27.1</v>
      </c>
      <c r="H503" s="0" t="n">
        <v>89.59999999999999</v>
      </c>
      <c r="I503" s="0" t="n">
        <v>20.01</v>
      </c>
      <c r="J503" s="0" t="n">
        <v>66.17</v>
      </c>
      <c r="K503" s="0" t="n">
        <v>26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89</v>
      </c>
      <c r="X503" s="0" t="n">
        <v>18</v>
      </c>
      <c r="Y503" s="0" t="n">
        <v>16</v>
      </c>
      <c r="Z503" s="0" t="inlineStr">
        <is>
          <t>https://new.land.naver.com/complexes/7968?tab=detail&amp;rf=Y</t>
        </is>
      </c>
      <c r="AA503" s="0" t="inlineStr">
        <is>
          <t>경기도 수원시 장안구 정자동 9-2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장안구</t>
        </is>
      </c>
      <c r="AE503" s="0" t="inlineStr">
        <is>
          <t>정자동</t>
        </is>
      </c>
      <c r="AG503" s="0" t="inlineStr">
        <is>
          <t>경기도 수원시 장안구 송정로 96</t>
        </is>
      </c>
      <c r="AH503" s="0" t="n">
        <v>0</v>
      </c>
      <c r="AI503" s="0" t="n">
        <v>624</v>
      </c>
      <c r="AJ503" s="0" t="n">
        <v>56</v>
      </c>
      <c r="AK503" s="0" t="n">
        <v>43</v>
      </c>
      <c r="AL503" s="0" t="n">
        <v>0.57</v>
      </c>
    </row>
    <row r="504">
      <c r="A504" s="0" t="inlineStr">
        <is>
          <t>[정자동]</t>
        </is>
      </c>
      <c r="B504" s="0" t="n">
        <v>7968</v>
      </c>
      <c r="C504" s="0" t="n">
        <v>2</v>
      </c>
      <c r="D504" s="0" t="inlineStr">
        <is>
          <t>벽산그랜드코아</t>
        </is>
      </c>
      <c r="E504" s="0" t="inlineStr">
        <is>
          <t>1994.04.</t>
        </is>
      </c>
      <c r="F504" s="0" t="n">
        <v>76</v>
      </c>
      <c r="G504" s="0" t="n">
        <v>29.71</v>
      </c>
      <c r="H504" s="0" t="n">
        <v>98.23999999999999</v>
      </c>
      <c r="I504" s="0" t="n">
        <v>21.94</v>
      </c>
      <c r="J504" s="0" t="n">
        <v>72.55</v>
      </c>
      <c r="K504" s="0" t="n">
        <v>13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98A</t>
        </is>
      </c>
      <c r="X504" s="0" t="n">
        <v>18</v>
      </c>
      <c r="Y504" s="0" t="n">
        <v>16</v>
      </c>
      <c r="Z504" s="0" t="inlineStr">
        <is>
          <t>https://new.land.naver.com/complexes/7968?tab=detail&amp;rf=Y</t>
        </is>
      </c>
      <c r="AA504" s="0" t="inlineStr">
        <is>
          <t>경기도 수원시 장안구 정자동 9-2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장안구</t>
        </is>
      </c>
      <c r="AE504" s="0" t="inlineStr">
        <is>
          <t>정자동</t>
        </is>
      </c>
      <c r="AG504" s="0" t="inlineStr">
        <is>
          <t>경기도 수원시 장안구 송정로 96</t>
        </is>
      </c>
      <c r="AH504" s="0" t="n">
        <v>0</v>
      </c>
      <c r="AI504" s="0" t="n">
        <v>624</v>
      </c>
      <c r="AJ504" s="0" t="n">
        <v>56</v>
      </c>
      <c r="AK504" s="0" t="n">
        <v>43</v>
      </c>
      <c r="AL504" s="0" t="n">
        <v>0.57</v>
      </c>
    </row>
    <row r="505">
      <c r="A505" s="0" t="inlineStr">
        <is>
          <t>[정자동]</t>
        </is>
      </c>
      <c r="B505" s="0" t="n">
        <v>7968</v>
      </c>
      <c r="C505" s="0" t="n">
        <v>3</v>
      </c>
      <c r="D505" s="0" t="inlineStr">
        <is>
          <t>벽산그랜드코아</t>
        </is>
      </c>
      <c r="E505" s="0" t="inlineStr">
        <is>
          <t>1994.04.</t>
        </is>
      </c>
      <c r="F505" s="0" t="n">
        <v>76</v>
      </c>
      <c r="G505" s="0" t="n">
        <v>29.91</v>
      </c>
      <c r="H505" s="0" t="n">
        <v>98.89</v>
      </c>
      <c r="I505" s="0" t="n">
        <v>22.09</v>
      </c>
      <c r="J505" s="0" t="n">
        <v>73.03</v>
      </c>
      <c r="K505" s="0" t="n">
        <v>11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98B</t>
        </is>
      </c>
      <c r="X505" s="0" t="n">
        <v>18</v>
      </c>
      <c r="Y505" s="0" t="n">
        <v>16</v>
      </c>
      <c r="Z505" s="0" t="inlineStr">
        <is>
          <t>https://new.land.naver.com/complexes/7968?tab=detail&amp;rf=Y</t>
        </is>
      </c>
      <c r="AA505" s="0" t="inlineStr">
        <is>
          <t>경기도 수원시 장안구 정자동 9-2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장안구</t>
        </is>
      </c>
      <c r="AE505" s="0" t="inlineStr">
        <is>
          <t>정자동</t>
        </is>
      </c>
      <c r="AG505" s="0" t="inlineStr">
        <is>
          <t>경기도 수원시 장안구 송정로 96</t>
        </is>
      </c>
      <c r="AH505" s="0" t="n">
        <v>0</v>
      </c>
      <c r="AI505" s="0" t="n">
        <v>624</v>
      </c>
      <c r="AJ505" s="0" t="n">
        <v>56</v>
      </c>
      <c r="AK505" s="0" t="n">
        <v>43</v>
      </c>
      <c r="AL505" s="0" t="n">
        <v>0.57</v>
      </c>
    </row>
    <row r="506">
      <c r="A506" s="0" t="inlineStr">
        <is>
          <t>[정자동]</t>
        </is>
      </c>
      <c r="B506" s="0" t="n">
        <v>7968</v>
      </c>
      <c r="C506" s="0" t="n">
        <v>4</v>
      </c>
      <c r="D506" s="0" t="inlineStr">
        <is>
          <t>벽산그랜드코아</t>
        </is>
      </c>
      <c r="E506" s="0" t="inlineStr">
        <is>
          <t>1994.04.</t>
        </is>
      </c>
      <c r="F506" s="0" t="n">
        <v>76</v>
      </c>
      <c r="G506" s="0" t="n">
        <v>32.3</v>
      </c>
      <c r="H506" s="0" t="n">
        <v>106.79</v>
      </c>
      <c r="I506" s="0" t="n">
        <v>23.85</v>
      </c>
      <c r="J506" s="0" t="n">
        <v>78.86</v>
      </c>
      <c r="K506" s="0" t="n">
        <v>13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106</v>
      </c>
      <c r="X506" s="0" t="n">
        <v>18</v>
      </c>
      <c r="Y506" s="0" t="n">
        <v>16</v>
      </c>
      <c r="Z506" s="0" t="inlineStr">
        <is>
          <t>https://new.land.naver.com/complexes/7968?tab=detail&amp;rf=Y</t>
        </is>
      </c>
      <c r="AA506" s="0" t="inlineStr">
        <is>
          <t>경기도 수원시 장안구 정자동 9-2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장안구</t>
        </is>
      </c>
      <c r="AE506" s="0" t="inlineStr">
        <is>
          <t>정자동</t>
        </is>
      </c>
      <c r="AG506" s="0" t="inlineStr">
        <is>
          <t>경기도 수원시 장안구 송정로 96</t>
        </is>
      </c>
      <c r="AH506" s="0" t="n">
        <v>0</v>
      </c>
      <c r="AI506" s="0" t="n">
        <v>624</v>
      </c>
      <c r="AJ506" s="0" t="n">
        <v>56</v>
      </c>
      <c r="AK506" s="0" t="n">
        <v>43</v>
      </c>
      <c r="AL506" s="0" t="n">
        <v>0.57</v>
      </c>
    </row>
    <row r="507">
      <c r="A507" s="0" t="inlineStr">
        <is>
          <t>[정자동]</t>
        </is>
      </c>
      <c r="B507" s="0" t="n">
        <v>7968</v>
      </c>
      <c r="C507" s="0" t="n">
        <v>5</v>
      </c>
      <c r="D507" s="0" t="inlineStr">
        <is>
          <t>벽산그랜드코아</t>
        </is>
      </c>
      <c r="E507" s="0" t="inlineStr">
        <is>
          <t>1994.04.</t>
        </is>
      </c>
      <c r="F507" s="0" t="n">
        <v>76</v>
      </c>
      <c r="G507" s="0" t="n">
        <v>49.73</v>
      </c>
      <c r="H507" s="0" t="n">
        <v>164.4</v>
      </c>
      <c r="I507" s="0" t="n">
        <v>36.72</v>
      </c>
      <c r="J507" s="0" t="n">
        <v>121.4</v>
      </c>
      <c r="K507" s="0" t="n">
        <v>13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164</v>
      </c>
      <c r="X507" s="0" t="n">
        <v>18</v>
      </c>
      <c r="Y507" s="0" t="n">
        <v>16</v>
      </c>
      <c r="Z507" s="0" t="inlineStr">
        <is>
          <t>https://new.land.naver.com/complexes/7968?tab=detail&amp;rf=Y</t>
        </is>
      </c>
      <c r="AA507" s="0" t="inlineStr">
        <is>
          <t>경기도 수원시 장안구 정자동 9-2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장안구</t>
        </is>
      </c>
      <c r="AE507" s="0" t="inlineStr">
        <is>
          <t>정자동</t>
        </is>
      </c>
      <c r="AG507" s="0" t="inlineStr">
        <is>
          <t>경기도 수원시 장안구 송정로 96</t>
        </is>
      </c>
      <c r="AH507" s="0" t="n">
        <v>0</v>
      </c>
      <c r="AI507" s="0" t="n">
        <v>624</v>
      </c>
      <c r="AJ507" s="0" t="n">
        <v>56</v>
      </c>
      <c r="AK507" s="0" t="n">
        <v>43</v>
      </c>
      <c r="AL507" s="0" t="n">
        <v>0.57</v>
      </c>
    </row>
    <row r="508">
      <c r="A508" s="0" t="inlineStr">
        <is>
          <t>[정자동]</t>
        </is>
      </c>
      <c r="B508" s="0" t="n">
        <v>108101</v>
      </c>
      <c r="C508" s="0" t="n">
        <v>1</v>
      </c>
      <c r="D508" s="0" t="inlineStr">
        <is>
          <t>대성</t>
        </is>
      </c>
      <c r="E508" s="0" t="inlineStr">
        <is>
          <t>1987.11.</t>
        </is>
      </c>
      <c r="F508" s="0" t="n">
        <v>40</v>
      </c>
      <c r="G508" s="0" t="n">
        <v>15.91</v>
      </c>
      <c r="H508" s="0" t="n">
        <v>52.61</v>
      </c>
      <c r="I508" s="0" t="n">
        <v>12.76</v>
      </c>
      <c r="J508" s="0" t="n">
        <v>42.21</v>
      </c>
      <c r="K508" s="0" t="n">
        <v>15</v>
      </c>
      <c r="T508" s="0" t="n">
        <v>2</v>
      </c>
      <c r="U508" s="0" t="n">
        <v>1</v>
      </c>
      <c r="V508" s="0" t="inlineStr">
        <is>
          <t>복도식</t>
        </is>
      </c>
      <c r="W508" s="0" t="n">
        <v>52</v>
      </c>
      <c r="X508" s="0" t="n">
        <v>5</v>
      </c>
      <c r="Y508" s="0" t="n">
        <v>5</v>
      </c>
      <c r="Z508" s="0" t="inlineStr">
        <is>
          <t>https://new.land.naver.com/complexes/108101?tab=detail&amp;rf=Y</t>
        </is>
      </c>
      <c r="AA508" s="0" t="inlineStr">
        <is>
          <t>경기도 수원시 장안구 정자동 45-8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장안구</t>
        </is>
      </c>
      <c r="AE508" s="0" t="inlineStr">
        <is>
          <t>정자동</t>
        </is>
      </c>
      <c r="AG508" s="0" t="inlineStr">
        <is>
          <t>경기도 수원시 장안구 수성로275번길 45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[정자동]</t>
        </is>
      </c>
      <c r="B509" s="0" t="n">
        <v>108101</v>
      </c>
      <c r="C509" s="0" t="n">
        <v>2</v>
      </c>
      <c r="D509" s="0" t="inlineStr">
        <is>
          <t>대성</t>
        </is>
      </c>
      <c r="E509" s="0" t="inlineStr">
        <is>
          <t>1987.11.</t>
        </is>
      </c>
      <c r="F509" s="0" t="n">
        <v>40</v>
      </c>
      <c r="G509" s="0" t="n">
        <v>16.64</v>
      </c>
      <c r="H509" s="0" t="n">
        <v>55.04</v>
      </c>
      <c r="I509" s="0" t="n">
        <v>13.5</v>
      </c>
      <c r="J509" s="0" t="n">
        <v>44.64</v>
      </c>
      <c r="K509" s="0" t="n">
        <v>25</v>
      </c>
      <c r="T509" s="0" t="n">
        <v>2</v>
      </c>
      <c r="U509" s="0" t="n">
        <v>1</v>
      </c>
      <c r="V509" s="0" t="inlineStr">
        <is>
          <t>복도식</t>
        </is>
      </c>
      <c r="W509" s="0" t="n">
        <v>55</v>
      </c>
      <c r="X509" s="0" t="n">
        <v>5</v>
      </c>
      <c r="Y509" s="0" t="n">
        <v>5</v>
      </c>
      <c r="Z509" s="0" t="inlineStr">
        <is>
          <t>https://new.land.naver.com/complexes/108101?tab=detail&amp;rf=Y</t>
        </is>
      </c>
      <c r="AA509" s="0" t="inlineStr">
        <is>
          <t>경기도 수원시 장안구 정자동 45-8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장안구</t>
        </is>
      </c>
      <c r="AE509" s="0" t="inlineStr">
        <is>
          <t>정자동</t>
        </is>
      </c>
      <c r="AG509" s="0" t="inlineStr">
        <is>
          <t>경기도 수원시 장안구 수성로275번길 45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[정자동]</t>
        </is>
      </c>
      <c r="B510" s="0" t="n">
        <v>100308</v>
      </c>
      <c r="C510" s="0" t="n">
        <v>1</v>
      </c>
      <c r="D510" s="0" t="inlineStr">
        <is>
          <t>정자타운</t>
        </is>
      </c>
      <c r="E510" s="0" t="inlineStr">
        <is>
          <t>1995.05.</t>
        </is>
      </c>
      <c r="F510" s="0" t="n">
        <v>12</v>
      </c>
      <c r="G510" s="0" t="n">
        <v>43.88</v>
      </c>
      <c r="H510" s="0" t="n">
        <v>145.06</v>
      </c>
      <c r="I510" s="0" t="n">
        <v>40.18</v>
      </c>
      <c r="J510" s="0" t="n">
        <v>132.84</v>
      </c>
      <c r="K510" s="0" t="n">
        <v>8</v>
      </c>
      <c r="T510" s="0" t="n">
        <v>4</v>
      </c>
      <c r="U510" s="0" t="n">
        <v>2</v>
      </c>
      <c r="V510" s="0" t="inlineStr">
        <is>
          <t>계단식</t>
        </is>
      </c>
      <c r="W510" s="0" t="n">
        <v>145</v>
      </c>
      <c r="X510" s="0" t="n">
        <v>8</v>
      </c>
      <c r="Y510" s="0" t="n">
        <v>8</v>
      </c>
      <c r="Z510" s="0" t="inlineStr">
        <is>
          <t>https://new.land.naver.com/complexes/100308?tab=detail&amp;rf=Y</t>
        </is>
      </c>
      <c r="AA510" s="0" t="inlineStr">
        <is>
          <t>경기도 수원시 장안구 정자동 73-10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장안구</t>
        </is>
      </c>
      <c r="AE510" s="0" t="inlineStr">
        <is>
          <t>정자동</t>
        </is>
      </c>
      <c r="AG510" s="0" t="inlineStr">
        <is>
          <t>경기도 수원시 장안구 수성로261번길 16</t>
        </is>
      </c>
      <c r="AH510" s="0" t="n">
        <v>0</v>
      </c>
      <c r="AI510" s="0" t="n">
        <v>330</v>
      </c>
      <c r="AJ510" s="0" t="n">
        <v>59</v>
      </c>
      <c r="AK510" s="0" t="n">
        <v>30</v>
      </c>
      <c r="AL510" s="0" t="n">
        <v>2.5</v>
      </c>
    </row>
    <row r="511">
      <c r="A511" s="0" t="inlineStr">
        <is>
          <t>[정자동]</t>
        </is>
      </c>
      <c r="B511" s="0" t="n">
        <v>100308</v>
      </c>
      <c r="C511" s="0" t="n">
        <v>2</v>
      </c>
      <c r="D511" s="0" t="inlineStr">
        <is>
          <t>정자타운</t>
        </is>
      </c>
      <c r="E511" s="0" t="inlineStr">
        <is>
          <t>1995.05.</t>
        </is>
      </c>
      <c r="F511" s="0" t="n">
        <v>12</v>
      </c>
      <c r="G511" s="0" t="n">
        <v>54.58</v>
      </c>
      <c r="H511" s="0" t="n">
        <v>180.45</v>
      </c>
      <c r="I511" s="0" t="n">
        <v>49.98</v>
      </c>
      <c r="J511" s="0" t="n">
        <v>165.24</v>
      </c>
      <c r="K511" s="0" t="n">
        <v>4</v>
      </c>
      <c r="T511" s="0" t="n">
        <v>4</v>
      </c>
      <c r="U511" s="0" t="n">
        <v>2</v>
      </c>
      <c r="V511" s="0" t="inlineStr">
        <is>
          <t>계단식</t>
        </is>
      </c>
      <c r="W511" s="0" t="n">
        <v>180</v>
      </c>
      <c r="X511" s="0" t="n">
        <v>8</v>
      </c>
      <c r="Y511" s="0" t="n">
        <v>8</v>
      </c>
      <c r="Z511" s="0" t="inlineStr">
        <is>
          <t>https://new.land.naver.com/complexes/100308?tab=detail&amp;rf=Y</t>
        </is>
      </c>
      <c r="AA511" s="0" t="inlineStr">
        <is>
          <t>경기도 수원시 장안구 정자동 73-10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장안구</t>
        </is>
      </c>
      <c r="AE511" s="0" t="inlineStr">
        <is>
          <t>정자동</t>
        </is>
      </c>
      <c r="AG511" s="0" t="inlineStr">
        <is>
          <t>경기도 수원시 장안구 수성로261번길 16</t>
        </is>
      </c>
      <c r="AH511" s="0" t="n">
        <v>0</v>
      </c>
      <c r="AI511" s="0" t="n">
        <v>330</v>
      </c>
      <c r="AJ511" s="0" t="n">
        <v>59</v>
      </c>
      <c r="AK511" s="0" t="n">
        <v>30</v>
      </c>
      <c r="AL511" s="0" t="n">
        <v>2.5</v>
      </c>
    </row>
    <row r="512">
      <c r="A512" s="0" t="inlineStr">
        <is>
          <t>[조원동]</t>
        </is>
      </c>
      <c r="B512" s="0" t="n">
        <v>9088</v>
      </c>
      <c r="C512" s="0" t="n">
        <v>1</v>
      </c>
      <c r="D512" s="0" t="inlineStr">
        <is>
          <t>장안</t>
        </is>
      </c>
      <c r="E512" s="0" t="inlineStr">
        <is>
          <t>1989.11.</t>
        </is>
      </c>
      <c r="F512" s="0" t="n">
        <v>90</v>
      </c>
      <c r="G512" s="0" t="n">
        <v>19.42</v>
      </c>
      <c r="H512" s="0" t="n">
        <v>64.20999999999999</v>
      </c>
      <c r="I512" s="0" t="n">
        <v>14.78</v>
      </c>
      <c r="J512" s="0" t="n">
        <v>48.87</v>
      </c>
      <c r="K512" s="0" t="n">
        <v>60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64</v>
      </c>
      <c r="X512" s="0" t="n">
        <v>5</v>
      </c>
      <c r="Y512" s="0" t="n">
        <v>5</v>
      </c>
      <c r="Z512" s="0" t="inlineStr">
        <is>
          <t>https://new.land.naver.com/complexes/9088?tab=detail&amp;rf=Y</t>
        </is>
      </c>
      <c r="AA512" s="0" t="inlineStr">
        <is>
          <t>경기도 수원시 장안구 조원동 459-11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장안구</t>
        </is>
      </c>
      <c r="AE512" s="0" t="inlineStr">
        <is>
          <t>조원동</t>
        </is>
      </c>
      <c r="AG512" s="0" t="inlineStr">
        <is>
          <t>경기도 수원시 장안구 금당로 86-9</t>
        </is>
      </c>
      <c r="AH512" s="0" t="n">
        <v>0</v>
      </c>
      <c r="AI512" s="0" t="n">
        <v>155</v>
      </c>
      <c r="AJ512" s="0" t="n">
        <v>31</v>
      </c>
      <c r="AK512" s="0" t="n">
        <v>25</v>
      </c>
      <c r="AL512" s="0" t="n">
        <v>0.28</v>
      </c>
    </row>
    <row r="513">
      <c r="A513" s="0" t="inlineStr">
        <is>
          <t>[조원동]</t>
        </is>
      </c>
      <c r="B513" s="0" t="n">
        <v>9088</v>
      </c>
      <c r="C513" s="0" t="n">
        <v>2</v>
      </c>
      <c r="D513" s="0" t="inlineStr">
        <is>
          <t>장안</t>
        </is>
      </c>
      <c r="E513" s="0" t="inlineStr">
        <is>
          <t>1989.11.</t>
        </is>
      </c>
      <c r="F513" s="0" t="n">
        <v>90</v>
      </c>
      <c r="G513" s="0" t="n">
        <v>22.18</v>
      </c>
      <c r="H513" s="0" t="n">
        <v>73.34999999999999</v>
      </c>
      <c r="I513" s="0" t="n">
        <v>17.07</v>
      </c>
      <c r="J513" s="0" t="n">
        <v>56.43</v>
      </c>
      <c r="K513" s="0" t="n">
        <v>30</v>
      </c>
      <c r="T513" s="0" t="n">
        <v>3</v>
      </c>
      <c r="U513" s="0" t="n">
        <v>1</v>
      </c>
      <c r="V513" s="0" t="inlineStr">
        <is>
          <t>계단식</t>
        </is>
      </c>
      <c r="W513" s="0" t="n">
        <v>73</v>
      </c>
      <c r="X513" s="0" t="n">
        <v>5</v>
      </c>
      <c r="Y513" s="0" t="n">
        <v>5</v>
      </c>
      <c r="Z513" s="0" t="inlineStr">
        <is>
          <t>https://new.land.naver.com/complexes/9088?tab=detail&amp;rf=Y</t>
        </is>
      </c>
      <c r="AA513" s="0" t="inlineStr">
        <is>
          <t>경기도 수원시 장안구 조원동 459-11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장안구</t>
        </is>
      </c>
      <c r="AE513" s="0" t="inlineStr">
        <is>
          <t>조원동</t>
        </is>
      </c>
      <c r="AG513" s="0" t="inlineStr">
        <is>
          <t>경기도 수원시 장안구 금당로 86-9</t>
        </is>
      </c>
      <c r="AH513" s="0" t="n">
        <v>0</v>
      </c>
      <c r="AI513" s="0" t="n">
        <v>155</v>
      </c>
      <c r="AJ513" s="0" t="n">
        <v>31</v>
      </c>
      <c r="AK513" s="0" t="n">
        <v>25</v>
      </c>
      <c r="AL513" s="0" t="n">
        <v>0.28</v>
      </c>
    </row>
    <row r="514">
      <c r="A514" s="0" t="inlineStr">
        <is>
          <t>[조원동]</t>
        </is>
      </c>
      <c r="B514" s="0" t="n">
        <v>111863</v>
      </c>
      <c r="C514" s="0" t="n">
        <v>1</v>
      </c>
      <c r="D514" s="0" t="inlineStr">
        <is>
          <t>상훈휴팰리스</t>
        </is>
      </c>
      <c r="E514" s="0" t="inlineStr">
        <is>
          <t>2015.07.</t>
        </is>
      </c>
      <c r="F514" s="0" t="n">
        <v>48</v>
      </c>
      <c r="G514" s="0" t="n">
        <v>26.02</v>
      </c>
      <c r="H514" s="0" t="n">
        <v>86.02</v>
      </c>
      <c r="I514" s="0" t="n">
        <v>20.84</v>
      </c>
      <c r="J514" s="0" t="n">
        <v>68.92</v>
      </c>
      <c r="K514" s="0" t="n">
        <v>48</v>
      </c>
      <c r="T514" s="0" t="n">
        <v>3</v>
      </c>
      <c r="U514" s="0" t="n">
        <v>2</v>
      </c>
      <c r="V514" s="0" t="inlineStr">
        <is>
          <t>계단식</t>
        </is>
      </c>
      <c r="W514" s="0" t="n">
        <v>86</v>
      </c>
      <c r="X514" s="0" t="n">
        <v>13</v>
      </c>
      <c r="Y514" s="0" t="n">
        <v>13</v>
      </c>
      <c r="Z514" s="0" t="inlineStr">
        <is>
          <t>https://new.land.naver.com/complexes/111863?tab=detail&amp;rf=Y</t>
        </is>
      </c>
      <c r="AA514" s="0" t="inlineStr">
        <is>
          <t>경기도 수원시 장안구 조원동 778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장안구</t>
        </is>
      </c>
      <c r="AE514" s="0" t="inlineStr">
        <is>
          <t>조원동</t>
        </is>
      </c>
      <c r="AG514" s="0" t="inlineStr">
        <is>
          <t>경기도 수원시 장안구 송정로 146</t>
        </is>
      </c>
      <c r="AH514" s="0" t="n">
        <v>0</v>
      </c>
      <c r="AI514" s="0" t="n">
        <v>228</v>
      </c>
      <c r="AJ514" s="0" t="n">
        <v>26</v>
      </c>
      <c r="AK514" s="0" t="n">
        <v>47</v>
      </c>
      <c r="AL514" s="0" t="n">
        <v>0.98</v>
      </c>
    </row>
    <row r="515">
      <c r="A515" s="0" t="inlineStr">
        <is>
          <t>[조원동]</t>
        </is>
      </c>
      <c r="B515" s="0" t="n">
        <v>18362</v>
      </c>
      <c r="C515" s="0" t="n">
        <v>1</v>
      </c>
      <c r="D515" s="0" t="inlineStr">
        <is>
          <t>조원샤르망</t>
        </is>
      </c>
      <c r="E515" s="0" t="inlineStr">
        <is>
          <t>2006.04.</t>
        </is>
      </c>
      <c r="F515" s="0" t="n">
        <v>91</v>
      </c>
      <c r="G515" s="0" t="n">
        <v>29.21</v>
      </c>
      <c r="H515" s="0" t="n">
        <v>96.56999999999999</v>
      </c>
      <c r="I515" s="0" t="n">
        <v>15.51</v>
      </c>
      <c r="J515" s="0" t="n">
        <v>51.28</v>
      </c>
      <c r="K515" s="0" t="n">
        <v>13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96</v>
      </c>
      <c r="X515" s="0" t="n">
        <v>15</v>
      </c>
      <c r="Y515" s="0" t="n">
        <v>15</v>
      </c>
      <c r="Z515" s="0" t="inlineStr">
        <is>
          <t>https://new.land.naver.com/complexes/18362?tab=detail&amp;rf=Y</t>
        </is>
      </c>
      <c r="AA515" s="0" t="inlineStr">
        <is>
          <t>경기도 수원시 장안구 조원동 675-4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장안구</t>
        </is>
      </c>
      <c r="AE515" s="0" t="inlineStr">
        <is>
          <t>조원동</t>
        </is>
      </c>
      <c r="AG515" s="0" t="inlineStr">
        <is>
          <t>경기도 수원시 장안구 정조로 988</t>
        </is>
      </c>
      <c r="AH515" s="0" t="n">
        <v>0</v>
      </c>
      <c r="AI515" s="0" t="n">
        <v>624</v>
      </c>
      <c r="AJ515" s="0" t="n">
        <v>78</v>
      </c>
      <c r="AK515" s="0" t="n">
        <v>98</v>
      </c>
      <c r="AL515" s="0" t="n">
        <v>1.08</v>
      </c>
    </row>
    <row r="516">
      <c r="A516" s="0" t="inlineStr">
        <is>
          <t>[조원동]</t>
        </is>
      </c>
      <c r="B516" s="0" t="n">
        <v>18362</v>
      </c>
      <c r="C516" s="0" t="n">
        <v>2</v>
      </c>
      <c r="D516" s="0" t="inlineStr">
        <is>
          <t>조원샤르망</t>
        </is>
      </c>
      <c r="E516" s="0" t="inlineStr">
        <is>
          <t>2006.04.</t>
        </is>
      </c>
      <c r="F516" s="0" t="n">
        <v>91</v>
      </c>
      <c r="G516" s="0" t="n">
        <v>44.53</v>
      </c>
      <c r="H516" s="0" t="n">
        <v>147.23</v>
      </c>
      <c r="I516" s="0" t="n">
        <v>25.54</v>
      </c>
      <c r="J516" s="0" t="n">
        <v>84.43000000000001</v>
      </c>
      <c r="K516" s="0" t="n">
        <v>13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147A</t>
        </is>
      </c>
      <c r="X516" s="0" t="n">
        <v>15</v>
      </c>
      <c r="Y516" s="0" t="n">
        <v>15</v>
      </c>
      <c r="Z516" s="0" t="inlineStr">
        <is>
          <t>https://new.land.naver.com/complexes/18362?tab=detail&amp;rf=Y</t>
        </is>
      </c>
      <c r="AA516" s="0" t="inlineStr">
        <is>
          <t>경기도 수원시 장안구 조원동 675-4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장안구</t>
        </is>
      </c>
      <c r="AE516" s="0" t="inlineStr">
        <is>
          <t>조원동</t>
        </is>
      </c>
      <c r="AG516" s="0" t="inlineStr">
        <is>
          <t>경기도 수원시 장안구 정조로 988</t>
        </is>
      </c>
      <c r="AH516" s="0" t="n">
        <v>0</v>
      </c>
      <c r="AI516" s="0" t="n">
        <v>624</v>
      </c>
      <c r="AJ516" s="0" t="n">
        <v>78</v>
      </c>
      <c r="AK516" s="0" t="n">
        <v>98</v>
      </c>
      <c r="AL516" s="0" t="n">
        <v>1.08</v>
      </c>
    </row>
    <row r="517">
      <c r="A517" s="0" t="inlineStr">
        <is>
          <t>[조원동]</t>
        </is>
      </c>
      <c r="B517" s="0" t="n">
        <v>18362</v>
      </c>
      <c r="C517" s="0" t="n">
        <v>3</v>
      </c>
      <c r="D517" s="0" t="inlineStr">
        <is>
          <t>조원샤르망</t>
        </is>
      </c>
      <c r="E517" s="0" t="inlineStr">
        <is>
          <t>2006.04.</t>
        </is>
      </c>
      <c r="F517" s="0" t="n">
        <v>91</v>
      </c>
      <c r="G517" s="0" t="n">
        <v>44.66</v>
      </c>
      <c r="H517" s="0" t="n">
        <v>147.66</v>
      </c>
      <c r="I517" s="0" t="n">
        <v>25.59</v>
      </c>
      <c r="J517" s="0" t="n">
        <v>84.61</v>
      </c>
      <c r="K517" s="0" t="n">
        <v>13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147D</t>
        </is>
      </c>
      <c r="X517" s="0" t="n">
        <v>15</v>
      </c>
      <c r="Y517" s="0" t="n">
        <v>15</v>
      </c>
      <c r="Z517" s="0" t="inlineStr">
        <is>
          <t>https://new.land.naver.com/complexes/18362?tab=detail&amp;rf=Y</t>
        </is>
      </c>
      <c r="AA517" s="0" t="inlineStr">
        <is>
          <t>경기도 수원시 장안구 조원동 675-4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장안구</t>
        </is>
      </c>
      <c r="AE517" s="0" t="inlineStr">
        <is>
          <t>조원동</t>
        </is>
      </c>
      <c r="AG517" s="0" t="inlineStr">
        <is>
          <t>경기도 수원시 장안구 정조로 988</t>
        </is>
      </c>
      <c r="AH517" s="0" t="n">
        <v>0</v>
      </c>
      <c r="AI517" s="0" t="n">
        <v>624</v>
      </c>
      <c r="AJ517" s="0" t="n">
        <v>78</v>
      </c>
      <c r="AK517" s="0" t="n">
        <v>98</v>
      </c>
      <c r="AL517" s="0" t="n">
        <v>1.08</v>
      </c>
    </row>
    <row r="518">
      <c r="A518" s="0" t="inlineStr">
        <is>
          <t>[조원동]</t>
        </is>
      </c>
      <c r="B518" s="0" t="n">
        <v>18362</v>
      </c>
      <c r="C518" s="0" t="n">
        <v>4</v>
      </c>
      <c r="D518" s="0" t="inlineStr">
        <is>
          <t>조원샤르망</t>
        </is>
      </c>
      <c r="E518" s="0" t="inlineStr">
        <is>
          <t>2006.04.</t>
        </is>
      </c>
      <c r="F518" s="0" t="n">
        <v>91</v>
      </c>
      <c r="G518" s="0" t="n">
        <v>44.54</v>
      </c>
      <c r="H518" s="0" t="n">
        <v>147.25</v>
      </c>
      <c r="I518" s="0" t="n">
        <v>25.61</v>
      </c>
      <c r="J518" s="0" t="n">
        <v>84.69</v>
      </c>
      <c r="K518" s="0" t="n">
        <v>13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147E</t>
        </is>
      </c>
      <c r="X518" s="0" t="n">
        <v>15</v>
      </c>
      <c r="Y518" s="0" t="n">
        <v>15</v>
      </c>
      <c r="Z518" s="0" t="inlineStr">
        <is>
          <t>https://new.land.naver.com/complexes/18362?tab=detail&amp;rf=Y</t>
        </is>
      </c>
      <c r="AA518" s="0" t="inlineStr">
        <is>
          <t>경기도 수원시 장안구 조원동 675-4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장안구</t>
        </is>
      </c>
      <c r="AE518" s="0" t="inlineStr">
        <is>
          <t>조원동</t>
        </is>
      </c>
      <c r="AG518" s="0" t="inlineStr">
        <is>
          <t>경기도 수원시 장안구 정조로 988</t>
        </is>
      </c>
      <c r="AH518" s="0" t="n">
        <v>0</v>
      </c>
      <c r="AI518" s="0" t="n">
        <v>624</v>
      </c>
      <c r="AJ518" s="0" t="n">
        <v>78</v>
      </c>
      <c r="AK518" s="0" t="n">
        <v>98</v>
      </c>
      <c r="AL518" s="0" t="n">
        <v>1.08</v>
      </c>
    </row>
    <row r="519">
      <c r="A519" s="0" t="inlineStr">
        <is>
          <t>[조원동]</t>
        </is>
      </c>
      <c r="B519" s="0" t="n">
        <v>18362</v>
      </c>
      <c r="C519" s="0" t="n">
        <v>5</v>
      </c>
      <c r="D519" s="0" t="inlineStr">
        <is>
          <t>조원샤르망</t>
        </is>
      </c>
      <c r="E519" s="0" t="inlineStr">
        <is>
          <t>2006.04.</t>
        </is>
      </c>
      <c r="F519" s="0" t="n">
        <v>91</v>
      </c>
      <c r="G519" s="0" t="n">
        <v>45.94</v>
      </c>
      <c r="H519" s="0" t="n">
        <v>151.87</v>
      </c>
      <c r="I519" s="0" t="n">
        <v>25.57</v>
      </c>
      <c r="J519" s="0" t="n">
        <v>84.54000000000001</v>
      </c>
      <c r="K519" s="0" t="n">
        <v>13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151B</t>
        </is>
      </c>
      <c r="X519" s="0" t="n">
        <v>15</v>
      </c>
      <c r="Y519" s="0" t="n">
        <v>15</v>
      </c>
      <c r="Z519" s="0" t="inlineStr">
        <is>
          <t>https://new.land.naver.com/complexes/18362?tab=detail&amp;rf=Y</t>
        </is>
      </c>
      <c r="AA519" s="0" t="inlineStr">
        <is>
          <t>경기도 수원시 장안구 조원동 675-4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장안구</t>
        </is>
      </c>
      <c r="AE519" s="0" t="inlineStr">
        <is>
          <t>조원동</t>
        </is>
      </c>
      <c r="AG519" s="0" t="inlineStr">
        <is>
          <t>경기도 수원시 장안구 정조로 988</t>
        </is>
      </c>
      <c r="AH519" s="0" t="n">
        <v>0</v>
      </c>
      <c r="AI519" s="0" t="n">
        <v>624</v>
      </c>
      <c r="AJ519" s="0" t="n">
        <v>78</v>
      </c>
      <c r="AK519" s="0" t="n">
        <v>98</v>
      </c>
      <c r="AL519" s="0" t="n">
        <v>1.08</v>
      </c>
    </row>
    <row r="520">
      <c r="A520" s="0" t="inlineStr">
        <is>
          <t>[조원동]</t>
        </is>
      </c>
      <c r="B520" s="0" t="n">
        <v>18362</v>
      </c>
      <c r="C520" s="0" t="n">
        <v>6</v>
      </c>
      <c r="D520" s="0" t="inlineStr">
        <is>
          <t>조원샤르망</t>
        </is>
      </c>
      <c r="E520" s="0" t="inlineStr">
        <is>
          <t>2006.04.</t>
        </is>
      </c>
      <c r="F520" s="0" t="n">
        <v>91</v>
      </c>
      <c r="G520" s="0" t="n">
        <v>46.5</v>
      </c>
      <c r="H520" s="0" t="n">
        <v>153.74</v>
      </c>
      <c r="I520" s="0" t="n">
        <v>25.57</v>
      </c>
      <c r="J520" s="0" t="n">
        <v>84.54000000000001</v>
      </c>
      <c r="K520" s="0" t="n">
        <v>13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153C</t>
        </is>
      </c>
      <c r="X520" s="0" t="n">
        <v>15</v>
      </c>
      <c r="Y520" s="0" t="n">
        <v>15</v>
      </c>
      <c r="Z520" s="0" t="inlineStr">
        <is>
          <t>https://new.land.naver.com/complexes/18362?tab=detail&amp;rf=Y</t>
        </is>
      </c>
      <c r="AA520" s="0" t="inlineStr">
        <is>
          <t>경기도 수원시 장안구 조원동 675-4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장안구</t>
        </is>
      </c>
      <c r="AE520" s="0" t="inlineStr">
        <is>
          <t>조원동</t>
        </is>
      </c>
      <c r="AG520" s="0" t="inlineStr">
        <is>
          <t>경기도 수원시 장안구 정조로 988</t>
        </is>
      </c>
      <c r="AH520" s="0" t="n">
        <v>0</v>
      </c>
      <c r="AI520" s="0" t="n">
        <v>624</v>
      </c>
      <c r="AJ520" s="0" t="n">
        <v>78</v>
      </c>
      <c r="AK520" s="0" t="n">
        <v>98</v>
      </c>
      <c r="AL520" s="0" t="n">
        <v>1.08</v>
      </c>
    </row>
    <row r="521">
      <c r="A521" s="0" t="inlineStr">
        <is>
          <t>[조원동]</t>
        </is>
      </c>
      <c r="B521" s="0" t="n">
        <v>18362</v>
      </c>
      <c r="C521" s="0" t="n">
        <v>7</v>
      </c>
      <c r="D521" s="0" t="inlineStr">
        <is>
          <t>조원샤르망</t>
        </is>
      </c>
      <c r="E521" s="0" t="inlineStr">
        <is>
          <t>2006.04.</t>
        </is>
      </c>
      <c r="F521" s="0" t="n">
        <v>91</v>
      </c>
      <c r="G521" s="0" t="n">
        <v>46.45</v>
      </c>
      <c r="H521" s="0" t="n">
        <v>153.58</v>
      </c>
      <c r="I521" s="0" t="n">
        <v>25.61</v>
      </c>
      <c r="J521" s="0" t="n">
        <v>84.69</v>
      </c>
      <c r="K521" s="0" t="n">
        <v>13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153F</t>
        </is>
      </c>
      <c r="X521" s="0" t="n">
        <v>15</v>
      </c>
      <c r="Y521" s="0" t="n">
        <v>15</v>
      </c>
      <c r="Z521" s="0" t="inlineStr">
        <is>
          <t>https://new.land.naver.com/complexes/18362?tab=detail&amp;rf=Y</t>
        </is>
      </c>
      <c r="AA521" s="0" t="inlineStr">
        <is>
          <t>경기도 수원시 장안구 조원동 675-4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장안구</t>
        </is>
      </c>
      <c r="AE521" s="0" t="inlineStr">
        <is>
          <t>조원동</t>
        </is>
      </c>
      <c r="AG521" s="0" t="inlineStr">
        <is>
          <t>경기도 수원시 장안구 정조로 988</t>
        </is>
      </c>
      <c r="AH521" s="0" t="n">
        <v>0</v>
      </c>
      <c r="AI521" s="0" t="n">
        <v>624</v>
      </c>
      <c r="AJ521" s="0" t="n">
        <v>78</v>
      </c>
      <c r="AK521" s="0" t="n">
        <v>98</v>
      </c>
      <c r="AL521" s="0" t="n">
        <v>1.08</v>
      </c>
    </row>
    <row r="522">
      <c r="A522" s="0" t="inlineStr">
        <is>
          <t>[조원동]</t>
        </is>
      </c>
      <c r="B522" s="0" t="n">
        <v>11955</v>
      </c>
      <c r="C522" s="0" t="n">
        <v>1</v>
      </c>
      <c r="D522" s="0" t="inlineStr">
        <is>
          <t>화성</t>
        </is>
      </c>
      <c r="E522" s="0" t="inlineStr">
        <is>
          <t>1996.09.</t>
        </is>
      </c>
      <c r="F522" s="0" t="n">
        <v>79</v>
      </c>
      <c r="G522" s="0" t="n">
        <v>25.37</v>
      </c>
      <c r="H522" s="0" t="n">
        <v>83.88</v>
      </c>
      <c r="I522" s="0" t="n">
        <v>17.95</v>
      </c>
      <c r="J522" s="0" t="n">
        <v>59.34</v>
      </c>
      <c r="K522" s="0" t="n">
        <v>55</v>
      </c>
      <c r="T522" s="0" t="n">
        <v>3</v>
      </c>
      <c r="U522" s="0" t="n">
        <v>1</v>
      </c>
      <c r="V522" s="0" t="inlineStr">
        <is>
          <t>복도식</t>
        </is>
      </c>
      <c r="W522" s="0" t="n">
        <v>83</v>
      </c>
      <c r="X522" s="0" t="n">
        <v>12</v>
      </c>
      <c r="Y522" s="0" t="n">
        <v>7</v>
      </c>
      <c r="Z522" s="0" t="inlineStr">
        <is>
          <t>https://new.land.naver.com/complexes/11955?tab=detail&amp;rf=Y</t>
        </is>
      </c>
      <c r="AA522" s="0" t="inlineStr">
        <is>
          <t>경기도 수원시 장안구 조원동 761-5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장안구</t>
        </is>
      </c>
      <c r="AE522" s="0" t="inlineStr">
        <is>
          <t>조원동</t>
        </is>
      </c>
      <c r="AG522" s="0" t="inlineStr">
        <is>
          <t>경기도 수원시 장안구 경수대로878번길 9-6</t>
        </is>
      </c>
      <c r="AH522" s="0" t="n">
        <v>0</v>
      </c>
      <c r="AI522" s="0" t="n">
        <v>248</v>
      </c>
      <c r="AJ522" s="0" t="n">
        <v>28</v>
      </c>
      <c r="AK522" s="0" t="n">
        <v>39</v>
      </c>
      <c r="AL522" s="0" t="n">
        <v>0.49</v>
      </c>
    </row>
    <row r="523">
      <c r="A523" s="0" t="inlineStr">
        <is>
          <t>[조원동]</t>
        </is>
      </c>
      <c r="B523" s="0" t="n">
        <v>11955</v>
      </c>
      <c r="C523" s="0" t="n">
        <v>2</v>
      </c>
      <c r="D523" s="0" t="inlineStr">
        <is>
          <t>화성</t>
        </is>
      </c>
      <c r="E523" s="0" t="inlineStr">
        <is>
          <t>1996.09.</t>
        </is>
      </c>
      <c r="F523" s="0" t="n">
        <v>79</v>
      </c>
      <c r="G523" s="0" t="n">
        <v>32.47</v>
      </c>
      <c r="H523" s="0" t="n">
        <v>107.36</v>
      </c>
      <c r="I523" s="0" t="n">
        <v>25.7</v>
      </c>
      <c r="J523" s="0" t="n">
        <v>84.98999999999999</v>
      </c>
      <c r="K523" s="0" t="n">
        <v>24</v>
      </c>
      <c r="T523" s="0" t="n">
        <v>3</v>
      </c>
      <c r="U523" s="0" t="n">
        <v>1</v>
      </c>
      <c r="V523" s="0" t="inlineStr">
        <is>
          <t>복도식</t>
        </is>
      </c>
      <c r="W523" s="0" t="n">
        <v>107</v>
      </c>
      <c r="X523" s="0" t="n">
        <v>12</v>
      </c>
      <c r="Y523" s="0" t="n">
        <v>7</v>
      </c>
      <c r="Z523" s="0" t="inlineStr">
        <is>
          <t>https://new.land.naver.com/complexes/11955?tab=detail&amp;rf=Y</t>
        </is>
      </c>
      <c r="AA523" s="0" t="inlineStr">
        <is>
          <t>경기도 수원시 장안구 조원동 761-5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장안구</t>
        </is>
      </c>
      <c r="AE523" s="0" t="inlineStr">
        <is>
          <t>조원동</t>
        </is>
      </c>
      <c r="AG523" s="0" t="inlineStr">
        <is>
          <t>경기도 수원시 장안구 경수대로878번길 9-6</t>
        </is>
      </c>
      <c r="AH523" s="0" t="n">
        <v>0</v>
      </c>
      <c r="AI523" s="0" t="n">
        <v>248</v>
      </c>
      <c r="AJ523" s="0" t="n">
        <v>28</v>
      </c>
      <c r="AK523" s="0" t="n">
        <v>39</v>
      </c>
      <c r="AL523" s="0" t="n">
        <v>0.49</v>
      </c>
    </row>
    <row r="524">
      <c r="A524" s="0" t="inlineStr">
        <is>
          <t>[조원동]</t>
        </is>
      </c>
      <c r="B524" s="0" t="n">
        <v>26404</v>
      </c>
      <c r="C524" s="0" t="n">
        <v>1</v>
      </c>
      <c r="D524" s="0" t="inlineStr">
        <is>
          <t>형우럭스빌</t>
        </is>
      </c>
      <c r="E524" s="0" t="inlineStr">
        <is>
          <t>2008.08.</t>
        </is>
      </c>
      <c r="F524" s="0" t="n">
        <v>44</v>
      </c>
      <c r="G524" s="0" t="n">
        <v>33.46</v>
      </c>
      <c r="H524" s="0" t="n">
        <v>110.62</v>
      </c>
      <c r="I524" s="0" t="n">
        <v>27.47</v>
      </c>
      <c r="J524" s="0" t="n">
        <v>90.84</v>
      </c>
      <c r="K524" s="0" t="n">
        <v>3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110</v>
      </c>
      <c r="X524" s="0" t="n">
        <v>10</v>
      </c>
      <c r="Y524" s="0" t="n">
        <v>5</v>
      </c>
      <c r="Z524" s="0" t="inlineStr">
        <is>
          <t>https://new.land.naver.com/complexes/26404?tab=detail&amp;rf=Y</t>
        </is>
      </c>
      <c r="AA524" s="0" t="inlineStr">
        <is>
          <t>경기도 수원시 장안구 조원동 756-5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장안구</t>
        </is>
      </c>
      <c r="AE524" s="0" t="inlineStr">
        <is>
          <t>조원동</t>
        </is>
      </c>
      <c r="AG524" s="0" t="inlineStr">
        <is>
          <t>경기도 수원시 장안구 송원로86번길 49</t>
        </is>
      </c>
      <c r="AH524" s="0" t="n">
        <v>0</v>
      </c>
      <c r="AI524" s="0" t="n">
        <v>227</v>
      </c>
      <c r="AJ524" s="0" t="n">
        <v>31</v>
      </c>
      <c r="AK524" s="0" t="n">
        <v>65</v>
      </c>
      <c r="AL524" s="0" t="n">
        <v>1.48</v>
      </c>
    </row>
    <row r="525">
      <c r="A525" s="0" t="inlineStr">
        <is>
          <t>[조원동]</t>
        </is>
      </c>
      <c r="B525" s="0" t="n">
        <v>26404</v>
      </c>
      <c r="C525" s="0" t="n">
        <v>2</v>
      </c>
      <c r="D525" s="0" t="inlineStr">
        <is>
          <t>형우럭스빌</t>
        </is>
      </c>
      <c r="E525" s="0" t="inlineStr">
        <is>
          <t>2008.08.</t>
        </is>
      </c>
      <c r="F525" s="0" t="n">
        <v>44</v>
      </c>
      <c r="G525" s="0" t="n">
        <v>39.74</v>
      </c>
      <c r="H525" s="0" t="n">
        <v>131.38</v>
      </c>
      <c r="I525" s="0" t="n">
        <v>32.82</v>
      </c>
      <c r="J525" s="0" t="n">
        <v>108.5</v>
      </c>
      <c r="K525" s="0" t="n">
        <v>4</v>
      </c>
      <c r="T525" s="0" t="n">
        <v>4</v>
      </c>
      <c r="U525" s="0" t="n">
        <v>2</v>
      </c>
      <c r="V525" s="0" t="inlineStr">
        <is>
          <t>계단식</t>
        </is>
      </c>
      <c r="W525" s="0" t="n">
        <v>131</v>
      </c>
      <c r="X525" s="0" t="n">
        <v>10</v>
      </c>
      <c r="Y525" s="0" t="n">
        <v>5</v>
      </c>
      <c r="Z525" s="0" t="inlineStr">
        <is>
          <t>https://new.land.naver.com/complexes/26404?tab=detail&amp;rf=Y</t>
        </is>
      </c>
      <c r="AA525" s="0" t="inlineStr">
        <is>
          <t>경기도 수원시 장안구 조원동 756-5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장안구</t>
        </is>
      </c>
      <c r="AE525" s="0" t="inlineStr">
        <is>
          <t>조원동</t>
        </is>
      </c>
      <c r="AG525" s="0" t="inlineStr">
        <is>
          <t>경기도 수원시 장안구 송원로86번길 49</t>
        </is>
      </c>
      <c r="AH525" s="0" t="n">
        <v>0</v>
      </c>
      <c r="AI525" s="0" t="n">
        <v>227</v>
      </c>
      <c r="AJ525" s="0" t="n">
        <v>31</v>
      </c>
      <c r="AK525" s="0" t="n">
        <v>65</v>
      </c>
      <c r="AL525" s="0" t="n">
        <v>1.48</v>
      </c>
    </row>
    <row r="526">
      <c r="A526" s="0" t="inlineStr">
        <is>
          <t>[조원동]</t>
        </is>
      </c>
      <c r="B526" s="0" t="n">
        <v>26404</v>
      </c>
      <c r="C526" s="0" t="n">
        <v>3</v>
      </c>
      <c r="D526" s="0" t="inlineStr">
        <is>
          <t>형우럭스빌</t>
        </is>
      </c>
      <c r="E526" s="0" t="inlineStr">
        <is>
          <t>2008.08.</t>
        </is>
      </c>
      <c r="F526" s="0" t="n">
        <v>44</v>
      </c>
      <c r="G526" s="0" t="n">
        <v>41.13</v>
      </c>
      <c r="H526" s="0" t="n">
        <v>135.98</v>
      </c>
      <c r="I526" s="0" t="n">
        <v>34.05</v>
      </c>
      <c r="J526" s="0" t="n">
        <v>112.59</v>
      </c>
      <c r="K526" s="0" t="n">
        <v>37</v>
      </c>
      <c r="T526" s="0" t="n">
        <v>4</v>
      </c>
      <c r="U526" s="0" t="n">
        <v>2</v>
      </c>
      <c r="V526" s="0" t="inlineStr">
        <is>
          <t>계단식</t>
        </is>
      </c>
      <c r="W526" s="0" t="n">
        <v>135</v>
      </c>
      <c r="X526" s="0" t="n">
        <v>10</v>
      </c>
      <c r="Y526" s="0" t="n">
        <v>5</v>
      </c>
      <c r="Z526" s="0" t="inlineStr">
        <is>
          <t>https://new.land.naver.com/complexes/26404?tab=detail&amp;rf=Y</t>
        </is>
      </c>
      <c r="AA526" s="0" t="inlineStr">
        <is>
          <t>경기도 수원시 장안구 조원동 756-5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장안구</t>
        </is>
      </c>
      <c r="AE526" s="0" t="inlineStr">
        <is>
          <t>조원동</t>
        </is>
      </c>
      <c r="AG526" s="0" t="inlineStr">
        <is>
          <t>경기도 수원시 장안구 송원로86번길 49</t>
        </is>
      </c>
      <c r="AH526" s="0" t="n">
        <v>0</v>
      </c>
      <c r="AI526" s="0" t="n">
        <v>227</v>
      </c>
      <c r="AJ526" s="0" t="n">
        <v>31</v>
      </c>
      <c r="AK526" s="0" t="n">
        <v>65</v>
      </c>
      <c r="AL526" s="0" t="n">
        <v>1.48</v>
      </c>
    </row>
    <row r="527">
      <c r="A527" s="0" t="inlineStr">
        <is>
          <t>[조원동]</t>
        </is>
      </c>
      <c r="B527" s="0" t="n">
        <v>131763</v>
      </c>
      <c r="C527" s="0" t="n">
        <v>1</v>
      </c>
      <c r="D527" s="0" t="inlineStr">
        <is>
          <t>더샵광교산퍼스트파크</t>
        </is>
      </c>
      <c r="E527" s="0" t="inlineStr">
        <is>
          <t>2022.05.</t>
        </is>
      </c>
      <c r="F527" s="0" t="n">
        <v>666</v>
      </c>
      <c r="G527" s="0" t="n">
        <v>17.26</v>
      </c>
      <c r="H527" s="0" t="n">
        <v>57.08</v>
      </c>
      <c r="I527" s="0" t="n">
        <v>11.08</v>
      </c>
      <c r="J527" s="0" t="n">
        <v>36.63</v>
      </c>
      <c r="K527" s="0" t="n">
        <v>114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57</v>
      </c>
      <c r="X527" s="0" t="n">
        <v>21</v>
      </c>
      <c r="Y527" s="0" t="n">
        <v>13</v>
      </c>
      <c r="Z527" s="0" t="inlineStr">
        <is>
          <t>https://new.land.naver.com/complexes/131763?tab=detail&amp;rf=Y</t>
        </is>
      </c>
      <c r="AA527" s="0" t="inlineStr">
        <is>
          <t>경기도 수원시 장안구 조원동 431-2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장안구</t>
        </is>
      </c>
      <c r="AE527" s="0" t="inlineStr">
        <is>
          <t>조원동</t>
        </is>
      </c>
      <c r="AG527" s="0" t="inlineStr">
        <is>
          <t>경기도 수원시 장안구</t>
        </is>
      </c>
      <c r="AH527" s="0" t="n">
        <v>47</v>
      </c>
      <c r="AI527" s="0" t="n">
        <v>228</v>
      </c>
      <c r="AJ527" s="0" t="n">
        <v>17</v>
      </c>
      <c r="AK527" s="0" t="n">
        <v>795</v>
      </c>
      <c r="AL527" s="0" t="n">
        <v>1.19</v>
      </c>
    </row>
    <row r="528">
      <c r="A528" s="0" t="inlineStr">
        <is>
          <t>[조원동]</t>
        </is>
      </c>
      <c r="B528" s="0" t="n">
        <v>131763</v>
      </c>
      <c r="C528" s="0" t="n">
        <v>2</v>
      </c>
      <c r="D528" s="0" t="inlineStr">
        <is>
          <t>더샵광교산퍼스트파크</t>
        </is>
      </c>
      <c r="E528" s="0" t="inlineStr">
        <is>
          <t>2022.05.</t>
        </is>
      </c>
      <c r="F528" s="0" t="n">
        <v>666</v>
      </c>
      <c r="G528" s="0" t="n">
        <v>25.86</v>
      </c>
      <c r="H528" s="0" t="n">
        <v>85.51000000000001</v>
      </c>
      <c r="I528" s="0" t="n">
        <v>18.14</v>
      </c>
      <c r="J528" s="0" t="n">
        <v>59.99</v>
      </c>
      <c r="K528" s="0" t="n">
        <v>113</v>
      </c>
      <c r="T528" s="0" t="n">
        <v>3</v>
      </c>
      <c r="U528" s="0" t="n">
        <v>1</v>
      </c>
      <c r="V528" s="0" t="inlineStr">
        <is>
          <t>계단식</t>
        </is>
      </c>
      <c r="W528" s="0" t="inlineStr">
        <is>
          <t>85A</t>
        </is>
      </c>
      <c r="X528" s="0" t="n">
        <v>21</v>
      </c>
      <c r="Y528" s="0" t="n">
        <v>13</v>
      </c>
      <c r="Z528" s="0" t="inlineStr">
        <is>
          <t>https://new.land.naver.com/complexes/131763?tab=detail&amp;rf=Y</t>
        </is>
      </c>
      <c r="AA528" s="0" t="inlineStr">
        <is>
          <t>경기도 수원시 장안구 조원동 431-2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장안구</t>
        </is>
      </c>
      <c r="AE528" s="0" t="inlineStr">
        <is>
          <t>조원동</t>
        </is>
      </c>
      <c r="AG528" s="0" t="inlineStr">
        <is>
          <t>경기도 수원시 장안구</t>
        </is>
      </c>
      <c r="AH528" s="0" t="n">
        <v>47</v>
      </c>
      <c r="AI528" s="0" t="n">
        <v>228</v>
      </c>
      <c r="AJ528" s="0" t="n">
        <v>17</v>
      </c>
      <c r="AK528" s="0" t="n">
        <v>795</v>
      </c>
      <c r="AL528" s="0" t="n">
        <v>1.19</v>
      </c>
    </row>
    <row r="529">
      <c r="A529" s="0" t="inlineStr">
        <is>
          <t>[조원동]</t>
        </is>
      </c>
      <c r="B529" s="0" t="n">
        <v>131763</v>
      </c>
      <c r="C529" s="0" t="n">
        <v>3</v>
      </c>
      <c r="D529" s="0" t="inlineStr">
        <is>
          <t>더샵광교산퍼스트파크</t>
        </is>
      </c>
      <c r="E529" s="0" t="inlineStr">
        <is>
          <t>2022.05.</t>
        </is>
      </c>
      <c r="F529" s="0" t="n">
        <v>666</v>
      </c>
      <c r="G529" s="0" t="n">
        <v>25.96</v>
      </c>
      <c r="H529" s="0" t="n">
        <v>85.81999999999999</v>
      </c>
      <c r="I529" s="0" t="n">
        <v>18.07</v>
      </c>
      <c r="J529" s="0" t="n">
        <v>59.74</v>
      </c>
      <c r="K529" s="0" t="n">
        <v>39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85B</t>
        </is>
      </c>
      <c r="X529" s="0" t="n">
        <v>21</v>
      </c>
      <c r="Y529" s="0" t="n">
        <v>13</v>
      </c>
      <c r="Z529" s="0" t="inlineStr">
        <is>
          <t>https://new.land.naver.com/complexes/131763?tab=detail&amp;rf=Y</t>
        </is>
      </c>
      <c r="AA529" s="0" t="inlineStr">
        <is>
          <t>경기도 수원시 장안구 조원동 431-2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장안구</t>
        </is>
      </c>
      <c r="AE529" s="0" t="inlineStr">
        <is>
          <t>조원동</t>
        </is>
      </c>
      <c r="AG529" s="0" t="inlineStr">
        <is>
          <t>경기도 수원시 장안구</t>
        </is>
      </c>
      <c r="AH529" s="0" t="n">
        <v>47</v>
      </c>
      <c r="AI529" s="0" t="n">
        <v>228</v>
      </c>
      <c r="AJ529" s="0" t="n">
        <v>17</v>
      </c>
      <c r="AK529" s="0" t="n">
        <v>795</v>
      </c>
      <c r="AL529" s="0" t="n">
        <v>1.19</v>
      </c>
    </row>
    <row r="530">
      <c r="A530" s="0" t="inlineStr">
        <is>
          <t>[조원동]</t>
        </is>
      </c>
      <c r="B530" s="0" t="n">
        <v>131763</v>
      </c>
      <c r="C530" s="0" t="n">
        <v>4</v>
      </c>
      <c r="D530" s="0" t="inlineStr">
        <is>
          <t>더샵광교산퍼스트파크</t>
        </is>
      </c>
      <c r="E530" s="0" t="inlineStr">
        <is>
          <t>2022.05.</t>
        </is>
      </c>
      <c r="F530" s="0" t="n">
        <v>666</v>
      </c>
      <c r="G530" s="0" t="n">
        <v>29.69</v>
      </c>
      <c r="H530" s="0" t="n">
        <v>98.18000000000001</v>
      </c>
      <c r="I530" s="0" t="n">
        <v>21.62</v>
      </c>
      <c r="J530" s="0" t="n">
        <v>71.5</v>
      </c>
      <c r="K530" s="0" t="n">
        <v>40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98A</t>
        </is>
      </c>
      <c r="X530" s="0" t="n">
        <v>21</v>
      </c>
      <c r="Y530" s="0" t="n">
        <v>13</v>
      </c>
      <c r="Z530" s="0" t="inlineStr">
        <is>
          <t>https://new.land.naver.com/complexes/131763?tab=detail&amp;rf=Y</t>
        </is>
      </c>
      <c r="AA530" s="0" t="inlineStr">
        <is>
          <t>경기도 수원시 장안구 조원동 431-2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장안구</t>
        </is>
      </c>
      <c r="AE530" s="0" t="inlineStr">
        <is>
          <t>조원동</t>
        </is>
      </c>
      <c r="AG530" s="0" t="inlineStr">
        <is>
          <t>경기도 수원시 장안구</t>
        </is>
      </c>
      <c r="AH530" s="0" t="n">
        <v>47</v>
      </c>
      <c r="AI530" s="0" t="n">
        <v>228</v>
      </c>
      <c r="AJ530" s="0" t="n">
        <v>17</v>
      </c>
      <c r="AK530" s="0" t="n">
        <v>795</v>
      </c>
      <c r="AL530" s="0" t="n">
        <v>1.19</v>
      </c>
    </row>
    <row r="531">
      <c r="A531" s="0" t="inlineStr">
        <is>
          <t>[조원동]</t>
        </is>
      </c>
      <c r="B531" s="0" t="n">
        <v>131763</v>
      </c>
      <c r="C531" s="0" t="n">
        <v>5</v>
      </c>
      <c r="D531" s="0" t="inlineStr">
        <is>
          <t>더샵광교산퍼스트파크</t>
        </is>
      </c>
      <c r="E531" s="0" t="inlineStr">
        <is>
          <t>2022.05.</t>
        </is>
      </c>
      <c r="F531" s="0" t="n">
        <v>666</v>
      </c>
      <c r="G531" s="0" t="n">
        <v>29.94</v>
      </c>
      <c r="H531" s="0" t="n">
        <v>98.98999999999999</v>
      </c>
      <c r="I531" s="0" t="n">
        <v>21.61</v>
      </c>
      <c r="J531" s="0" t="n">
        <v>71.45</v>
      </c>
      <c r="K531" s="0" t="n">
        <v>20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98C</t>
        </is>
      </c>
      <c r="X531" s="0" t="n">
        <v>21</v>
      </c>
      <c r="Y531" s="0" t="n">
        <v>13</v>
      </c>
      <c r="Z531" s="0" t="inlineStr">
        <is>
          <t>https://new.land.naver.com/complexes/131763?tab=detail&amp;rf=Y</t>
        </is>
      </c>
      <c r="AA531" s="0" t="inlineStr">
        <is>
          <t>경기도 수원시 장안구 조원동 431-2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장안구</t>
        </is>
      </c>
      <c r="AE531" s="0" t="inlineStr">
        <is>
          <t>조원동</t>
        </is>
      </c>
      <c r="AG531" s="0" t="inlineStr">
        <is>
          <t>경기도 수원시 장안구</t>
        </is>
      </c>
      <c r="AH531" s="0" t="n">
        <v>47</v>
      </c>
      <c r="AI531" s="0" t="n">
        <v>228</v>
      </c>
      <c r="AJ531" s="0" t="n">
        <v>17</v>
      </c>
      <c r="AK531" s="0" t="n">
        <v>795</v>
      </c>
      <c r="AL531" s="0" t="n">
        <v>1.19</v>
      </c>
    </row>
    <row r="532">
      <c r="A532" s="0" t="inlineStr">
        <is>
          <t>[조원동]</t>
        </is>
      </c>
      <c r="B532" s="0" t="n">
        <v>131763</v>
      </c>
      <c r="C532" s="0" t="n">
        <v>6</v>
      </c>
      <c r="D532" s="0" t="inlineStr">
        <is>
          <t>더샵광교산퍼스트파크</t>
        </is>
      </c>
      <c r="E532" s="0" t="inlineStr">
        <is>
          <t>2022.05.</t>
        </is>
      </c>
      <c r="F532" s="0" t="n">
        <v>666</v>
      </c>
      <c r="G532" s="0" t="n">
        <v>29.95</v>
      </c>
      <c r="H532" s="0" t="n">
        <v>99.04000000000001</v>
      </c>
      <c r="I532" s="0" t="n">
        <v>21.56</v>
      </c>
      <c r="J532" s="0" t="n">
        <v>71.29000000000001</v>
      </c>
      <c r="K532" s="0" t="n">
        <v>20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99B</t>
        </is>
      </c>
      <c r="X532" s="0" t="n">
        <v>21</v>
      </c>
      <c r="Y532" s="0" t="n">
        <v>13</v>
      </c>
      <c r="Z532" s="0" t="inlineStr">
        <is>
          <t>https://new.land.naver.com/complexes/131763?tab=detail&amp;rf=Y</t>
        </is>
      </c>
      <c r="AA532" s="0" t="inlineStr">
        <is>
          <t>경기도 수원시 장안구 조원동 431-2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장안구</t>
        </is>
      </c>
      <c r="AE532" s="0" t="inlineStr">
        <is>
          <t>조원동</t>
        </is>
      </c>
      <c r="AG532" s="0" t="inlineStr">
        <is>
          <t>경기도 수원시 장안구</t>
        </is>
      </c>
      <c r="AH532" s="0" t="n">
        <v>47</v>
      </c>
      <c r="AI532" s="0" t="n">
        <v>228</v>
      </c>
      <c r="AJ532" s="0" t="n">
        <v>17</v>
      </c>
      <c r="AK532" s="0" t="n">
        <v>795</v>
      </c>
      <c r="AL532" s="0" t="n">
        <v>1.19</v>
      </c>
    </row>
    <row r="533">
      <c r="A533" s="0" t="inlineStr">
        <is>
          <t>[조원동]</t>
        </is>
      </c>
      <c r="B533" s="0" t="n">
        <v>131763</v>
      </c>
      <c r="C533" s="0" t="n">
        <v>7</v>
      </c>
      <c r="D533" s="0" t="inlineStr">
        <is>
          <t>더샵광교산퍼스트파크</t>
        </is>
      </c>
      <c r="E533" s="0" t="inlineStr">
        <is>
          <t>2022.05.</t>
        </is>
      </c>
      <c r="F533" s="0" t="n">
        <v>666</v>
      </c>
      <c r="G533" s="0" t="n">
        <v>34.65</v>
      </c>
      <c r="H533" s="0" t="n">
        <v>114.56</v>
      </c>
      <c r="I533" s="0" t="n">
        <v>25.7</v>
      </c>
      <c r="J533" s="0" t="n">
        <v>84.98</v>
      </c>
      <c r="K533" s="0" t="n">
        <v>160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114A</t>
        </is>
      </c>
      <c r="X533" s="0" t="n">
        <v>21</v>
      </c>
      <c r="Y533" s="0" t="n">
        <v>13</v>
      </c>
      <c r="Z533" s="0" t="inlineStr">
        <is>
          <t>https://new.land.naver.com/complexes/131763?tab=detail&amp;rf=Y</t>
        </is>
      </c>
      <c r="AA533" s="0" t="inlineStr">
        <is>
          <t>경기도 수원시 장안구 조원동 431-2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장안구</t>
        </is>
      </c>
      <c r="AE533" s="0" t="inlineStr">
        <is>
          <t>조원동</t>
        </is>
      </c>
      <c r="AG533" s="0" t="inlineStr">
        <is>
          <t>경기도 수원시 장안구</t>
        </is>
      </c>
      <c r="AH533" s="0" t="n">
        <v>47</v>
      </c>
      <c r="AI533" s="0" t="n">
        <v>228</v>
      </c>
      <c r="AJ533" s="0" t="n">
        <v>17</v>
      </c>
      <c r="AK533" s="0" t="n">
        <v>795</v>
      </c>
      <c r="AL533" s="0" t="n">
        <v>1.19</v>
      </c>
    </row>
    <row r="534">
      <c r="A534" s="0" t="inlineStr">
        <is>
          <t>[조원동]</t>
        </is>
      </c>
      <c r="B534" s="0" t="n">
        <v>131763</v>
      </c>
      <c r="C534" s="0" t="n">
        <v>8</v>
      </c>
      <c r="D534" s="0" t="inlineStr">
        <is>
          <t>더샵광교산퍼스트파크</t>
        </is>
      </c>
      <c r="E534" s="0" t="inlineStr">
        <is>
          <t>2022.05.</t>
        </is>
      </c>
      <c r="F534" s="0" t="n">
        <v>666</v>
      </c>
      <c r="G534" s="0" t="n">
        <v>34.8</v>
      </c>
      <c r="H534" s="0" t="n">
        <v>115.07</v>
      </c>
      <c r="I534" s="0" t="n">
        <v>25.7</v>
      </c>
      <c r="J534" s="0" t="n">
        <v>84.98999999999999</v>
      </c>
      <c r="K534" s="0" t="n">
        <v>80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115B</t>
        </is>
      </c>
      <c r="X534" s="0" t="n">
        <v>21</v>
      </c>
      <c r="Y534" s="0" t="n">
        <v>13</v>
      </c>
      <c r="Z534" s="0" t="inlineStr">
        <is>
          <t>https://new.land.naver.com/complexes/131763?tab=detail&amp;rf=Y</t>
        </is>
      </c>
      <c r="AA534" s="0" t="inlineStr">
        <is>
          <t>경기도 수원시 장안구 조원동 431-2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장안구</t>
        </is>
      </c>
      <c r="AE534" s="0" t="inlineStr">
        <is>
          <t>조원동</t>
        </is>
      </c>
      <c r="AG534" s="0" t="inlineStr">
        <is>
          <t>경기도 수원시 장안구</t>
        </is>
      </c>
      <c r="AH534" s="0" t="n">
        <v>47</v>
      </c>
      <c r="AI534" s="0" t="n">
        <v>228</v>
      </c>
      <c r="AJ534" s="0" t="n">
        <v>17</v>
      </c>
      <c r="AK534" s="0" t="n">
        <v>795</v>
      </c>
      <c r="AL534" s="0" t="n">
        <v>1.19</v>
      </c>
    </row>
    <row r="535">
      <c r="A535" s="0" t="inlineStr">
        <is>
          <t>[조원동]</t>
        </is>
      </c>
      <c r="B535" s="0" t="n">
        <v>131763</v>
      </c>
      <c r="C535" s="0" t="n">
        <v>9</v>
      </c>
      <c r="D535" s="0" t="inlineStr">
        <is>
          <t>더샵광교산퍼스트파크</t>
        </is>
      </c>
      <c r="E535" s="0" t="inlineStr">
        <is>
          <t>2022.05.</t>
        </is>
      </c>
      <c r="F535" s="0" t="n">
        <v>666</v>
      </c>
      <c r="G535" s="0" t="n">
        <v>34.8</v>
      </c>
      <c r="H535" s="0" t="n">
        <v>115.06</v>
      </c>
      <c r="I535" s="0" t="n">
        <v>25.7</v>
      </c>
      <c r="J535" s="0" t="n">
        <v>84.98</v>
      </c>
      <c r="K535" s="0" t="n">
        <v>80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115C</t>
        </is>
      </c>
      <c r="X535" s="0" t="n">
        <v>21</v>
      </c>
      <c r="Y535" s="0" t="n">
        <v>13</v>
      </c>
      <c r="Z535" s="0" t="inlineStr">
        <is>
          <t>https://new.land.naver.com/complexes/131763?tab=detail&amp;rf=Y</t>
        </is>
      </c>
      <c r="AA535" s="0" t="inlineStr">
        <is>
          <t>경기도 수원시 장안구 조원동 431-2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장안구</t>
        </is>
      </c>
      <c r="AE535" s="0" t="inlineStr">
        <is>
          <t>조원동</t>
        </is>
      </c>
      <c r="AG535" s="0" t="inlineStr">
        <is>
          <t>경기도 수원시 장안구</t>
        </is>
      </c>
      <c r="AH535" s="0" t="n">
        <v>47</v>
      </c>
      <c r="AI535" s="0" t="n">
        <v>228</v>
      </c>
      <c r="AJ535" s="0" t="n">
        <v>17</v>
      </c>
      <c r="AK535" s="0" t="n">
        <v>795</v>
      </c>
      <c r="AL535" s="0" t="n">
        <v>1.19</v>
      </c>
    </row>
    <row r="536">
      <c r="A536" s="0" t="inlineStr">
        <is>
          <t>[조원동]</t>
        </is>
      </c>
      <c r="B536" s="0" t="n">
        <v>26949</v>
      </c>
      <c r="C536" s="0" t="n">
        <v>1</v>
      </c>
      <c r="D536" s="0" t="inlineStr">
        <is>
          <t>수원광교산스위첸</t>
        </is>
      </c>
      <c r="E536" s="0" t="inlineStr">
        <is>
          <t>2010.06.</t>
        </is>
      </c>
      <c r="F536" s="0" t="n">
        <v>218</v>
      </c>
      <c r="G536" s="0" t="n">
        <v>45.76</v>
      </c>
      <c r="H536" s="0" t="n">
        <v>151.29</v>
      </c>
      <c r="I536" s="0" t="n">
        <v>36.51</v>
      </c>
      <c r="J536" s="0" t="n">
        <v>120.7</v>
      </c>
      <c r="K536" s="0" t="n">
        <v>109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151B</t>
        </is>
      </c>
      <c r="X536" s="0" t="n">
        <v>22</v>
      </c>
      <c r="Y536" s="0" t="n">
        <v>13</v>
      </c>
      <c r="Z536" s="0" t="inlineStr">
        <is>
          <t>https://new.land.naver.com/complexes/26949?tab=detail&amp;rf=Y</t>
        </is>
      </c>
      <c r="AA536" s="0" t="inlineStr">
        <is>
          <t>경기도 수원시 장안구 조원동 910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장안구</t>
        </is>
      </c>
      <c r="AE536" s="0" t="inlineStr">
        <is>
          <t>조원동</t>
        </is>
      </c>
      <c r="AG536" s="0" t="inlineStr">
        <is>
          <t>경기도 수원시 장안구 송원로 131-28</t>
        </is>
      </c>
      <c r="AH536" s="0" t="n">
        <v>0</v>
      </c>
      <c r="AI536" s="0" t="n">
        <v>219</v>
      </c>
      <c r="AJ536" s="0" t="n">
        <v>17</v>
      </c>
      <c r="AK536" s="0" t="n">
        <v>382</v>
      </c>
      <c r="AL536" s="0" t="n">
        <v>1.75</v>
      </c>
    </row>
    <row r="537">
      <c r="A537" s="0" t="inlineStr">
        <is>
          <t>[조원동]</t>
        </is>
      </c>
      <c r="B537" s="0" t="n">
        <v>26949</v>
      </c>
      <c r="C537" s="0" t="n">
        <v>2</v>
      </c>
      <c r="D537" s="0" t="inlineStr">
        <is>
          <t>수원광교산스위첸</t>
        </is>
      </c>
      <c r="E537" s="0" t="inlineStr">
        <is>
          <t>2010.06.</t>
        </is>
      </c>
      <c r="F537" s="0" t="n">
        <v>218</v>
      </c>
      <c r="G537" s="0" t="n">
        <v>45.78</v>
      </c>
      <c r="H537" s="0" t="n">
        <v>151.34</v>
      </c>
      <c r="I537" s="0" t="n">
        <v>36.61</v>
      </c>
      <c r="J537" s="0" t="n">
        <v>121.03</v>
      </c>
      <c r="K537" s="0" t="n">
        <v>84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151C</t>
        </is>
      </c>
      <c r="X537" s="0" t="n">
        <v>22</v>
      </c>
      <c r="Y537" s="0" t="n">
        <v>13</v>
      </c>
      <c r="Z537" s="0" t="inlineStr">
        <is>
          <t>https://new.land.naver.com/complexes/26949?tab=detail&amp;rf=Y</t>
        </is>
      </c>
      <c r="AA537" s="0" t="inlineStr">
        <is>
          <t>경기도 수원시 장안구 조원동 910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장안구</t>
        </is>
      </c>
      <c r="AE537" s="0" t="inlineStr">
        <is>
          <t>조원동</t>
        </is>
      </c>
      <c r="AG537" s="0" t="inlineStr">
        <is>
          <t>경기도 수원시 장안구 송원로 131-28</t>
        </is>
      </c>
      <c r="AH537" s="0" t="n">
        <v>0</v>
      </c>
      <c r="AI537" s="0" t="n">
        <v>219</v>
      </c>
      <c r="AJ537" s="0" t="n">
        <v>17</v>
      </c>
      <c r="AK537" s="0" t="n">
        <v>382</v>
      </c>
      <c r="AL537" s="0" t="n">
        <v>1.75</v>
      </c>
    </row>
    <row r="538">
      <c r="A538" s="0" t="inlineStr">
        <is>
          <t>[조원동]</t>
        </is>
      </c>
      <c r="B538" s="0" t="n">
        <v>26949</v>
      </c>
      <c r="C538" s="0" t="n">
        <v>3</v>
      </c>
      <c r="D538" s="0" t="inlineStr">
        <is>
          <t>수원광교산스위첸</t>
        </is>
      </c>
      <c r="E538" s="0" t="inlineStr">
        <is>
          <t>2010.06.</t>
        </is>
      </c>
      <c r="F538" s="0" t="n">
        <v>218</v>
      </c>
      <c r="G538" s="0" t="n">
        <v>45.84</v>
      </c>
      <c r="H538" s="0" t="n">
        <v>151.57</v>
      </c>
      <c r="I538" s="0" t="n">
        <v>36.88</v>
      </c>
      <c r="J538" s="0" t="n">
        <v>121.95</v>
      </c>
      <c r="K538" s="0" t="n">
        <v>25</v>
      </c>
      <c r="T538" s="0" t="n">
        <v>4</v>
      </c>
      <c r="U538" s="0" t="n">
        <v>2</v>
      </c>
      <c r="V538" s="0" t="inlineStr">
        <is>
          <t>계단식</t>
        </is>
      </c>
      <c r="W538" s="0" t="inlineStr">
        <is>
          <t>151A</t>
        </is>
      </c>
      <c r="X538" s="0" t="n">
        <v>22</v>
      </c>
      <c r="Y538" s="0" t="n">
        <v>13</v>
      </c>
      <c r="Z538" s="0" t="inlineStr">
        <is>
          <t>https://new.land.naver.com/complexes/26949?tab=detail&amp;rf=Y</t>
        </is>
      </c>
      <c r="AA538" s="0" t="inlineStr">
        <is>
          <t>경기도 수원시 장안구 조원동 910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장안구</t>
        </is>
      </c>
      <c r="AE538" s="0" t="inlineStr">
        <is>
          <t>조원동</t>
        </is>
      </c>
      <c r="AG538" s="0" t="inlineStr">
        <is>
          <t>경기도 수원시 장안구 송원로 131-28</t>
        </is>
      </c>
      <c r="AH538" s="0" t="n">
        <v>0</v>
      </c>
      <c r="AI538" s="0" t="n">
        <v>219</v>
      </c>
      <c r="AJ538" s="0" t="n">
        <v>17</v>
      </c>
      <c r="AK538" s="0" t="n">
        <v>382</v>
      </c>
      <c r="AL538" s="0" t="n">
        <v>1.75</v>
      </c>
    </row>
    <row r="539">
      <c r="A539" s="0" t="inlineStr">
        <is>
          <t>[조원동]</t>
        </is>
      </c>
      <c r="B539" s="0" t="n">
        <v>100631</v>
      </c>
      <c r="C539" s="0" t="n">
        <v>1</v>
      </c>
      <c r="D539" s="0" t="inlineStr">
        <is>
          <t>광교산임광그대가</t>
        </is>
      </c>
      <c r="E539" s="0" t="inlineStr">
        <is>
          <t>2010.06.</t>
        </is>
      </c>
      <c r="F539" s="0" t="n">
        <v>482</v>
      </c>
      <c r="G539" s="0" t="n">
        <v>24.26</v>
      </c>
      <c r="H539" s="0" t="n">
        <v>80.20999999999999</v>
      </c>
      <c r="I539" s="0" t="n">
        <v>18.04</v>
      </c>
      <c r="J539" s="0" t="n">
        <v>59.64</v>
      </c>
      <c r="K539" s="0" t="n">
        <v>100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80</v>
      </c>
      <c r="X539" s="0" t="n">
        <v>22</v>
      </c>
      <c r="Y539" s="0" t="n">
        <v>15</v>
      </c>
      <c r="Z539" s="0" t="inlineStr">
        <is>
          <t>https://new.land.naver.com/complexes/100631?tab=detail&amp;rf=Y</t>
        </is>
      </c>
      <c r="AA539" s="0" t="inlineStr">
        <is>
          <t>경기도 수원시 장안구 조원동 912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장안구</t>
        </is>
      </c>
      <c r="AE539" s="0" t="inlineStr">
        <is>
          <t>조원동</t>
        </is>
      </c>
      <c r="AG539" s="0" t="inlineStr">
        <is>
          <t>경기도 수원시 장안구 수일로 205</t>
        </is>
      </c>
      <c r="AH539" s="0" t="n">
        <v>0</v>
      </c>
      <c r="AI539" s="0" t="n">
        <v>219</v>
      </c>
      <c r="AJ539" s="0" t="n">
        <v>17</v>
      </c>
      <c r="AK539" s="0" t="n">
        <v>811</v>
      </c>
      <c r="AL539" s="0" t="n">
        <v>1.68</v>
      </c>
    </row>
    <row r="540">
      <c r="A540" s="0" t="inlineStr">
        <is>
          <t>[조원동]</t>
        </is>
      </c>
      <c r="B540" s="0" t="n">
        <v>100631</v>
      </c>
      <c r="C540" s="0" t="n">
        <v>2</v>
      </c>
      <c r="D540" s="0" t="inlineStr">
        <is>
          <t>광교산임광그대가</t>
        </is>
      </c>
      <c r="E540" s="0" t="inlineStr">
        <is>
          <t>2010.06.</t>
        </is>
      </c>
      <c r="F540" s="0" t="n">
        <v>482</v>
      </c>
      <c r="G540" s="0" t="n">
        <v>38</v>
      </c>
      <c r="H540" s="0" t="n">
        <v>125.62</v>
      </c>
      <c r="I540" s="0" t="n">
        <v>30.69</v>
      </c>
      <c r="J540" s="0" t="n">
        <v>101.47</v>
      </c>
      <c r="K540" s="0" t="n">
        <v>78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125B</t>
        </is>
      </c>
      <c r="X540" s="0" t="n">
        <v>22</v>
      </c>
      <c r="Y540" s="0" t="n">
        <v>15</v>
      </c>
      <c r="Z540" s="0" t="inlineStr">
        <is>
          <t>https://new.land.naver.com/complexes/100631?tab=detail&amp;rf=Y</t>
        </is>
      </c>
      <c r="AA540" s="0" t="inlineStr">
        <is>
          <t>경기도 수원시 장안구 조원동 912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장안구</t>
        </is>
      </c>
      <c r="AE540" s="0" t="inlineStr">
        <is>
          <t>조원동</t>
        </is>
      </c>
      <c r="AG540" s="0" t="inlineStr">
        <is>
          <t>경기도 수원시 장안구 수일로 205</t>
        </is>
      </c>
      <c r="AH540" s="0" t="n">
        <v>0</v>
      </c>
      <c r="AI540" s="0" t="n">
        <v>219</v>
      </c>
      <c r="AJ540" s="0" t="n">
        <v>17</v>
      </c>
      <c r="AK540" s="0" t="n">
        <v>811</v>
      </c>
      <c r="AL540" s="0" t="n">
        <v>1.68</v>
      </c>
    </row>
    <row r="541">
      <c r="A541" s="0" t="inlineStr">
        <is>
          <t>[조원동]</t>
        </is>
      </c>
      <c r="B541" s="0" t="n">
        <v>100631</v>
      </c>
      <c r="C541" s="0" t="n">
        <v>3</v>
      </c>
      <c r="D541" s="0" t="inlineStr">
        <is>
          <t>광교산임광그대가</t>
        </is>
      </c>
      <c r="E541" s="0" t="inlineStr">
        <is>
          <t>2010.06.</t>
        </is>
      </c>
      <c r="F541" s="0" t="n">
        <v>482</v>
      </c>
      <c r="G541" s="0" t="n">
        <v>38.09</v>
      </c>
      <c r="H541" s="0" t="n">
        <v>125.94</v>
      </c>
      <c r="I541" s="0" t="n">
        <v>30.74</v>
      </c>
      <c r="J541" s="0" t="n">
        <v>101.63</v>
      </c>
      <c r="K541" s="0" t="n">
        <v>66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125A</t>
        </is>
      </c>
      <c r="X541" s="0" t="n">
        <v>22</v>
      </c>
      <c r="Y541" s="0" t="n">
        <v>15</v>
      </c>
      <c r="Z541" s="0" t="inlineStr">
        <is>
          <t>https://new.land.naver.com/complexes/100631?tab=detail&amp;rf=Y</t>
        </is>
      </c>
      <c r="AA541" s="0" t="inlineStr">
        <is>
          <t>경기도 수원시 장안구 조원동 912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장안구</t>
        </is>
      </c>
      <c r="AE541" s="0" t="inlineStr">
        <is>
          <t>조원동</t>
        </is>
      </c>
      <c r="AG541" s="0" t="inlineStr">
        <is>
          <t>경기도 수원시 장안구 수일로 205</t>
        </is>
      </c>
      <c r="AH541" s="0" t="n">
        <v>0</v>
      </c>
      <c r="AI541" s="0" t="n">
        <v>219</v>
      </c>
      <c r="AJ541" s="0" t="n">
        <v>17</v>
      </c>
      <c r="AK541" s="0" t="n">
        <v>811</v>
      </c>
      <c r="AL541" s="0" t="n">
        <v>1.68</v>
      </c>
    </row>
    <row r="542">
      <c r="A542" s="0" t="inlineStr">
        <is>
          <t>[조원동]</t>
        </is>
      </c>
      <c r="B542" s="0" t="n">
        <v>100631</v>
      </c>
      <c r="C542" s="0" t="n">
        <v>4</v>
      </c>
      <c r="D542" s="0" t="inlineStr">
        <is>
          <t>광교산임광그대가</t>
        </is>
      </c>
      <c r="E542" s="0" t="inlineStr">
        <is>
          <t>2010.06.</t>
        </is>
      </c>
      <c r="F542" s="0" t="n">
        <v>482</v>
      </c>
      <c r="G542" s="0" t="n">
        <v>46.07</v>
      </c>
      <c r="H542" s="0" t="n">
        <v>152.3</v>
      </c>
      <c r="I542" s="0" t="n">
        <v>37.67</v>
      </c>
      <c r="J542" s="0" t="n">
        <v>124.53</v>
      </c>
      <c r="K542" s="0" t="n">
        <v>130</v>
      </c>
      <c r="T542" s="0" t="n">
        <v>4</v>
      </c>
      <c r="U542" s="0" t="n">
        <v>2</v>
      </c>
      <c r="V542" s="0" t="inlineStr">
        <is>
          <t>계단식</t>
        </is>
      </c>
      <c r="W542" s="0" t="inlineStr">
        <is>
          <t>152B</t>
        </is>
      </c>
      <c r="X542" s="0" t="n">
        <v>22</v>
      </c>
      <c r="Y542" s="0" t="n">
        <v>15</v>
      </c>
      <c r="Z542" s="0" t="inlineStr">
        <is>
          <t>https://new.land.naver.com/complexes/100631?tab=detail&amp;rf=Y</t>
        </is>
      </c>
      <c r="AA542" s="0" t="inlineStr">
        <is>
          <t>경기도 수원시 장안구 조원동 912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장안구</t>
        </is>
      </c>
      <c r="AE542" s="0" t="inlineStr">
        <is>
          <t>조원동</t>
        </is>
      </c>
      <c r="AG542" s="0" t="inlineStr">
        <is>
          <t>경기도 수원시 장안구 수일로 205</t>
        </is>
      </c>
      <c r="AH542" s="0" t="n">
        <v>0</v>
      </c>
      <c r="AI542" s="0" t="n">
        <v>219</v>
      </c>
      <c r="AJ542" s="0" t="n">
        <v>17</v>
      </c>
      <c r="AK542" s="0" t="n">
        <v>811</v>
      </c>
      <c r="AL542" s="0" t="n">
        <v>1.68</v>
      </c>
    </row>
    <row r="543">
      <c r="A543" s="0" t="inlineStr">
        <is>
          <t>[조원동]</t>
        </is>
      </c>
      <c r="B543" s="0" t="n">
        <v>100631</v>
      </c>
      <c r="C543" s="0" t="n">
        <v>5</v>
      </c>
      <c r="D543" s="0" t="inlineStr">
        <is>
          <t>광교산임광그대가</t>
        </is>
      </c>
      <c r="E543" s="0" t="inlineStr">
        <is>
          <t>2010.06.</t>
        </is>
      </c>
      <c r="F543" s="0" t="n">
        <v>482</v>
      </c>
      <c r="G543" s="0" t="n">
        <v>46.01</v>
      </c>
      <c r="H543" s="0" t="n">
        <v>152.13</v>
      </c>
      <c r="I543" s="0" t="n">
        <v>37.73</v>
      </c>
      <c r="J543" s="0" t="n">
        <v>124.75</v>
      </c>
      <c r="K543" s="0" t="n">
        <v>108</v>
      </c>
      <c r="T543" s="0" t="n">
        <v>4</v>
      </c>
      <c r="U543" s="0" t="n">
        <v>2</v>
      </c>
      <c r="V543" s="0" t="inlineStr">
        <is>
          <t>계단식</t>
        </is>
      </c>
      <c r="W543" s="0" t="inlineStr">
        <is>
          <t>152A</t>
        </is>
      </c>
      <c r="X543" s="0" t="n">
        <v>22</v>
      </c>
      <c r="Y543" s="0" t="n">
        <v>15</v>
      </c>
      <c r="Z543" s="0" t="inlineStr">
        <is>
          <t>https://new.land.naver.com/complexes/100631?tab=detail&amp;rf=Y</t>
        </is>
      </c>
      <c r="AA543" s="0" t="inlineStr">
        <is>
          <t>경기도 수원시 장안구 조원동 912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장안구</t>
        </is>
      </c>
      <c r="AE543" s="0" t="inlineStr">
        <is>
          <t>조원동</t>
        </is>
      </c>
      <c r="AG543" s="0" t="inlineStr">
        <is>
          <t>경기도 수원시 장안구 수일로 205</t>
        </is>
      </c>
      <c r="AH543" s="0" t="n">
        <v>0</v>
      </c>
      <c r="AI543" s="0" t="n">
        <v>219</v>
      </c>
      <c r="AJ543" s="0" t="n">
        <v>17</v>
      </c>
      <c r="AK543" s="0" t="n">
        <v>811</v>
      </c>
      <c r="AL543" s="0" t="n">
        <v>1.68</v>
      </c>
    </row>
    <row r="544">
      <c r="A544" s="0" t="inlineStr">
        <is>
          <t>[조원동]</t>
        </is>
      </c>
      <c r="B544" s="0" t="n">
        <v>14157</v>
      </c>
      <c r="C544" s="0" t="n">
        <v>1</v>
      </c>
      <c r="D544" s="0" t="inlineStr">
        <is>
          <t>성신</t>
        </is>
      </c>
      <c r="E544" s="0" t="inlineStr">
        <is>
          <t>1986.01.</t>
        </is>
      </c>
      <c r="F544" s="0" t="n">
        <v>66</v>
      </c>
      <c r="G544" s="0" t="n">
        <v>27.53</v>
      </c>
      <c r="H544" s="0" t="n">
        <v>91.04000000000001</v>
      </c>
      <c r="I544" s="0" t="n">
        <v>22.21</v>
      </c>
      <c r="J544" s="0" t="n">
        <v>73.45</v>
      </c>
      <c r="K544" s="0" t="n">
        <v>36</v>
      </c>
      <c r="T544" s="0" t="n">
        <v>3</v>
      </c>
      <c r="U544" s="0" t="n">
        <v>1</v>
      </c>
      <c r="V544" s="0" t="inlineStr">
        <is>
          <t>계단식</t>
        </is>
      </c>
      <c r="W544" s="0" t="n">
        <v>91</v>
      </c>
      <c r="X544" s="0" t="n">
        <v>6</v>
      </c>
      <c r="Y544" s="0" t="n">
        <v>6</v>
      </c>
      <c r="Z544" s="0" t="inlineStr">
        <is>
          <t>https://new.land.naver.com/complexes/14157?tab=detail&amp;rf=Y</t>
        </is>
      </c>
      <c r="AA544" s="0" t="inlineStr">
        <is>
          <t>경기도 수원시 장안구 조원동 668-4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장안구</t>
        </is>
      </c>
      <c r="AE544" s="0" t="inlineStr">
        <is>
          <t>조원동</t>
        </is>
      </c>
      <c r="AG544" s="0" t="inlineStr">
        <is>
          <t>경기도 수원시 장안구 정조로978번길 23</t>
        </is>
      </c>
      <c r="AH544" s="0" t="n">
        <v>0</v>
      </c>
      <c r="AI544" s="0" t="n">
        <v>0</v>
      </c>
      <c r="AJ544" s="0" t="n">
        <v>0</v>
      </c>
      <c r="AK544" s="0" t="n">
        <v>40</v>
      </c>
      <c r="AL544" s="0" t="n">
        <v>0.61</v>
      </c>
    </row>
    <row r="545">
      <c r="A545" s="0" t="inlineStr">
        <is>
          <t>[조원동]</t>
        </is>
      </c>
      <c r="B545" s="0" t="n">
        <v>14157</v>
      </c>
      <c r="C545" s="0" t="n">
        <v>2</v>
      </c>
      <c r="D545" s="0" t="inlineStr">
        <is>
          <t>성신</t>
        </is>
      </c>
      <c r="E545" s="0" t="inlineStr">
        <is>
          <t>1986.01.</t>
        </is>
      </c>
      <c r="F545" s="0" t="n">
        <v>66</v>
      </c>
      <c r="G545" s="0" t="n">
        <v>29.95</v>
      </c>
      <c r="H545" s="0" t="n">
        <v>99.04000000000001</v>
      </c>
      <c r="I545" s="0" t="n">
        <v>24.21</v>
      </c>
      <c r="J545" s="0" t="n">
        <v>80.04000000000001</v>
      </c>
      <c r="K545" s="0" t="n">
        <v>24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99</v>
      </c>
      <c r="X545" s="0" t="n">
        <v>6</v>
      </c>
      <c r="Y545" s="0" t="n">
        <v>6</v>
      </c>
      <c r="Z545" s="0" t="inlineStr">
        <is>
          <t>https://new.land.naver.com/complexes/14157?tab=detail&amp;rf=Y</t>
        </is>
      </c>
      <c r="AA545" s="0" t="inlineStr">
        <is>
          <t>경기도 수원시 장안구 조원동 668-4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장안구</t>
        </is>
      </c>
      <c r="AE545" s="0" t="inlineStr">
        <is>
          <t>조원동</t>
        </is>
      </c>
      <c r="AG545" s="0" t="inlineStr">
        <is>
          <t>경기도 수원시 장안구 정조로978번길 23</t>
        </is>
      </c>
      <c r="AH545" s="0" t="n">
        <v>0</v>
      </c>
      <c r="AI545" s="0" t="n">
        <v>0</v>
      </c>
      <c r="AJ545" s="0" t="n">
        <v>0</v>
      </c>
      <c r="AK545" s="0" t="n">
        <v>40</v>
      </c>
      <c r="AL545" s="0" t="n">
        <v>0.61</v>
      </c>
    </row>
    <row r="546">
      <c r="A546" s="0" t="inlineStr">
        <is>
          <t>[조원동]</t>
        </is>
      </c>
      <c r="B546" s="0" t="n">
        <v>14157</v>
      </c>
      <c r="C546" s="0" t="n">
        <v>3</v>
      </c>
      <c r="D546" s="0" t="inlineStr">
        <is>
          <t>성신</t>
        </is>
      </c>
      <c r="E546" s="0" t="inlineStr">
        <is>
          <t>1986.01.</t>
        </is>
      </c>
      <c r="F546" s="0" t="n">
        <v>66</v>
      </c>
      <c r="G546" s="0" t="n">
        <v>32.8</v>
      </c>
      <c r="H546" s="0" t="n">
        <v>108.43</v>
      </c>
      <c r="I546" s="0" t="n">
        <v>25.41</v>
      </c>
      <c r="J546" s="0" t="n">
        <v>84.03</v>
      </c>
      <c r="K546" s="0" t="n">
        <v>6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108</v>
      </c>
      <c r="X546" s="0" t="n">
        <v>6</v>
      </c>
      <c r="Y546" s="0" t="n">
        <v>6</v>
      </c>
      <c r="Z546" s="0" t="inlineStr">
        <is>
          <t>https://new.land.naver.com/complexes/14157?tab=detail&amp;rf=Y</t>
        </is>
      </c>
      <c r="AA546" s="0" t="inlineStr">
        <is>
          <t>경기도 수원시 장안구 조원동 668-4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장안구</t>
        </is>
      </c>
      <c r="AE546" s="0" t="inlineStr">
        <is>
          <t>조원동</t>
        </is>
      </c>
      <c r="AG546" s="0" t="inlineStr">
        <is>
          <t>경기도 수원시 장안구 정조로978번길 23</t>
        </is>
      </c>
      <c r="AH546" s="0" t="n">
        <v>0</v>
      </c>
      <c r="AI546" s="0" t="n">
        <v>0</v>
      </c>
      <c r="AJ546" s="0" t="n">
        <v>0</v>
      </c>
      <c r="AK546" s="0" t="n">
        <v>40</v>
      </c>
      <c r="AL546" s="0" t="n">
        <v>0.61</v>
      </c>
    </row>
    <row r="547">
      <c r="A547" s="0" t="inlineStr">
        <is>
          <t>[조원동]</t>
        </is>
      </c>
      <c r="B547" s="0" t="n">
        <v>105035</v>
      </c>
      <c r="C547" s="0" t="n">
        <v>1</v>
      </c>
      <c r="D547" s="0" t="inlineStr">
        <is>
          <t>청우</t>
        </is>
      </c>
      <c r="E547" s="0" t="inlineStr">
        <is>
          <t>2008.06.</t>
        </is>
      </c>
      <c r="F547" s="0" t="n">
        <v>24</v>
      </c>
      <c r="G547" s="0" t="n">
        <v>28.87</v>
      </c>
      <c r="H547" s="0" t="n">
        <v>95.44</v>
      </c>
      <c r="I547" s="0" t="n">
        <v>23.19</v>
      </c>
      <c r="J547" s="0" t="n">
        <v>76.67</v>
      </c>
      <c r="K547" s="0" t="n">
        <v>1</v>
      </c>
      <c r="T547" s="0" t="n">
        <v>3</v>
      </c>
      <c r="U547" s="0" t="n">
        <v>2</v>
      </c>
      <c r="V547" s="0" t="inlineStr">
        <is>
          <t>복도식</t>
        </is>
      </c>
      <c r="W547" s="0" t="n">
        <v>95</v>
      </c>
      <c r="X547" s="0" t="n">
        <v>10</v>
      </c>
      <c r="Y547" s="0" t="n">
        <v>10</v>
      </c>
      <c r="Z547" s="0" t="inlineStr">
        <is>
          <t>https://new.land.naver.com/complexes/105035?tab=detail&amp;rf=Y</t>
        </is>
      </c>
      <c r="AA547" s="0" t="inlineStr">
        <is>
          <t>경기도 수원시 장안구 조원동 676-9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장안구</t>
        </is>
      </c>
      <c r="AE547" s="0" t="inlineStr">
        <is>
          <t>조원동</t>
        </is>
      </c>
      <c r="AG547" s="0" t="inlineStr">
        <is>
          <t>경기도 수원시 장안구 수성로363번길 17</t>
        </is>
      </c>
      <c r="AH547" s="0" t="n">
        <v>0</v>
      </c>
      <c r="AI547" s="0" t="n">
        <v>393</v>
      </c>
      <c r="AJ547" s="0" t="n">
        <v>65</v>
      </c>
      <c r="AK547" s="0" t="n">
        <v>25</v>
      </c>
      <c r="AL547" s="0" t="n">
        <v>1.04</v>
      </c>
    </row>
    <row r="548">
      <c r="A548" s="0" t="inlineStr">
        <is>
          <t>[조원동]</t>
        </is>
      </c>
      <c r="B548" s="0" t="n">
        <v>105035</v>
      </c>
      <c r="C548" s="0" t="n">
        <v>2</v>
      </c>
      <c r="D548" s="0" t="inlineStr">
        <is>
          <t>청우</t>
        </is>
      </c>
      <c r="E548" s="0" t="inlineStr">
        <is>
          <t>2008.06.</t>
        </is>
      </c>
      <c r="F548" s="0" t="n">
        <v>24</v>
      </c>
      <c r="G548" s="0" t="n">
        <v>31.65</v>
      </c>
      <c r="H548" s="0" t="n">
        <v>104.64</v>
      </c>
      <c r="I548" s="0" t="n">
        <v>25.46</v>
      </c>
      <c r="J548" s="0" t="n">
        <v>84.19</v>
      </c>
      <c r="K548" s="0" t="n">
        <v>7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104A</t>
        </is>
      </c>
      <c r="X548" s="0" t="n">
        <v>10</v>
      </c>
      <c r="Y548" s="0" t="n">
        <v>10</v>
      </c>
      <c r="Z548" s="0" t="inlineStr">
        <is>
          <t>https://new.land.naver.com/complexes/105035?tab=detail&amp;rf=Y</t>
        </is>
      </c>
      <c r="AA548" s="0" t="inlineStr">
        <is>
          <t>경기도 수원시 장안구 조원동 676-9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장안구</t>
        </is>
      </c>
      <c r="AE548" s="0" t="inlineStr">
        <is>
          <t>조원동</t>
        </is>
      </c>
      <c r="AG548" s="0" t="inlineStr">
        <is>
          <t>경기도 수원시 장안구 수성로363번길 17</t>
        </is>
      </c>
      <c r="AH548" s="0" t="n">
        <v>0</v>
      </c>
      <c r="AI548" s="0" t="n">
        <v>393</v>
      </c>
      <c r="AJ548" s="0" t="n">
        <v>65</v>
      </c>
      <c r="AK548" s="0" t="n">
        <v>25</v>
      </c>
      <c r="AL548" s="0" t="n">
        <v>1.04</v>
      </c>
    </row>
    <row r="549">
      <c r="A549" s="0" t="inlineStr">
        <is>
          <t>[조원동]</t>
        </is>
      </c>
      <c r="B549" s="0" t="n">
        <v>105035</v>
      </c>
      <c r="C549" s="0" t="n">
        <v>3</v>
      </c>
      <c r="D549" s="0" t="inlineStr">
        <is>
          <t>청우</t>
        </is>
      </c>
      <c r="E549" s="0" t="inlineStr">
        <is>
          <t>2008.06.</t>
        </is>
      </c>
      <c r="F549" s="0" t="n">
        <v>24</v>
      </c>
      <c r="G549" s="0" t="n">
        <v>31.89</v>
      </c>
      <c r="H549" s="0" t="n">
        <v>105.43</v>
      </c>
      <c r="I549" s="0" t="n">
        <v>25.59</v>
      </c>
      <c r="J549" s="0" t="n">
        <v>84.59999999999999</v>
      </c>
      <c r="K549" s="0" t="n">
        <v>16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105B</t>
        </is>
      </c>
      <c r="X549" s="0" t="n">
        <v>10</v>
      </c>
      <c r="Y549" s="0" t="n">
        <v>10</v>
      </c>
      <c r="Z549" s="0" t="inlineStr">
        <is>
          <t>https://new.land.naver.com/complexes/105035?tab=detail&amp;rf=Y</t>
        </is>
      </c>
      <c r="AA549" s="0" t="inlineStr">
        <is>
          <t>경기도 수원시 장안구 조원동 676-9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장안구</t>
        </is>
      </c>
      <c r="AE549" s="0" t="inlineStr">
        <is>
          <t>조원동</t>
        </is>
      </c>
      <c r="AG549" s="0" t="inlineStr">
        <is>
          <t>경기도 수원시 장안구 수성로363번길 17</t>
        </is>
      </c>
      <c r="AH549" s="0" t="n">
        <v>0</v>
      </c>
      <c r="AI549" s="0" t="n">
        <v>393</v>
      </c>
      <c r="AJ549" s="0" t="n">
        <v>65</v>
      </c>
      <c r="AK549" s="0" t="n">
        <v>25</v>
      </c>
      <c r="AL549" s="0" t="n">
        <v>1.04</v>
      </c>
    </row>
    <row r="550">
      <c r="A550" s="0" t="inlineStr">
        <is>
          <t>[조원동]</t>
        </is>
      </c>
      <c r="B550" s="0" t="n">
        <v>22941</v>
      </c>
      <c r="C550" s="0" t="n">
        <v>1</v>
      </c>
      <c r="D550" s="0" t="inlineStr">
        <is>
          <t>맥스빌</t>
        </is>
      </c>
      <c r="E550" s="0" t="inlineStr">
        <is>
          <t>2005.03.</t>
        </is>
      </c>
      <c r="F550" s="0" t="n">
        <v>60</v>
      </c>
      <c r="G550" s="0" t="n">
        <v>37.92</v>
      </c>
      <c r="H550" s="0" t="n">
        <v>125.37</v>
      </c>
      <c r="I550" s="0" t="n">
        <v>32.87</v>
      </c>
      <c r="J550" s="0" t="n">
        <v>108.69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125</v>
      </c>
      <c r="X550" s="0" t="n">
        <v>15</v>
      </c>
      <c r="Y550" s="0" t="n">
        <v>15</v>
      </c>
      <c r="Z550" s="0" t="inlineStr">
        <is>
          <t>https://new.land.naver.com/complexes/22941?tab=detail&amp;rf=Y</t>
        </is>
      </c>
      <c r="AA550" s="0" t="inlineStr">
        <is>
          <t>경기도 수원시 장안구 조원동 908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장안구</t>
        </is>
      </c>
      <c r="AE550" s="0" t="inlineStr">
        <is>
          <t>조원동</t>
        </is>
      </c>
      <c r="AG550" s="0" t="inlineStr">
        <is>
          <t>경기도 수원시 장안구 수일로 179</t>
        </is>
      </c>
      <c r="AH550" s="0" t="n">
        <v>0</v>
      </c>
      <c r="AI550" s="0" t="n">
        <v>237</v>
      </c>
      <c r="AJ550" s="0" t="n">
        <v>17</v>
      </c>
      <c r="AK550" s="0" t="n">
        <v>145</v>
      </c>
      <c r="AL550" s="0" t="n">
        <v>2.42</v>
      </c>
    </row>
    <row r="551">
      <c r="A551" s="0" t="inlineStr">
        <is>
          <t>[조원동]</t>
        </is>
      </c>
      <c r="B551" s="0" t="n">
        <v>22941</v>
      </c>
      <c r="C551" s="0" t="n">
        <v>2</v>
      </c>
      <c r="D551" s="0" t="inlineStr">
        <is>
          <t>맥스빌</t>
        </is>
      </c>
      <c r="E551" s="0" t="inlineStr">
        <is>
          <t>2005.03.</t>
        </is>
      </c>
      <c r="F551" s="0" t="n">
        <v>60</v>
      </c>
      <c r="G551" s="0" t="n">
        <v>57.74</v>
      </c>
      <c r="H551" s="0" t="n">
        <v>190.9</v>
      </c>
      <c r="I551" s="0" t="n">
        <v>50.43</v>
      </c>
      <c r="J551" s="0" t="n">
        <v>166.73</v>
      </c>
      <c r="K551" s="0" t="n">
        <v>2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190C</t>
        </is>
      </c>
      <c r="X551" s="0" t="n">
        <v>15</v>
      </c>
      <c r="Y551" s="0" t="n">
        <v>15</v>
      </c>
      <c r="Z551" s="0" t="inlineStr">
        <is>
          <t>https://new.land.naver.com/complexes/22941?tab=detail&amp;rf=Y</t>
        </is>
      </c>
      <c r="AA551" s="0" t="inlineStr">
        <is>
          <t>경기도 수원시 장안구 조원동 908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장안구</t>
        </is>
      </c>
      <c r="AE551" s="0" t="inlineStr">
        <is>
          <t>조원동</t>
        </is>
      </c>
      <c r="AG551" s="0" t="inlineStr">
        <is>
          <t>경기도 수원시 장안구 수일로 179</t>
        </is>
      </c>
      <c r="AH551" s="0" t="n">
        <v>0</v>
      </c>
      <c r="AI551" s="0" t="n">
        <v>237</v>
      </c>
      <c r="AJ551" s="0" t="n">
        <v>17</v>
      </c>
      <c r="AK551" s="0" t="n">
        <v>145</v>
      </c>
      <c r="AL551" s="0" t="n">
        <v>2.42</v>
      </c>
    </row>
    <row r="552">
      <c r="A552" s="0" t="inlineStr">
        <is>
          <t>[조원동]</t>
        </is>
      </c>
      <c r="B552" s="0" t="n">
        <v>22941</v>
      </c>
      <c r="C552" s="0" t="n">
        <v>3</v>
      </c>
      <c r="D552" s="0" t="inlineStr">
        <is>
          <t>맥스빌</t>
        </is>
      </c>
      <c r="E552" s="0" t="inlineStr">
        <is>
          <t>2005.03.</t>
        </is>
      </c>
      <c r="F552" s="0" t="n">
        <v>60</v>
      </c>
      <c r="G552" s="0" t="n">
        <v>58.04</v>
      </c>
      <c r="H552" s="0" t="n">
        <v>191.88</v>
      </c>
      <c r="I552" s="0" t="n">
        <v>50.29</v>
      </c>
      <c r="J552" s="0" t="n">
        <v>166.28</v>
      </c>
      <c r="K552" s="0" t="n">
        <v>26</v>
      </c>
      <c r="T552" s="0" t="n">
        <v>4</v>
      </c>
      <c r="U552" s="0" t="n">
        <v>2</v>
      </c>
      <c r="V552" s="0" t="inlineStr">
        <is>
          <t>계단식</t>
        </is>
      </c>
      <c r="W552" s="0" t="inlineStr">
        <is>
          <t>191B</t>
        </is>
      </c>
      <c r="X552" s="0" t="n">
        <v>15</v>
      </c>
      <c r="Y552" s="0" t="n">
        <v>15</v>
      </c>
      <c r="Z552" s="0" t="inlineStr">
        <is>
          <t>https://new.land.naver.com/complexes/22941?tab=detail&amp;rf=Y</t>
        </is>
      </c>
      <c r="AA552" s="0" t="inlineStr">
        <is>
          <t>경기도 수원시 장안구 조원동 908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장안구</t>
        </is>
      </c>
      <c r="AE552" s="0" t="inlineStr">
        <is>
          <t>조원동</t>
        </is>
      </c>
      <c r="AG552" s="0" t="inlineStr">
        <is>
          <t>경기도 수원시 장안구 수일로 179</t>
        </is>
      </c>
      <c r="AH552" s="0" t="n">
        <v>0</v>
      </c>
      <c r="AI552" s="0" t="n">
        <v>237</v>
      </c>
      <c r="AJ552" s="0" t="n">
        <v>17</v>
      </c>
      <c r="AK552" s="0" t="n">
        <v>145</v>
      </c>
      <c r="AL552" s="0" t="n">
        <v>2.42</v>
      </c>
    </row>
    <row r="553">
      <c r="A553" s="0" t="inlineStr">
        <is>
          <t>[조원동]</t>
        </is>
      </c>
      <c r="B553" s="0" t="n">
        <v>22941</v>
      </c>
      <c r="C553" s="0" t="n">
        <v>4</v>
      </c>
      <c r="D553" s="0" t="inlineStr">
        <is>
          <t>맥스빌</t>
        </is>
      </c>
      <c r="E553" s="0" t="inlineStr">
        <is>
          <t>2005.03.</t>
        </is>
      </c>
      <c r="F553" s="0" t="n">
        <v>60</v>
      </c>
      <c r="G553" s="0" t="n">
        <v>57.77</v>
      </c>
      <c r="H553" s="0" t="n">
        <v>191</v>
      </c>
      <c r="I553" s="0" t="n">
        <v>50.1</v>
      </c>
      <c r="J553" s="0" t="n">
        <v>165.64</v>
      </c>
      <c r="K553" s="0" t="n">
        <v>2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191A</t>
        </is>
      </c>
      <c r="X553" s="0" t="n">
        <v>15</v>
      </c>
      <c r="Y553" s="0" t="n">
        <v>15</v>
      </c>
      <c r="Z553" s="0" t="inlineStr">
        <is>
          <t>https://new.land.naver.com/complexes/22941?tab=detail&amp;rf=Y</t>
        </is>
      </c>
      <c r="AA553" s="0" t="inlineStr">
        <is>
          <t>경기도 수원시 장안구 조원동 908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장안구</t>
        </is>
      </c>
      <c r="AE553" s="0" t="inlineStr">
        <is>
          <t>조원동</t>
        </is>
      </c>
      <c r="AG553" s="0" t="inlineStr">
        <is>
          <t>경기도 수원시 장안구 수일로 179</t>
        </is>
      </c>
      <c r="AH553" s="0" t="n">
        <v>0</v>
      </c>
      <c r="AI553" s="0" t="n">
        <v>237</v>
      </c>
      <c r="AJ553" s="0" t="n">
        <v>17</v>
      </c>
      <c r="AK553" s="0" t="n">
        <v>145</v>
      </c>
      <c r="AL553" s="0" t="n">
        <v>2.42</v>
      </c>
    </row>
    <row r="554">
      <c r="A554" s="0" t="inlineStr">
        <is>
          <t>[조원동]</t>
        </is>
      </c>
      <c r="B554" s="0" t="n">
        <v>22941</v>
      </c>
      <c r="C554" s="0" t="n">
        <v>5</v>
      </c>
      <c r="D554" s="0" t="inlineStr">
        <is>
          <t>맥스빌</t>
        </is>
      </c>
      <c r="E554" s="0" t="inlineStr">
        <is>
          <t>2005.03.</t>
        </is>
      </c>
      <c r="F554" s="0" t="n">
        <v>60</v>
      </c>
      <c r="G554" s="0" t="n">
        <v>61.11</v>
      </c>
      <c r="H554" s="0" t="n">
        <v>202.02</v>
      </c>
      <c r="I554" s="0" t="n">
        <v>53.17</v>
      </c>
      <c r="J554" s="0" t="n">
        <v>175.79</v>
      </c>
      <c r="K554" s="0" t="n">
        <v>28</v>
      </c>
      <c r="T554" s="0" t="n">
        <v>4</v>
      </c>
      <c r="U554" s="0" t="n">
        <v>2</v>
      </c>
      <c r="V554" s="0" t="inlineStr">
        <is>
          <t>계단식</t>
        </is>
      </c>
      <c r="W554" s="0" t="n">
        <v>202</v>
      </c>
      <c r="X554" s="0" t="n">
        <v>15</v>
      </c>
      <c r="Y554" s="0" t="n">
        <v>15</v>
      </c>
      <c r="Z554" s="0" t="inlineStr">
        <is>
          <t>https://new.land.naver.com/complexes/22941?tab=detail&amp;rf=Y</t>
        </is>
      </c>
      <c r="AA554" s="0" t="inlineStr">
        <is>
          <t>경기도 수원시 장안구 조원동 908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장안구</t>
        </is>
      </c>
      <c r="AE554" s="0" t="inlineStr">
        <is>
          <t>조원동</t>
        </is>
      </c>
      <c r="AG554" s="0" t="inlineStr">
        <is>
          <t>경기도 수원시 장안구 수일로 179</t>
        </is>
      </c>
      <c r="AH554" s="0" t="n">
        <v>0</v>
      </c>
      <c r="AI554" s="0" t="n">
        <v>237</v>
      </c>
      <c r="AJ554" s="0" t="n">
        <v>17</v>
      </c>
      <c r="AK554" s="0" t="n">
        <v>145</v>
      </c>
      <c r="AL554" s="0" t="n">
        <v>2.42</v>
      </c>
    </row>
    <row r="555">
      <c r="A555" s="0" t="inlineStr">
        <is>
          <t>[조원동]</t>
        </is>
      </c>
      <c r="B555" s="0" t="n">
        <v>1848</v>
      </c>
      <c r="C555" s="0" t="n">
        <v>1</v>
      </c>
      <c r="D555" s="0" t="inlineStr">
        <is>
          <t>벽산</t>
        </is>
      </c>
      <c r="E555" s="0" t="inlineStr">
        <is>
          <t>1989.07.</t>
        </is>
      </c>
      <c r="F555" s="0" t="n">
        <v>740</v>
      </c>
      <c r="G555" s="0" t="n">
        <v>20.95</v>
      </c>
      <c r="H555" s="0" t="n">
        <v>69.28</v>
      </c>
      <c r="I555" s="0" t="n">
        <v>16.6</v>
      </c>
      <c r="J555" s="0" t="n">
        <v>54.9</v>
      </c>
      <c r="K555" s="0" t="n">
        <v>160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69</v>
      </c>
      <c r="X555" s="0" t="n">
        <v>10</v>
      </c>
      <c r="Y555" s="0" t="n">
        <v>10</v>
      </c>
      <c r="Z555" s="0" t="inlineStr">
        <is>
          <t>https://new.land.naver.com/complexes/1848?tab=detail&amp;rf=Y</t>
        </is>
      </c>
      <c r="AA555" s="0" t="inlineStr">
        <is>
          <t>경기도 수원시 장안구 조원동 510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장안구</t>
        </is>
      </c>
      <c r="AE555" s="0" t="inlineStr">
        <is>
          <t>조원동</t>
        </is>
      </c>
      <c r="AG555" s="0" t="inlineStr">
        <is>
          <t>경기도 수원시 장안구 조원로 16</t>
        </is>
      </c>
      <c r="AH555" s="0" t="n">
        <v>0</v>
      </c>
      <c r="AI555" s="0" t="n">
        <v>192</v>
      </c>
      <c r="AJ555" s="0" t="n">
        <v>21</v>
      </c>
      <c r="AK555" s="0" t="n">
        <v>370</v>
      </c>
      <c r="AL555" s="0" t="n">
        <v>0.5</v>
      </c>
    </row>
    <row r="556">
      <c r="A556" s="0" t="inlineStr">
        <is>
          <t>[조원동]</t>
        </is>
      </c>
      <c r="B556" s="0" t="n">
        <v>1848</v>
      </c>
      <c r="C556" s="0" t="n">
        <v>2</v>
      </c>
      <c r="D556" s="0" t="inlineStr">
        <is>
          <t>벽산</t>
        </is>
      </c>
      <c r="E556" s="0" t="inlineStr">
        <is>
          <t>1989.07.</t>
        </is>
      </c>
      <c r="F556" s="0" t="n">
        <v>740</v>
      </c>
      <c r="G556" s="0" t="n">
        <v>24.68</v>
      </c>
      <c r="H556" s="0" t="n">
        <v>81.59</v>
      </c>
      <c r="I556" s="0" t="n">
        <v>19.55</v>
      </c>
      <c r="J556" s="0" t="n">
        <v>64.65000000000001</v>
      </c>
      <c r="K556" s="0" t="n">
        <v>160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81</v>
      </c>
      <c r="X556" s="0" t="n">
        <v>10</v>
      </c>
      <c r="Y556" s="0" t="n">
        <v>10</v>
      </c>
      <c r="Z556" s="0" t="inlineStr">
        <is>
          <t>https://new.land.naver.com/complexes/1848?tab=detail&amp;rf=Y</t>
        </is>
      </c>
      <c r="AA556" s="0" t="inlineStr">
        <is>
          <t>경기도 수원시 장안구 조원동 510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장안구</t>
        </is>
      </c>
      <c r="AE556" s="0" t="inlineStr">
        <is>
          <t>조원동</t>
        </is>
      </c>
      <c r="AG556" s="0" t="inlineStr">
        <is>
          <t>경기도 수원시 장안구 조원로 16</t>
        </is>
      </c>
      <c r="AH556" s="0" t="n">
        <v>0</v>
      </c>
      <c r="AI556" s="0" t="n">
        <v>192</v>
      </c>
      <c r="AJ556" s="0" t="n">
        <v>21</v>
      </c>
      <c r="AK556" s="0" t="n">
        <v>370</v>
      </c>
      <c r="AL556" s="0" t="n">
        <v>0.5</v>
      </c>
    </row>
    <row r="557">
      <c r="A557" s="0" t="inlineStr">
        <is>
          <t>[조원동]</t>
        </is>
      </c>
      <c r="B557" s="0" t="n">
        <v>1848</v>
      </c>
      <c r="C557" s="0" t="n">
        <v>3</v>
      </c>
      <c r="D557" s="0" t="inlineStr">
        <is>
          <t>벽산</t>
        </is>
      </c>
      <c r="E557" s="0" t="inlineStr">
        <is>
          <t>1989.07.</t>
        </is>
      </c>
      <c r="F557" s="0" t="n">
        <v>740</v>
      </c>
      <c r="G557" s="0" t="n">
        <v>28.08</v>
      </c>
      <c r="H557" s="0" t="n">
        <v>92.84</v>
      </c>
      <c r="I557" s="0" t="n">
        <v>22.6</v>
      </c>
      <c r="J557" s="0" t="n">
        <v>74.72</v>
      </c>
      <c r="K557" s="0" t="n">
        <v>180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92</v>
      </c>
      <c r="X557" s="0" t="n">
        <v>10</v>
      </c>
      <c r="Y557" s="0" t="n">
        <v>10</v>
      </c>
      <c r="Z557" s="0" t="inlineStr">
        <is>
          <t>https://new.land.naver.com/complexes/1848?tab=detail&amp;rf=Y</t>
        </is>
      </c>
      <c r="AA557" s="0" t="inlineStr">
        <is>
          <t>경기도 수원시 장안구 조원동 510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장안구</t>
        </is>
      </c>
      <c r="AE557" s="0" t="inlineStr">
        <is>
          <t>조원동</t>
        </is>
      </c>
      <c r="AG557" s="0" t="inlineStr">
        <is>
          <t>경기도 수원시 장안구 조원로 16</t>
        </is>
      </c>
      <c r="AH557" s="0" t="n">
        <v>0</v>
      </c>
      <c r="AI557" s="0" t="n">
        <v>192</v>
      </c>
      <c r="AJ557" s="0" t="n">
        <v>21</v>
      </c>
      <c r="AK557" s="0" t="n">
        <v>370</v>
      </c>
      <c r="AL557" s="0" t="n">
        <v>0.5</v>
      </c>
    </row>
    <row r="558">
      <c r="A558" s="0" t="inlineStr">
        <is>
          <t>[조원동]</t>
        </is>
      </c>
      <c r="B558" s="0" t="n">
        <v>1848</v>
      </c>
      <c r="C558" s="0" t="n">
        <v>4</v>
      </c>
      <c r="D558" s="0" t="inlineStr">
        <is>
          <t>벽산</t>
        </is>
      </c>
      <c r="E558" s="0" t="inlineStr">
        <is>
          <t>1989.07.</t>
        </is>
      </c>
      <c r="F558" s="0" t="n">
        <v>740</v>
      </c>
      <c r="G558" s="0" t="n">
        <v>31.4</v>
      </c>
      <c r="H558" s="0" t="n">
        <v>103.82</v>
      </c>
      <c r="I558" s="0" t="n">
        <v>25.55</v>
      </c>
      <c r="J558" s="0" t="n">
        <v>84.48999999999999</v>
      </c>
      <c r="K558" s="0" t="n">
        <v>160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103</v>
      </c>
      <c r="X558" s="0" t="n">
        <v>10</v>
      </c>
      <c r="Y558" s="0" t="n">
        <v>10</v>
      </c>
      <c r="Z558" s="0" t="inlineStr">
        <is>
          <t>https://new.land.naver.com/complexes/1848?tab=detail&amp;rf=Y</t>
        </is>
      </c>
      <c r="AA558" s="0" t="inlineStr">
        <is>
          <t>경기도 수원시 장안구 조원동 510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장안구</t>
        </is>
      </c>
      <c r="AE558" s="0" t="inlineStr">
        <is>
          <t>조원동</t>
        </is>
      </c>
      <c r="AG558" s="0" t="inlineStr">
        <is>
          <t>경기도 수원시 장안구 조원로 16</t>
        </is>
      </c>
      <c r="AH558" s="0" t="n">
        <v>0</v>
      </c>
      <c r="AI558" s="0" t="n">
        <v>192</v>
      </c>
      <c r="AJ558" s="0" t="n">
        <v>21</v>
      </c>
      <c r="AK558" s="0" t="n">
        <v>370</v>
      </c>
      <c r="AL558" s="0" t="n">
        <v>0.5</v>
      </c>
    </row>
    <row r="559">
      <c r="A559" s="0" t="inlineStr">
        <is>
          <t>[조원동]</t>
        </is>
      </c>
      <c r="B559" s="0" t="n">
        <v>1848</v>
      </c>
      <c r="C559" s="0" t="n">
        <v>5</v>
      </c>
      <c r="D559" s="0" t="inlineStr">
        <is>
          <t>벽산</t>
        </is>
      </c>
      <c r="E559" s="0" t="inlineStr">
        <is>
          <t>1989.07.</t>
        </is>
      </c>
      <c r="F559" s="0" t="n">
        <v>740</v>
      </c>
      <c r="G559" s="0" t="n">
        <v>39.83</v>
      </c>
      <c r="H559" s="0" t="n">
        <v>131.7</v>
      </c>
      <c r="I559" s="0" t="n">
        <v>33.25</v>
      </c>
      <c r="J559" s="0" t="n">
        <v>109.94</v>
      </c>
      <c r="K559" s="0" t="n">
        <v>40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131</v>
      </c>
      <c r="X559" s="0" t="n">
        <v>10</v>
      </c>
      <c r="Y559" s="0" t="n">
        <v>10</v>
      </c>
      <c r="Z559" s="0" t="inlineStr">
        <is>
          <t>https://new.land.naver.com/complexes/1848?tab=detail&amp;rf=Y</t>
        </is>
      </c>
      <c r="AA559" s="0" t="inlineStr">
        <is>
          <t>경기도 수원시 장안구 조원동 510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장안구</t>
        </is>
      </c>
      <c r="AE559" s="0" t="inlineStr">
        <is>
          <t>조원동</t>
        </is>
      </c>
      <c r="AG559" s="0" t="inlineStr">
        <is>
          <t>경기도 수원시 장안구 조원로 16</t>
        </is>
      </c>
      <c r="AH559" s="0" t="n">
        <v>0</v>
      </c>
      <c r="AI559" s="0" t="n">
        <v>192</v>
      </c>
      <c r="AJ559" s="0" t="n">
        <v>21</v>
      </c>
      <c r="AK559" s="0" t="n">
        <v>370</v>
      </c>
      <c r="AL559" s="0" t="n">
        <v>0.5</v>
      </c>
    </row>
    <row r="560">
      <c r="A560" s="0" t="inlineStr">
        <is>
          <t>[조원동]</t>
        </is>
      </c>
      <c r="B560" s="0" t="n">
        <v>1848</v>
      </c>
      <c r="C560" s="0" t="n">
        <v>6</v>
      </c>
      <c r="D560" s="0" t="inlineStr">
        <is>
          <t>벽산</t>
        </is>
      </c>
      <c r="E560" s="0" t="inlineStr">
        <is>
          <t>1989.07.</t>
        </is>
      </c>
      <c r="F560" s="0" t="n">
        <v>740</v>
      </c>
      <c r="G560" s="0" t="n">
        <v>45.55</v>
      </c>
      <c r="H560" s="0" t="n">
        <v>150.58</v>
      </c>
      <c r="I560" s="0" t="n">
        <v>38.11</v>
      </c>
      <c r="J560" s="0" t="n">
        <v>126.01</v>
      </c>
      <c r="K560" s="0" t="n">
        <v>40</v>
      </c>
      <c r="T560" s="0" t="n">
        <v>5</v>
      </c>
      <c r="U560" s="0" t="n">
        <v>2</v>
      </c>
      <c r="V560" s="0" t="inlineStr">
        <is>
          <t>계단식</t>
        </is>
      </c>
      <c r="W560" s="0" t="n">
        <v>150</v>
      </c>
      <c r="X560" s="0" t="n">
        <v>10</v>
      </c>
      <c r="Y560" s="0" t="n">
        <v>10</v>
      </c>
      <c r="Z560" s="0" t="inlineStr">
        <is>
          <t>https://new.land.naver.com/complexes/1848?tab=detail&amp;rf=Y</t>
        </is>
      </c>
      <c r="AA560" s="0" t="inlineStr">
        <is>
          <t>경기도 수원시 장안구 조원동 510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장안구</t>
        </is>
      </c>
      <c r="AE560" s="0" t="inlineStr">
        <is>
          <t>조원동</t>
        </is>
      </c>
      <c r="AG560" s="0" t="inlineStr">
        <is>
          <t>경기도 수원시 장안구 조원로 16</t>
        </is>
      </c>
      <c r="AH560" s="0" t="n">
        <v>0</v>
      </c>
      <c r="AI560" s="0" t="n">
        <v>192</v>
      </c>
      <c r="AJ560" s="0" t="n">
        <v>21</v>
      </c>
      <c r="AK560" s="0" t="n">
        <v>370</v>
      </c>
      <c r="AL560" s="0" t="n">
        <v>0.5</v>
      </c>
    </row>
    <row r="561">
      <c r="A561" s="0" t="inlineStr">
        <is>
          <t>[조원동]</t>
        </is>
      </c>
      <c r="B561" s="0" t="n">
        <v>119859</v>
      </c>
      <c r="C561" s="0" t="n">
        <v>1</v>
      </c>
      <c r="D561" s="0" t="inlineStr">
        <is>
          <t>안스파크힐</t>
        </is>
      </c>
      <c r="E561" s="0" t="inlineStr">
        <is>
          <t>2016.08.</t>
        </is>
      </c>
      <c r="F561" s="0" t="n">
        <v>8</v>
      </c>
      <c r="G561" s="0" t="n">
        <v>17.28</v>
      </c>
      <c r="H561" s="0" t="n">
        <v>57.15</v>
      </c>
      <c r="I561" s="0" t="n">
        <v>10.99</v>
      </c>
      <c r="J561" s="0" t="n">
        <v>36.34</v>
      </c>
      <c r="K561" s="0" t="n">
        <v>2</v>
      </c>
      <c r="T561" s="0" t="n">
        <v>2</v>
      </c>
      <c r="U561" s="0" t="n">
        <v>1</v>
      </c>
      <c r="V561" s="0" t="inlineStr">
        <is>
          <t>계단식</t>
        </is>
      </c>
      <c r="W561" s="0" t="n">
        <v>57</v>
      </c>
      <c r="X561" s="0" t="n">
        <v>5</v>
      </c>
      <c r="Y561" s="0" t="n">
        <v>5</v>
      </c>
      <c r="Z561" s="0" t="inlineStr">
        <is>
          <t>https://new.land.naver.com/complexes/119859?tab=detail&amp;rf=Y</t>
        </is>
      </c>
      <c r="AA561" s="0" t="inlineStr">
        <is>
          <t>경기도 수원시 장안구 조원동 675-1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장안구</t>
        </is>
      </c>
      <c r="AE561" s="0" t="inlineStr">
        <is>
          <t>조원동</t>
        </is>
      </c>
      <c r="AG561" s="0" t="inlineStr">
        <is>
          <t>경기도 수원시 장안구 송정로 116</t>
        </is>
      </c>
      <c r="AH561" s="0" t="n">
        <v>0</v>
      </c>
      <c r="AI561" s="0" t="n">
        <v>449</v>
      </c>
      <c r="AJ561" s="0" t="n">
        <v>69</v>
      </c>
      <c r="AK561" s="0" t="n">
        <v>7</v>
      </c>
      <c r="AL561" s="0" t="n">
        <v>0.88</v>
      </c>
    </row>
    <row r="562">
      <c r="A562" s="0" t="inlineStr">
        <is>
          <t>[조원동]</t>
        </is>
      </c>
      <c r="B562" s="0" t="n">
        <v>119859</v>
      </c>
      <c r="C562" s="0" t="n">
        <v>2</v>
      </c>
      <c r="D562" s="0" t="inlineStr">
        <is>
          <t>안스파크힐</t>
        </is>
      </c>
      <c r="E562" s="0" t="inlineStr">
        <is>
          <t>2016.08.</t>
        </is>
      </c>
      <c r="F562" s="0" t="n">
        <v>8</v>
      </c>
      <c r="G562" s="0" t="n">
        <v>27.62</v>
      </c>
      <c r="H562" s="0" t="n">
        <v>91.33</v>
      </c>
      <c r="I562" s="0" t="n">
        <v>17.56</v>
      </c>
      <c r="J562" s="0" t="n">
        <v>58.08</v>
      </c>
      <c r="K562" s="0" t="n">
        <v>2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91</v>
      </c>
      <c r="X562" s="0" t="n">
        <v>5</v>
      </c>
      <c r="Y562" s="0" t="n">
        <v>5</v>
      </c>
      <c r="Z562" s="0" t="inlineStr">
        <is>
          <t>https://new.land.naver.com/complexes/119859?tab=detail&amp;rf=Y</t>
        </is>
      </c>
      <c r="AA562" s="0" t="inlineStr">
        <is>
          <t>경기도 수원시 장안구 조원동 675-1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장안구</t>
        </is>
      </c>
      <c r="AE562" s="0" t="inlineStr">
        <is>
          <t>조원동</t>
        </is>
      </c>
      <c r="AG562" s="0" t="inlineStr">
        <is>
          <t>경기도 수원시 장안구 송정로 116</t>
        </is>
      </c>
      <c r="AH562" s="0" t="n">
        <v>0</v>
      </c>
      <c r="AI562" s="0" t="n">
        <v>449</v>
      </c>
      <c r="AJ562" s="0" t="n">
        <v>69</v>
      </c>
      <c r="AK562" s="0" t="n">
        <v>7</v>
      </c>
      <c r="AL562" s="0" t="n">
        <v>0.88</v>
      </c>
    </row>
    <row r="563">
      <c r="A563" s="0" t="inlineStr">
        <is>
          <t>[조원동]</t>
        </is>
      </c>
      <c r="B563" s="0" t="n">
        <v>119859</v>
      </c>
      <c r="C563" s="0" t="n">
        <v>3</v>
      </c>
      <c r="D563" s="0" t="inlineStr">
        <is>
          <t>안스파크힐</t>
        </is>
      </c>
      <c r="E563" s="0" t="inlineStr">
        <is>
          <t>2016.08.</t>
        </is>
      </c>
      <c r="F563" s="0" t="n">
        <v>8</v>
      </c>
      <c r="G563" s="0" t="n">
        <v>30.24</v>
      </c>
      <c r="H563" s="0" t="n">
        <v>99.97</v>
      </c>
      <c r="I563" s="0" t="n">
        <v>19.23</v>
      </c>
      <c r="J563" s="0" t="n">
        <v>63.58</v>
      </c>
      <c r="K563" s="0" t="n">
        <v>2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99A</t>
        </is>
      </c>
      <c r="X563" s="0" t="n">
        <v>5</v>
      </c>
      <c r="Y563" s="0" t="n">
        <v>5</v>
      </c>
      <c r="Z563" s="0" t="inlineStr">
        <is>
          <t>https://new.land.naver.com/complexes/119859?tab=detail&amp;rf=Y</t>
        </is>
      </c>
      <c r="AA563" s="0" t="inlineStr">
        <is>
          <t>경기도 수원시 장안구 조원동 675-1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장안구</t>
        </is>
      </c>
      <c r="AE563" s="0" t="inlineStr">
        <is>
          <t>조원동</t>
        </is>
      </c>
      <c r="AG563" s="0" t="inlineStr">
        <is>
          <t>경기도 수원시 장안구 송정로 116</t>
        </is>
      </c>
      <c r="AH563" s="0" t="n">
        <v>0</v>
      </c>
      <c r="AI563" s="0" t="n">
        <v>449</v>
      </c>
      <c r="AJ563" s="0" t="n">
        <v>69</v>
      </c>
      <c r="AK563" s="0" t="n">
        <v>7</v>
      </c>
      <c r="AL563" s="0" t="n">
        <v>0.88</v>
      </c>
    </row>
    <row r="564">
      <c r="A564" s="0" t="inlineStr">
        <is>
          <t>[조원동]</t>
        </is>
      </c>
      <c r="B564" s="0" t="n">
        <v>119859</v>
      </c>
      <c r="C564" s="0" t="n">
        <v>4</v>
      </c>
      <c r="D564" s="0" t="inlineStr">
        <is>
          <t>안스파크힐</t>
        </is>
      </c>
      <c r="E564" s="0" t="inlineStr">
        <is>
          <t>2016.08.</t>
        </is>
      </c>
      <c r="F564" s="0" t="n">
        <v>8</v>
      </c>
      <c r="G564" s="0" t="n">
        <v>30.45</v>
      </c>
      <c r="H564" s="0" t="n">
        <v>100.68</v>
      </c>
      <c r="I564" s="0" t="n">
        <v>19.36</v>
      </c>
      <c r="J564" s="0" t="n">
        <v>64.03</v>
      </c>
      <c r="K564" s="0" t="n">
        <v>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100B</t>
        </is>
      </c>
      <c r="X564" s="0" t="n">
        <v>5</v>
      </c>
      <c r="Y564" s="0" t="n">
        <v>5</v>
      </c>
      <c r="Z564" s="0" t="inlineStr">
        <is>
          <t>https://new.land.naver.com/complexes/119859?tab=detail&amp;rf=Y</t>
        </is>
      </c>
      <c r="AA564" s="0" t="inlineStr">
        <is>
          <t>경기도 수원시 장안구 조원동 675-1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장안구</t>
        </is>
      </c>
      <c r="AE564" s="0" t="inlineStr">
        <is>
          <t>조원동</t>
        </is>
      </c>
      <c r="AG564" s="0" t="inlineStr">
        <is>
          <t>경기도 수원시 장안구 송정로 116</t>
        </is>
      </c>
      <c r="AH564" s="0" t="n">
        <v>0</v>
      </c>
      <c r="AI564" s="0" t="n">
        <v>449</v>
      </c>
      <c r="AJ564" s="0" t="n">
        <v>69</v>
      </c>
      <c r="AK564" s="0" t="n">
        <v>7</v>
      </c>
      <c r="AL564" s="0" t="n">
        <v>0.88</v>
      </c>
    </row>
    <row r="565">
      <c r="A565" s="0" t="inlineStr">
        <is>
          <t>[조원동]</t>
        </is>
      </c>
      <c r="B565" s="0" t="n">
        <v>3645</v>
      </c>
      <c r="C565" s="0" t="n">
        <v>1</v>
      </c>
      <c r="D565" s="0" t="inlineStr">
        <is>
          <t>주공뉴타운2단지</t>
        </is>
      </c>
      <c r="E565" s="0" t="inlineStr">
        <is>
          <t>2001.12.</t>
        </is>
      </c>
      <c r="F565" s="0" t="n">
        <v>1586</v>
      </c>
      <c r="G565" s="0" t="n">
        <v>20.35</v>
      </c>
      <c r="H565" s="0" t="n">
        <v>67.28</v>
      </c>
      <c r="I565" s="0" t="n">
        <v>14.98</v>
      </c>
      <c r="J565" s="0" t="n">
        <v>49.55</v>
      </c>
      <c r="K565" s="0" t="n">
        <v>38</v>
      </c>
      <c r="T565" s="0" t="n">
        <v>2</v>
      </c>
      <c r="U565" s="0" t="n">
        <v>1</v>
      </c>
      <c r="V565" s="0" t="inlineStr">
        <is>
          <t>복도식</t>
        </is>
      </c>
      <c r="W565" s="0" t="n">
        <v>67</v>
      </c>
      <c r="X565" s="0" t="n">
        <v>23</v>
      </c>
      <c r="Y565" s="0" t="n">
        <v>18</v>
      </c>
      <c r="Z565" s="0" t="inlineStr">
        <is>
          <t>https://new.land.naver.com/complexes/3645?tab=detail&amp;rf=Y</t>
        </is>
      </c>
      <c r="AA565" s="0" t="inlineStr">
        <is>
          <t>경기도 수원시 장안구 조원동 861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장안구</t>
        </is>
      </c>
      <c r="AE565" s="0" t="inlineStr">
        <is>
          <t>조원동</t>
        </is>
      </c>
      <c r="AG565" s="0" t="inlineStr">
        <is>
          <t>경기도 수원시 장안구 금당로39번길 34</t>
        </is>
      </c>
      <c r="AH565" s="0" t="n">
        <v>0</v>
      </c>
      <c r="AI565" s="0" t="n">
        <v>214</v>
      </c>
      <c r="AJ565" s="0" t="n">
        <v>15</v>
      </c>
      <c r="AK565" s="0" t="n">
        <v>1608</v>
      </c>
      <c r="AL565" s="0" t="n">
        <v>1.01</v>
      </c>
    </row>
    <row r="566">
      <c r="A566" s="0" t="inlineStr">
        <is>
          <t>[조원동]</t>
        </is>
      </c>
      <c r="B566" s="0" t="n">
        <v>3645</v>
      </c>
      <c r="C566" s="0" t="n">
        <v>2</v>
      </c>
      <c r="D566" s="0" t="inlineStr">
        <is>
          <t>주공뉴타운2단지</t>
        </is>
      </c>
      <c r="E566" s="0" t="inlineStr">
        <is>
          <t>2001.12.</t>
        </is>
      </c>
      <c r="F566" s="0" t="n">
        <v>1586</v>
      </c>
      <c r="G566" s="0" t="n">
        <v>24.4</v>
      </c>
      <c r="H566" s="0" t="n">
        <v>80.68000000000001</v>
      </c>
      <c r="I566" s="0" t="n">
        <v>17.97</v>
      </c>
      <c r="J566" s="0" t="n">
        <v>59.42</v>
      </c>
      <c r="K566" s="0" t="n">
        <v>774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80B</t>
        </is>
      </c>
      <c r="X566" s="0" t="n">
        <v>23</v>
      </c>
      <c r="Y566" s="0" t="n">
        <v>18</v>
      </c>
      <c r="Z566" s="0" t="inlineStr">
        <is>
          <t>https://new.land.naver.com/complexes/3645?tab=detail&amp;rf=Y</t>
        </is>
      </c>
      <c r="AA566" s="0" t="inlineStr">
        <is>
          <t>경기도 수원시 장안구 조원동 861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장안구</t>
        </is>
      </c>
      <c r="AE566" s="0" t="inlineStr">
        <is>
          <t>조원동</t>
        </is>
      </c>
      <c r="AG566" s="0" t="inlineStr">
        <is>
          <t>경기도 수원시 장안구 금당로39번길 34</t>
        </is>
      </c>
      <c r="AH566" s="0" t="n">
        <v>0</v>
      </c>
      <c r="AI566" s="0" t="n">
        <v>214</v>
      </c>
      <c r="AJ566" s="0" t="n">
        <v>15</v>
      </c>
      <c r="AK566" s="0" t="n">
        <v>1608</v>
      </c>
      <c r="AL566" s="0" t="n">
        <v>1.01</v>
      </c>
    </row>
    <row r="567">
      <c r="A567" s="0" t="inlineStr">
        <is>
          <t>[조원동]</t>
        </is>
      </c>
      <c r="B567" s="0" t="n">
        <v>3645</v>
      </c>
      <c r="C567" s="0" t="n">
        <v>3</v>
      </c>
      <c r="D567" s="0" t="inlineStr">
        <is>
          <t>주공뉴타운2단지</t>
        </is>
      </c>
      <c r="E567" s="0" t="inlineStr">
        <is>
          <t>2001.12.</t>
        </is>
      </c>
      <c r="F567" s="0" t="n">
        <v>1586</v>
      </c>
      <c r="G567" s="0" t="n">
        <v>24.31</v>
      </c>
      <c r="H567" s="0" t="n">
        <v>80.39</v>
      </c>
      <c r="I567" s="0" t="n">
        <v>17.91</v>
      </c>
      <c r="J567" s="0" t="n">
        <v>59.21</v>
      </c>
      <c r="K567" s="0" t="n">
        <v>98</v>
      </c>
      <c r="T567" s="0" t="n">
        <v>3</v>
      </c>
      <c r="U567" s="0" t="n">
        <v>1</v>
      </c>
      <c r="V567" s="0" t="inlineStr">
        <is>
          <t>계단식</t>
        </is>
      </c>
      <c r="W567" s="0" t="inlineStr">
        <is>
          <t>80A</t>
        </is>
      </c>
      <c r="X567" s="0" t="n">
        <v>23</v>
      </c>
      <c r="Y567" s="0" t="n">
        <v>18</v>
      </c>
      <c r="Z567" s="0" t="inlineStr">
        <is>
          <t>https://new.land.naver.com/complexes/3645?tab=detail&amp;rf=Y</t>
        </is>
      </c>
      <c r="AA567" s="0" t="inlineStr">
        <is>
          <t>경기도 수원시 장안구 조원동 861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장안구</t>
        </is>
      </c>
      <c r="AE567" s="0" t="inlineStr">
        <is>
          <t>조원동</t>
        </is>
      </c>
      <c r="AG567" s="0" t="inlineStr">
        <is>
          <t>경기도 수원시 장안구 금당로39번길 34</t>
        </is>
      </c>
      <c r="AH567" s="0" t="n">
        <v>0</v>
      </c>
      <c r="AI567" s="0" t="n">
        <v>214</v>
      </c>
      <c r="AJ567" s="0" t="n">
        <v>15</v>
      </c>
      <c r="AK567" s="0" t="n">
        <v>1608</v>
      </c>
      <c r="AL567" s="0" t="n">
        <v>1.01</v>
      </c>
    </row>
    <row r="568">
      <c r="A568" s="0" t="inlineStr">
        <is>
          <t>[조원동]</t>
        </is>
      </c>
      <c r="B568" s="0" t="n">
        <v>3645</v>
      </c>
      <c r="C568" s="0" t="n">
        <v>4</v>
      </c>
      <c r="D568" s="0" t="inlineStr">
        <is>
          <t>주공뉴타운2단지</t>
        </is>
      </c>
      <c r="E568" s="0" t="inlineStr">
        <is>
          <t>2001.12.</t>
        </is>
      </c>
      <c r="F568" s="0" t="n">
        <v>1586</v>
      </c>
      <c r="G568" s="0" t="n">
        <v>34.63</v>
      </c>
      <c r="H568" s="0" t="n">
        <v>114.51</v>
      </c>
      <c r="I568" s="0" t="n">
        <v>25.51</v>
      </c>
      <c r="J568" s="0" t="n">
        <v>84.34</v>
      </c>
      <c r="K568" s="0" t="n">
        <v>638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114A</t>
        </is>
      </c>
      <c r="X568" s="0" t="n">
        <v>23</v>
      </c>
      <c r="Y568" s="0" t="n">
        <v>18</v>
      </c>
      <c r="Z568" s="0" t="inlineStr">
        <is>
          <t>https://new.land.naver.com/complexes/3645?tab=detail&amp;rf=Y</t>
        </is>
      </c>
      <c r="AA568" s="0" t="inlineStr">
        <is>
          <t>경기도 수원시 장안구 조원동 861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장안구</t>
        </is>
      </c>
      <c r="AE568" s="0" t="inlineStr">
        <is>
          <t>조원동</t>
        </is>
      </c>
      <c r="AG568" s="0" t="inlineStr">
        <is>
          <t>경기도 수원시 장안구 금당로39번길 34</t>
        </is>
      </c>
      <c r="AH568" s="0" t="n">
        <v>0</v>
      </c>
      <c r="AI568" s="0" t="n">
        <v>214</v>
      </c>
      <c r="AJ568" s="0" t="n">
        <v>15</v>
      </c>
      <c r="AK568" s="0" t="n">
        <v>1608</v>
      </c>
      <c r="AL568" s="0" t="n">
        <v>1.01</v>
      </c>
    </row>
    <row r="569">
      <c r="A569" s="0" t="inlineStr">
        <is>
          <t>[조원동]</t>
        </is>
      </c>
      <c r="B569" s="0" t="n">
        <v>3645</v>
      </c>
      <c r="C569" s="0" t="n">
        <v>5</v>
      </c>
      <c r="D569" s="0" t="inlineStr">
        <is>
          <t>주공뉴타운2단지</t>
        </is>
      </c>
      <c r="E569" s="0" t="inlineStr">
        <is>
          <t>2001.12.</t>
        </is>
      </c>
      <c r="F569" s="0" t="n">
        <v>1586</v>
      </c>
      <c r="G569" s="0" t="n">
        <v>34.7</v>
      </c>
      <c r="H569" s="0" t="n">
        <v>114.72</v>
      </c>
      <c r="I569" s="0" t="n">
        <v>25.55</v>
      </c>
      <c r="J569" s="0" t="n">
        <v>84.48999999999999</v>
      </c>
      <c r="K569" s="0" t="n">
        <v>38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114B</t>
        </is>
      </c>
      <c r="X569" s="0" t="n">
        <v>23</v>
      </c>
      <c r="Y569" s="0" t="n">
        <v>18</v>
      </c>
      <c r="Z569" s="0" t="inlineStr">
        <is>
          <t>https://new.land.naver.com/complexes/3645?tab=detail&amp;rf=Y</t>
        </is>
      </c>
      <c r="AA569" s="0" t="inlineStr">
        <is>
          <t>경기도 수원시 장안구 조원동 861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장안구</t>
        </is>
      </c>
      <c r="AE569" s="0" t="inlineStr">
        <is>
          <t>조원동</t>
        </is>
      </c>
      <c r="AG569" s="0" t="inlineStr">
        <is>
          <t>경기도 수원시 장안구 금당로39번길 34</t>
        </is>
      </c>
      <c r="AH569" s="0" t="n">
        <v>0</v>
      </c>
      <c r="AI569" s="0" t="n">
        <v>214</v>
      </c>
      <c r="AJ569" s="0" t="n">
        <v>15</v>
      </c>
      <c r="AK569" s="0" t="n">
        <v>1608</v>
      </c>
      <c r="AL569" s="0" t="n">
        <v>1.01</v>
      </c>
    </row>
    <row r="570">
      <c r="A570" s="0" t="inlineStr">
        <is>
          <t>[조원동]</t>
        </is>
      </c>
      <c r="B570" s="0" t="n">
        <v>111651</v>
      </c>
      <c r="C570" s="0" t="n">
        <v>1</v>
      </c>
      <c r="D570" s="0" t="inlineStr">
        <is>
          <t>그린나래(도시형)</t>
        </is>
      </c>
      <c r="E570" s="0" t="inlineStr">
        <is>
          <t>2015.06.</t>
        </is>
      </c>
      <c r="F570" s="0" t="n">
        <v>16</v>
      </c>
      <c r="G570" s="0" t="n">
        <v>7.47</v>
      </c>
      <c r="H570" s="0" t="n">
        <v>24.72</v>
      </c>
      <c r="I570" s="0" t="n">
        <v>6.43</v>
      </c>
      <c r="J570" s="0" t="n">
        <v>21.26</v>
      </c>
      <c r="K570" s="0" t="n">
        <v>1</v>
      </c>
      <c r="T570" s="0" t="n">
        <v>1</v>
      </c>
      <c r="U570" s="0" t="n">
        <v>1</v>
      </c>
      <c r="V570" s="0" t="inlineStr">
        <is>
          <t>계단식</t>
        </is>
      </c>
      <c r="W570" s="0" t="n">
        <v>24</v>
      </c>
      <c r="X570" s="0" t="n">
        <v>5</v>
      </c>
      <c r="Y570" s="0" t="n">
        <v>5</v>
      </c>
      <c r="Z570" s="0" t="inlineStr">
        <is>
          <t>https://new.land.naver.com/complexes/111651?tab=detail&amp;rf=Y</t>
        </is>
      </c>
      <c r="AA570" s="0" t="inlineStr">
        <is>
          <t>경기도 수원시 장안구 조원동 753-6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장안구</t>
        </is>
      </c>
      <c r="AE570" s="0" t="inlineStr">
        <is>
          <t>조원동</t>
        </is>
      </c>
      <c r="AG570" s="0" t="inlineStr">
        <is>
          <t>경기도 수원시 장안구 송원로86번길 48-7</t>
        </is>
      </c>
      <c r="AH570" s="0" t="n">
        <v>0</v>
      </c>
      <c r="AI570" s="0" t="n">
        <v>145</v>
      </c>
      <c r="AJ570" s="0" t="n">
        <v>52</v>
      </c>
      <c r="AK570" s="0" t="n">
        <v>15</v>
      </c>
      <c r="AL570" s="0" t="n">
        <v>0.9399999999999999</v>
      </c>
    </row>
    <row r="571">
      <c r="A571" s="0" t="inlineStr">
        <is>
          <t>[조원동]</t>
        </is>
      </c>
      <c r="B571" s="0" t="n">
        <v>111651</v>
      </c>
      <c r="C571" s="0" t="n">
        <v>2</v>
      </c>
      <c r="D571" s="0" t="inlineStr">
        <is>
          <t>그린나래(도시형)</t>
        </is>
      </c>
      <c r="E571" s="0" t="inlineStr">
        <is>
          <t>2015.06.</t>
        </is>
      </c>
      <c r="F571" s="0" t="n">
        <v>16</v>
      </c>
      <c r="G571" s="0" t="n">
        <v>11.27</v>
      </c>
      <c r="H571" s="0" t="n">
        <v>37.28</v>
      </c>
      <c r="I571" s="0" t="n">
        <v>9.67</v>
      </c>
      <c r="J571" s="0" t="n">
        <v>31.97</v>
      </c>
      <c r="K571" s="0" t="n">
        <v>1</v>
      </c>
      <c r="T571" s="0" t="n">
        <v>1</v>
      </c>
      <c r="U571" s="0" t="n">
        <v>1</v>
      </c>
      <c r="V571" s="0" t="inlineStr">
        <is>
          <t>계단식</t>
        </is>
      </c>
      <c r="W571" s="0" t="n">
        <v>37</v>
      </c>
      <c r="X571" s="0" t="n">
        <v>5</v>
      </c>
      <c r="Y571" s="0" t="n">
        <v>5</v>
      </c>
      <c r="Z571" s="0" t="inlineStr">
        <is>
          <t>https://new.land.naver.com/complexes/111651?tab=detail&amp;rf=Y</t>
        </is>
      </c>
      <c r="AA571" s="0" t="inlineStr">
        <is>
          <t>경기도 수원시 장안구 조원동 753-6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장안구</t>
        </is>
      </c>
      <c r="AE571" s="0" t="inlineStr">
        <is>
          <t>조원동</t>
        </is>
      </c>
      <c r="AG571" s="0" t="inlineStr">
        <is>
          <t>경기도 수원시 장안구 송원로86번길 48-7</t>
        </is>
      </c>
      <c r="AH571" s="0" t="n">
        <v>0</v>
      </c>
      <c r="AI571" s="0" t="n">
        <v>145</v>
      </c>
      <c r="AJ571" s="0" t="n">
        <v>52</v>
      </c>
      <c r="AK571" s="0" t="n">
        <v>15</v>
      </c>
      <c r="AL571" s="0" t="n">
        <v>0.9399999999999999</v>
      </c>
    </row>
    <row r="572">
      <c r="A572" s="0" t="inlineStr">
        <is>
          <t>[조원동]</t>
        </is>
      </c>
      <c r="B572" s="0" t="n">
        <v>111651</v>
      </c>
      <c r="C572" s="0" t="n">
        <v>3</v>
      </c>
      <c r="D572" s="0" t="inlineStr">
        <is>
          <t>그린나래(도시형)</t>
        </is>
      </c>
      <c r="E572" s="0" t="inlineStr">
        <is>
          <t>2015.06.</t>
        </is>
      </c>
      <c r="F572" s="0" t="n">
        <v>16</v>
      </c>
      <c r="G572" s="0" t="n">
        <v>12.39</v>
      </c>
      <c r="H572" s="0" t="n">
        <v>40.97</v>
      </c>
      <c r="I572" s="0" t="n">
        <v>10.62</v>
      </c>
      <c r="J572" s="0" t="n">
        <v>35.14</v>
      </c>
      <c r="K572" s="0" t="n">
        <v>4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40B</t>
        </is>
      </c>
      <c r="X572" s="0" t="n">
        <v>5</v>
      </c>
      <c r="Y572" s="0" t="n">
        <v>5</v>
      </c>
      <c r="Z572" s="0" t="inlineStr">
        <is>
          <t>https://new.land.naver.com/complexes/111651?tab=detail&amp;rf=Y</t>
        </is>
      </c>
      <c r="AA572" s="0" t="inlineStr">
        <is>
          <t>경기도 수원시 장안구 조원동 753-6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장안구</t>
        </is>
      </c>
      <c r="AE572" s="0" t="inlineStr">
        <is>
          <t>조원동</t>
        </is>
      </c>
      <c r="AG572" s="0" t="inlineStr">
        <is>
          <t>경기도 수원시 장안구 송원로86번길 48-7</t>
        </is>
      </c>
      <c r="AH572" s="0" t="n">
        <v>0</v>
      </c>
      <c r="AI572" s="0" t="n">
        <v>145</v>
      </c>
      <c r="AJ572" s="0" t="n">
        <v>52</v>
      </c>
      <c r="AK572" s="0" t="n">
        <v>15</v>
      </c>
      <c r="AL572" s="0" t="n">
        <v>0.9399999999999999</v>
      </c>
    </row>
    <row r="573">
      <c r="A573" s="0" t="inlineStr">
        <is>
          <t>[조원동]</t>
        </is>
      </c>
      <c r="B573" s="0" t="n">
        <v>111651</v>
      </c>
      <c r="C573" s="0" t="n">
        <v>4</v>
      </c>
      <c r="D573" s="0" t="inlineStr">
        <is>
          <t>그린나래(도시형)</t>
        </is>
      </c>
      <c r="E573" s="0" t="inlineStr">
        <is>
          <t>2015.06.</t>
        </is>
      </c>
      <c r="F573" s="0" t="n">
        <v>16</v>
      </c>
      <c r="G573" s="0" t="n">
        <v>12.3</v>
      </c>
      <c r="H573" s="0" t="n">
        <v>40.69</v>
      </c>
      <c r="I573" s="0" t="n">
        <v>10.55</v>
      </c>
      <c r="J573" s="0" t="n">
        <v>34.9</v>
      </c>
      <c r="K573" s="0" t="n">
        <v>2</v>
      </c>
      <c r="T573" s="0" t="n">
        <v>1</v>
      </c>
      <c r="U573" s="0" t="n">
        <v>1</v>
      </c>
      <c r="V573" s="0" t="inlineStr">
        <is>
          <t>계단식</t>
        </is>
      </c>
      <c r="W573" s="0" t="inlineStr">
        <is>
          <t>40A</t>
        </is>
      </c>
      <c r="X573" s="0" t="n">
        <v>5</v>
      </c>
      <c r="Y573" s="0" t="n">
        <v>5</v>
      </c>
      <c r="Z573" s="0" t="inlineStr">
        <is>
          <t>https://new.land.naver.com/complexes/111651?tab=detail&amp;rf=Y</t>
        </is>
      </c>
      <c r="AA573" s="0" t="inlineStr">
        <is>
          <t>경기도 수원시 장안구 조원동 753-6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장안구</t>
        </is>
      </c>
      <c r="AE573" s="0" t="inlineStr">
        <is>
          <t>조원동</t>
        </is>
      </c>
      <c r="AG573" s="0" t="inlineStr">
        <is>
          <t>경기도 수원시 장안구 송원로86번길 48-7</t>
        </is>
      </c>
      <c r="AH573" s="0" t="n">
        <v>0</v>
      </c>
      <c r="AI573" s="0" t="n">
        <v>145</v>
      </c>
      <c r="AJ573" s="0" t="n">
        <v>52</v>
      </c>
      <c r="AK573" s="0" t="n">
        <v>15</v>
      </c>
      <c r="AL573" s="0" t="n">
        <v>0.9399999999999999</v>
      </c>
    </row>
    <row r="574">
      <c r="A574" s="0" t="inlineStr">
        <is>
          <t>[조원동]</t>
        </is>
      </c>
      <c r="B574" s="0" t="n">
        <v>111651</v>
      </c>
      <c r="C574" s="0" t="n">
        <v>5</v>
      </c>
      <c r="D574" s="0" t="inlineStr">
        <is>
          <t>그린나래(도시형)</t>
        </is>
      </c>
      <c r="E574" s="0" t="inlineStr">
        <is>
          <t>2015.06.</t>
        </is>
      </c>
      <c r="F574" s="0" t="n">
        <v>16</v>
      </c>
      <c r="G574" s="0" t="n">
        <v>13.01</v>
      </c>
      <c r="H574" s="0" t="n">
        <v>43.04</v>
      </c>
      <c r="I574" s="0" t="n">
        <v>11.16</v>
      </c>
      <c r="J574" s="0" t="n">
        <v>36.91</v>
      </c>
      <c r="K574" s="0" t="n">
        <v>4</v>
      </c>
      <c r="T574" s="0" t="n">
        <v>1</v>
      </c>
      <c r="U574" s="0" t="n">
        <v>1</v>
      </c>
      <c r="V574" s="0" t="inlineStr">
        <is>
          <t>계단식</t>
        </is>
      </c>
      <c r="W574" s="0" t="n">
        <v>43</v>
      </c>
      <c r="X574" s="0" t="n">
        <v>5</v>
      </c>
      <c r="Y574" s="0" t="n">
        <v>5</v>
      </c>
      <c r="Z574" s="0" t="inlineStr">
        <is>
          <t>https://new.land.naver.com/complexes/111651?tab=detail&amp;rf=Y</t>
        </is>
      </c>
      <c r="AA574" s="0" t="inlineStr">
        <is>
          <t>경기도 수원시 장안구 조원동 753-6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장안구</t>
        </is>
      </c>
      <c r="AE574" s="0" t="inlineStr">
        <is>
          <t>조원동</t>
        </is>
      </c>
      <c r="AG574" s="0" t="inlineStr">
        <is>
          <t>경기도 수원시 장안구 송원로86번길 48-7</t>
        </is>
      </c>
      <c r="AH574" s="0" t="n">
        <v>0</v>
      </c>
      <c r="AI574" s="0" t="n">
        <v>145</v>
      </c>
      <c r="AJ574" s="0" t="n">
        <v>52</v>
      </c>
      <c r="AK574" s="0" t="n">
        <v>15</v>
      </c>
      <c r="AL574" s="0" t="n">
        <v>0.9399999999999999</v>
      </c>
    </row>
    <row r="575">
      <c r="A575" s="0" t="inlineStr">
        <is>
          <t>[조원동]</t>
        </is>
      </c>
      <c r="B575" s="0" t="n">
        <v>111651</v>
      </c>
      <c r="C575" s="0" t="n">
        <v>6</v>
      </c>
      <c r="D575" s="0" t="inlineStr">
        <is>
          <t>그린나래(도시형)</t>
        </is>
      </c>
      <c r="E575" s="0" t="inlineStr">
        <is>
          <t>2015.06.</t>
        </is>
      </c>
      <c r="F575" s="0" t="n">
        <v>16</v>
      </c>
      <c r="G575" s="0" t="n">
        <v>13.57</v>
      </c>
      <c r="H575" s="0" t="n">
        <v>44.89</v>
      </c>
      <c r="I575" s="0" t="n">
        <v>11.64</v>
      </c>
      <c r="J575" s="0" t="n">
        <v>38.5</v>
      </c>
      <c r="K575" s="0" t="n">
        <v>4</v>
      </c>
      <c r="T575" s="0" t="n">
        <v>1</v>
      </c>
      <c r="U575" s="0" t="n">
        <v>1</v>
      </c>
      <c r="V575" s="0" t="inlineStr">
        <is>
          <t>계단식</t>
        </is>
      </c>
      <c r="W575" s="0" t="n">
        <v>44</v>
      </c>
      <c r="X575" s="0" t="n">
        <v>5</v>
      </c>
      <c r="Y575" s="0" t="n">
        <v>5</v>
      </c>
      <c r="Z575" s="0" t="inlineStr">
        <is>
          <t>https://new.land.naver.com/complexes/111651?tab=detail&amp;rf=Y</t>
        </is>
      </c>
      <c r="AA575" s="0" t="inlineStr">
        <is>
          <t>경기도 수원시 장안구 조원동 753-6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장안구</t>
        </is>
      </c>
      <c r="AE575" s="0" t="inlineStr">
        <is>
          <t>조원동</t>
        </is>
      </c>
      <c r="AG575" s="0" t="inlineStr">
        <is>
          <t>경기도 수원시 장안구 송원로86번길 48-7</t>
        </is>
      </c>
      <c r="AH575" s="0" t="n">
        <v>0</v>
      </c>
      <c r="AI575" s="0" t="n">
        <v>145</v>
      </c>
      <c r="AJ575" s="0" t="n">
        <v>52</v>
      </c>
      <c r="AK575" s="0" t="n">
        <v>15</v>
      </c>
      <c r="AL575" s="0" t="n">
        <v>0.9399999999999999</v>
      </c>
    </row>
    <row r="576">
      <c r="A576" s="0" t="inlineStr">
        <is>
          <t>[조원동]</t>
        </is>
      </c>
      <c r="B576" s="0" t="n">
        <v>24831</v>
      </c>
      <c r="C576" s="0" t="n">
        <v>1</v>
      </c>
      <c r="D576" s="0" t="inlineStr">
        <is>
          <t>티앤와이꿈사랑타운</t>
        </is>
      </c>
      <c r="E576" s="0" t="inlineStr">
        <is>
          <t>2006.07.</t>
        </is>
      </c>
      <c r="F576" s="0" t="n">
        <v>18</v>
      </c>
      <c r="G576" s="0" t="n">
        <v>28.29</v>
      </c>
      <c r="H576" s="0" t="n">
        <v>93.54000000000001</v>
      </c>
      <c r="I576" s="0" t="n">
        <v>22.09</v>
      </c>
      <c r="J576" s="0" t="n">
        <v>73.04000000000001</v>
      </c>
      <c r="K576" s="0" t="n">
        <v>18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93</v>
      </c>
      <c r="X576" s="0" t="n">
        <v>7</v>
      </c>
      <c r="Y576" s="0" t="n">
        <v>7</v>
      </c>
      <c r="Z576" s="0" t="inlineStr">
        <is>
          <t>https://new.land.naver.com/complexes/24831?tab=detail&amp;rf=Y</t>
        </is>
      </c>
      <c r="AA576" s="0" t="inlineStr">
        <is>
          <t>경기도 수원시 장안구 조원동 749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장안구</t>
        </is>
      </c>
      <c r="AE576" s="0" t="inlineStr">
        <is>
          <t>조원동</t>
        </is>
      </c>
      <c r="AG576" s="0" t="inlineStr">
        <is>
          <t>경기도 수원시 장안구 송원로92번길 13-6</t>
        </is>
      </c>
      <c r="AH576" s="0" t="n">
        <v>0</v>
      </c>
      <c r="AI576" s="0" t="n">
        <v>229</v>
      </c>
      <c r="AJ576" s="0" t="n">
        <v>42</v>
      </c>
      <c r="AK576" s="0" t="n">
        <v>9</v>
      </c>
      <c r="AL576" s="0" t="n">
        <v>0.5</v>
      </c>
    </row>
    <row r="577">
      <c r="A577" s="0" t="inlineStr">
        <is>
          <t>[조원동]</t>
        </is>
      </c>
      <c r="B577" s="0" t="n">
        <v>115212</v>
      </c>
      <c r="C577" s="0" t="n">
        <v>1</v>
      </c>
      <c r="D577" s="0" t="inlineStr">
        <is>
          <t>메가타워</t>
        </is>
      </c>
      <c r="E577" s="0" t="inlineStr">
        <is>
          <t>2009.08.</t>
        </is>
      </c>
      <c r="F577" s="0" t="n">
        <v>16</v>
      </c>
      <c r="G577" s="0" t="n">
        <v>32.9</v>
      </c>
      <c r="H577" s="0" t="n">
        <v>108.78</v>
      </c>
      <c r="I577" s="0" t="n">
        <v>25.56</v>
      </c>
      <c r="J577" s="0" t="n">
        <v>84.52</v>
      </c>
      <c r="K577" s="0" t="n">
        <v>16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108</v>
      </c>
      <c r="X577" s="0" t="n">
        <v>7</v>
      </c>
      <c r="Y577" s="0" t="n">
        <v>7</v>
      </c>
      <c r="Z577" s="0" t="inlineStr">
        <is>
          <t>https://new.land.naver.com/complexes/115212?tab=detail&amp;rf=Y</t>
        </is>
      </c>
      <c r="AA577" s="0" t="inlineStr">
        <is>
          <t>경기도 수원시 장안구 조원동 731-15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장안구</t>
        </is>
      </c>
      <c r="AE577" s="0" t="inlineStr">
        <is>
          <t>조원동</t>
        </is>
      </c>
      <c r="AG577" s="0" t="inlineStr">
        <is>
          <t>경기도 수원시 장안구 금당로10번길 63</t>
        </is>
      </c>
      <c r="AH577" s="0" t="n">
        <v>0</v>
      </c>
      <c r="AI577" s="0" t="n">
        <v>229</v>
      </c>
      <c r="AJ577" s="0" t="n">
        <v>54</v>
      </c>
      <c r="AK577" s="0" t="n">
        <v>31</v>
      </c>
      <c r="AL577" s="0" t="n">
        <v>1.94</v>
      </c>
    </row>
    <row r="578">
      <c r="A578" s="0" t="inlineStr">
        <is>
          <t>[조원동]</t>
        </is>
      </c>
      <c r="B578" s="0" t="n">
        <v>2712</v>
      </c>
      <c r="C578" s="0" t="n">
        <v>1</v>
      </c>
      <c r="D578" s="0" t="inlineStr">
        <is>
          <t>수원한일타운</t>
        </is>
      </c>
      <c r="E578" s="0" t="inlineStr">
        <is>
          <t>1999.08.</t>
        </is>
      </c>
      <c r="F578" s="0" t="n">
        <v>5282</v>
      </c>
      <c r="G578" s="0" t="n">
        <v>24.75</v>
      </c>
      <c r="H578" s="0" t="n">
        <v>81.83</v>
      </c>
      <c r="I578" s="0" t="n">
        <v>18.1</v>
      </c>
      <c r="J578" s="0" t="n">
        <v>59.84</v>
      </c>
      <c r="K578" s="0" t="n">
        <v>974</v>
      </c>
      <c r="T578" s="0" t="n">
        <v>3</v>
      </c>
      <c r="U578" s="0" t="n">
        <v>1</v>
      </c>
      <c r="V578" s="0" t="inlineStr">
        <is>
          <t>계단식</t>
        </is>
      </c>
      <c r="W578" s="0" t="inlineStr">
        <is>
          <t>81B</t>
        </is>
      </c>
      <c r="X578" s="0" t="n">
        <v>24</v>
      </c>
      <c r="Y578" s="0" t="n">
        <v>16</v>
      </c>
      <c r="Z578" s="0" t="inlineStr">
        <is>
          <t>https://new.land.naver.com/complexes/2712?tab=detail&amp;rf=Y</t>
        </is>
      </c>
      <c r="AA578" s="0" t="inlineStr">
        <is>
          <t>경기도 수원시 장안구 조원동 881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장안구</t>
        </is>
      </c>
      <c r="AE578" s="0" t="inlineStr">
        <is>
          <t>조원동</t>
        </is>
      </c>
      <c r="AG578" s="0" t="inlineStr">
        <is>
          <t>경기도 수원시 장안구 경수대로976번길 22</t>
        </is>
      </c>
      <c r="AH578" s="0" t="n">
        <v>0</v>
      </c>
      <c r="AI578" s="0" t="n">
        <v>280</v>
      </c>
      <c r="AJ578" s="0" t="n">
        <v>17</v>
      </c>
      <c r="AK578" s="0" t="n">
        <v>6514</v>
      </c>
      <c r="AL578" s="0" t="n">
        <v>1.23</v>
      </c>
    </row>
    <row r="579">
      <c r="A579" s="0" t="inlineStr">
        <is>
          <t>[조원동]</t>
        </is>
      </c>
      <c r="B579" s="0" t="n">
        <v>2712</v>
      </c>
      <c r="C579" s="0" t="n">
        <v>2</v>
      </c>
      <c r="D579" s="0" t="inlineStr">
        <is>
          <t>수원한일타운</t>
        </is>
      </c>
      <c r="E579" s="0" t="inlineStr">
        <is>
          <t>1999.08.</t>
        </is>
      </c>
      <c r="F579" s="0" t="n">
        <v>5282</v>
      </c>
      <c r="G579" s="0" t="n">
        <v>24.79</v>
      </c>
      <c r="H579" s="0" t="n">
        <v>81.98</v>
      </c>
      <c r="I579" s="0" t="n">
        <v>18.13</v>
      </c>
      <c r="J579" s="0" t="n">
        <v>59.96</v>
      </c>
      <c r="K579" s="0" t="n">
        <v>666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81A</t>
        </is>
      </c>
      <c r="X579" s="0" t="n">
        <v>24</v>
      </c>
      <c r="Y579" s="0" t="n">
        <v>16</v>
      </c>
      <c r="Z579" s="0" t="inlineStr">
        <is>
          <t>https://new.land.naver.com/complexes/2712?tab=detail&amp;rf=Y</t>
        </is>
      </c>
      <c r="AA579" s="0" t="inlineStr">
        <is>
          <t>경기도 수원시 장안구 조원동 881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장안구</t>
        </is>
      </c>
      <c r="AE579" s="0" t="inlineStr">
        <is>
          <t>조원동</t>
        </is>
      </c>
      <c r="AG579" s="0" t="inlineStr">
        <is>
          <t>경기도 수원시 장안구 경수대로976번길 22</t>
        </is>
      </c>
      <c r="AH579" s="0" t="n">
        <v>0</v>
      </c>
      <c r="AI579" s="0" t="n">
        <v>280</v>
      </c>
      <c r="AJ579" s="0" t="n">
        <v>17</v>
      </c>
      <c r="AK579" s="0" t="n">
        <v>6514</v>
      </c>
      <c r="AL579" s="0" t="n">
        <v>1.23</v>
      </c>
    </row>
    <row r="580">
      <c r="A580" s="0" t="inlineStr">
        <is>
          <t>[조원동]</t>
        </is>
      </c>
      <c r="B580" s="0" t="n">
        <v>2712</v>
      </c>
      <c r="C580" s="0" t="n">
        <v>3</v>
      </c>
      <c r="D580" s="0" t="inlineStr">
        <is>
          <t>수원한일타운</t>
        </is>
      </c>
      <c r="E580" s="0" t="inlineStr">
        <is>
          <t>1999.08.</t>
        </is>
      </c>
      <c r="F580" s="0" t="n">
        <v>5282</v>
      </c>
      <c r="G580" s="0" t="n">
        <v>33.04</v>
      </c>
      <c r="H580" s="0" t="n">
        <v>109.23</v>
      </c>
      <c r="I580" s="0" t="n">
        <v>25.64</v>
      </c>
      <c r="J580" s="0" t="n">
        <v>84.77</v>
      </c>
      <c r="K580" s="0" t="n">
        <v>2324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109</v>
      </c>
      <c r="X580" s="0" t="n">
        <v>24</v>
      </c>
      <c r="Y580" s="0" t="n">
        <v>16</v>
      </c>
      <c r="Z580" s="0" t="inlineStr">
        <is>
          <t>https://new.land.naver.com/complexes/2712?tab=detail&amp;rf=Y</t>
        </is>
      </c>
      <c r="AA580" s="0" t="inlineStr">
        <is>
          <t>경기도 수원시 장안구 조원동 881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장안구</t>
        </is>
      </c>
      <c r="AE580" s="0" t="inlineStr">
        <is>
          <t>조원동</t>
        </is>
      </c>
      <c r="AG580" s="0" t="inlineStr">
        <is>
          <t>경기도 수원시 장안구 경수대로976번길 22</t>
        </is>
      </c>
      <c r="AH580" s="0" t="n">
        <v>0</v>
      </c>
      <c r="AI580" s="0" t="n">
        <v>280</v>
      </c>
      <c r="AJ580" s="0" t="n">
        <v>17</v>
      </c>
      <c r="AK580" s="0" t="n">
        <v>6514</v>
      </c>
      <c r="AL580" s="0" t="n">
        <v>1.23</v>
      </c>
    </row>
    <row r="581">
      <c r="A581" s="0" t="inlineStr">
        <is>
          <t>[조원동]</t>
        </is>
      </c>
      <c r="B581" s="0" t="n">
        <v>2712</v>
      </c>
      <c r="C581" s="0" t="n">
        <v>4</v>
      </c>
      <c r="D581" s="0" t="inlineStr">
        <is>
          <t>수원한일타운</t>
        </is>
      </c>
      <c r="E581" s="0" t="inlineStr">
        <is>
          <t>1999.08.</t>
        </is>
      </c>
      <c r="F581" s="0" t="n">
        <v>5282</v>
      </c>
      <c r="G581" s="0" t="n">
        <v>38.5</v>
      </c>
      <c r="H581" s="0" t="n">
        <v>127.28</v>
      </c>
      <c r="I581" s="0" t="n">
        <v>30.24</v>
      </c>
      <c r="J581" s="0" t="n">
        <v>99.98</v>
      </c>
      <c r="K581" s="0" t="n">
        <v>352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127</v>
      </c>
      <c r="X581" s="0" t="n">
        <v>24</v>
      </c>
      <c r="Y581" s="0" t="n">
        <v>16</v>
      </c>
      <c r="Z581" s="0" t="inlineStr">
        <is>
          <t>https://new.land.naver.com/complexes/2712?tab=detail&amp;rf=Y</t>
        </is>
      </c>
      <c r="AA581" s="0" t="inlineStr">
        <is>
          <t>경기도 수원시 장안구 조원동 881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장안구</t>
        </is>
      </c>
      <c r="AE581" s="0" t="inlineStr">
        <is>
          <t>조원동</t>
        </is>
      </c>
      <c r="AG581" s="0" t="inlineStr">
        <is>
          <t>경기도 수원시 장안구 경수대로976번길 22</t>
        </is>
      </c>
      <c r="AH581" s="0" t="n">
        <v>0</v>
      </c>
      <c r="AI581" s="0" t="n">
        <v>280</v>
      </c>
      <c r="AJ581" s="0" t="n">
        <v>17</v>
      </c>
      <c r="AK581" s="0" t="n">
        <v>6514</v>
      </c>
      <c r="AL581" s="0" t="n">
        <v>1.23</v>
      </c>
    </row>
    <row r="582">
      <c r="A582" s="0" t="inlineStr">
        <is>
          <t>[조원동]</t>
        </is>
      </c>
      <c r="B582" s="0" t="n">
        <v>2712</v>
      </c>
      <c r="C582" s="0" t="n">
        <v>5</v>
      </c>
      <c r="D582" s="0" t="inlineStr">
        <is>
          <t>수원한일타운</t>
        </is>
      </c>
      <c r="E582" s="0" t="inlineStr">
        <is>
          <t>1999.08.</t>
        </is>
      </c>
      <c r="F582" s="0" t="n">
        <v>5282</v>
      </c>
      <c r="G582" s="0" t="n">
        <v>45.28</v>
      </c>
      <c r="H582" s="0" t="n">
        <v>149.71</v>
      </c>
      <c r="I582" s="0" t="n">
        <v>36.74</v>
      </c>
      <c r="J582" s="0" t="n">
        <v>121.48</v>
      </c>
      <c r="K582" s="0" t="n">
        <v>368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149</v>
      </c>
      <c r="X582" s="0" t="n">
        <v>24</v>
      </c>
      <c r="Y582" s="0" t="n">
        <v>16</v>
      </c>
      <c r="Z582" s="0" t="inlineStr">
        <is>
          <t>https://new.land.naver.com/complexes/2712?tab=detail&amp;rf=Y</t>
        </is>
      </c>
      <c r="AA582" s="0" t="inlineStr">
        <is>
          <t>경기도 수원시 장안구 조원동 881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장안구</t>
        </is>
      </c>
      <c r="AE582" s="0" t="inlineStr">
        <is>
          <t>조원동</t>
        </is>
      </c>
      <c r="AG582" s="0" t="inlineStr">
        <is>
          <t>경기도 수원시 장안구 경수대로976번길 22</t>
        </is>
      </c>
      <c r="AH582" s="0" t="n">
        <v>0</v>
      </c>
      <c r="AI582" s="0" t="n">
        <v>280</v>
      </c>
      <c r="AJ582" s="0" t="n">
        <v>17</v>
      </c>
      <c r="AK582" s="0" t="n">
        <v>6514</v>
      </c>
      <c r="AL582" s="0" t="n">
        <v>1.23</v>
      </c>
    </row>
    <row r="583">
      <c r="A583" s="0" t="inlineStr">
        <is>
          <t>[조원동]</t>
        </is>
      </c>
      <c r="B583" s="0" t="n">
        <v>2712</v>
      </c>
      <c r="C583" s="0" t="n">
        <v>6</v>
      </c>
      <c r="D583" s="0" t="inlineStr">
        <is>
          <t>수원한일타운</t>
        </is>
      </c>
      <c r="E583" s="0" t="inlineStr">
        <is>
          <t>1999.08.</t>
        </is>
      </c>
      <c r="F583" s="0" t="n">
        <v>5282</v>
      </c>
      <c r="G583" s="0" t="n">
        <v>50</v>
      </c>
      <c r="H583" s="0" t="n">
        <v>165.29</v>
      </c>
      <c r="I583" s="0" t="n">
        <v>40.82</v>
      </c>
      <c r="J583" s="0" t="n">
        <v>134.95</v>
      </c>
      <c r="K583" s="0" t="n">
        <v>368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165</v>
      </c>
      <c r="X583" s="0" t="n">
        <v>24</v>
      </c>
      <c r="Y583" s="0" t="n">
        <v>16</v>
      </c>
      <c r="Z583" s="0" t="inlineStr">
        <is>
          <t>https://new.land.naver.com/complexes/2712?tab=detail&amp;rf=Y</t>
        </is>
      </c>
      <c r="AA583" s="0" t="inlineStr">
        <is>
          <t>경기도 수원시 장안구 조원동 881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장안구</t>
        </is>
      </c>
      <c r="AE583" s="0" t="inlineStr">
        <is>
          <t>조원동</t>
        </is>
      </c>
      <c r="AG583" s="0" t="inlineStr">
        <is>
          <t>경기도 수원시 장안구 경수대로976번길 22</t>
        </is>
      </c>
      <c r="AH583" s="0" t="n">
        <v>0</v>
      </c>
      <c r="AI583" s="0" t="n">
        <v>280</v>
      </c>
      <c r="AJ583" s="0" t="n">
        <v>17</v>
      </c>
      <c r="AK583" s="0" t="n">
        <v>6514</v>
      </c>
      <c r="AL583" s="0" t="n">
        <v>1.23</v>
      </c>
    </row>
    <row r="584">
      <c r="A584" s="0" t="inlineStr">
        <is>
          <t>[조원동]</t>
        </is>
      </c>
      <c r="B584" s="0" t="n">
        <v>2712</v>
      </c>
      <c r="C584" s="0" t="n">
        <v>7</v>
      </c>
      <c r="D584" s="0" t="inlineStr">
        <is>
          <t>수원한일타운</t>
        </is>
      </c>
      <c r="E584" s="0" t="inlineStr">
        <is>
          <t>1999.08.</t>
        </is>
      </c>
      <c r="F584" s="0" t="n">
        <v>5282</v>
      </c>
      <c r="G584" s="0" t="n">
        <v>62.16</v>
      </c>
      <c r="H584" s="0" t="n">
        <v>205.52</v>
      </c>
      <c r="I584" s="0" t="n">
        <v>49.89</v>
      </c>
      <c r="J584" s="0" t="n">
        <v>164.93</v>
      </c>
      <c r="K584" s="0" t="n">
        <v>230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205</v>
      </c>
      <c r="X584" s="0" t="n">
        <v>24</v>
      </c>
      <c r="Y584" s="0" t="n">
        <v>16</v>
      </c>
      <c r="Z584" s="0" t="inlineStr">
        <is>
          <t>https://new.land.naver.com/complexes/2712?tab=detail&amp;rf=Y</t>
        </is>
      </c>
      <c r="AA584" s="0" t="inlineStr">
        <is>
          <t>경기도 수원시 장안구 조원동 881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장안구</t>
        </is>
      </c>
      <c r="AE584" s="0" t="inlineStr">
        <is>
          <t>조원동</t>
        </is>
      </c>
      <c r="AG584" s="0" t="inlineStr">
        <is>
          <t>경기도 수원시 장안구 경수대로976번길 22</t>
        </is>
      </c>
      <c r="AH584" s="0" t="n">
        <v>0</v>
      </c>
      <c r="AI584" s="0" t="n">
        <v>280</v>
      </c>
      <c r="AJ584" s="0" t="n">
        <v>17</v>
      </c>
      <c r="AK584" s="0" t="n">
        <v>6514</v>
      </c>
      <c r="AL584" s="0" t="n">
        <v>1.23</v>
      </c>
    </row>
    <row r="585">
      <c r="A585" s="0" t="inlineStr">
        <is>
          <t>[조원동]</t>
        </is>
      </c>
      <c r="B585" s="0" t="n">
        <v>17698</v>
      </c>
      <c r="C585" s="0" t="n">
        <v>1</v>
      </c>
      <c r="D585" s="0" t="inlineStr">
        <is>
          <t>포레스트빌</t>
        </is>
      </c>
      <c r="E585" s="0" t="inlineStr">
        <is>
          <t>2004.07.</t>
        </is>
      </c>
      <c r="F585" s="0" t="n">
        <v>64</v>
      </c>
      <c r="G585" s="0" t="n">
        <v>18.23</v>
      </c>
      <c r="H585" s="0" t="n">
        <v>60.29</v>
      </c>
      <c r="I585" s="0" t="n">
        <v>12.63</v>
      </c>
      <c r="J585" s="0" t="n">
        <v>41.77</v>
      </c>
      <c r="K585" s="0" t="n">
        <v>10</v>
      </c>
      <c r="T585" s="0" t="n">
        <v>1</v>
      </c>
      <c r="U585" s="0" t="n">
        <v>1</v>
      </c>
      <c r="V585" s="0" t="inlineStr">
        <is>
          <t>계단식</t>
        </is>
      </c>
      <c r="W585" s="0" t="inlineStr">
        <is>
          <t>60E</t>
        </is>
      </c>
      <c r="X585" s="0" t="n">
        <v>13</v>
      </c>
      <c r="Y585" s="0" t="n">
        <v>12</v>
      </c>
      <c r="Z585" s="0" t="inlineStr">
        <is>
          <t>https://new.land.naver.com/complexes/17698?tab=detail&amp;rf=Y</t>
        </is>
      </c>
      <c r="AA585" s="0" t="inlineStr">
        <is>
          <t>경기도 수원시 장안구 조원동 676-8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장안구</t>
        </is>
      </c>
      <c r="AE585" s="0" t="inlineStr">
        <is>
          <t>조원동</t>
        </is>
      </c>
      <c r="AG585" s="0" t="inlineStr">
        <is>
          <t>경기도 수원시 장안구 정조로 970</t>
        </is>
      </c>
      <c r="AH585" s="0" t="n">
        <v>0</v>
      </c>
      <c r="AI585" s="0" t="n">
        <v>488</v>
      </c>
      <c r="AJ585" s="0" t="n">
        <v>76</v>
      </c>
      <c r="AK585" s="0" t="n">
        <v>75</v>
      </c>
      <c r="AL585" s="0" t="n">
        <v>1.17</v>
      </c>
    </row>
    <row r="586">
      <c r="A586" s="0" t="inlineStr">
        <is>
          <t>[조원동]</t>
        </is>
      </c>
      <c r="B586" s="0" t="n">
        <v>17698</v>
      </c>
      <c r="C586" s="0" t="n">
        <v>2</v>
      </c>
      <c r="D586" s="0" t="inlineStr">
        <is>
          <t>포레스트빌</t>
        </is>
      </c>
      <c r="E586" s="0" t="inlineStr">
        <is>
          <t>2004.07.</t>
        </is>
      </c>
      <c r="F586" s="0" t="n">
        <v>64</v>
      </c>
      <c r="G586" s="0" t="n">
        <v>35.02</v>
      </c>
      <c r="H586" s="0" t="n">
        <v>115.78</v>
      </c>
      <c r="I586" s="0" t="n">
        <v>25.27</v>
      </c>
      <c r="J586" s="0" t="n">
        <v>83.55</v>
      </c>
      <c r="K586" s="0" t="n">
        <v>11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115A</t>
        </is>
      </c>
      <c r="X586" s="0" t="n">
        <v>13</v>
      </c>
      <c r="Y586" s="0" t="n">
        <v>12</v>
      </c>
      <c r="Z586" s="0" t="inlineStr">
        <is>
          <t>https://new.land.naver.com/complexes/17698?tab=detail&amp;rf=Y</t>
        </is>
      </c>
      <c r="AA586" s="0" t="inlineStr">
        <is>
          <t>경기도 수원시 장안구 조원동 676-8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장안구</t>
        </is>
      </c>
      <c r="AE586" s="0" t="inlineStr">
        <is>
          <t>조원동</t>
        </is>
      </c>
      <c r="AG586" s="0" t="inlineStr">
        <is>
          <t>경기도 수원시 장안구 정조로 970</t>
        </is>
      </c>
      <c r="AH586" s="0" t="n">
        <v>0</v>
      </c>
      <c r="AI586" s="0" t="n">
        <v>488</v>
      </c>
      <c r="AJ586" s="0" t="n">
        <v>76</v>
      </c>
      <c r="AK586" s="0" t="n">
        <v>75</v>
      </c>
      <c r="AL586" s="0" t="n">
        <v>1.17</v>
      </c>
    </row>
    <row r="587">
      <c r="A587" s="0" t="inlineStr">
        <is>
          <t>[조원동]</t>
        </is>
      </c>
      <c r="B587" s="0" t="n">
        <v>17698</v>
      </c>
      <c r="C587" s="0" t="n">
        <v>3</v>
      </c>
      <c r="D587" s="0" t="inlineStr">
        <is>
          <t>포레스트빌</t>
        </is>
      </c>
      <c r="E587" s="0" t="inlineStr">
        <is>
          <t>2004.07.</t>
        </is>
      </c>
      <c r="F587" s="0" t="n">
        <v>64</v>
      </c>
      <c r="G587" s="0" t="n">
        <v>35.51</v>
      </c>
      <c r="H587" s="0" t="n">
        <v>117.4</v>
      </c>
      <c r="I587" s="0" t="n">
        <v>25.6</v>
      </c>
      <c r="J587" s="0" t="n">
        <v>84.64</v>
      </c>
      <c r="K587" s="0" t="n">
        <v>32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117B</t>
        </is>
      </c>
      <c r="X587" s="0" t="n">
        <v>13</v>
      </c>
      <c r="Y587" s="0" t="n">
        <v>12</v>
      </c>
      <c r="Z587" s="0" t="inlineStr">
        <is>
          <t>https://new.land.naver.com/complexes/17698?tab=detail&amp;rf=Y</t>
        </is>
      </c>
      <c r="AA587" s="0" t="inlineStr">
        <is>
          <t>경기도 수원시 장안구 조원동 676-8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장안구</t>
        </is>
      </c>
      <c r="AE587" s="0" t="inlineStr">
        <is>
          <t>조원동</t>
        </is>
      </c>
      <c r="AG587" s="0" t="inlineStr">
        <is>
          <t>경기도 수원시 장안구 정조로 970</t>
        </is>
      </c>
      <c r="AH587" s="0" t="n">
        <v>0</v>
      </c>
      <c r="AI587" s="0" t="n">
        <v>488</v>
      </c>
      <c r="AJ587" s="0" t="n">
        <v>76</v>
      </c>
      <c r="AK587" s="0" t="n">
        <v>75</v>
      </c>
      <c r="AL587" s="0" t="n">
        <v>1.17</v>
      </c>
    </row>
    <row r="588">
      <c r="A588" s="0" t="inlineStr">
        <is>
          <t>[조원동]</t>
        </is>
      </c>
      <c r="B588" s="0" t="n">
        <v>17698</v>
      </c>
      <c r="C588" s="0" t="n">
        <v>4</v>
      </c>
      <c r="D588" s="0" t="inlineStr">
        <is>
          <t>포레스트빌</t>
        </is>
      </c>
      <c r="E588" s="0" t="inlineStr">
        <is>
          <t>2004.07.</t>
        </is>
      </c>
      <c r="F588" s="0" t="n">
        <v>64</v>
      </c>
      <c r="G588" s="0" t="n">
        <v>35.73</v>
      </c>
      <c r="H588" s="0" t="n">
        <v>118.13</v>
      </c>
      <c r="I588" s="0" t="n">
        <v>25.63</v>
      </c>
      <c r="J588" s="0" t="n">
        <v>84.75</v>
      </c>
      <c r="K588" s="0" t="n">
        <v>11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118C</t>
        </is>
      </c>
      <c r="X588" s="0" t="n">
        <v>13</v>
      </c>
      <c r="Y588" s="0" t="n">
        <v>12</v>
      </c>
      <c r="Z588" s="0" t="inlineStr">
        <is>
          <t>https://new.land.naver.com/complexes/17698?tab=detail&amp;rf=Y</t>
        </is>
      </c>
      <c r="AA588" s="0" t="inlineStr">
        <is>
          <t>경기도 수원시 장안구 조원동 676-8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장안구</t>
        </is>
      </c>
      <c r="AE588" s="0" t="inlineStr">
        <is>
          <t>조원동</t>
        </is>
      </c>
      <c r="AG588" s="0" t="inlineStr">
        <is>
          <t>경기도 수원시 장안구 정조로 970</t>
        </is>
      </c>
      <c r="AH588" s="0" t="n">
        <v>0</v>
      </c>
      <c r="AI588" s="0" t="n">
        <v>488</v>
      </c>
      <c r="AJ588" s="0" t="n">
        <v>76</v>
      </c>
      <c r="AK588" s="0" t="n">
        <v>75</v>
      </c>
      <c r="AL588" s="0" t="n">
        <v>1.17</v>
      </c>
    </row>
    <row r="589">
      <c r="A589" s="0" t="inlineStr">
        <is>
          <t>[조원동]</t>
        </is>
      </c>
      <c r="B589" s="0" t="n">
        <v>100282</v>
      </c>
      <c r="C589" s="0" t="n">
        <v>1</v>
      </c>
      <c r="D589" s="0" t="inlineStr">
        <is>
          <t>주공뉴타운1단지</t>
        </is>
      </c>
      <c r="E589" s="0" t="inlineStr">
        <is>
          <t>2001.12.</t>
        </is>
      </c>
      <c r="F589" s="0" t="n">
        <v>768</v>
      </c>
      <c r="G589" s="0" t="n">
        <v>33.48</v>
      </c>
      <c r="H589" s="0" t="n">
        <v>110.69</v>
      </c>
      <c r="I589" s="0" t="n">
        <v>25.51</v>
      </c>
      <c r="J589" s="0" t="n">
        <v>84.34</v>
      </c>
      <c r="K589" s="0" t="n">
        <v>728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110A</t>
        </is>
      </c>
      <c r="X589" s="0" t="n">
        <v>23</v>
      </c>
      <c r="Y589" s="0" t="n">
        <v>20</v>
      </c>
      <c r="Z589" s="0" t="inlineStr">
        <is>
          <t>https://new.land.naver.com/complexes/100282?tab=detail&amp;rf=Y</t>
        </is>
      </c>
      <c r="AA589" s="0" t="inlineStr">
        <is>
          <t>경기도 수원시 장안구 조원동 855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장안구</t>
        </is>
      </c>
      <c r="AE589" s="0" t="inlineStr">
        <is>
          <t>조원동</t>
        </is>
      </c>
      <c r="AG589" s="0" t="inlineStr">
        <is>
          <t>경기도 수원시 장안구 금당로39번길 33</t>
        </is>
      </c>
      <c r="AH589" s="0" t="n">
        <v>0</v>
      </c>
      <c r="AI589" s="0" t="n">
        <v>246</v>
      </c>
      <c r="AJ589" s="0" t="n">
        <v>15</v>
      </c>
      <c r="AK589" s="0" t="n">
        <v>776</v>
      </c>
      <c r="AL589" s="0" t="n">
        <v>1.01</v>
      </c>
    </row>
    <row r="590">
      <c r="A590" s="0" t="inlineStr">
        <is>
          <t>[조원동]</t>
        </is>
      </c>
      <c r="B590" s="0" t="n">
        <v>100282</v>
      </c>
      <c r="C590" s="0" t="n">
        <v>2</v>
      </c>
      <c r="D590" s="0" t="inlineStr">
        <is>
          <t>주공뉴타운1단지</t>
        </is>
      </c>
      <c r="E590" s="0" t="inlineStr">
        <is>
          <t>2001.12.</t>
        </is>
      </c>
      <c r="F590" s="0" t="n">
        <v>768</v>
      </c>
      <c r="G590" s="0" t="n">
        <v>33.54</v>
      </c>
      <c r="H590" s="0" t="n">
        <v>110.89</v>
      </c>
      <c r="I590" s="0" t="n">
        <v>25.55</v>
      </c>
      <c r="J590" s="0" t="n">
        <v>84.48999999999999</v>
      </c>
      <c r="K590" s="0" t="n">
        <v>40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110B</t>
        </is>
      </c>
      <c r="X590" s="0" t="n">
        <v>23</v>
      </c>
      <c r="Y590" s="0" t="n">
        <v>20</v>
      </c>
      <c r="Z590" s="0" t="inlineStr">
        <is>
          <t>https://new.land.naver.com/complexes/100282?tab=detail&amp;rf=Y</t>
        </is>
      </c>
      <c r="AA590" s="0" t="inlineStr">
        <is>
          <t>경기도 수원시 장안구 조원동 855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장안구</t>
        </is>
      </c>
      <c r="AE590" s="0" t="inlineStr">
        <is>
          <t>조원동</t>
        </is>
      </c>
      <c r="AG590" s="0" t="inlineStr">
        <is>
          <t>경기도 수원시 장안구 금당로39번길 33</t>
        </is>
      </c>
      <c r="AH590" s="0" t="n">
        <v>0</v>
      </c>
      <c r="AI590" s="0" t="n">
        <v>246</v>
      </c>
      <c r="AJ590" s="0" t="n">
        <v>15</v>
      </c>
      <c r="AK590" s="0" t="n">
        <v>776</v>
      </c>
      <c r="AL590" s="0" t="n">
        <v>1.01</v>
      </c>
    </row>
    <row r="591">
      <c r="A591" s="0" t="inlineStr">
        <is>
          <t>[조원동]</t>
        </is>
      </c>
      <c r="B591" s="0" t="n">
        <v>101569</v>
      </c>
      <c r="C591" s="0" t="n">
        <v>1</v>
      </c>
      <c r="D591" s="0" t="inlineStr">
        <is>
          <t>신형</t>
        </is>
      </c>
      <c r="E591" s="0" t="inlineStr">
        <is>
          <t>1995.01.</t>
        </is>
      </c>
      <c r="F591" s="0" t="n">
        <v>19</v>
      </c>
      <c r="G591" s="0" t="n">
        <v>19.42</v>
      </c>
      <c r="H591" s="0" t="n">
        <v>64.2</v>
      </c>
      <c r="I591" s="0" t="n">
        <v>16.28</v>
      </c>
      <c r="J591" s="0" t="n">
        <v>53.82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64</v>
      </c>
      <c r="X591" s="0" t="n">
        <v>8</v>
      </c>
      <c r="Y591" s="0" t="n">
        <v>8</v>
      </c>
      <c r="Z591" s="0" t="inlineStr">
        <is>
          <t>https://new.land.naver.com/complexes/101569?tab=detail&amp;rf=Y</t>
        </is>
      </c>
      <c r="AA591" s="0" t="inlineStr">
        <is>
          <t>경기도 수원시 장안구 조원동 745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장안구</t>
        </is>
      </c>
      <c r="AE591" s="0" t="inlineStr">
        <is>
          <t>조원동</t>
        </is>
      </c>
      <c r="AG591" s="0" t="inlineStr">
        <is>
          <t>경기도 수원시 장안구 조원로 107</t>
        </is>
      </c>
      <c r="AH591" s="0" t="n">
        <v>0</v>
      </c>
      <c r="AI591" s="0" t="n">
        <v>329</v>
      </c>
      <c r="AJ591" s="0" t="n">
        <v>56</v>
      </c>
      <c r="AK591" s="0" t="n">
        <v>11</v>
      </c>
      <c r="AL591" s="0" t="n">
        <v>0.58</v>
      </c>
    </row>
    <row r="592">
      <c r="A592" s="0" t="inlineStr">
        <is>
          <t>[조원동]</t>
        </is>
      </c>
      <c r="B592" s="0" t="n">
        <v>101569</v>
      </c>
      <c r="C592" s="0" t="n">
        <v>2</v>
      </c>
      <c r="D592" s="0" t="inlineStr">
        <is>
          <t>신형</t>
        </is>
      </c>
      <c r="E592" s="0" t="inlineStr">
        <is>
          <t>1995.01.</t>
        </is>
      </c>
      <c r="F592" s="0" t="n">
        <v>19</v>
      </c>
      <c r="G592" s="0" t="n">
        <v>28.84</v>
      </c>
      <c r="H592" s="0" t="n">
        <v>95.34999999999999</v>
      </c>
      <c r="I592" s="0" t="n">
        <v>24.17</v>
      </c>
      <c r="J592" s="0" t="n">
        <v>79.92</v>
      </c>
      <c r="K592" s="0" t="n">
        <v>7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95A</t>
        </is>
      </c>
      <c r="X592" s="0" t="n">
        <v>8</v>
      </c>
      <c r="Y592" s="0" t="n">
        <v>8</v>
      </c>
      <c r="Z592" s="0" t="inlineStr">
        <is>
          <t>https://new.land.naver.com/complexes/101569?tab=detail&amp;rf=Y</t>
        </is>
      </c>
      <c r="AA592" s="0" t="inlineStr">
        <is>
          <t>경기도 수원시 장안구 조원동 745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장안구</t>
        </is>
      </c>
      <c r="AE592" s="0" t="inlineStr">
        <is>
          <t>조원동</t>
        </is>
      </c>
      <c r="AG592" s="0" t="inlineStr">
        <is>
          <t>경기도 수원시 장안구 조원로 107</t>
        </is>
      </c>
      <c r="AH592" s="0" t="n">
        <v>0</v>
      </c>
      <c r="AI592" s="0" t="n">
        <v>329</v>
      </c>
      <c r="AJ592" s="0" t="n">
        <v>56</v>
      </c>
      <c r="AK592" s="0" t="n">
        <v>11</v>
      </c>
      <c r="AL592" s="0" t="n">
        <v>0.58</v>
      </c>
    </row>
    <row r="593">
      <c r="A593" s="0" t="inlineStr">
        <is>
          <t>[조원동]</t>
        </is>
      </c>
      <c r="B593" s="0" t="n">
        <v>101569</v>
      </c>
      <c r="C593" s="0" t="n">
        <v>3</v>
      </c>
      <c r="D593" s="0" t="inlineStr">
        <is>
          <t>신형</t>
        </is>
      </c>
      <c r="E593" s="0" t="inlineStr">
        <is>
          <t>1995.01.</t>
        </is>
      </c>
      <c r="F593" s="0" t="n">
        <v>19</v>
      </c>
      <c r="G593" s="0" t="n">
        <v>28.87</v>
      </c>
      <c r="H593" s="0" t="n">
        <v>95.45999999999999</v>
      </c>
      <c r="I593" s="0" t="n">
        <v>24.2</v>
      </c>
      <c r="J593" s="0" t="n">
        <v>80.01000000000001</v>
      </c>
      <c r="K593" s="0" t="n">
        <v>2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95B</t>
        </is>
      </c>
      <c r="X593" s="0" t="n">
        <v>8</v>
      </c>
      <c r="Y593" s="0" t="n">
        <v>8</v>
      </c>
      <c r="Z593" s="0" t="inlineStr">
        <is>
          <t>https://new.land.naver.com/complexes/101569?tab=detail&amp;rf=Y</t>
        </is>
      </c>
      <c r="AA593" s="0" t="inlineStr">
        <is>
          <t>경기도 수원시 장안구 조원동 745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장안구</t>
        </is>
      </c>
      <c r="AE593" s="0" t="inlineStr">
        <is>
          <t>조원동</t>
        </is>
      </c>
      <c r="AG593" s="0" t="inlineStr">
        <is>
          <t>경기도 수원시 장안구 조원로 107</t>
        </is>
      </c>
      <c r="AH593" s="0" t="n">
        <v>0</v>
      </c>
      <c r="AI593" s="0" t="n">
        <v>329</v>
      </c>
      <c r="AJ593" s="0" t="n">
        <v>56</v>
      </c>
      <c r="AK593" s="0" t="n">
        <v>11</v>
      </c>
      <c r="AL593" s="0" t="n">
        <v>0.58</v>
      </c>
    </row>
    <row r="594">
      <c r="A594" s="0" t="inlineStr">
        <is>
          <t>[조원동]</t>
        </is>
      </c>
      <c r="B594" s="0" t="n">
        <v>101569</v>
      </c>
      <c r="C594" s="0" t="n">
        <v>4</v>
      </c>
      <c r="D594" s="0" t="inlineStr">
        <is>
          <t>신형</t>
        </is>
      </c>
      <c r="E594" s="0" t="inlineStr">
        <is>
          <t>1995.01.</t>
        </is>
      </c>
      <c r="F594" s="0" t="n">
        <v>19</v>
      </c>
      <c r="G594" s="0" t="n">
        <v>29.49</v>
      </c>
      <c r="H594" s="0" t="n">
        <v>97.48999999999999</v>
      </c>
      <c r="I594" s="0" t="n">
        <v>24.72</v>
      </c>
      <c r="J594" s="0" t="n">
        <v>81.72</v>
      </c>
      <c r="K594" s="0" t="n">
        <v>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97D</t>
        </is>
      </c>
      <c r="X594" s="0" t="n">
        <v>8</v>
      </c>
      <c r="Y594" s="0" t="n">
        <v>8</v>
      </c>
      <c r="Z594" s="0" t="inlineStr">
        <is>
          <t>https://new.land.naver.com/complexes/101569?tab=detail&amp;rf=Y</t>
        </is>
      </c>
      <c r="AA594" s="0" t="inlineStr">
        <is>
          <t>경기도 수원시 장안구 조원동 745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장안구</t>
        </is>
      </c>
      <c r="AE594" s="0" t="inlineStr">
        <is>
          <t>조원동</t>
        </is>
      </c>
      <c r="AG594" s="0" t="inlineStr">
        <is>
          <t>경기도 수원시 장안구 조원로 107</t>
        </is>
      </c>
      <c r="AH594" s="0" t="n">
        <v>0</v>
      </c>
      <c r="AI594" s="0" t="n">
        <v>329</v>
      </c>
      <c r="AJ594" s="0" t="n">
        <v>56</v>
      </c>
      <c r="AK594" s="0" t="n">
        <v>11</v>
      </c>
      <c r="AL594" s="0" t="n">
        <v>0.58</v>
      </c>
    </row>
    <row r="595">
      <c r="A595" s="0" t="inlineStr">
        <is>
          <t>[조원동]</t>
        </is>
      </c>
      <c r="B595" s="0" t="n">
        <v>101569</v>
      </c>
      <c r="C595" s="0" t="n">
        <v>5</v>
      </c>
      <c r="D595" s="0" t="inlineStr">
        <is>
          <t>신형</t>
        </is>
      </c>
      <c r="E595" s="0" t="inlineStr">
        <is>
          <t>1995.01.</t>
        </is>
      </c>
      <c r="F595" s="0" t="n">
        <v>19</v>
      </c>
      <c r="G595" s="0" t="n">
        <v>29.39</v>
      </c>
      <c r="H595" s="0" t="n">
        <v>97.17</v>
      </c>
      <c r="I595" s="0" t="n">
        <v>24.63</v>
      </c>
      <c r="J595" s="0" t="n">
        <v>81.45</v>
      </c>
      <c r="K595" s="0" t="n">
        <v>2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97C</t>
        </is>
      </c>
      <c r="X595" s="0" t="n">
        <v>8</v>
      </c>
      <c r="Y595" s="0" t="n">
        <v>8</v>
      </c>
      <c r="Z595" s="0" t="inlineStr">
        <is>
          <t>https://new.land.naver.com/complexes/101569?tab=detail&amp;rf=Y</t>
        </is>
      </c>
      <c r="AA595" s="0" t="inlineStr">
        <is>
          <t>경기도 수원시 장안구 조원동 745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장안구</t>
        </is>
      </c>
      <c r="AE595" s="0" t="inlineStr">
        <is>
          <t>조원동</t>
        </is>
      </c>
      <c r="AG595" s="0" t="inlineStr">
        <is>
          <t>경기도 수원시 장안구 조원로 107</t>
        </is>
      </c>
      <c r="AH595" s="0" t="n">
        <v>0</v>
      </c>
      <c r="AI595" s="0" t="n">
        <v>329</v>
      </c>
      <c r="AJ595" s="0" t="n">
        <v>56</v>
      </c>
      <c r="AK595" s="0" t="n">
        <v>11</v>
      </c>
      <c r="AL595" s="0" t="n">
        <v>0.58</v>
      </c>
    </row>
    <row r="596">
      <c r="A596" s="0" t="inlineStr">
        <is>
          <t>[천천동]</t>
        </is>
      </c>
      <c r="B596" s="0" t="n">
        <v>2492</v>
      </c>
      <c r="C596" s="0" t="n">
        <v>1</v>
      </c>
      <c r="D596" s="0" t="inlineStr">
        <is>
          <t>한일,신안</t>
        </is>
      </c>
      <c r="E596" s="0" t="inlineStr">
        <is>
          <t>1997.12.</t>
        </is>
      </c>
      <c r="F596" s="0" t="n">
        <v>456</v>
      </c>
      <c r="G596" s="0" t="n">
        <v>39.6</v>
      </c>
      <c r="H596" s="0" t="n">
        <v>130.93</v>
      </c>
      <c r="I596" s="0" t="n">
        <v>30.8</v>
      </c>
      <c r="J596" s="0" t="n">
        <v>101.83</v>
      </c>
      <c r="K596" s="0" t="n">
        <v>320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130</v>
      </c>
      <c r="X596" s="0" t="n">
        <v>17</v>
      </c>
      <c r="Y596" s="0" t="n">
        <v>16</v>
      </c>
      <c r="Z596" s="0" t="inlineStr">
        <is>
          <t>https://new.land.naver.com/complexes/2492?tab=detail&amp;rf=Y</t>
        </is>
      </c>
      <c r="AA596" s="0" t="inlineStr">
        <is>
          <t>경기도 수원시 장안구 천천동 563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장안구</t>
        </is>
      </c>
      <c r="AE596" s="0" t="inlineStr">
        <is>
          <t>천천동</t>
        </is>
      </c>
      <c r="AG596" s="0" t="inlineStr">
        <is>
          <t>경기도 수원시 장안구 하률로30번길 22</t>
        </is>
      </c>
      <c r="AH596" s="0" t="n">
        <v>0</v>
      </c>
      <c r="AI596" s="0" t="n">
        <v>225</v>
      </c>
      <c r="AJ596" s="0" t="n">
        <v>19</v>
      </c>
      <c r="AK596" s="0" t="n">
        <v>738</v>
      </c>
      <c r="AL596" s="0" t="n">
        <v>1.62</v>
      </c>
    </row>
    <row r="597">
      <c r="A597" s="0" t="inlineStr">
        <is>
          <t>[천천동]</t>
        </is>
      </c>
      <c r="B597" s="0" t="n">
        <v>2492</v>
      </c>
      <c r="C597" s="0" t="n">
        <v>2</v>
      </c>
      <c r="D597" s="0" t="inlineStr">
        <is>
          <t>한일,신안</t>
        </is>
      </c>
      <c r="E597" s="0" t="inlineStr">
        <is>
          <t>1997.12.</t>
        </is>
      </c>
      <c r="F597" s="0" t="n">
        <v>456</v>
      </c>
      <c r="G597" s="0" t="n">
        <v>50.8</v>
      </c>
      <c r="H597" s="0" t="n">
        <v>167.96</v>
      </c>
      <c r="I597" s="0" t="n">
        <v>40.79</v>
      </c>
      <c r="J597" s="0" t="n">
        <v>134.85</v>
      </c>
      <c r="K597" s="0" t="n">
        <v>136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167</v>
      </c>
      <c r="X597" s="0" t="n">
        <v>17</v>
      </c>
      <c r="Y597" s="0" t="n">
        <v>16</v>
      </c>
      <c r="Z597" s="0" t="inlineStr">
        <is>
          <t>https://new.land.naver.com/complexes/2492?tab=detail&amp;rf=Y</t>
        </is>
      </c>
      <c r="AA597" s="0" t="inlineStr">
        <is>
          <t>경기도 수원시 장안구 천천동 563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장안구</t>
        </is>
      </c>
      <c r="AE597" s="0" t="inlineStr">
        <is>
          <t>천천동</t>
        </is>
      </c>
      <c r="AG597" s="0" t="inlineStr">
        <is>
          <t>경기도 수원시 장안구 하률로30번길 22</t>
        </is>
      </c>
      <c r="AH597" s="0" t="n">
        <v>0</v>
      </c>
      <c r="AI597" s="0" t="n">
        <v>225</v>
      </c>
      <c r="AJ597" s="0" t="n">
        <v>19</v>
      </c>
      <c r="AK597" s="0" t="n">
        <v>738</v>
      </c>
      <c r="AL597" s="0" t="n">
        <v>1.62</v>
      </c>
    </row>
    <row r="598">
      <c r="A598" s="0" t="inlineStr">
        <is>
          <t>[천천동]</t>
        </is>
      </c>
      <c r="B598" s="0" t="n">
        <v>1829</v>
      </c>
      <c r="C598" s="0" t="n">
        <v>1</v>
      </c>
      <c r="D598" s="0" t="inlineStr">
        <is>
          <t>천천일성</t>
        </is>
      </c>
      <c r="E598" s="0" t="inlineStr">
        <is>
          <t>1997.09.</t>
        </is>
      </c>
      <c r="F598" s="0" t="n">
        <v>401</v>
      </c>
      <c r="G598" s="0" t="n">
        <v>32.29</v>
      </c>
      <c r="H598" s="0" t="n">
        <v>106.75</v>
      </c>
      <c r="I598" s="0" t="n">
        <v>25.66</v>
      </c>
      <c r="J598" s="0" t="n">
        <v>84.84999999999999</v>
      </c>
      <c r="K598" s="0" t="n">
        <v>386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106B</t>
        </is>
      </c>
      <c r="X598" s="0" t="n">
        <v>15</v>
      </c>
      <c r="Y598" s="0" t="n">
        <v>11</v>
      </c>
      <c r="Z598" s="0" t="inlineStr">
        <is>
          <t>https://new.land.naver.com/complexes/1829?tab=detail&amp;rf=Y</t>
        </is>
      </c>
      <c r="AA598" s="0" t="inlineStr">
        <is>
          <t>경기도 수원시 장안구 천천동 569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장안구</t>
        </is>
      </c>
      <c r="AE598" s="0" t="inlineStr">
        <is>
          <t>천천동</t>
        </is>
      </c>
      <c r="AG598" s="0" t="inlineStr">
        <is>
          <t>경기도 수원시 장안구 정자로19번길 18</t>
        </is>
      </c>
      <c r="AH598" s="0" t="n">
        <v>0</v>
      </c>
      <c r="AI598" s="0" t="n">
        <v>215</v>
      </c>
      <c r="AJ598" s="0" t="n">
        <v>20</v>
      </c>
      <c r="AK598" s="0" t="n">
        <v>406</v>
      </c>
      <c r="AL598" s="0" t="n">
        <v>1.01</v>
      </c>
    </row>
    <row r="599">
      <c r="A599" s="0" t="inlineStr">
        <is>
          <t>[천천동]</t>
        </is>
      </c>
      <c r="B599" s="0" t="n">
        <v>1829</v>
      </c>
      <c r="C599" s="0" t="n">
        <v>2</v>
      </c>
      <c r="D599" s="0" t="inlineStr">
        <is>
          <t>천천일성</t>
        </is>
      </c>
      <c r="E599" s="0" t="inlineStr">
        <is>
          <t>1997.09.</t>
        </is>
      </c>
      <c r="F599" s="0" t="n">
        <v>401</v>
      </c>
      <c r="G599" s="0" t="n">
        <v>32.24</v>
      </c>
      <c r="H599" s="0" t="n">
        <v>106.59</v>
      </c>
      <c r="I599" s="0" t="n">
        <v>25.62</v>
      </c>
      <c r="J599" s="0" t="n">
        <v>84.72</v>
      </c>
      <c r="K599" s="0" t="n">
        <v>15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106A</t>
        </is>
      </c>
      <c r="X599" s="0" t="n">
        <v>15</v>
      </c>
      <c r="Y599" s="0" t="n">
        <v>11</v>
      </c>
      <c r="Z599" s="0" t="inlineStr">
        <is>
          <t>https://new.land.naver.com/complexes/1829?tab=detail&amp;rf=Y</t>
        </is>
      </c>
      <c r="AA599" s="0" t="inlineStr">
        <is>
          <t>경기도 수원시 장안구 천천동 569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장안구</t>
        </is>
      </c>
      <c r="AE599" s="0" t="inlineStr">
        <is>
          <t>천천동</t>
        </is>
      </c>
      <c r="AG599" s="0" t="inlineStr">
        <is>
          <t>경기도 수원시 장안구 정자로19번길 18</t>
        </is>
      </c>
      <c r="AH599" s="0" t="n">
        <v>0</v>
      </c>
      <c r="AI599" s="0" t="n">
        <v>215</v>
      </c>
      <c r="AJ599" s="0" t="n">
        <v>20</v>
      </c>
      <c r="AK599" s="0" t="n">
        <v>406</v>
      </c>
      <c r="AL599" s="0" t="n">
        <v>1.01</v>
      </c>
    </row>
    <row r="600">
      <c r="A600" s="0" t="inlineStr">
        <is>
          <t>[천천동]</t>
        </is>
      </c>
      <c r="B600" s="0" t="n">
        <v>3647</v>
      </c>
      <c r="C600" s="0" t="n">
        <v>1</v>
      </c>
      <c r="D600" s="0" t="inlineStr">
        <is>
          <t>비단마을신명</t>
        </is>
      </c>
      <c r="E600" s="0" t="inlineStr">
        <is>
          <t>2001.11.</t>
        </is>
      </c>
      <c r="F600" s="0" t="n">
        <v>594</v>
      </c>
      <c r="G600" s="0" t="n">
        <v>27.03</v>
      </c>
      <c r="H600" s="0" t="n">
        <v>89.36</v>
      </c>
      <c r="I600" s="0" t="n">
        <v>18.14</v>
      </c>
      <c r="J600" s="0" t="n">
        <v>59.99</v>
      </c>
      <c r="K600" s="0" t="n">
        <v>594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89</v>
      </c>
      <c r="X600" s="0" t="n">
        <v>24</v>
      </c>
      <c r="Y600" s="0" t="n">
        <v>16</v>
      </c>
      <c r="Z600" s="0" t="inlineStr">
        <is>
          <t>https://new.land.naver.com/complexes/3647?tab=detail&amp;rf=Y</t>
        </is>
      </c>
      <c r="AA600" s="0" t="inlineStr">
        <is>
          <t>경기도 수원시 장안구 천천동 482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장안구</t>
        </is>
      </c>
      <c r="AE600" s="0" t="inlineStr">
        <is>
          <t>천천동</t>
        </is>
      </c>
      <c r="AG600" s="0" t="inlineStr">
        <is>
          <t>경기도 수원시 장안구 정자로41번길 12</t>
        </is>
      </c>
      <c r="AH600" s="0" t="n">
        <v>0</v>
      </c>
      <c r="AI600" s="0" t="n">
        <v>217</v>
      </c>
      <c r="AJ600" s="0" t="n">
        <v>17</v>
      </c>
      <c r="AK600" s="0" t="n">
        <v>612</v>
      </c>
      <c r="AL600" s="0" t="n">
        <v>1.03</v>
      </c>
    </row>
    <row r="601">
      <c r="A601" s="0" t="inlineStr">
        <is>
          <t>[천천동]</t>
        </is>
      </c>
      <c r="B601" s="0" t="n">
        <v>1830</v>
      </c>
      <c r="C601" s="0" t="n">
        <v>1</v>
      </c>
      <c r="D601" s="0" t="inlineStr">
        <is>
          <t>현대</t>
        </is>
      </c>
      <c r="E601" s="0" t="inlineStr">
        <is>
          <t>1997.11.</t>
        </is>
      </c>
      <c r="F601" s="0" t="n">
        <v>594</v>
      </c>
      <c r="G601" s="0" t="n">
        <v>19.94</v>
      </c>
      <c r="H601" s="0" t="n">
        <v>65.92</v>
      </c>
      <c r="I601" s="0" t="n">
        <v>15.23</v>
      </c>
      <c r="J601" s="0" t="n">
        <v>50.36</v>
      </c>
      <c r="K601" s="0" t="n">
        <v>57</v>
      </c>
      <c r="T601" s="0" t="n">
        <v>2</v>
      </c>
      <c r="U601" s="0" t="n">
        <v>1</v>
      </c>
      <c r="V601" s="0" t="inlineStr">
        <is>
          <t>계단식</t>
        </is>
      </c>
      <c r="W601" s="0" t="n">
        <v>65</v>
      </c>
      <c r="X601" s="0" t="n">
        <v>15</v>
      </c>
      <c r="Y601" s="0" t="n">
        <v>12</v>
      </c>
      <c r="Z601" s="0" t="inlineStr">
        <is>
          <t>https://new.land.naver.com/complexes/1830?tab=detail&amp;rf=Y</t>
        </is>
      </c>
      <c r="AA601" s="0" t="inlineStr">
        <is>
          <t>경기도 수원시 장안구 천천동 566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장안구</t>
        </is>
      </c>
      <c r="AE601" s="0" t="inlineStr">
        <is>
          <t>천천동</t>
        </is>
      </c>
      <c r="AG601" s="0" t="inlineStr">
        <is>
          <t>경기도 수원시 장안구 하률로46번길 17</t>
        </is>
      </c>
      <c r="AH601" s="0" t="n">
        <v>0</v>
      </c>
      <c r="AI601" s="0" t="n">
        <v>219</v>
      </c>
      <c r="AJ601" s="0" t="n">
        <v>21</v>
      </c>
      <c r="AK601" s="0" t="n">
        <v>604</v>
      </c>
      <c r="AL601" s="0" t="n">
        <v>1.02</v>
      </c>
    </row>
    <row r="602">
      <c r="A602" s="0" t="inlineStr">
        <is>
          <t>[천천동]</t>
        </is>
      </c>
      <c r="B602" s="0" t="n">
        <v>1830</v>
      </c>
      <c r="C602" s="0" t="n">
        <v>2</v>
      </c>
      <c r="D602" s="0" t="inlineStr">
        <is>
          <t>현대</t>
        </is>
      </c>
      <c r="E602" s="0" t="inlineStr">
        <is>
          <t>1997.11.</t>
        </is>
      </c>
      <c r="F602" s="0" t="n">
        <v>594</v>
      </c>
      <c r="G602" s="0" t="n">
        <v>23.69</v>
      </c>
      <c r="H602" s="0" t="n">
        <v>78.33</v>
      </c>
      <c r="I602" s="0" t="n">
        <v>18.1</v>
      </c>
      <c r="J602" s="0" t="n">
        <v>59.84</v>
      </c>
      <c r="K602" s="0" t="n">
        <v>537</v>
      </c>
      <c r="T602" s="0" t="n">
        <v>3</v>
      </c>
      <c r="U602" s="0" t="n">
        <v>1</v>
      </c>
      <c r="V602" s="0" t="inlineStr">
        <is>
          <t>계단식</t>
        </is>
      </c>
      <c r="W602" s="0" t="n">
        <v>78</v>
      </c>
      <c r="X602" s="0" t="n">
        <v>15</v>
      </c>
      <c r="Y602" s="0" t="n">
        <v>12</v>
      </c>
      <c r="Z602" s="0" t="inlineStr">
        <is>
          <t>https://new.land.naver.com/complexes/1830?tab=detail&amp;rf=Y</t>
        </is>
      </c>
      <c r="AA602" s="0" t="inlineStr">
        <is>
          <t>경기도 수원시 장안구 천천동 566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장안구</t>
        </is>
      </c>
      <c r="AE602" s="0" t="inlineStr">
        <is>
          <t>천천동</t>
        </is>
      </c>
      <c r="AG602" s="0" t="inlineStr">
        <is>
          <t>경기도 수원시 장안구 하률로46번길 17</t>
        </is>
      </c>
      <c r="AH602" s="0" t="n">
        <v>0</v>
      </c>
      <c r="AI602" s="0" t="n">
        <v>219</v>
      </c>
      <c r="AJ602" s="0" t="n">
        <v>21</v>
      </c>
      <c r="AK602" s="0" t="n">
        <v>604</v>
      </c>
      <c r="AL602" s="0" t="n">
        <v>1.02</v>
      </c>
    </row>
    <row r="603">
      <c r="A603" s="0" t="inlineStr">
        <is>
          <t>[천천동]</t>
        </is>
      </c>
      <c r="B603" s="0" t="n">
        <v>23880</v>
      </c>
      <c r="C603" s="0" t="n">
        <v>1</v>
      </c>
      <c r="D603" s="0" t="inlineStr">
        <is>
          <t>천천푸르지오</t>
        </is>
      </c>
      <c r="E603" s="0" t="inlineStr">
        <is>
          <t>2009.01.</t>
        </is>
      </c>
      <c r="F603" s="0" t="n">
        <v>2571</v>
      </c>
      <c r="G603" s="0" t="n">
        <v>25.94</v>
      </c>
      <c r="H603" s="0" t="n">
        <v>85.77</v>
      </c>
      <c r="I603" s="0" t="n">
        <v>18.14</v>
      </c>
      <c r="J603" s="0" t="n">
        <v>59.98</v>
      </c>
      <c r="K603" s="0" t="n">
        <v>515</v>
      </c>
      <c r="T603" s="0" t="n">
        <v>3</v>
      </c>
      <c r="U603" s="0" t="n">
        <v>2</v>
      </c>
      <c r="V603" s="0" t="inlineStr">
        <is>
          <t>계단식</t>
        </is>
      </c>
      <c r="W603" s="0" t="n">
        <v>85</v>
      </c>
      <c r="X603" s="0" t="n">
        <v>30</v>
      </c>
      <c r="Y603" s="0" t="n">
        <v>10</v>
      </c>
      <c r="Z603" s="0" t="inlineStr">
        <is>
          <t>https://new.land.naver.com/complexes/23880?tab=detail&amp;rf=Y</t>
        </is>
      </c>
      <c r="AA603" s="0" t="inlineStr">
        <is>
          <t>경기도 수원시 장안구 천천동 333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장안구</t>
        </is>
      </c>
      <c r="AE603" s="0" t="inlineStr">
        <is>
          <t>천천동</t>
        </is>
      </c>
      <c r="AG603" s="0" t="inlineStr">
        <is>
          <t>경기도 수원시 장안구 화산로 85</t>
        </is>
      </c>
      <c r="AH603" s="0" t="n">
        <v>0</v>
      </c>
      <c r="AI603" s="0" t="n">
        <v>245</v>
      </c>
      <c r="AJ603" s="0" t="n">
        <v>14</v>
      </c>
      <c r="AK603" s="0" t="n">
        <v>4018</v>
      </c>
      <c r="AL603" s="0" t="n">
        <v>1.56</v>
      </c>
    </row>
    <row r="604">
      <c r="A604" s="0" t="inlineStr">
        <is>
          <t>[천천동]</t>
        </is>
      </c>
      <c r="B604" s="0" t="n">
        <v>23880</v>
      </c>
      <c r="C604" s="0" t="n">
        <v>2</v>
      </c>
      <c r="D604" s="0" t="inlineStr">
        <is>
          <t>천천푸르지오</t>
        </is>
      </c>
      <c r="E604" s="0" t="inlineStr">
        <is>
          <t>2009.01.</t>
        </is>
      </c>
      <c r="F604" s="0" t="n">
        <v>2571</v>
      </c>
      <c r="G604" s="0" t="n">
        <v>33.25</v>
      </c>
      <c r="H604" s="0" t="n">
        <v>109.94</v>
      </c>
      <c r="I604" s="0" t="n">
        <v>25.67</v>
      </c>
      <c r="J604" s="0" t="n">
        <v>84.89</v>
      </c>
      <c r="K604" s="0" t="n">
        <v>299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109D</t>
        </is>
      </c>
      <c r="X604" s="0" t="n">
        <v>30</v>
      </c>
      <c r="Y604" s="0" t="n">
        <v>10</v>
      </c>
      <c r="Z604" s="0" t="inlineStr">
        <is>
          <t>https://new.land.naver.com/complexes/23880?tab=detail&amp;rf=Y</t>
        </is>
      </c>
      <c r="AA604" s="0" t="inlineStr">
        <is>
          <t>경기도 수원시 장안구 천천동 333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장안구</t>
        </is>
      </c>
      <c r="AE604" s="0" t="inlineStr">
        <is>
          <t>천천동</t>
        </is>
      </c>
      <c r="AG604" s="0" t="inlineStr">
        <is>
          <t>경기도 수원시 장안구 화산로 85</t>
        </is>
      </c>
      <c r="AH604" s="0" t="n">
        <v>0</v>
      </c>
      <c r="AI604" s="0" t="n">
        <v>245</v>
      </c>
      <c r="AJ604" s="0" t="n">
        <v>14</v>
      </c>
      <c r="AK604" s="0" t="n">
        <v>4018</v>
      </c>
      <c r="AL604" s="0" t="n">
        <v>1.56</v>
      </c>
    </row>
    <row r="605">
      <c r="A605" s="0" t="inlineStr">
        <is>
          <t>[천천동]</t>
        </is>
      </c>
      <c r="B605" s="0" t="n">
        <v>23880</v>
      </c>
      <c r="C605" s="0" t="n">
        <v>3</v>
      </c>
      <c r="D605" s="0" t="inlineStr">
        <is>
          <t>천천푸르지오</t>
        </is>
      </c>
      <c r="E605" s="0" t="inlineStr">
        <is>
          <t>2009.01.</t>
        </is>
      </c>
      <c r="F605" s="0" t="n">
        <v>2571</v>
      </c>
      <c r="G605" s="0" t="n">
        <v>33.45</v>
      </c>
      <c r="H605" s="0" t="n">
        <v>110.6</v>
      </c>
      <c r="I605" s="0" t="n">
        <v>25.64</v>
      </c>
      <c r="J605" s="0" t="n">
        <v>84.79000000000001</v>
      </c>
      <c r="K605" s="0" t="n">
        <v>241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110E</t>
        </is>
      </c>
      <c r="X605" s="0" t="n">
        <v>30</v>
      </c>
      <c r="Y605" s="0" t="n">
        <v>10</v>
      </c>
      <c r="Z605" s="0" t="inlineStr">
        <is>
          <t>https://new.land.naver.com/complexes/23880?tab=detail&amp;rf=Y</t>
        </is>
      </c>
      <c r="AA605" s="0" t="inlineStr">
        <is>
          <t>경기도 수원시 장안구 천천동 333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장안구</t>
        </is>
      </c>
      <c r="AE605" s="0" t="inlineStr">
        <is>
          <t>천천동</t>
        </is>
      </c>
      <c r="AG605" s="0" t="inlineStr">
        <is>
          <t>경기도 수원시 장안구 화산로 85</t>
        </is>
      </c>
      <c r="AH605" s="0" t="n">
        <v>0</v>
      </c>
      <c r="AI605" s="0" t="n">
        <v>245</v>
      </c>
      <c r="AJ605" s="0" t="n">
        <v>14</v>
      </c>
      <c r="AK605" s="0" t="n">
        <v>4018</v>
      </c>
      <c r="AL605" s="0" t="n">
        <v>1.56</v>
      </c>
    </row>
    <row r="606">
      <c r="A606" s="0" t="inlineStr">
        <is>
          <t>[천천동]</t>
        </is>
      </c>
      <c r="B606" s="0" t="n">
        <v>23880</v>
      </c>
      <c r="C606" s="0" t="n">
        <v>4</v>
      </c>
      <c r="D606" s="0" t="inlineStr">
        <is>
          <t>천천푸르지오</t>
        </is>
      </c>
      <c r="E606" s="0" t="inlineStr">
        <is>
          <t>2009.01.</t>
        </is>
      </c>
      <c r="F606" s="0" t="n">
        <v>2571</v>
      </c>
      <c r="G606" s="0" t="n">
        <v>33.45</v>
      </c>
      <c r="H606" s="0" t="n">
        <v>110.6</v>
      </c>
      <c r="I606" s="0" t="n">
        <v>25.64</v>
      </c>
      <c r="J606" s="0" t="n">
        <v>84.79000000000001</v>
      </c>
      <c r="K606" s="0" t="n">
        <v>66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110C</t>
        </is>
      </c>
      <c r="X606" s="0" t="n">
        <v>30</v>
      </c>
      <c r="Y606" s="0" t="n">
        <v>10</v>
      </c>
      <c r="Z606" s="0" t="inlineStr">
        <is>
          <t>https://new.land.naver.com/complexes/23880?tab=detail&amp;rf=Y</t>
        </is>
      </c>
      <c r="AA606" s="0" t="inlineStr">
        <is>
          <t>경기도 수원시 장안구 천천동 333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장안구</t>
        </is>
      </c>
      <c r="AE606" s="0" t="inlineStr">
        <is>
          <t>천천동</t>
        </is>
      </c>
      <c r="AG606" s="0" t="inlineStr">
        <is>
          <t>경기도 수원시 장안구 화산로 85</t>
        </is>
      </c>
      <c r="AH606" s="0" t="n">
        <v>0</v>
      </c>
      <c r="AI606" s="0" t="n">
        <v>245</v>
      </c>
      <c r="AJ606" s="0" t="n">
        <v>14</v>
      </c>
      <c r="AK606" s="0" t="n">
        <v>4018</v>
      </c>
      <c r="AL606" s="0" t="n">
        <v>1.56</v>
      </c>
    </row>
    <row r="607">
      <c r="A607" s="0" t="inlineStr">
        <is>
          <t>[천천동]</t>
        </is>
      </c>
      <c r="B607" s="0" t="n">
        <v>23880</v>
      </c>
      <c r="C607" s="0" t="n">
        <v>5</v>
      </c>
      <c r="D607" s="0" t="inlineStr">
        <is>
          <t>천천푸르지오</t>
        </is>
      </c>
      <c r="E607" s="0" t="inlineStr">
        <is>
          <t>2009.01.</t>
        </is>
      </c>
      <c r="F607" s="0" t="n">
        <v>2571</v>
      </c>
      <c r="G607" s="0" t="n">
        <v>33.69</v>
      </c>
      <c r="H607" s="0" t="n">
        <v>111.38</v>
      </c>
      <c r="I607" s="0" t="n">
        <v>25.68</v>
      </c>
      <c r="J607" s="0" t="n">
        <v>84.92</v>
      </c>
      <c r="K607" s="0" t="n">
        <v>349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111A</t>
        </is>
      </c>
      <c r="X607" s="0" t="n">
        <v>30</v>
      </c>
      <c r="Y607" s="0" t="n">
        <v>10</v>
      </c>
      <c r="Z607" s="0" t="inlineStr">
        <is>
          <t>https://new.land.naver.com/complexes/23880?tab=detail&amp;rf=Y</t>
        </is>
      </c>
      <c r="AA607" s="0" t="inlineStr">
        <is>
          <t>경기도 수원시 장안구 천천동 333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장안구</t>
        </is>
      </c>
      <c r="AE607" s="0" t="inlineStr">
        <is>
          <t>천천동</t>
        </is>
      </c>
      <c r="AG607" s="0" t="inlineStr">
        <is>
          <t>경기도 수원시 장안구 화산로 85</t>
        </is>
      </c>
      <c r="AH607" s="0" t="n">
        <v>0</v>
      </c>
      <c r="AI607" s="0" t="n">
        <v>245</v>
      </c>
      <c r="AJ607" s="0" t="n">
        <v>14</v>
      </c>
      <c r="AK607" s="0" t="n">
        <v>4018</v>
      </c>
      <c r="AL607" s="0" t="n">
        <v>1.56</v>
      </c>
    </row>
    <row r="608">
      <c r="A608" s="0" t="inlineStr">
        <is>
          <t>[천천동]</t>
        </is>
      </c>
      <c r="B608" s="0" t="n">
        <v>23880</v>
      </c>
      <c r="C608" s="0" t="n">
        <v>6</v>
      </c>
      <c r="D608" s="0" t="inlineStr">
        <is>
          <t>천천푸르지오</t>
        </is>
      </c>
      <c r="E608" s="0" t="inlineStr">
        <is>
          <t>2009.01.</t>
        </is>
      </c>
      <c r="F608" s="0" t="n">
        <v>2571</v>
      </c>
      <c r="G608" s="0" t="n">
        <v>33.96</v>
      </c>
      <c r="H608" s="0" t="n">
        <v>112.27</v>
      </c>
      <c r="I608" s="0" t="n">
        <v>25.65</v>
      </c>
      <c r="J608" s="0" t="n">
        <v>84.8</v>
      </c>
      <c r="K608" s="0" t="n">
        <v>75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112B</t>
        </is>
      </c>
      <c r="X608" s="0" t="n">
        <v>30</v>
      </c>
      <c r="Y608" s="0" t="n">
        <v>10</v>
      </c>
      <c r="Z608" s="0" t="inlineStr">
        <is>
          <t>https://new.land.naver.com/complexes/23880?tab=detail&amp;rf=Y</t>
        </is>
      </c>
      <c r="AA608" s="0" t="inlineStr">
        <is>
          <t>경기도 수원시 장안구 천천동 333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장안구</t>
        </is>
      </c>
      <c r="AE608" s="0" t="inlineStr">
        <is>
          <t>천천동</t>
        </is>
      </c>
      <c r="AG608" s="0" t="inlineStr">
        <is>
          <t>경기도 수원시 장안구 화산로 85</t>
        </is>
      </c>
      <c r="AH608" s="0" t="n">
        <v>0</v>
      </c>
      <c r="AI608" s="0" t="n">
        <v>245</v>
      </c>
      <c r="AJ608" s="0" t="n">
        <v>14</v>
      </c>
      <c r="AK608" s="0" t="n">
        <v>4018</v>
      </c>
      <c r="AL608" s="0" t="n">
        <v>1.56</v>
      </c>
    </row>
    <row r="609">
      <c r="A609" s="0" t="inlineStr">
        <is>
          <t>[천천동]</t>
        </is>
      </c>
      <c r="B609" s="0" t="n">
        <v>23880</v>
      </c>
      <c r="C609" s="0" t="n">
        <v>7</v>
      </c>
      <c r="D609" s="0" t="inlineStr">
        <is>
          <t>천천푸르지오</t>
        </is>
      </c>
      <c r="E609" s="0" t="inlineStr">
        <is>
          <t>2009.01.</t>
        </is>
      </c>
      <c r="F609" s="0" t="n">
        <v>2571</v>
      </c>
      <c r="G609" s="0" t="n">
        <v>42.83</v>
      </c>
      <c r="H609" s="0" t="n">
        <v>141.61</v>
      </c>
      <c r="I609" s="0" t="n">
        <v>34.19</v>
      </c>
      <c r="J609" s="0" t="n">
        <v>113.04</v>
      </c>
      <c r="K609" s="0" t="n">
        <v>222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141B</t>
        </is>
      </c>
      <c r="X609" s="0" t="n">
        <v>30</v>
      </c>
      <c r="Y609" s="0" t="n">
        <v>10</v>
      </c>
      <c r="Z609" s="0" t="inlineStr">
        <is>
          <t>https://new.land.naver.com/complexes/23880?tab=detail&amp;rf=Y</t>
        </is>
      </c>
      <c r="AA609" s="0" t="inlineStr">
        <is>
          <t>경기도 수원시 장안구 천천동 333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장안구</t>
        </is>
      </c>
      <c r="AE609" s="0" t="inlineStr">
        <is>
          <t>천천동</t>
        </is>
      </c>
      <c r="AG609" s="0" t="inlineStr">
        <is>
          <t>경기도 수원시 장안구 화산로 85</t>
        </is>
      </c>
      <c r="AH609" s="0" t="n">
        <v>0</v>
      </c>
      <c r="AI609" s="0" t="n">
        <v>245</v>
      </c>
      <c r="AJ609" s="0" t="n">
        <v>14</v>
      </c>
      <c r="AK609" s="0" t="n">
        <v>4018</v>
      </c>
      <c r="AL609" s="0" t="n">
        <v>1.56</v>
      </c>
    </row>
    <row r="610">
      <c r="A610" s="0" t="inlineStr">
        <is>
          <t>[천천동]</t>
        </is>
      </c>
      <c r="B610" s="0" t="n">
        <v>23880</v>
      </c>
      <c r="C610" s="0" t="n">
        <v>8</v>
      </c>
      <c r="D610" s="0" t="inlineStr">
        <is>
          <t>천천푸르지오</t>
        </is>
      </c>
      <c r="E610" s="0" t="inlineStr">
        <is>
          <t>2009.01.</t>
        </is>
      </c>
      <c r="F610" s="0" t="n">
        <v>2571</v>
      </c>
      <c r="G610" s="0" t="n">
        <v>42.82</v>
      </c>
      <c r="H610" s="0" t="n">
        <v>141.56</v>
      </c>
      <c r="I610" s="0" t="n">
        <v>34.44</v>
      </c>
      <c r="J610" s="0" t="n">
        <v>113.86</v>
      </c>
      <c r="K610" s="0" t="n">
        <v>188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141C</t>
        </is>
      </c>
      <c r="X610" s="0" t="n">
        <v>30</v>
      </c>
      <c r="Y610" s="0" t="n">
        <v>10</v>
      </c>
      <c r="Z610" s="0" t="inlineStr">
        <is>
          <t>https://new.land.naver.com/complexes/23880?tab=detail&amp;rf=Y</t>
        </is>
      </c>
      <c r="AA610" s="0" t="inlineStr">
        <is>
          <t>경기도 수원시 장안구 천천동 333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장안구</t>
        </is>
      </c>
      <c r="AE610" s="0" t="inlineStr">
        <is>
          <t>천천동</t>
        </is>
      </c>
      <c r="AG610" s="0" t="inlineStr">
        <is>
          <t>경기도 수원시 장안구 화산로 85</t>
        </is>
      </c>
      <c r="AH610" s="0" t="n">
        <v>0</v>
      </c>
      <c r="AI610" s="0" t="n">
        <v>245</v>
      </c>
      <c r="AJ610" s="0" t="n">
        <v>14</v>
      </c>
      <c r="AK610" s="0" t="n">
        <v>4018</v>
      </c>
      <c r="AL610" s="0" t="n">
        <v>1.56</v>
      </c>
    </row>
    <row r="611">
      <c r="A611" s="0" t="inlineStr">
        <is>
          <t>[천천동]</t>
        </is>
      </c>
      <c r="B611" s="0" t="n">
        <v>23880</v>
      </c>
      <c r="C611" s="0" t="n">
        <v>9</v>
      </c>
      <c r="D611" s="0" t="inlineStr">
        <is>
          <t>천천푸르지오</t>
        </is>
      </c>
      <c r="E611" s="0" t="inlineStr">
        <is>
          <t>2009.01.</t>
        </is>
      </c>
      <c r="F611" s="0" t="n">
        <v>2571</v>
      </c>
      <c r="G611" s="0" t="n">
        <v>42.94</v>
      </c>
      <c r="H611" s="0" t="n">
        <v>141.96</v>
      </c>
      <c r="I611" s="0" t="n">
        <v>34.4</v>
      </c>
      <c r="J611" s="0" t="n">
        <v>113.72</v>
      </c>
      <c r="K611" s="0" t="n">
        <v>48</v>
      </c>
      <c r="T611" s="0" t="n">
        <v>4</v>
      </c>
      <c r="U611" s="0" t="n">
        <v>2</v>
      </c>
      <c r="V611" s="0" t="inlineStr">
        <is>
          <t>계단식</t>
        </is>
      </c>
      <c r="W611" s="0" t="inlineStr">
        <is>
          <t>141A</t>
        </is>
      </c>
      <c r="X611" s="0" t="n">
        <v>30</v>
      </c>
      <c r="Y611" s="0" t="n">
        <v>10</v>
      </c>
      <c r="Z611" s="0" t="inlineStr">
        <is>
          <t>https://new.land.naver.com/complexes/23880?tab=detail&amp;rf=Y</t>
        </is>
      </c>
      <c r="AA611" s="0" t="inlineStr">
        <is>
          <t>경기도 수원시 장안구 천천동 333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장안구</t>
        </is>
      </c>
      <c r="AE611" s="0" t="inlineStr">
        <is>
          <t>천천동</t>
        </is>
      </c>
      <c r="AG611" s="0" t="inlineStr">
        <is>
          <t>경기도 수원시 장안구 화산로 85</t>
        </is>
      </c>
      <c r="AH611" s="0" t="n">
        <v>0</v>
      </c>
      <c r="AI611" s="0" t="n">
        <v>245</v>
      </c>
      <c r="AJ611" s="0" t="n">
        <v>14</v>
      </c>
      <c r="AK611" s="0" t="n">
        <v>4018</v>
      </c>
      <c r="AL611" s="0" t="n">
        <v>1.56</v>
      </c>
    </row>
    <row r="612">
      <c r="A612" s="0" t="inlineStr">
        <is>
          <t>[천천동]</t>
        </is>
      </c>
      <c r="B612" s="0" t="n">
        <v>23880</v>
      </c>
      <c r="C612" s="0" t="n">
        <v>10</v>
      </c>
      <c r="D612" s="0" t="inlineStr">
        <is>
          <t>천천푸르지오</t>
        </is>
      </c>
      <c r="E612" s="0" t="inlineStr">
        <is>
          <t>2009.01.</t>
        </is>
      </c>
      <c r="F612" s="0" t="n">
        <v>2571</v>
      </c>
      <c r="G612" s="0" t="n">
        <v>48.62</v>
      </c>
      <c r="H612" s="0" t="n">
        <v>160.74</v>
      </c>
      <c r="I612" s="0" t="n">
        <v>39.22</v>
      </c>
      <c r="J612" s="0" t="n">
        <v>129.66</v>
      </c>
      <c r="K612" s="0" t="n">
        <v>125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160C</t>
        </is>
      </c>
      <c r="X612" s="0" t="n">
        <v>30</v>
      </c>
      <c r="Y612" s="0" t="n">
        <v>10</v>
      </c>
      <c r="Z612" s="0" t="inlineStr">
        <is>
          <t>https://new.land.naver.com/complexes/23880?tab=detail&amp;rf=Y</t>
        </is>
      </c>
      <c r="AA612" s="0" t="inlineStr">
        <is>
          <t>경기도 수원시 장안구 천천동 333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장안구</t>
        </is>
      </c>
      <c r="AE612" s="0" t="inlineStr">
        <is>
          <t>천천동</t>
        </is>
      </c>
      <c r="AG612" s="0" t="inlineStr">
        <is>
          <t>경기도 수원시 장안구 화산로 85</t>
        </is>
      </c>
      <c r="AH612" s="0" t="n">
        <v>0</v>
      </c>
      <c r="AI612" s="0" t="n">
        <v>245</v>
      </c>
      <c r="AJ612" s="0" t="n">
        <v>14</v>
      </c>
      <c r="AK612" s="0" t="n">
        <v>4018</v>
      </c>
      <c r="AL612" s="0" t="n">
        <v>1.56</v>
      </c>
    </row>
    <row r="613">
      <c r="A613" s="0" t="inlineStr">
        <is>
          <t>[천천동]</t>
        </is>
      </c>
      <c r="B613" s="0" t="n">
        <v>23880</v>
      </c>
      <c r="C613" s="0" t="n">
        <v>11</v>
      </c>
      <c r="D613" s="0" t="inlineStr">
        <is>
          <t>천천푸르지오</t>
        </is>
      </c>
      <c r="E613" s="0" t="inlineStr">
        <is>
          <t>2009.01.</t>
        </is>
      </c>
      <c r="F613" s="0" t="n">
        <v>2571</v>
      </c>
      <c r="G613" s="0" t="n">
        <v>48.96</v>
      </c>
      <c r="H613" s="0" t="n">
        <v>161.88</v>
      </c>
      <c r="I613" s="0" t="n">
        <v>39.27</v>
      </c>
      <c r="J613" s="0" t="n">
        <v>129.82</v>
      </c>
      <c r="K613" s="0" t="n">
        <v>135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161B</t>
        </is>
      </c>
      <c r="X613" s="0" t="n">
        <v>30</v>
      </c>
      <c r="Y613" s="0" t="n">
        <v>10</v>
      </c>
      <c r="Z613" s="0" t="inlineStr">
        <is>
          <t>https://new.land.naver.com/complexes/23880?tab=detail&amp;rf=Y</t>
        </is>
      </c>
      <c r="AA613" s="0" t="inlineStr">
        <is>
          <t>경기도 수원시 장안구 천천동 333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장안구</t>
        </is>
      </c>
      <c r="AE613" s="0" t="inlineStr">
        <is>
          <t>천천동</t>
        </is>
      </c>
      <c r="AG613" s="0" t="inlineStr">
        <is>
          <t>경기도 수원시 장안구 화산로 85</t>
        </is>
      </c>
      <c r="AH613" s="0" t="n">
        <v>0</v>
      </c>
      <c r="AI613" s="0" t="n">
        <v>245</v>
      </c>
      <c r="AJ613" s="0" t="n">
        <v>14</v>
      </c>
      <c r="AK613" s="0" t="n">
        <v>4018</v>
      </c>
      <c r="AL613" s="0" t="n">
        <v>1.56</v>
      </c>
    </row>
    <row r="614">
      <c r="A614" s="0" t="inlineStr">
        <is>
          <t>[천천동]</t>
        </is>
      </c>
      <c r="B614" s="0" t="n">
        <v>23880</v>
      </c>
      <c r="C614" s="0" t="n">
        <v>12</v>
      </c>
      <c r="D614" s="0" t="inlineStr">
        <is>
          <t>천천푸르지오</t>
        </is>
      </c>
      <c r="E614" s="0" t="inlineStr">
        <is>
          <t>2009.01.</t>
        </is>
      </c>
      <c r="F614" s="0" t="n">
        <v>2571</v>
      </c>
      <c r="G614" s="0" t="n">
        <v>48.91</v>
      </c>
      <c r="H614" s="0" t="n">
        <v>161.7</v>
      </c>
      <c r="I614" s="0" t="n">
        <v>39.2</v>
      </c>
      <c r="J614" s="0" t="n">
        <v>129.59</v>
      </c>
      <c r="K614" s="0" t="n">
        <v>96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161A</t>
        </is>
      </c>
      <c r="X614" s="0" t="n">
        <v>30</v>
      </c>
      <c r="Y614" s="0" t="n">
        <v>10</v>
      </c>
      <c r="Z614" s="0" t="inlineStr">
        <is>
          <t>https://new.land.naver.com/complexes/23880?tab=detail&amp;rf=Y</t>
        </is>
      </c>
      <c r="AA614" s="0" t="inlineStr">
        <is>
          <t>경기도 수원시 장안구 천천동 333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장안구</t>
        </is>
      </c>
      <c r="AE614" s="0" t="inlineStr">
        <is>
          <t>천천동</t>
        </is>
      </c>
      <c r="AG614" s="0" t="inlineStr">
        <is>
          <t>경기도 수원시 장안구 화산로 85</t>
        </is>
      </c>
      <c r="AH614" s="0" t="n">
        <v>0</v>
      </c>
      <c r="AI614" s="0" t="n">
        <v>245</v>
      </c>
      <c r="AJ614" s="0" t="n">
        <v>14</v>
      </c>
      <c r="AK614" s="0" t="n">
        <v>4018</v>
      </c>
      <c r="AL614" s="0" t="n">
        <v>1.56</v>
      </c>
    </row>
    <row r="615">
      <c r="A615" s="0" t="inlineStr">
        <is>
          <t>[천천동]</t>
        </is>
      </c>
      <c r="B615" s="0" t="n">
        <v>23880</v>
      </c>
      <c r="C615" s="0" t="n">
        <v>13</v>
      </c>
      <c r="D615" s="0" t="inlineStr">
        <is>
          <t>천천푸르지오</t>
        </is>
      </c>
      <c r="E615" s="0" t="inlineStr">
        <is>
          <t>2009.01.</t>
        </is>
      </c>
      <c r="F615" s="0" t="n">
        <v>2571</v>
      </c>
      <c r="G615" s="0" t="n">
        <v>55.12</v>
      </c>
      <c r="H615" s="0" t="n">
        <v>182.24</v>
      </c>
      <c r="I615" s="0" t="n">
        <v>44.93</v>
      </c>
      <c r="J615" s="0" t="n">
        <v>148.54</v>
      </c>
      <c r="K615" s="0" t="n">
        <v>116</v>
      </c>
      <c r="T615" s="0" t="n">
        <v>4</v>
      </c>
      <c r="U615" s="0" t="n">
        <v>2</v>
      </c>
      <c r="V615" s="0" t="inlineStr">
        <is>
          <t>계단식</t>
        </is>
      </c>
      <c r="W615" s="0" t="inlineStr">
        <is>
          <t>182A</t>
        </is>
      </c>
      <c r="X615" s="0" t="n">
        <v>30</v>
      </c>
      <c r="Y615" s="0" t="n">
        <v>10</v>
      </c>
      <c r="Z615" s="0" t="inlineStr">
        <is>
          <t>https://new.land.naver.com/complexes/23880?tab=detail&amp;rf=Y</t>
        </is>
      </c>
      <c r="AA615" s="0" t="inlineStr">
        <is>
          <t>경기도 수원시 장안구 천천동 333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장안구</t>
        </is>
      </c>
      <c r="AE615" s="0" t="inlineStr">
        <is>
          <t>천천동</t>
        </is>
      </c>
      <c r="AG615" s="0" t="inlineStr">
        <is>
          <t>경기도 수원시 장안구 화산로 85</t>
        </is>
      </c>
      <c r="AH615" s="0" t="n">
        <v>0</v>
      </c>
      <c r="AI615" s="0" t="n">
        <v>245</v>
      </c>
      <c r="AJ615" s="0" t="n">
        <v>14</v>
      </c>
      <c r="AK615" s="0" t="n">
        <v>4018</v>
      </c>
      <c r="AL615" s="0" t="n">
        <v>1.56</v>
      </c>
    </row>
    <row r="616">
      <c r="A616" s="0" t="inlineStr">
        <is>
          <t>[천천동]</t>
        </is>
      </c>
      <c r="B616" s="0" t="n">
        <v>23880</v>
      </c>
      <c r="C616" s="0" t="n">
        <v>14</v>
      </c>
      <c r="D616" s="0" t="inlineStr">
        <is>
          <t>천천푸르지오</t>
        </is>
      </c>
      <c r="E616" s="0" t="inlineStr">
        <is>
          <t>2009.01.</t>
        </is>
      </c>
      <c r="F616" s="0" t="n">
        <v>2571</v>
      </c>
      <c r="G616" s="0" t="n">
        <v>55.24</v>
      </c>
      <c r="H616" s="0" t="n">
        <v>182.62</v>
      </c>
      <c r="I616" s="0" t="n">
        <v>44.99</v>
      </c>
      <c r="J616" s="0" t="n">
        <v>148.75</v>
      </c>
      <c r="K616" s="0" t="n">
        <v>96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182B</t>
        </is>
      </c>
      <c r="X616" s="0" t="n">
        <v>30</v>
      </c>
      <c r="Y616" s="0" t="n">
        <v>10</v>
      </c>
      <c r="Z616" s="0" t="inlineStr">
        <is>
          <t>https://new.land.naver.com/complexes/23880?tab=detail&amp;rf=Y</t>
        </is>
      </c>
      <c r="AA616" s="0" t="inlineStr">
        <is>
          <t>경기도 수원시 장안구 천천동 333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장안구</t>
        </is>
      </c>
      <c r="AE616" s="0" t="inlineStr">
        <is>
          <t>천천동</t>
        </is>
      </c>
      <c r="AG616" s="0" t="inlineStr">
        <is>
          <t>경기도 수원시 장안구 화산로 85</t>
        </is>
      </c>
      <c r="AH616" s="0" t="n">
        <v>0</v>
      </c>
      <c r="AI616" s="0" t="n">
        <v>245</v>
      </c>
      <c r="AJ616" s="0" t="n">
        <v>14</v>
      </c>
      <c r="AK616" s="0" t="n">
        <v>4018</v>
      </c>
      <c r="AL616" s="0" t="n">
        <v>1.56</v>
      </c>
    </row>
    <row r="617">
      <c r="A617" s="0" t="inlineStr">
        <is>
          <t>[천천동]</t>
        </is>
      </c>
      <c r="B617" s="0" t="n">
        <v>9950</v>
      </c>
      <c r="C617" s="0" t="n">
        <v>1</v>
      </c>
      <c r="D617" s="0" t="inlineStr">
        <is>
          <t>천천삼성래미안</t>
        </is>
      </c>
      <c r="E617" s="0" t="inlineStr">
        <is>
          <t>2002.04.</t>
        </is>
      </c>
      <c r="F617" s="0" t="n">
        <v>876</v>
      </c>
      <c r="G617" s="0" t="n">
        <v>26.24</v>
      </c>
      <c r="H617" s="0" t="n">
        <v>86.75</v>
      </c>
      <c r="I617" s="0" t="n">
        <v>18.14</v>
      </c>
      <c r="J617" s="0" t="n">
        <v>59.97</v>
      </c>
      <c r="K617" s="0" t="n">
        <v>238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86</v>
      </c>
      <c r="X617" s="0" t="n">
        <v>23</v>
      </c>
      <c r="Y617" s="0" t="n">
        <v>15</v>
      </c>
      <c r="Z617" s="0" t="inlineStr">
        <is>
          <t>https://new.land.naver.com/complexes/9950?tab=detail&amp;rf=Y</t>
        </is>
      </c>
      <c r="AA617" s="0" t="inlineStr">
        <is>
          <t>경기도 수원시 장안구 천천동 544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장안구</t>
        </is>
      </c>
      <c r="AE617" s="0" t="inlineStr">
        <is>
          <t>천천동</t>
        </is>
      </c>
      <c r="AG617" s="0" t="inlineStr">
        <is>
          <t>경기도 수원시 장안구 화산로187번길 19</t>
        </is>
      </c>
      <c r="AH617" s="0" t="n">
        <v>0</v>
      </c>
      <c r="AI617" s="0" t="n">
        <v>247</v>
      </c>
      <c r="AJ617" s="0" t="n">
        <v>16</v>
      </c>
      <c r="AK617" s="0" t="n">
        <v>909</v>
      </c>
      <c r="AL617" s="0" t="n">
        <v>1.04</v>
      </c>
    </row>
    <row r="618">
      <c r="A618" s="0" t="inlineStr">
        <is>
          <t>[천천동]</t>
        </is>
      </c>
      <c r="B618" s="0" t="n">
        <v>9950</v>
      </c>
      <c r="C618" s="0" t="n">
        <v>2</v>
      </c>
      <c r="D618" s="0" t="inlineStr">
        <is>
          <t>천천삼성래미안</t>
        </is>
      </c>
      <c r="E618" s="0" t="inlineStr">
        <is>
          <t>2002.04.</t>
        </is>
      </c>
      <c r="F618" s="0" t="n">
        <v>876</v>
      </c>
      <c r="G618" s="0" t="n">
        <v>34.67</v>
      </c>
      <c r="H618" s="0" t="n">
        <v>114.62</v>
      </c>
      <c r="I618" s="0" t="n">
        <v>25.7</v>
      </c>
      <c r="J618" s="0" t="n">
        <v>84.98999999999999</v>
      </c>
      <c r="K618" s="0" t="n">
        <v>638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114</v>
      </c>
      <c r="X618" s="0" t="n">
        <v>23</v>
      </c>
      <c r="Y618" s="0" t="n">
        <v>15</v>
      </c>
      <c r="Z618" s="0" t="inlineStr">
        <is>
          <t>https://new.land.naver.com/complexes/9950?tab=detail&amp;rf=Y</t>
        </is>
      </c>
      <c r="AA618" s="0" t="inlineStr">
        <is>
          <t>경기도 수원시 장안구 천천동 544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장안구</t>
        </is>
      </c>
      <c r="AE618" s="0" t="inlineStr">
        <is>
          <t>천천동</t>
        </is>
      </c>
      <c r="AG618" s="0" t="inlineStr">
        <is>
          <t>경기도 수원시 장안구 화산로187번길 19</t>
        </is>
      </c>
      <c r="AH618" s="0" t="n">
        <v>0</v>
      </c>
      <c r="AI618" s="0" t="n">
        <v>247</v>
      </c>
      <c r="AJ618" s="0" t="n">
        <v>16</v>
      </c>
      <c r="AK618" s="0" t="n">
        <v>909</v>
      </c>
      <c r="AL618" s="0" t="n">
        <v>1.04</v>
      </c>
    </row>
    <row r="619">
      <c r="A619" s="0" t="inlineStr">
        <is>
          <t>[천천동]</t>
        </is>
      </c>
      <c r="B619" s="0" t="n">
        <v>1826</v>
      </c>
      <c r="C619" s="0" t="n">
        <v>1</v>
      </c>
      <c r="D619" s="0" t="inlineStr">
        <is>
          <t>삼호진덕</t>
        </is>
      </c>
      <c r="E619" s="0" t="inlineStr">
        <is>
          <t>1998.03.</t>
        </is>
      </c>
      <c r="F619" s="0" t="n">
        <v>789</v>
      </c>
      <c r="G619" s="0" t="n">
        <v>23.38</v>
      </c>
      <c r="H619" s="0" t="n">
        <v>77.31</v>
      </c>
      <c r="I619" s="0" t="n">
        <v>18.06</v>
      </c>
      <c r="J619" s="0" t="n">
        <v>59.73</v>
      </c>
      <c r="K619" s="0" t="n">
        <v>223</v>
      </c>
      <c r="T619" s="0" t="n">
        <v>2</v>
      </c>
      <c r="U619" s="0" t="n">
        <v>1</v>
      </c>
      <c r="V619" s="0" t="inlineStr">
        <is>
          <t>계단식</t>
        </is>
      </c>
      <c r="W619" s="0" t="inlineStr">
        <is>
          <t>77B</t>
        </is>
      </c>
      <c r="X619" s="0" t="n">
        <v>15</v>
      </c>
      <c r="Y619" s="0" t="n">
        <v>12</v>
      </c>
      <c r="Z619" s="0" t="inlineStr">
        <is>
          <t>https://new.land.naver.com/complexes/1826?tab=detail&amp;rf=Y</t>
        </is>
      </c>
      <c r="AA619" s="0" t="inlineStr">
        <is>
          <t>경기도 수원시 장안구 천천동 565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장안구</t>
        </is>
      </c>
      <c r="AE619" s="0" t="inlineStr">
        <is>
          <t>천천동</t>
        </is>
      </c>
      <c r="AG619" s="0" t="inlineStr">
        <is>
          <t>경기도 수원시 장안구 하률로46번길 22</t>
        </is>
      </c>
      <c r="AH619" s="0" t="n">
        <v>0</v>
      </c>
      <c r="AI619" s="0" t="n">
        <v>218</v>
      </c>
      <c r="AJ619" s="0" t="n">
        <v>22</v>
      </c>
      <c r="AK619" s="0" t="n">
        <v>810</v>
      </c>
      <c r="AL619" s="0" t="n">
        <v>1.03</v>
      </c>
    </row>
    <row r="620">
      <c r="A620" s="0" t="inlineStr">
        <is>
          <t>[천천동]</t>
        </is>
      </c>
      <c r="B620" s="0" t="n">
        <v>1826</v>
      </c>
      <c r="C620" s="0" t="n">
        <v>2</v>
      </c>
      <c r="D620" s="0" t="inlineStr">
        <is>
          <t>삼호진덕</t>
        </is>
      </c>
      <c r="E620" s="0" t="inlineStr">
        <is>
          <t>1998.03.</t>
        </is>
      </c>
      <c r="F620" s="0" t="n">
        <v>789</v>
      </c>
      <c r="G620" s="0" t="n">
        <v>23.67</v>
      </c>
      <c r="H620" s="0" t="n">
        <v>78.28</v>
      </c>
      <c r="I620" s="0" t="n">
        <v>18.11</v>
      </c>
      <c r="J620" s="0" t="n">
        <v>59.88</v>
      </c>
      <c r="K620" s="0" t="n">
        <v>566</v>
      </c>
      <c r="T620" s="0" t="n">
        <v>3</v>
      </c>
      <c r="U620" s="0" t="n">
        <v>1</v>
      </c>
      <c r="V620" s="0" t="inlineStr">
        <is>
          <t>계단식</t>
        </is>
      </c>
      <c r="W620" s="0" t="inlineStr">
        <is>
          <t>78A</t>
        </is>
      </c>
      <c r="X620" s="0" t="n">
        <v>15</v>
      </c>
      <c r="Y620" s="0" t="n">
        <v>12</v>
      </c>
      <c r="Z620" s="0" t="inlineStr">
        <is>
          <t>https://new.land.naver.com/complexes/1826?tab=detail&amp;rf=Y</t>
        </is>
      </c>
      <c r="AA620" s="0" t="inlineStr">
        <is>
          <t>경기도 수원시 장안구 천천동 565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장안구</t>
        </is>
      </c>
      <c r="AE620" s="0" t="inlineStr">
        <is>
          <t>천천동</t>
        </is>
      </c>
      <c r="AG620" s="0" t="inlineStr">
        <is>
          <t>경기도 수원시 장안구 하률로46번길 22</t>
        </is>
      </c>
      <c r="AH620" s="0" t="n">
        <v>0</v>
      </c>
      <c r="AI620" s="0" t="n">
        <v>218</v>
      </c>
      <c r="AJ620" s="0" t="n">
        <v>22</v>
      </c>
      <c r="AK620" s="0" t="n">
        <v>810</v>
      </c>
      <c r="AL620" s="0" t="n">
        <v>1.03</v>
      </c>
    </row>
    <row r="621">
      <c r="A621" s="0" t="inlineStr">
        <is>
          <t>[천천동]</t>
        </is>
      </c>
      <c r="B621" s="0" t="n">
        <v>3646</v>
      </c>
      <c r="C621" s="0" t="n">
        <v>1</v>
      </c>
      <c r="D621" s="0" t="inlineStr">
        <is>
          <t>비단마을베스트타운</t>
        </is>
      </c>
      <c r="E621" s="0" t="inlineStr">
        <is>
          <t>2001.11.</t>
        </is>
      </c>
      <c r="F621" s="0" t="n">
        <v>1032</v>
      </c>
      <c r="G621" s="0" t="n">
        <v>34.33</v>
      </c>
      <c r="H621" s="0" t="n">
        <v>113.52</v>
      </c>
      <c r="I621" s="0" t="n">
        <v>25.7</v>
      </c>
      <c r="J621" s="0" t="n">
        <v>84.98999999999999</v>
      </c>
      <c r="K621" s="0" t="n">
        <v>1032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113</v>
      </c>
      <c r="X621" s="0" t="n">
        <v>25</v>
      </c>
      <c r="Y621" s="0" t="n">
        <v>15</v>
      </c>
      <c r="Z621" s="0" t="inlineStr">
        <is>
          <t>https://new.land.naver.com/complexes/3646?tab=detail&amp;rf=Y</t>
        </is>
      </c>
      <c r="AA621" s="0" t="inlineStr">
        <is>
          <t>경기도 수원시 장안구 천천동 511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장안구</t>
        </is>
      </c>
      <c r="AE621" s="0" t="inlineStr">
        <is>
          <t>천천동</t>
        </is>
      </c>
      <c r="AG621" s="0" t="inlineStr">
        <is>
          <t>경기도 수원시 장안구 정자로42번길 52</t>
        </is>
      </c>
      <c r="AH621" s="0" t="n">
        <v>0</v>
      </c>
      <c r="AI621" s="0" t="n">
        <v>213</v>
      </c>
      <c r="AJ621" s="0" t="n">
        <v>16</v>
      </c>
      <c r="AK621" s="0" t="n">
        <v>1313</v>
      </c>
      <c r="AL621" s="0" t="n">
        <v>1.27</v>
      </c>
    </row>
    <row r="622">
      <c r="A622" s="0" t="inlineStr">
        <is>
          <t>[천천동]</t>
        </is>
      </c>
      <c r="B622" s="0" t="n">
        <v>3895</v>
      </c>
      <c r="C622" s="0" t="n">
        <v>1</v>
      </c>
      <c r="D622" s="0" t="inlineStr">
        <is>
          <t>비단마을현대성우,우방</t>
        </is>
      </c>
      <c r="E622" s="0" t="inlineStr">
        <is>
          <t>2002.02.</t>
        </is>
      </c>
      <c r="F622" s="0" t="n">
        <v>501</v>
      </c>
      <c r="G622" s="0" t="n">
        <v>39.48</v>
      </c>
      <c r="H622" s="0" t="n">
        <v>130.52</v>
      </c>
      <c r="I622" s="0" t="n">
        <v>30.61</v>
      </c>
      <c r="J622" s="0" t="n">
        <v>101.22</v>
      </c>
      <c r="K622" s="0" t="n">
        <v>68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130</v>
      </c>
      <c r="X622" s="0" t="n">
        <v>23</v>
      </c>
      <c r="Y622" s="0" t="n">
        <v>16</v>
      </c>
      <c r="Z622" s="0" t="inlineStr">
        <is>
          <t>https://new.land.naver.com/complexes/3895?tab=detail&amp;rf=Y</t>
        </is>
      </c>
      <c r="AA622" s="0" t="inlineStr">
        <is>
          <t>경기도 수원시 장안구 천천동 531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장안구</t>
        </is>
      </c>
      <c r="AE622" s="0" t="inlineStr">
        <is>
          <t>천천동</t>
        </is>
      </c>
      <c r="AG622" s="0" t="inlineStr">
        <is>
          <t>경기도 수원시 장안구 만석로 29</t>
        </is>
      </c>
      <c r="AH622" s="0" t="n">
        <v>0</v>
      </c>
      <c r="AI622" s="0" t="n">
        <v>220</v>
      </c>
      <c r="AJ622" s="0" t="n">
        <v>16</v>
      </c>
      <c r="AK622" s="0" t="n">
        <v>901</v>
      </c>
      <c r="AL622" s="0" t="n">
        <v>1.8</v>
      </c>
    </row>
    <row r="623">
      <c r="A623" s="0" t="inlineStr">
        <is>
          <t>[천천동]</t>
        </is>
      </c>
      <c r="B623" s="0" t="n">
        <v>3895</v>
      </c>
      <c r="C623" s="0" t="n">
        <v>2</v>
      </c>
      <c r="D623" s="0" t="inlineStr">
        <is>
          <t>비단마을현대성우,우방</t>
        </is>
      </c>
      <c r="E623" s="0" t="inlineStr">
        <is>
          <t>2002.02.</t>
        </is>
      </c>
      <c r="F623" s="0" t="n">
        <v>501</v>
      </c>
      <c r="G623" s="0" t="n">
        <v>40.07</v>
      </c>
      <c r="H623" s="0" t="n">
        <v>132.47</v>
      </c>
      <c r="I623" s="0" t="n">
        <v>30.49</v>
      </c>
      <c r="J623" s="0" t="n">
        <v>100.82</v>
      </c>
      <c r="K623" s="0" t="n">
        <v>99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132</v>
      </c>
      <c r="X623" s="0" t="n">
        <v>23</v>
      </c>
      <c r="Y623" s="0" t="n">
        <v>16</v>
      </c>
      <c r="Z623" s="0" t="inlineStr">
        <is>
          <t>https://new.land.naver.com/complexes/3895?tab=detail&amp;rf=Y</t>
        </is>
      </c>
      <c r="AA623" s="0" t="inlineStr">
        <is>
          <t>경기도 수원시 장안구 천천동 531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장안구</t>
        </is>
      </c>
      <c r="AE623" s="0" t="inlineStr">
        <is>
          <t>천천동</t>
        </is>
      </c>
      <c r="AG623" s="0" t="inlineStr">
        <is>
          <t>경기도 수원시 장안구 만석로 29</t>
        </is>
      </c>
      <c r="AH623" s="0" t="n">
        <v>0</v>
      </c>
      <c r="AI623" s="0" t="n">
        <v>220</v>
      </c>
      <c r="AJ623" s="0" t="n">
        <v>16</v>
      </c>
      <c r="AK623" s="0" t="n">
        <v>901</v>
      </c>
      <c r="AL623" s="0" t="n">
        <v>1.8</v>
      </c>
    </row>
    <row r="624">
      <c r="A624" s="0" t="inlineStr">
        <is>
          <t>[천천동]</t>
        </is>
      </c>
      <c r="B624" s="0" t="n">
        <v>3895</v>
      </c>
      <c r="C624" s="0" t="n">
        <v>3</v>
      </c>
      <c r="D624" s="0" t="inlineStr">
        <is>
          <t>비단마을현대성우,우방</t>
        </is>
      </c>
      <c r="E624" s="0" t="inlineStr">
        <is>
          <t>2002.02.</t>
        </is>
      </c>
      <c r="F624" s="0" t="n">
        <v>501</v>
      </c>
      <c r="G624" s="0" t="n">
        <v>49.23</v>
      </c>
      <c r="H624" s="0" t="n">
        <v>162.75</v>
      </c>
      <c r="I624" s="0" t="n">
        <v>38.75</v>
      </c>
      <c r="J624" s="0" t="n">
        <v>128.11</v>
      </c>
      <c r="K624" s="0" t="n">
        <v>161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162B</t>
        </is>
      </c>
      <c r="X624" s="0" t="n">
        <v>23</v>
      </c>
      <c r="Y624" s="0" t="n">
        <v>16</v>
      </c>
      <c r="Z624" s="0" t="inlineStr">
        <is>
          <t>https://new.land.naver.com/complexes/3895?tab=detail&amp;rf=Y</t>
        </is>
      </c>
      <c r="AA624" s="0" t="inlineStr">
        <is>
          <t>경기도 수원시 장안구 천천동 531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장안구</t>
        </is>
      </c>
      <c r="AE624" s="0" t="inlineStr">
        <is>
          <t>천천동</t>
        </is>
      </c>
      <c r="AG624" s="0" t="inlineStr">
        <is>
          <t>경기도 수원시 장안구 만석로 29</t>
        </is>
      </c>
      <c r="AH624" s="0" t="n">
        <v>0</v>
      </c>
      <c r="AI624" s="0" t="n">
        <v>220</v>
      </c>
      <c r="AJ624" s="0" t="n">
        <v>16</v>
      </c>
      <c r="AK624" s="0" t="n">
        <v>901</v>
      </c>
      <c r="AL624" s="0" t="n">
        <v>1.8</v>
      </c>
    </row>
    <row r="625">
      <c r="A625" s="0" t="inlineStr">
        <is>
          <t>[천천동]</t>
        </is>
      </c>
      <c r="B625" s="0" t="n">
        <v>3895</v>
      </c>
      <c r="C625" s="0" t="n">
        <v>4</v>
      </c>
      <c r="D625" s="0" t="inlineStr">
        <is>
          <t>비단마을현대성우,우방</t>
        </is>
      </c>
      <c r="E625" s="0" t="inlineStr">
        <is>
          <t>2002.02.</t>
        </is>
      </c>
      <c r="F625" s="0" t="n">
        <v>501</v>
      </c>
      <c r="G625" s="0" t="n">
        <v>49.01</v>
      </c>
      <c r="H625" s="0" t="n">
        <v>162.02</v>
      </c>
      <c r="I625" s="0" t="n">
        <v>38.71</v>
      </c>
      <c r="J625" s="0" t="n">
        <v>127.97</v>
      </c>
      <c r="K625" s="0" t="n">
        <v>128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162A</t>
        </is>
      </c>
      <c r="X625" s="0" t="n">
        <v>23</v>
      </c>
      <c r="Y625" s="0" t="n">
        <v>16</v>
      </c>
      <c r="Z625" s="0" t="inlineStr">
        <is>
          <t>https://new.land.naver.com/complexes/3895?tab=detail&amp;rf=Y</t>
        </is>
      </c>
      <c r="AA625" s="0" t="inlineStr">
        <is>
          <t>경기도 수원시 장안구 천천동 531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장안구</t>
        </is>
      </c>
      <c r="AE625" s="0" t="inlineStr">
        <is>
          <t>천천동</t>
        </is>
      </c>
      <c r="AG625" s="0" t="inlineStr">
        <is>
          <t>경기도 수원시 장안구 만석로 29</t>
        </is>
      </c>
      <c r="AH625" s="0" t="n">
        <v>0</v>
      </c>
      <c r="AI625" s="0" t="n">
        <v>220</v>
      </c>
      <c r="AJ625" s="0" t="n">
        <v>16</v>
      </c>
      <c r="AK625" s="0" t="n">
        <v>901</v>
      </c>
      <c r="AL625" s="0" t="n">
        <v>1.8</v>
      </c>
    </row>
    <row r="626">
      <c r="A626" s="0" t="inlineStr">
        <is>
          <t>[천천동]</t>
        </is>
      </c>
      <c r="B626" s="0" t="n">
        <v>3895</v>
      </c>
      <c r="C626" s="0" t="n">
        <v>5</v>
      </c>
      <c r="D626" s="0" t="inlineStr">
        <is>
          <t>비단마을현대성우,우방</t>
        </is>
      </c>
      <c r="E626" s="0" t="inlineStr">
        <is>
          <t>2002.02.</t>
        </is>
      </c>
      <c r="F626" s="0" t="n">
        <v>501</v>
      </c>
      <c r="G626" s="0" t="n">
        <v>65.22</v>
      </c>
      <c r="H626" s="0" t="n">
        <v>215.63</v>
      </c>
      <c r="I626" s="0" t="n">
        <v>52.45</v>
      </c>
      <c r="J626" s="0" t="n">
        <v>173.39</v>
      </c>
      <c r="K626" s="0" t="n">
        <v>45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215</v>
      </c>
      <c r="X626" s="0" t="n">
        <v>23</v>
      </c>
      <c r="Y626" s="0" t="n">
        <v>16</v>
      </c>
      <c r="Z626" s="0" t="inlineStr">
        <is>
          <t>https://new.land.naver.com/complexes/3895?tab=detail&amp;rf=Y</t>
        </is>
      </c>
      <c r="AA626" s="0" t="inlineStr">
        <is>
          <t>경기도 수원시 장안구 천천동 531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장안구</t>
        </is>
      </c>
      <c r="AE626" s="0" t="inlineStr">
        <is>
          <t>천천동</t>
        </is>
      </c>
      <c r="AG626" s="0" t="inlineStr">
        <is>
          <t>경기도 수원시 장안구 만석로 29</t>
        </is>
      </c>
      <c r="AH626" s="0" t="n">
        <v>0</v>
      </c>
      <c r="AI626" s="0" t="n">
        <v>220</v>
      </c>
      <c r="AJ626" s="0" t="n">
        <v>16</v>
      </c>
      <c r="AK626" s="0" t="n">
        <v>901</v>
      </c>
      <c r="AL626" s="0" t="n">
        <v>1.8</v>
      </c>
    </row>
    <row r="627">
      <c r="A627" s="0" t="inlineStr">
        <is>
          <t>[천천동]</t>
        </is>
      </c>
      <c r="B627" s="0" t="n">
        <v>3648</v>
      </c>
      <c r="C627" s="0" t="n">
        <v>1</v>
      </c>
      <c r="D627" s="0" t="inlineStr">
        <is>
          <t>비단마을영풍마드레빌</t>
        </is>
      </c>
      <c r="E627" s="0" t="inlineStr">
        <is>
          <t>2001.05.</t>
        </is>
      </c>
      <c r="F627" s="0" t="n">
        <v>212</v>
      </c>
      <c r="G627" s="0" t="n">
        <v>46.1</v>
      </c>
      <c r="H627" s="0" t="n">
        <v>152.4</v>
      </c>
      <c r="I627" s="0" t="n">
        <v>37.15</v>
      </c>
      <c r="J627" s="0" t="n">
        <v>122.84</v>
      </c>
      <c r="K627" s="0" t="n">
        <v>212</v>
      </c>
      <c r="T627" s="0" t="n">
        <v>4</v>
      </c>
      <c r="U627" s="0" t="n">
        <v>2</v>
      </c>
      <c r="V627" s="0" t="inlineStr">
        <is>
          <t>계단식</t>
        </is>
      </c>
      <c r="W627" s="0" t="n">
        <v>152</v>
      </c>
      <c r="X627" s="0" t="n">
        <v>15</v>
      </c>
      <c r="Y627" s="0" t="n">
        <v>12</v>
      </c>
      <c r="Z627" s="0" t="inlineStr">
        <is>
          <t>https://new.land.naver.com/complexes/3648?tab=detail&amp;rf=Y</t>
        </is>
      </c>
      <c r="AA627" s="0" t="inlineStr">
        <is>
          <t>경기도 수원시 장안구 천천동 514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장안구</t>
        </is>
      </c>
      <c r="AE627" s="0" t="inlineStr">
        <is>
          <t>천천동</t>
        </is>
      </c>
      <c r="AG627" s="0" t="inlineStr">
        <is>
          <t>경기도 수원시 장안구 덕영대로535번길 67</t>
        </is>
      </c>
      <c r="AH627" s="0" t="n">
        <v>0</v>
      </c>
      <c r="AI627" s="0" t="n">
        <v>218</v>
      </c>
      <c r="AJ627" s="0" t="n">
        <v>22</v>
      </c>
      <c r="AK627" s="0" t="n">
        <v>376</v>
      </c>
      <c r="AL627" s="0" t="n">
        <v>1.77</v>
      </c>
    </row>
    <row r="628">
      <c r="A628" s="0" t="inlineStr">
        <is>
          <t>[파장동]</t>
        </is>
      </c>
      <c r="B628" s="0" t="n">
        <v>139926</v>
      </c>
      <c r="C628" s="0" t="n">
        <v>1</v>
      </c>
      <c r="D628" s="0" t="inlineStr">
        <is>
          <t>한화포레나수원장안</t>
        </is>
      </c>
      <c r="E628" s="0" t="inlineStr">
        <is>
          <t>2023.09.</t>
        </is>
      </c>
      <c r="F628" s="0" t="n">
        <v>1063</v>
      </c>
      <c r="G628" s="0" t="n">
        <v>26.96</v>
      </c>
      <c r="H628" s="0" t="n">
        <v>89.14</v>
      </c>
      <c r="I628" s="0" t="n">
        <v>19.59</v>
      </c>
      <c r="J628" s="0" t="n">
        <v>64.79000000000001</v>
      </c>
      <c r="K628" s="0" t="n">
        <v>164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89B</t>
        </is>
      </c>
      <c r="X628" s="0" t="n">
        <v>27</v>
      </c>
      <c r="Y628" s="0" t="n">
        <v>14</v>
      </c>
      <c r="Z628" s="0" t="inlineStr">
        <is>
          <t>https://new.land.naver.com/complexes/139926?tab=detail&amp;rf=Y</t>
        </is>
      </c>
      <c r="AA628" s="0" t="inlineStr">
        <is>
          <t>경기도 수원시 장안구 파장동 193번지 일원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장안구</t>
        </is>
      </c>
      <c r="AE628" s="0" t="inlineStr">
        <is>
          <t>파장동</t>
        </is>
      </c>
      <c r="AG628" s="0" t="inlineStr">
        <is>
          <t>경기도 수원시 장안구</t>
        </is>
      </c>
      <c r="AH628" s="0" t="n">
        <v>0</v>
      </c>
      <c r="AI628" s="0" t="n">
        <v>0</v>
      </c>
      <c r="AJ628" s="0" t="n">
        <v>0</v>
      </c>
      <c r="AK628" s="0" t="n">
        <v>1500</v>
      </c>
      <c r="AL628" s="0" t="n">
        <v>1.41</v>
      </c>
    </row>
    <row r="629">
      <c r="A629" s="0" t="inlineStr">
        <is>
          <t>[파장동]</t>
        </is>
      </c>
      <c r="B629" s="0" t="n">
        <v>139926</v>
      </c>
      <c r="C629" s="0" t="n">
        <v>2</v>
      </c>
      <c r="D629" s="0" t="inlineStr">
        <is>
          <t>한화포레나수원장안</t>
        </is>
      </c>
      <c r="E629" s="0" t="inlineStr">
        <is>
          <t>2023.09.</t>
        </is>
      </c>
      <c r="F629" s="0" t="n">
        <v>1063</v>
      </c>
      <c r="G629" s="0" t="n">
        <v>26.93</v>
      </c>
      <c r="H629" s="0" t="n">
        <v>89.04000000000001</v>
      </c>
      <c r="I629" s="0" t="n">
        <v>19.65</v>
      </c>
      <c r="J629" s="0" t="n">
        <v>64.98</v>
      </c>
      <c r="K629" s="0" t="n">
        <v>158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89A</t>
        </is>
      </c>
      <c r="X629" s="0" t="n">
        <v>27</v>
      </c>
      <c r="Y629" s="0" t="n">
        <v>14</v>
      </c>
      <c r="Z629" s="0" t="inlineStr">
        <is>
          <t>https://new.land.naver.com/complexes/139926?tab=detail&amp;rf=Y</t>
        </is>
      </c>
      <c r="AA629" s="0" t="inlineStr">
        <is>
          <t>경기도 수원시 장안구 파장동 193번지 일원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장안구</t>
        </is>
      </c>
      <c r="AE629" s="0" t="inlineStr">
        <is>
          <t>파장동</t>
        </is>
      </c>
      <c r="AG629" s="0" t="inlineStr">
        <is>
          <t>경기도 수원시 장안구</t>
        </is>
      </c>
      <c r="AH629" s="0" t="n">
        <v>0</v>
      </c>
      <c r="AI629" s="0" t="n">
        <v>0</v>
      </c>
      <c r="AJ629" s="0" t="n">
        <v>0</v>
      </c>
      <c r="AK629" s="0" t="n">
        <v>1500</v>
      </c>
      <c r="AL629" s="0" t="n">
        <v>1.41</v>
      </c>
    </row>
    <row r="630">
      <c r="A630" s="0" t="inlineStr">
        <is>
          <t>[파장동]</t>
        </is>
      </c>
      <c r="B630" s="0" t="n">
        <v>139926</v>
      </c>
      <c r="C630" s="0" t="n">
        <v>3</v>
      </c>
      <c r="D630" s="0" t="inlineStr">
        <is>
          <t>한화포레나수원장안</t>
        </is>
      </c>
      <c r="E630" s="0" t="inlineStr">
        <is>
          <t>2023.09.</t>
        </is>
      </c>
      <c r="F630" s="0" t="n">
        <v>1063</v>
      </c>
      <c r="G630" s="0" t="n">
        <v>33.01</v>
      </c>
      <c r="H630" s="0" t="n">
        <v>109.14</v>
      </c>
      <c r="I630" s="0" t="n">
        <v>25.7</v>
      </c>
      <c r="J630" s="0" t="n">
        <v>84.95999999999999</v>
      </c>
      <c r="K630" s="0" t="n">
        <v>482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109A</t>
        </is>
      </c>
      <c r="X630" s="0" t="n">
        <v>27</v>
      </c>
      <c r="Y630" s="0" t="n">
        <v>14</v>
      </c>
      <c r="Z630" s="0" t="inlineStr">
        <is>
          <t>https://new.land.naver.com/complexes/139926?tab=detail&amp;rf=Y</t>
        </is>
      </c>
      <c r="AA630" s="0" t="inlineStr">
        <is>
          <t>경기도 수원시 장안구 파장동 193번지 일원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장안구</t>
        </is>
      </c>
      <c r="AE630" s="0" t="inlineStr">
        <is>
          <t>파장동</t>
        </is>
      </c>
      <c r="AG630" s="0" t="inlineStr">
        <is>
          <t>경기도 수원시 장안구</t>
        </is>
      </c>
      <c r="AH630" s="0" t="n">
        <v>0</v>
      </c>
      <c r="AI630" s="0" t="n">
        <v>0</v>
      </c>
      <c r="AJ630" s="0" t="n">
        <v>0</v>
      </c>
      <c r="AK630" s="0" t="n">
        <v>1500</v>
      </c>
      <c r="AL630" s="0" t="n">
        <v>1.41</v>
      </c>
    </row>
    <row r="631">
      <c r="A631" s="0" t="inlineStr">
        <is>
          <t>[파장동]</t>
        </is>
      </c>
      <c r="B631" s="0" t="n">
        <v>139926</v>
      </c>
      <c r="C631" s="0" t="n">
        <v>4</v>
      </c>
      <c r="D631" s="0" t="inlineStr">
        <is>
          <t>한화포레나수원장안</t>
        </is>
      </c>
      <c r="E631" s="0" t="inlineStr">
        <is>
          <t>2023.09.</t>
        </is>
      </c>
      <c r="F631" s="0" t="n">
        <v>1063</v>
      </c>
      <c r="G631" s="0" t="n">
        <v>33.01</v>
      </c>
      <c r="H631" s="0" t="n">
        <v>109.13</v>
      </c>
      <c r="I631" s="0" t="n">
        <v>25.7</v>
      </c>
      <c r="J631" s="0" t="n">
        <v>84.95999999999999</v>
      </c>
      <c r="K631" s="0" t="n">
        <v>259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109B</t>
        </is>
      </c>
      <c r="X631" s="0" t="n">
        <v>27</v>
      </c>
      <c r="Y631" s="0" t="n">
        <v>14</v>
      </c>
      <c r="Z631" s="0" t="inlineStr">
        <is>
          <t>https://new.land.naver.com/complexes/139926?tab=detail&amp;rf=Y</t>
        </is>
      </c>
      <c r="AA631" s="0" t="inlineStr">
        <is>
          <t>경기도 수원시 장안구 파장동 193번지 일원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장안구</t>
        </is>
      </c>
      <c r="AE631" s="0" t="inlineStr">
        <is>
          <t>파장동</t>
        </is>
      </c>
      <c r="AG631" s="0" t="inlineStr">
        <is>
          <t>경기도 수원시 장안구</t>
        </is>
      </c>
      <c r="AH631" s="0" t="n">
        <v>0</v>
      </c>
      <c r="AI631" s="0" t="n">
        <v>0</v>
      </c>
      <c r="AJ631" s="0" t="n">
        <v>0</v>
      </c>
      <c r="AK631" s="0" t="n">
        <v>1500</v>
      </c>
      <c r="AL631" s="0" t="n">
        <v>1.41</v>
      </c>
    </row>
    <row r="632">
      <c r="A632" s="0" t="inlineStr">
        <is>
          <t>[파장동]</t>
        </is>
      </c>
      <c r="B632" s="0" t="n">
        <v>140238</v>
      </c>
      <c r="C632" s="0" t="n">
        <v>1</v>
      </c>
      <c r="D632" s="0" t="inlineStr">
        <is>
          <t>건우까사미2차</t>
        </is>
      </c>
      <c r="E632" s="0" t="inlineStr">
        <is>
          <t>2021.03.</t>
        </is>
      </c>
      <c r="F632" s="0" t="n">
        <v>8</v>
      </c>
      <c r="G632" s="0" t="n">
        <v>21.13</v>
      </c>
      <c r="H632" s="0" t="n">
        <v>69.87</v>
      </c>
      <c r="I632" s="0" t="n">
        <v>14.48</v>
      </c>
      <c r="J632" s="0" t="n">
        <v>47.89</v>
      </c>
      <c r="K632" s="0" t="n">
        <v>2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69</v>
      </c>
      <c r="X632" s="0" t="n">
        <v>15</v>
      </c>
      <c r="Y632" s="0" t="n">
        <v>15</v>
      </c>
      <c r="Z632" s="0" t="inlineStr">
        <is>
          <t>https://new.land.naver.com/complexes/140238?tab=detail&amp;rf=Y</t>
        </is>
      </c>
      <c r="AA632" s="0" t="inlineStr">
        <is>
          <t>경기도 수원시 장안구 파장동 580-2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장안구</t>
        </is>
      </c>
      <c r="AE632" s="0" t="inlineStr">
        <is>
          <t>파장동</t>
        </is>
      </c>
      <c r="AG632" s="0" t="inlineStr">
        <is>
          <t>경기도 수원시 장안구 파장로76번길 11</t>
        </is>
      </c>
      <c r="AH632" s="0" t="n">
        <v>0</v>
      </c>
      <c r="AI632" s="0" t="n">
        <v>597</v>
      </c>
      <c r="AJ632" s="0" t="n">
        <v>68</v>
      </c>
      <c r="AK632" s="0" t="n">
        <v>8</v>
      </c>
      <c r="AL632" s="0" t="n">
        <v>1</v>
      </c>
    </row>
    <row r="633">
      <c r="A633" s="0" t="inlineStr">
        <is>
          <t>[파장동]</t>
        </is>
      </c>
      <c r="B633" s="0" t="n">
        <v>140238</v>
      </c>
      <c r="C633" s="0" t="n">
        <v>2</v>
      </c>
      <c r="D633" s="0" t="inlineStr">
        <is>
          <t>건우까사미2차</t>
        </is>
      </c>
      <c r="E633" s="0" t="inlineStr">
        <is>
          <t>2021.03.</t>
        </is>
      </c>
      <c r="F633" s="0" t="n">
        <v>8</v>
      </c>
      <c r="G633" s="0" t="n">
        <v>21.68</v>
      </c>
      <c r="H633" s="0" t="n">
        <v>71.68000000000001</v>
      </c>
      <c r="I633" s="0" t="n">
        <v>14.71</v>
      </c>
      <c r="J633" s="0" t="n">
        <v>48.64</v>
      </c>
      <c r="K633" s="0" t="n">
        <v>2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71A</t>
        </is>
      </c>
      <c r="X633" s="0" t="n">
        <v>15</v>
      </c>
      <c r="Y633" s="0" t="n">
        <v>15</v>
      </c>
      <c r="Z633" s="0" t="inlineStr">
        <is>
          <t>https://new.land.naver.com/complexes/140238?tab=detail&amp;rf=Y</t>
        </is>
      </c>
      <c r="AA633" s="0" t="inlineStr">
        <is>
          <t>경기도 수원시 장안구 파장동 580-2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장안구</t>
        </is>
      </c>
      <c r="AE633" s="0" t="inlineStr">
        <is>
          <t>파장동</t>
        </is>
      </c>
      <c r="AG633" s="0" t="inlineStr">
        <is>
          <t>경기도 수원시 장안구 파장로76번길 11</t>
        </is>
      </c>
      <c r="AH633" s="0" t="n">
        <v>0</v>
      </c>
      <c r="AI633" s="0" t="n">
        <v>597</v>
      </c>
      <c r="AJ633" s="0" t="n">
        <v>68</v>
      </c>
      <c r="AK633" s="0" t="n">
        <v>8</v>
      </c>
      <c r="AL633" s="0" t="n">
        <v>1</v>
      </c>
    </row>
    <row r="634">
      <c r="A634" s="0" t="inlineStr">
        <is>
          <t>[파장동]</t>
        </is>
      </c>
      <c r="B634" s="0" t="n">
        <v>140238</v>
      </c>
      <c r="C634" s="0" t="n">
        <v>3</v>
      </c>
      <c r="D634" s="0" t="inlineStr">
        <is>
          <t>건우까사미2차</t>
        </is>
      </c>
      <c r="E634" s="0" t="inlineStr">
        <is>
          <t>2021.03.</t>
        </is>
      </c>
      <c r="F634" s="0" t="n">
        <v>8</v>
      </c>
      <c r="G634" s="0" t="n">
        <v>21.73</v>
      </c>
      <c r="H634" s="0" t="n">
        <v>71.84999999999999</v>
      </c>
      <c r="I634" s="0" t="n">
        <v>14.66</v>
      </c>
      <c r="J634" s="0" t="n">
        <v>48.47</v>
      </c>
      <c r="K634" s="0" t="n">
        <v>2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71C</t>
        </is>
      </c>
      <c r="X634" s="0" t="n">
        <v>15</v>
      </c>
      <c r="Y634" s="0" t="n">
        <v>15</v>
      </c>
      <c r="Z634" s="0" t="inlineStr">
        <is>
          <t>https://new.land.naver.com/complexes/140238?tab=detail&amp;rf=Y</t>
        </is>
      </c>
      <c r="AA634" s="0" t="inlineStr">
        <is>
          <t>경기도 수원시 장안구 파장동 580-2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장안구</t>
        </is>
      </c>
      <c r="AE634" s="0" t="inlineStr">
        <is>
          <t>파장동</t>
        </is>
      </c>
      <c r="AG634" s="0" t="inlineStr">
        <is>
          <t>경기도 수원시 장안구 파장로76번길 11</t>
        </is>
      </c>
      <c r="AH634" s="0" t="n">
        <v>0</v>
      </c>
      <c r="AI634" s="0" t="n">
        <v>597</v>
      </c>
      <c r="AJ634" s="0" t="n">
        <v>68</v>
      </c>
      <c r="AK634" s="0" t="n">
        <v>8</v>
      </c>
      <c r="AL634" s="0" t="n">
        <v>1</v>
      </c>
    </row>
    <row r="635">
      <c r="A635" s="0" t="inlineStr">
        <is>
          <t>[파장동]</t>
        </is>
      </c>
      <c r="B635" s="0" t="n">
        <v>140238</v>
      </c>
      <c r="C635" s="0" t="n">
        <v>4</v>
      </c>
      <c r="D635" s="0" t="inlineStr">
        <is>
          <t>건우까사미2차</t>
        </is>
      </c>
      <c r="E635" s="0" t="inlineStr">
        <is>
          <t>2021.03.</t>
        </is>
      </c>
      <c r="F635" s="0" t="n">
        <v>8</v>
      </c>
      <c r="G635" s="0" t="n">
        <v>21.95</v>
      </c>
      <c r="H635" s="0" t="n">
        <v>72.56999999999999</v>
      </c>
      <c r="I635" s="0" t="n">
        <v>14.99</v>
      </c>
      <c r="J635" s="0" t="n">
        <v>49.57</v>
      </c>
      <c r="K635" s="0" t="n">
        <v>2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72B</t>
        </is>
      </c>
      <c r="X635" s="0" t="n">
        <v>15</v>
      </c>
      <c r="Y635" s="0" t="n">
        <v>15</v>
      </c>
      <c r="Z635" s="0" t="inlineStr">
        <is>
          <t>https://new.land.naver.com/complexes/140238?tab=detail&amp;rf=Y</t>
        </is>
      </c>
      <c r="AA635" s="0" t="inlineStr">
        <is>
          <t>경기도 수원시 장안구 파장동 580-2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장안구</t>
        </is>
      </c>
      <c r="AE635" s="0" t="inlineStr">
        <is>
          <t>파장동</t>
        </is>
      </c>
      <c r="AG635" s="0" t="inlineStr">
        <is>
          <t>경기도 수원시 장안구 파장로76번길 11</t>
        </is>
      </c>
      <c r="AH635" s="0" t="n">
        <v>0</v>
      </c>
      <c r="AI635" s="0" t="n">
        <v>597</v>
      </c>
      <c r="AJ635" s="0" t="n">
        <v>68</v>
      </c>
      <c r="AK635" s="0" t="n">
        <v>8</v>
      </c>
      <c r="AL635" s="0" t="n">
        <v>1</v>
      </c>
    </row>
    <row r="636">
      <c r="A636" s="0" t="inlineStr">
        <is>
          <t>[파장동]</t>
        </is>
      </c>
      <c r="B636" s="0" t="n">
        <v>1850</v>
      </c>
      <c r="C636" s="0" t="n">
        <v>1</v>
      </c>
      <c r="D636" s="0" t="inlineStr">
        <is>
          <t>화남1차</t>
        </is>
      </c>
      <c r="E636" s="0" t="inlineStr">
        <is>
          <t>1989.11.</t>
        </is>
      </c>
      <c r="F636" s="0" t="n">
        <v>120</v>
      </c>
      <c r="G636" s="0" t="n">
        <v>17.88</v>
      </c>
      <c r="H636" s="0" t="n">
        <v>59.12</v>
      </c>
      <c r="I636" s="0" t="n">
        <v>13.68</v>
      </c>
      <c r="J636" s="0" t="n">
        <v>45.24</v>
      </c>
      <c r="K636" s="0" t="n">
        <v>6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59</v>
      </c>
      <c r="X636" s="0" t="n">
        <v>6</v>
      </c>
      <c r="Y636" s="0" t="n">
        <v>6</v>
      </c>
      <c r="Z636" s="0" t="inlineStr">
        <is>
          <t>https://new.land.naver.com/complexes/1850?tab=detail&amp;rf=Y</t>
        </is>
      </c>
      <c r="AA636" s="0" t="inlineStr">
        <is>
          <t>경기도 수원시 장안구 파장동 569-3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장안구</t>
        </is>
      </c>
      <c r="AE636" s="0" t="inlineStr">
        <is>
          <t>파장동</t>
        </is>
      </c>
      <c r="AG636" s="0" t="inlineStr">
        <is>
          <t>경기도 수원시 장안구 파장로110번길 17</t>
        </is>
      </c>
      <c r="AH636" s="0" t="n">
        <v>0</v>
      </c>
      <c r="AI636" s="0" t="n">
        <v>199</v>
      </c>
      <c r="AJ636" s="0" t="n">
        <v>33</v>
      </c>
      <c r="AK636" s="0" t="n">
        <v>96</v>
      </c>
      <c r="AL636" s="0" t="n">
        <v>0.8</v>
      </c>
    </row>
    <row r="637">
      <c r="A637" s="0" t="inlineStr">
        <is>
          <t>[파장동]</t>
        </is>
      </c>
      <c r="B637" s="0" t="n">
        <v>1850</v>
      </c>
      <c r="C637" s="0" t="n">
        <v>2</v>
      </c>
      <c r="D637" s="0" t="inlineStr">
        <is>
          <t>화남1차</t>
        </is>
      </c>
      <c r="E637" s="0" t="inlineStr">
        <is>
          <t>1989.11.</t>
        </is>
      </c>
      <c r="F637" s="0" t="n">
        <v>120</v>
      </c>
      <c r="G637" s="0" t="n">
        <v>21.49</v>
      </c>
      <c r="H637" s="0" t="n">
        <v>71.05</v>
      </c>
      <c r="I637" s="0" t="n">
        <v>16.85</v>
      </c>
      <c r="J637" s="0" t="n">
        <v>55.72</v>
      </c>
      <c r="K637" s="0" t="n">
        <v>42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71</v>
      </c>
      <c r="X637" s="0" t="n">
        <v>6</v>
      </c>
      <c r="Y637" s="0" t="n">
        <v>6</v>
      </c>
      <c r="Z637" s="0" t="inlineStr">
        <is>
          <t>https://new.land.naver.com/complexes/1850?tab=detail&amp;rf=Y</t>
        </is>
      </c>
      <c r="AA637" s="0" t="inlineStr">
        <is>
          <t>경기도 수원시 장안구 파장동 569-3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장안구</t>
        </is>
      </c>
      <c r="AE637" s="0" t="inlineStr">
        <is>
          <t>파장동</t>
        </is>
      </c>
      <c r="AG637" s="0" t="inlineStr">
        <is>
          <t>경기도 수원시 장안구 파장로110번길 17</t>
        </is>
      </c>
      <c r="AH637" s="0" t="n">
        <v>0</v>
      </c>
      <c r="AI637" s="0" t="n">
        <v>199</v>
      </c>
      <c r="AJ637" s="0" t="n">
        <v>33</v>
      </c>
      <c r="AK637" s="0" t="n">
        <v>96</v>
      </c>
      <c r="AL637" s="0" t="n">
        <v>0.8</v>
      </c>
    </row>
    <row r="638">
      <c r="A638" s="0" t="inlineStr">
        <is>
          <t>[파장동]</t>
        </is>
      </c>
      <c r="B638" s="0" t="n">
        <v>1850</v>
      </c>
      <c r="C638" s="0" t="n">
        <v>3</v>
      </c>
      <c r="D638" s="0" t="inlineStr">
        <is>
          <t>화남1차</t>
        </is>
      </c>
      <c r="E638" s="0" t="inlineStr">
        <is>
          <t>1989.11.</t>
        </is>
      </c>
      <c r="F638" s="0" t="n">
        <v>120</v>
      </c>
      <c r="G638" s="0" t="n">
        <v>22.72</v>
      </c>
      <c r="H638" s="0" t="n">
        <v>75.14</v>
      </c>
      <c r="I638" s="0" t="n">
        <v>17.95</v>
      </c>
      <c r="J638" s="0" t="n">
        <v>59.34</v>
      </c>
      <c r="K638" s="0" t="n">
        <v>48</v>
      </c>
      <c r="T638" s="0" t="n">
        <v>3</v>
      </c>
      <c r="U638" s="0" t="n">
        <v>1</v>
      </c>
      <c r="V638" s="0" t="inlineStr">
        <is>
          <t>계단식</t>
        </is>
      </c>
      <c r="W638" s="0" t="inlineStr">
        <is>
          <t>75A</t>
        </is>
      </c>
      <c r="X638" s="0" t="n">
        <v>6</v>
      </c>
      <c r="Y638" s="0" t="n">
        <v>6</v>
      </c>
      <c r="Z638" s="0" t="inlineStr">
        <is>
          <t>https://new.land.naver.com/complexes/1850?tab=detail&amp;rf=Y</t>
        </is>
      </c>
      <c r="AA638" s="0" t="inlineStr">
        <is>
          <t>경기도 수원시 장안구 파장동 569-3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장안구</t>
        </is>
      </c>
      <c r="AE638" s="0" t="inlineStr">
        <is>
          <t>파장동</t>
        </is>
      </c>
      <c r="AG638" s="0" t="inlineStr">
        <is>
          <t>경기도 수원시 장안구 파장로110번길 17</t>
        </is>
      </c>
      <c r="AH638" s="0" t="n">
        <v>0</v>
      </c>
      <c r="AI638" s="0" t="n">
        <v>199</v>
      </c>
      <c r="AJ638" s="0" t="n">
        <v>33</v>
      </c>
      <c r="AK638" s="0" t="n">
        <v>96</v>
      </c>
      <c r="AL638" s="0" t="n">
        <v>0.8</v>
      </c>
    </row>
    <row r="639">
      <c r="A639" s="0" t="inlineStr">
        <is>
          <t>[파장동]</t>
        </is>
      </c>
      <c r="B639" s="0" t="n">
        <v>1850</v>
      </c>
      <c r="C639" s="0" t="n">
        <v>4</v>
      </c>
      <c r="D639" s="0" t="inlineStr">
        <is>
          <t>화남1차</t>
        </is>
      </c>
      <c r="E639" s="0" t="inlineStr">
        <is>
          <t>1989.11.</t>
        </is>
      </c>
      <c r="F639" s="0" t="n">
        <v>120</v>
      </c>
      <c r="G639" s="0" t="n">
        <v>23.08</v>
      </c>
      <c r="H639" s="0" t="n">
        <v>76.33</v>
      </c>
      <c r="I639" s="0" t="n">
        <v>17.96</v>
      </c>
      <c r="J639" s="0" t="n">
        <v>59.4</v>
      </c>
      <c r="K639" s="0" t="n">
        <v>24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76B</t>
        </is>
      </c>
      <c r="X639" s="0" t="n">
        <v>6</v>
      </c>
      <c r="Y639" s="0" t="n">
        <v>6</v>
      </c>
      <c r="Z639" s="0" t="inlineStr">
        <is>
          <t>https://new.land.naver.com/complexes/1850?tab=detail&amp;rf=Y</t>
        </is>
      </c>
      <c r="AA639" s="0" t="inlineStr">
        <is>
          <t>경기도 수원시 장안구 파장동 569-3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장안구</t>
        </is>
      </c>
      <c r="AE639" s="0" t="inlineStr">
        <is>
          <t>파장동</t>
        </is>
      </c>
      <c r="AG639" s="0" t="inlineStr">
        <is>
          <t>경기도 수원시 장안구 파장로110번길 17</t>
        </is>
      </c>
      <c r="AH639" s="0" t="n">
        <v>0</v>
      </c>
      <c r="AI639" s="0" t="n">
        <v>199</v>
      </c>
      <c r="AJ639" s="0" t="n">
        <v>33</v>
      </c>
      <c r="AK639" s="0" t="n">
        <v>96</v>
      </c>
      <c r="AL639" s="0" t="n">
        <v>0.8</v>
      </c>
    </row>
    <row r="640">
      <c r="A640" s="0" t="inlineStr">
        <is>
          <t>[파장동]</t>
        </is>
      </c>
      <c r="B640" s="0" t="n">
        <v>2717</v>
      </c>
      <c r="C640" s="0" t="n">
        <v>1</v>
      </c>
      <c r="D640" s="0" t="inlineStr">
        <is>
          <t>장안</t>
        </is>
      </c>
      <c r="E640" s="0" t="inlineStr">
        <is>
          <t>1984.12.</t>
        </is>
      </c>
      <c r="F640" s="0" t="n">
        <v>60</v>
      </c>
      <c r="G640" s="0" t="n">
        <v>28.85</v>
      </c>
      <c r="H640" s="0" t="n">
        <v>95.39</v>
      </c>
      <c r="I640" s="0" t="n">
        <v>24.27</v>
      </c>
      <c r="J640" s="0" t="n">
        <v>80.26000000000001</v>
      </c>
      <c r="K640" s="0" t="n">
        <v>60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95</v>
      </c>
      <c r="X640" s="0" t="n">
        <v>5</v>
      </c>
      <c r="Y640" s="0" t="n">
        <v>5</v>
      </c>
      <c r="Z640" s="0" t="inlineStr">
        <is>
          <t>https://new.land.naver.com/complexes/2717?tab=detail&amp;rf=Y</t>
        </is>
      </c>
      <c r="AA640" s="0" t="inlineStr">
        <is>
          <t>경기도 수원시 장안구 파장동 422-1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장안구</t>
        </is>
      </c>
      <c r="AE640" s="0" t="inlineStr">
        <is>
          <t>파장동</t>
        </is>
      </c>
      <c r="AG640" s="0" t="inlineStr">
        <is>
          <t>경기도 수원시 장안구 파장천로58번길 77-3</t>
        </is>
      </c>
      <c r="AH640" s="0" t="n">
        <v>0</v>
      </c>
      <c r="AI640" s="0" t="n">
        <v>0</v>
      </c>
      <c r="AJ640" s="0" t="n">
        <v>0</v>
      </c>
      <c r="AK640" s="0" t="n">
        <v>0</v>
      </c>
      <c r="AL640" s="0" t="n">
        <v>0</v>
      </c>
    </row>
    <row r="641">
      <c r="A641" s="0" t="inlineStr">
        <is>
          <t>[파장동]</t>
        </is>
      </c>
      <c r="B641" s="0" t="n">
        <v>113750</v>
      </c>
      <c r="C641" s="0" t="n">
        <v>1</v>
      </c>
      <c r="D641" s="0" t="inlineStr">
        <is>
          <t>SC제일행복</t>
        </is>
      </c>
      <c r="E641" s="0" t="inlineStr">
        <is>
          <t>2017.02.</t>
        </is>
      </c>
      <c r="F641" s="0" t="n">
        <v>29</v>
      </c>
      <c r="G641" s="0" t="n">
        <v>28.27</v>
      </c>
      <c r="H641" s="0" t="n">
        <v>93.45999999999999</v>
      </c>
      <c r="I641" s="0" t="n">
        <v>23.85</v>
      </c>
      <c r="J641" s="0" t="n">
        <v>78.84999999999999</v>
      </c>
      <c r="K641" s="0" t="n">
        <v>19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93A</t>
        </is>
      </c>
      <c r="X641" s="0" t="n">
        <v>15</v>
      </c>
      <c r="Y641" s="0" t="n">
        <v>15</v>
      </c>
      <c r="Z641" s="0" t="inlineStr">
        <is>
          <t>https://new.land.naver.com/complexes/113750?tab=detail&amp;rf=Y</t>
        </is>
      </c>
      <c r="AA641" s="0" t="inlineStr">
        <is>
          <t>경기도 수원시 장안구 파장동 572-2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장안구</t>
        </is>
      </c>
      <c r="AE641" s="0" t="inlineStr">
        <is>
          <t>파장동</t>
        </is>
      </c>
      <c r="AG641" s="0" t="inlineStr">
        <is>
          <t>경기도 수원시 장안구 파장로100번길 10</t>
        </is>
      </c>
      <c r="AH641" s="0" t="n">
        <v>0</v>
      </c>
      <c r="AI641" s="0" t="n">
        <v>443</v>
      </c>
      <c r="AJ641" s="0" t="n">
        <v>49</v>
      </c>
      <c r="AK641" s="0" t="n">
        <v>29</v>
      </c>
      <c r="AL641" s="0" t="n">
        <v>1</v>
      </c>
    </row>
    <row r="642">
      <c r="A642" s="0" t="inlineStr">
        <is>
          <t>[파장동]</t>
        </is>
      </c>
      <c r="B642" s="0" t="n">
        <v>113750</v>
      </c>
      <c r="C642" s="0" t="n">
        <v>2</v>
      </c>
      <c r="D642" s="0" t="inlineStr">
        <is>
          <t>SC제일행복</t>
        </is>
      </c>
      <c r="E642" s="0" t="inlineStr">
        <is>
          <t>2017.02.</t>
        </is>
      </c>
      <c r="F642" s="0" t="n">
        <v>29</v>
      </c>
      <c r="G642" s="0" t="n">
        <v>28.17</v>
      </c>
      <c r="H642" s="0" t="n">
        <v>93.14</v>
      </c>
      <c r="I642" s="0" t="n">
        <v>23.77</v>
      </c>
      <c r="J642" s="0" t="n">
        <v>78.58</v>
      </c>
      <c r="K642" s="0" t="n">
        <v>10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93B</t>
        </is>
      </c>
      <c r="X642" s="0" t="n">
        <v>15</v>
      </c>
      <c r="Y642" s="0" t="n">
        <v>15</v>
      </c>
      <c r="Z642" s="0" t="inlineStr">
        <is>
          <t>https://new.land.naver.com/complexes/113750?tab=detail&amp;rf=Y</t>
        </is>
      </c>
      <c r="AA642" s="0" t="inlineStr">
        <is>
          <t>경기도 수원시 장안구 파장동 572-2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장안구</t>
        </is>
      </c>
      <c r="AE642" s="0" t="inlineStr">
        <is>
          <t>파장동</t>
        </is>
      </c>
      <c r="AG642" s="0" t="inlineStr">
        <is>
          <t>경기도 수원시 장안구 파장로100번길 10</t>
        </is>
      </c>
      <c r="AH642" s="0" t="n">
        <v>0</v>
      </c>
      <c r="AI642" s="0" t="n">
        <v>443</v>
      </c>
      <c r="AJ642" s="0" t="n">
        <v>49</v>
      </c>
      <c r="AK642" s="0" t="n">
        <v>29</v>
      </c>
      <c r="AL642" s="0" t="n">
        <v>1</v>
      </c>
    </row>
    <row r="643">
      <c r="A643" s="0" t="inlineStr">
        <is>
          <t>[파장동]</t>
        </is>
      </c>
      <c r="B643" s="0" t="n">
        <v>14193</v>
      </c>
      <c r="C643" s="0" t="n">
        <v>1</v>
      </c>
      <c r="D643" s="0" t="inlineStr">
        <is>
          <t>영림프라자</t>
        </is>
      </c>
      <c r="E643" s="0" t="inlineStr">
        <is>
          <t>1997.04.</t>
        </is>
      </c>
      <c r="F643" s="0" t="n">
        <v>18</v>
      </c>
      <c r="G643" s="0" t="n">
        <v>20.64</v>
      </c>
      <c r="H643" s="0" t="n">
        <v>68.26000000000001</v>
      </c>
      <c r="I643" s="0" t="n">
        <v>14.22</v>
      </c>
      <c r="J643" s="0" t="n">
        <v>47.04</v>
      </c>
      <c r="K643" s="0" t="n">
        <v>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68</v>
      </c>
      <c r="X643" s="0" t="n">
        <v>9</v>
      </c>
      <c r="Y643" s="0" t="n">
        <v>8</v>
      </c>
      <c r="Z643" s="0" t="inlineStr">
        <is>
          <t>https://new.land.naver.com/complexes/14193?tab=detail&amp;rf=Y</t>
        </is>
      </c>
      <c r="AA643" s="0" t="inlineStr">
        <is>
          <t>경기도 수원시 장안구 파장동 577-2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장안구</t>
        </is>
      </c>
      <c r="AE643" s="0" t="inlineStr">
        <is>
          <t>파장동</t>
        </is>
      </c>
      <c r="AG643" s="0" t="inlineStr">
        <is>
          <t>경기도 수원시 장안구 경수대로1073번길 16</t>
        </is>
      </c>
      <c r="AH643" s="0" t="n">
        <v>0</v>
      </c>
      <c r="AI643" s="0" t="n">
        <v>337</v>
      </c>
      <c r="AJ643" s="0" t="n">
        <v>57</v>
      </c>
      <c r="AK643" s="0" t="n">
        <v>36</v>
      </c>
      <c r="AL643" s="0" t="n">
        <v>2</v>
      </c>
    </row>
    <row r="644">
      <c r="A644" s="0" t="inlineStr">
        <is>
          <t>[파장동]</t>
        </is>
      </c>
      <c r="B644" s="0" t="n">
        <v>14193</v>
      </c>
      <c r="C644" s="0" t="n">
        <v>2</v>
      </c>
      <c r="D644" s="0" t="inlineStr">
        <is>
          <t>영림프라자</t>
        </is>
      </c>
      <c r="E644" s="0" t="inlineStr">
        <is>
          <t>1997.04.</t>
        </is>
      </c>
      <c r="F644" s="0" t="n">
        <v>18</v>
      </c>
      <c r="G644" s="0" t="n">
        <v>25.19</v>
      </c>
      <c r="H644" s="0" t="n">
        <v>83.28</v>
      </c>
      <c r="I644" s="0" t="n">
        <v>17.36</v>
      </c>
      <c r="J644" s="0" t="n">
        <v>57.39</v>
      </c>
      <c r="K644" s="0" t="n">
        <v>2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83</v>
      </c>
      <c r="X644" s="0" t="n">
        <v>9</v>
      </c>
      <c r="Y644" s="0" t="n">
        <v>8</v>
      </c>
      <c r="Z644" s="0" t="inlineStr">
        <is>
          <t>https://new.land.naver.com/complexes/14193?tab=detail&amp;rf=Y</t>
        </is>
      </c>
      <c r="AA644" s="0" t="inlineStr">
        <is>
          <t>경기도 수원시 장안구 파장동 577-2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장안구</t>
        </is>
      </c>
      <c r="AE644" s="0" t="inlineStr">
        <is>
          <t>파장동</t>
        </is>
      </c>
      <c r="AG644" s="0" t="inlineStr">
        <is>
          <t>경기도 수원시 장안구 경수대로1073번길 16</t>
        </is>
      </c>
      <c r="AH644" s="0" t="n">
        <v>0</v>
      </c>
      <c r="AI644" s="0" t="n">
        <v>337</v>
      </c>
      <c r="AJ644" s="0" t="n">
        <v>57</v>
      </c>
      <c r="AK644" s="0" t="n">
        <v>36</v>
      </c>
      <c r="AL644" s="0" t="n">
        <v>2</v>
      </c>
    </row>
    <row r="645">
      <c r="A645" s="0" t="inlineStr">
        <is>
          <t>[파장동]</t>
        </is>
      </c>
      <c r="B645" s="0" t="n">
        <v>14193</v>
      </c>
      <c r="C645" s="0" t="n">
        <v>3</v>
      </c>
      <c r="D645" s="0" t="inlineStr">
        <is>
          <t>영림프라자</t>
        </is>
      </c>
      <c r="E645" s="0" t="inlineStr">
        <is>
          <t>1997.04.</t>
        </is>
      </c>
      <c r="F645" s="0" t="n">
        <v>18</v>
      </c>
      <c r="G645" s="0" t="n">
        <v>29.73</v>
      </c>
      <c r="H645" s="0" t="n">
        <v>98.3</v>
      </c>
      <c r="I645" s="0" t="n">
        <v>20.49</v>
      </c>
      <c r="J645" s="0" t="n">
        <v>67.73999999999999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98</v>
      </c>
      <c r="X645" s="0" t="n">
        <v>9</v>
      </c>
      <c r="Y645" s="0" t="n">
        <v>8</v>
      </c>
      <c r="Z645" s="0" t="inlineStr">
        <is>
          <t>https://new.land.naver.com/complexes/14193?tab=detail&amp;rf=Y</t>
        </is>
      </c>
      <c r="AA645" s="0" t="inlineStr">
        <is>
          <t>경기도 수원시 장안구 파장동 577-2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장안구</t>
        </is>
      </c>
      <c r="AE645" s="0" t="inlineStr">
        <is>
          <t>파장동</t>
        </is>
      </c>
      <c r="AG645" s="0" t="inlineStr">
        <is>
          <t>경기도 수원시 장안구 경수대로1073번길 16</t>
        </is>
      </c>
      <c r="AH645" s="0" t="n">
        <v>0</v>
      </c>
      <c r="AI645" s="0" t="n">
        <v>337</v>
      </c>
      <c r="AJ645" s="0" t="n">
        <v>57</v>
      </c>
      <c r="AK645" s="0" t="n">
        <v>36</v>
      </c>
      <c r="AL645" s="0" t="n">
        <v>2</v>
      </c>
    </row>
    <row r="646">
      <c r="A646" s="0" t="inlineStr">
        <is>
          <t>[파장동]</t>
        </is>
      </c>
      <c r="B646" s="0" t="n">
        <v>14193</v>
      </c>
      <c r="C646" s="0" t="n">
        <v>4</v>
      </c>
      <c r="D646" s="0" t="inlineStr">
        <is>
          <t>영림프라자</t>
        </is>
      </c>
      <c r="E646" s="0" t="inlineStr">
        <is>
          <t>1997.04.</t>
        </is>
      </c>
      <c r="F646" s="0" t="n">
        <v>18</v>
      </c>
      <c r="G646" s="0" t="n">
        <v>33.88</v>
      </c>
      <c r="H646" s="0" t="n">
        <v>112.02</v>
      </c>
      <c r="I646" s="0" t="n">
        <v>23.34</v>
      </c>
      <c r="J646" s="0" t="n">
        <v>77.19</v>
      </c>
      <c r="K646" s="0" t="n">
        <v>2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112A</t>
        </is>
      </c>
      <c r="X646" s="0" t="n">
        <v>9</v>
      </c>
      <c r="Y646" s="0" t="n">
        <v>8</v>
      </c>
      <c r="Z646" s="0" t="inlineStr">
        <is>
          <t>https://new.land.naver.com/complexes/14193?tab=detail&amp;rf=Y</t>
        </is>
      </c>
      <c r="AA646" s="0" t="inlineStr">
        <is>
          <t>경기도 수원시 장안구 파장동 577-2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장안구</t>
        </is>
      </c>
      <c r="AE646" s="0" t="inlineStr">
        <is>
          <t>파장동</t>
        </is>
      </c>
      <c r="AG646" s="0" t="inlineStr">
        <is>
          <t>경기도 수원시 장안구 경수대로1073번길 16</t>
        </is>
      </c>
      <c r="AH646" s="0" t="n">
        <v>0</v>
      </c>
      <c r="AI646" s="0" t="n">
        <v>337</v>
      </c>
      <c r="AJ646" s="0" t="n">
        <v>57</v>
      </c>
      <c r="AK646" s="0" t="n">
        <v>36</v>
      </c>
      <c r="AL646" s="0" t="n">
        <v>2</v>
      </c>
    </row>
    <row r="647">
      <c r="A647" s="0" t="inlineStr">
        <is>
          <t>[파장동]</t>
        </is>
      </c>
      <c r="B647" s="0" t="n">
        <v>14193</v>
      </c>
      <c r="C647" s="0" t="n">
        <v>5</v>
      </c>
      <c r="D647" s="0" t="inlineStr">
        <is>
          <t>영림프라자</t>
        </is>
      </c>
      <c r="E647" s="0" t="inlineStr">
        <is>
          <t>1997.04.</t>
        </is>
      </c>
      <c r="F647" s="0" t="n">
        <v>18</v>
      </c>
      <c r="G647" s="0" t="n">
        <v>34.28</v>
      </c>
      <c r="H647" s="0" t="n">
        <v>113.33</v>
      </c>
      <c r="I647" s="0" t="n">
        <v>23.62</v>
      </c>
      <c r="J647" s="0" t="n">
        <v>78.09</v>
      </c>
      <c r="K647" s="0" t="n">
        <v>6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113B</t>
        </is>
      </c>
      <c r="X647" s="0" t="n">
        <v>9</v>
      </c>
      <c r="Y647" s="0" t="n">
        <v>8</v>
      </c>
      <c r="Z647" s="0" t="inlineStr">
        <is>
          <t>https://new.land.naver.com/complexes/14193?tab=detail&amp;rf=Y</t>
        </is>
      </c>
      <c r="AA647" s="0" t="inlineStr">
        <is>
          <t>경기도 수원시 장안구 파장동 577-2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장안구</t>
        </is>
      </c>
      <c r="AE647" s="0" t="inlineStr">
        <is>
          <t>파장동</t>
        </is>
      </c>
      <c r="AG647" s="0" t="inlineStr">
        <is>
          <t>경기도 수원시 장안구 경수대로1073번길 16</t>
        </is>
      </c>
      <c r="AH647" s="0" t="n">
        <v>0</v>
      </c>
      <c r="AI647" s="0" t="n">
        <v>337</v>
      </c>
      <c r="AJ647" s="0" t="n">
        <v>57</v>
      </c>
      <c r="AK647" s="0" t="n">
        <v>36</v>
      </c>
      <c r="AL647" s="0" t="n">
        <v>2</v>
      </c>
    </row>
    <row r="648">
      <c r="A648" s="0" t="inlineStr">
        <is>
          <t>[파장동]</t>
        </is>
      </c>
      <c r="B648" s="0" t="n">
        <v>2715</v>
      </c>
      <c r="C648" s="0" t="n">
        <v>1</v>
      </c>
      <c r="D648" s="0" t="inlineStr">
        <is>
          <t>노송</t>
        </is>
      </c>
      <c r="E648" s="0" t="inlineStr">
        <is>
          <t>1986.07.</t>
        </is>
      </c>
      <c r="F648" s="0" t="n">
        <v>140</v>
      </c>
      <c r="G648" s="0" t="n">
        <v>18.6</v>
      </c>
      <c r="H648" s="0" t="n">
        <v>61.49</v>
      </c>
      <c r="I648" s="0" t="n">
        <v>13.93</v>
      </c>
      <c r="J648" s="0" t="n">
        <v>46.08</v>
      </c>
      <c r="K648" s="0" t="n">
        <v>80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61</v>
      </c>
      <c r="X648" s="0" t="n">
        <v>5</v>
      </c>
      <c r="Y648" s="0" t="n">
        <v>5</v>
      </c>
      <c r="Z648" s="0" t="inlineStr">
        <is>
          <t>https://new.land.naver.com/complexes/2715?tab=detail&amp;rf=Y</t>
        </is>
      </c>
      <c r="AA648" s="0" t="inlineStr">
        <is>
          <t>경기도 수원시 장안구 파장동 560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장안구</t>
        </is>
      </c>
      <c r="AE648" s="0" t="inlineStr">
        <is>
          <t>파장동</t>
        </is>
      </c>
      <c r="AG648" s="0" t="inlineStr">
        <is>
          <t>경기도 수원시 장안구 파장로110번길 12-5</t>
        </is>
      </c>
      <c r="AH648" s="0" t="n">
        <v>0</v>
      </c>
      <c r="AI648" s="0" t="n">
        <v>161</v>
      </c>
      <c r="AJ648" s="0" t="n">
        <v>32</v>
      </c>
      <c r="AK648" s="0" t="n">
        <v>0</v>
      </c>
      <c r="AL648" s="0" t="n">
        <v>0</v>
      </c>
    </row>
    <row r="649">
      <c r="A649" s="0" t="inlineStr">
        <is>
          <t>[파장동]</t>
        </is>
      </c>
      <c r="B649" s="0" t="n">
        <v>2715</v>
      </c>
      <c r="C649" s="0" t="n">
        <v>2</v>
      </c>
      <c r="D649" s="0" t="inlineStr">
        <is>
          <t>노송</t>
        </is>
      </c>
      <c r="E649" s="0" t="inlineStr">
        <is>
          <t>1986.07.</t>
        </is>
      </c>
      <c r="F649" s="0" t="n">
        <v>140</v>
      </c>
      <c r="G649" s="0" t="n">
        <v>20.77</v>
      </c>
      <c r="H649" s="0" t="n">
        <v>68.69</v>
      </c>
      <c r="I649" s="0" t="n">
        <v>15.68</v>
      </c>
      <c r="J649" s="0" t="n">
        <v>51.84</v>
      </c>
      <c r="K649" s="0" t="n">
        <v>60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https://new.land.naver.com/complexes/2715?tab=detail&amp;rf=Y</t>
        </is>
      </c>
      <c r="AA649" s="0" t="inlineStr">
        <is>
          <t>경기도 수원시 장안구 파장동 560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장안구</t>
        </is>
      </c>
      <c r="AE649" s="0" t="inlineStr">
        <is>
          <t>파장동</t>
        </is>
      </c>
      <c r="AG649" s="0" t="inlineStr">
        <is>
          <t>경기도 수원시 장안구 파장로110번길 12-5</t>
        </is>
      </c>
      <c r="AH649" s="0" t="n">
        <v>0</v>
      </c>
      <c r="AI649" s="0" t="n">
        <v>161</v>
      </c>
      <c r="AJ649" s="0" t="n">
        <v>32</v>
      </c>
      <c r="AK649" s="0" t="n">
        <v>0</v>
      </c>
      <c r="AL649" s="0" t="n">
        <v>0</v>
      </c>
    </row>
    <row r="650">
      <c r="A650" s="0" t="inlineStr">
        <is>
          <t>[파장동]</t>
        </is>
      </c>
      <c r="B650" s="0" t="n">
        <v>2714</v>
      </c>
      <c r="C650" s="0" t="n">
        <v>1</v>
      </c>
      <c r="D650" s="0" t="inlineStr">
        <is>
          <t>궁전</t>
        </is>
      </c>
      <c r="E650" s="0" t="inlineStr">
        <is>
          <t>1986.05.</t>
        </is>
      </c>
      <c r="F650" s="0" t="n">
        <v>130</v>
      </c>
      <c r="G650" s="0" t="n">
        <v>18.32</v>
      </c>
      <c r="H650" s="0" t="n">
        <v>60.58</v>
      </c>
      <c r="I650" s="0" t="n">
        <v>13.42</v>
      </c>
      <c r="J650" s="0" t="n">
        <v>44.37</v>
      </c>
      <c r="K650" s="0" t="n">
        <v>130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60</v>
      </c>
      <c r="X650" s="0" t="n">
        <v>5</v>
      </c>
      <c r="Y650" s="0" t="n">
        <v>5</v>
      </c>
      <c r="Z650" s="0" t="inlineStr">
        <is>
          <t>https://new.land.naver.com/complexes/2714?tab=detail&amp;rf=Y</t>
        </is>
      </c>
      <c r="AA650" s="0" t="inlineStr">
        <is>
          <t>경기도 수원시 장안구 파장동 199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장안구</t>
        </is>
      </c>
      <c r="AE650" s="0" t="inlineStr">
        <is>
          <t>파장동</t>
        </is>
      </c>
      <c r="AG650" s="0" t="inlineStr">
        <is>
          <t>경기도 수원시 장안구 수일로 26</t>
        </is>
      </c>
      <c r="AH650" s="0" t="n">
        <v>0</v>
      </c>
      <c r="AI650" s="0" t="n">
        <v>130</v>
      </c>
      <c r="AJ650" s="0" t="n">
        <v>27</v>
      </c>
      <c r="AK650" s="0" t="n">
        <v>0</v>
      </c>
      <c r="AL650" s="0" t="n">
        <v>0</v>
      </c>
    </row>
    <row r="651">
      <c r="A651" s="0" t="inlineStr">
        <is>
          <t>[파장동]</t>
        </is>
      </c>
      <c r="B651" s="0" t="n">
        <v>14786</v>
      </c>
      <c r="C651" s="0" t="n">
        <v>1</v>
      </c>
      <c r="D651" s="0" t="inlineStr">
        <is>
          <t>삼청</t>
        </is>
      </c>
      <c r="E651" s="0" t="inlineStr">
        <is>
          <t>1985.05.</t>
        </is>
      </c>
      <c r="F651" s="0" t="n">
        <v>40</v>
      </c>
      <c r="G651" s="0" t="n">
        <v>19.69</v>
      </c>
      <c r="H651" s="0" t="n">
        <v>65.09999999999999</v>
      </c>
      <c r="I651" s="0" t="n">
        <v>14.48</v>
      </c>
      <c r="J651" s="0" t="n">
        <v>47.88</v>
      </c>
      <c r="K651" s="0" t="n">
        <v>10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65</v>
      </c>
      <c r="X651" s="0" t="n">
        <v>5</v>
      </c>
      <c r="Y651" s="0" t="n">
        <v>5</v>
      </c>
      <c r="Z651" s="0" t="inlineStr">
        <is>
          <t>https://new.land.naver.com/complexes/14786?tab=detail&amp;rf=Y</t>
        </is>
      </c>
      <c r="AA651" s="0" t="inlineStr">
        <is>
          <t>경기도 수원시 장안구 파장동 422-2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장안구</t>
        </is>
      </c>
      <c r="AE651" s="0" t="inlineStr">
        <is>
          <t>파장동</t>
        </is>
      </c>
      <c r="AG651" s="0" t="inlineStr">
        <is>
          <t>경기도 수원시 장안구 수일로92번길 26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[파장동]</t>
        </is>
      </c>
      <c r="B652" s="0" t="n">
        <v>14786</v>
      </c>
      <c r="C652" s="0" t="n">
        <v>2</v>
      </c>
      <c r="D652" s="0" t="inlineStr">
        <is>
          <t>삼청</t>
        </is>
      </c>
      <c r="E652" s="0" t="inlineStr">
        <is>
          <t>1985.05.</t>
        </is>
      </c>
      <c r="F652" s="0" t="n">
        <v>40</v>
      </c>
      <c r="G652" s="0" t="n">
        <v>20.6</v>
      </c>
      <c r="H652" s="0" t="n">
        <v>68.11</v>
      </c>
      <c r="I652" s="0" t="n">
        <v>15.32</v>
      </c>
      <c r="J652" s="0" t="n">
        <v>50.65</v>
      </c>
      <c r="K652" s="0" t="n">
        <v>20</v>
      </c>
      <c r="T652" s="0" t="n">
        <v>3</v>
      </c>
      <c r="U652" s="0" t="n">
        <v>2</v>
      </c>
      <c r="V652" s="0" t="inlineStr">
        <is>
          <t>복도식</t>
        </is>
      </c>
      <c r="W652" s="0" t="n">
        <v>68</v>
      </c>
      <c r="X652" s="0" t="n">
        <v>5</v>
      </c>
      <c r="Y652" s="0" t="n">
        <v>5</v>
      </c>
      <c r="Z652" s="0" t="inlineStr">
        <is>
          <t>https://new.land.naver.com/complexes/14786?tab=detail&amp;rf=Y</t>
        </is>
      </c>
      <c r="AA652" s="0" t="inlineStr">
        <is>
          <t>경기도 수원시 장안구 파장동 422-2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장안구</t>
        </is>
      </c>
      <c r="AE652" s="0" t="inlineStr">
        <is>
          <t>파장동</t>
        </is>
      </c>
      <c r="AG652" s="0" t="inlineStr">
        <is>
          <t>경기도 수원시 장안구 수일로92번길 26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[파장동]</t>
        </is>
      </c>
      <c r="B653" s="0" t="n">
        <v>14786</v>
      </c>
      <c r="C653" s="0" t="n">
        <v>3</v>
      </c>
      <c r="D653" s="0" t="inlineStr">
        <is>
          <t>삼청</t>
        </is>
      </c>
      <c r="E653" s="0" t="inlineStr">
        <is>
          <t>1985.05.</t>
        </is>
      </c>
      <c r="F653" s="0" t="n">
        <v>40</v>
      </c>
      <c r="G653" s="0" t="n">
        <v>21.59</v>
      </c>
      <c r="H653" s="0" t="n">
        <v>71.40000000000001</v>
      </c>
      <c r="I653" s="0" t="n">
        <v>16.38</v>
      </c>
      <c r="J653" s="0" t="n">
        <v>54.18</v>
      </c>
      <c r="K653" s="0" t="n">
        <v>10</v>
      </c>
      <c r="T653" s="0" t="n">
        <v>2</v>
      </c>
      <c r="U653" s="0" t="n">
        <v>1</v>
      </c>
      <c r="V653" s="0" t="inlineStr">
        <is>
          <t>계단식</t>
        </is>
      </c>
      <c r="W653" s="0" t="n">
        <v>71</v>
      </c>
      <c r="X653" s="0" t="n">
        <v>5</v>
      </c>
      <c r="Y653" s="0" t="n">
        <v>5</v>
      </c>
      <c r="Z653" s="0" t="inlineStr">
        <is>
          <t>https://new.land.naver.com/complexes/14786?tab=detail&amp;rf=Y</t>
        </is>
      </c>
      <c r="AA653" s="0" t="inlineStr">
        <is>
          <t>경기도 수원시 장안구 파장동 422-2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장안구</t>
        </is>
      </c>
      <c r="AE653" s="0" t="inlineStr">
        <is>
          <t>파장동</t>
        </is>
      </c>
      <c r="AG653" s="0" t="inlineStr">
        <is>
          <t>경기도 수원시 장안구 수일로92번길 26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[파장동]</t>
        </is>
      </c>
      <c r="B654" s="0" t="n">
        <v>17642</v>
      </c>
      <c r="C654" s="0" t="n">
        <v>1</v>
      </c>
      <c r="D654" s="0" t="inlineStr">
        <is>
          <t>북수원아이파크</t>
        </is>
      </c>
      <c r="E654" s="0" t="inlineStr">
        <is>
          <t>2005.08.</t>
        </is>
      </c>
      <c r="F654" s="0" t="n">
        <v>143</v>
      </c>
      <c r="G654" s="0" t="n">
        <v>32.13</v>
      </c>
      <c r="H654" s="0" t="n">
        <v>106.23</v>
      </c>
      <c r="I654" s="0" t="n">
        <v>25.7</v>
      </c>
      <c r="J654" s="0" t="n">
        <v>84.98</v>
      </c>
      <c r="K654" s="0" t="n">
        <v>143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106</v>
      </c>
      <c r="X654" s="0" t="n">
        <v>15</v>
      </c>
      <c r="Y654" s="0" t="n">
        <v>11</v>
      </c>
      <c r="Z654" s="0" t="inlineStr">
        <is>
          <t>https://new.land.naver.com/complexes/17642?tab=detail&amp;rf=Y</t>
        </is>
      </c>
      <c r="AA654" s="0" t="inlineStr">
        <is>
          <t>경기도 수원시 장안구 파장동 632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장안구</t>
        </is>
      </c>
      <c r="AE654" s="0" t="inlineStr">
        <is>
          <t>파장동</t>
        </is>
      </c>
      <c r="AG654" s="0" t="inlineStr">
        <is>
          <t>경기도 수원시 장안구 경수대로 1110-15</t>
        </is>
      </c>
      <c r="AH654" s="0" t="n">
        <v>0</v>
      </c>
      <c r="AI654" s="0" t="n">
        <v>217</v>
      </c>
      <c r="AJ654" s="0" t="n">
        <v>18</v>
      </c>
      <c r="AK654" s="0" t="n">
        <v>147</v>
      </c>
      <c r="AL654" s="0" t="n">
        <v>1.03</v>
      </c>
    </row>
    <row r="655">
      <c r="A655" s="0" t="inlineStr">
        <is>
          <t>[파장동]</t>
        </is>
      </c>
      <c r="B655" s="0" t="n">
        <v>11240</v>
      </c>
      <c r="C655" s="0" t="n">
        <v>1</v>
      </c>
      <c r="D655" s="0" t="inlineStr">
        <is>
          <t>삼익</t>
        </is>
      </c>
      <c r="E655" s="0" t="inlineStr">
        <is>
          <t>1978.11.</t>
        </is>
      </c>
      <c r="F655" s="0" t="n">
        <v>220</v>
      </c>
      <c r="G655" s="0" t="n">
        <v>17.99</v>
      </c>
      <c r="H655" s="0" t="n">
        <v>59.5</v>
      </c>
      <c r="I655" s="0" t="n">
        <v>16.8</v>
      </c>
      <c r="J655" s="0" t="n">
        <v>55.57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inlineStr">
        <is>
          <t>59A</t>
        </is>
      </c>
      <c r="X655" s="0" t="n">
        <v>11</v>
      </c>
      <c r="Y655" s="0" t="n">
        <v>11</v>
      </c>
      <c r="Z655" s="0" t="inlineStr">
        <is>
          <t>https://new.land.naver.com/complexes/11240?tab=detail&amp;rf=Y</t>
        </is>
      </c>
      <c r="AA655" s="0" t="inlineStr">
        <is>
          <t>경기도 수원시 장안구 파장동 212-5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장안구</t>
        </is>
      </c>
      <c r="AE655" s="0" t="inlineStr">
        <is>
          <t>파장동</t>
        </is>
      </c>
      <c r="AG655" s="0" t="inlineStr">
        <is>
          <t>경기도 수원시 장안구 경수대로 1102</t>
        </is>
      </c>
      <c r="AH655" s="0" t="n">
        <v>0</v>
      </c>
      <c r="AI655" s="0" t="n">
        <v>184</v>
      </c>
      <c r="AJ655" s="0" t="n">
        <v>17</v>
      </c>
      <c r="AK655" s="0" t="n">
        <v>0</v>
      </c>
      <c r="AL655" s="0" t="n">
        <v>0</v>
      </c>
    </row>
    <row r="656">
      <c r="A656" s="0" t="inlineStr">
        <is>
          <t>[파장동]</t>
        </is>
      </c>
      <c r="B656" s="0" t="n">
        <v>11240</v>
      </c>
      <c r="C656" s="0" t="n">
        <v>2</v>
      </c>
      <c r="D656" s="0" t="inlineStr">
        <is>
          <t>삼익</t>
        </is>
      </c>
      <c r="E656" s="0" t="inlineStr">
        <is>
          <t>1978.11.</t>
        </is>
      </c>
      <c r="F656" s="0" t="n">
        <v>220</v>
      </c>
      <c r="G656" s="0" t="n">
        <v>18.28</v>
      </c>
      <c r="H656" s="0" t="n">
        <v>60.46</v>
      </c>
      <c r="I656" s="0" t="n">
        <v>17.1</v>
      </c>
      <c r="J656" s="0" t="n">
        <v>56.53</v>
      </c>
      <c r="K656" s="0" t="n">
        <v>2</v>
      </c>
      <c r="T656" s="0" t="n">
        <v>2</v>
      </c>
      <c r="U656" s="0" t="n">
        <v>1</v>
      </c>
      <c r="V656" s="0" t="inlineStr">
        <is>
          <t>계단식</t>
        </is>
      </c>
      <c r="W656" s="0" t="inlineStr">
        <is>
          <t>60B</t>
        </is>
      </c>
      <c r="X656" s="0" t="n">
        <v>11</v>
      </c>
      <c r="Y656" s="0" t="n">
        <v>11</v>
      </c>
      <c r="Z656" s="0" t="inlineStr">
        <is>
          <t>https://new.land.naver.com/complexes/11240?tab=detail&amp;rf=Y</t>
        </is>
      </c>
      <c r="AA656" s="0" t="inlineStr">
        <is>
          <t>경기도 수원시 장안구 파장동 212-5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장안구</t>
        </is>
      </c>
      <c r="AE656" s="0" t="inlineStr">
        <is>
          <t>파장동</t>
        </is>
      </c>
      <c r="AG656" s="0" t="inlineStr">
        <is>
          <t>경기도 수원시 장안구 경수대로 1102</t>
        </is>
      </c>
      <c r="AH656" s="0" t="n">
        <v>0</v>
      </c>
      <c r="AI656" s="0" t="n">
        <v>184</v>
      </c>
      <c r="AJ656" s="0" t="n">
        <v>17</v>
      </c>
      <c r="AK656" s="0" t="n">
        <v>0</v>
      </c>
      <c r="AL656" s="0" t="n">
        <v>0</v>
      </c>
    </row>
    <row r="657">
      <c r="A657" s="0" t="inlineStr">
        <is>
          <t>[파장동]</t>
        </is>
      </c>
      <c r="B657" s="0" t="n">
        <v>11240</v>
      </c>
      <c r="C657" s="0" t="n">
        <v>3</v>
      </c>
      <c r="D657" s="0" t="inlineStr">
        <is>
          <t>삼익</t>
        </is>
      </c>
      <c r="E657" s="0" t="inlineStr">
        <is>
          <t>1978.11.</t>
        </is>
      </c>
      <c r="F657" s="0" t="n">
        <v>220</v>
      </c>
      <c r="G657" s="0" t="n">
        <v>25</v>
      </c>
      <c r="H657" s="0" t="n">
        <v>82.65000000000001</v>
      </c>
      <c r="I657" s="0" t="n">
        <v>23.28</v>
      </c>
      <c r="J657" s="0" t="n">
        <v>76.98999999999999</v>
      </c>
      <c r="K657" s="0" t="n">
        <v>120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82</v>
      </c>
      <c r="X657" s="0" t="n">
        <v>11</v>
      </c>
      <c r="Y657" s="0" t="n">
        <v>11</v>
      </c>
      <c r="Z657" s="0" t="inlineStr">
        <is>
          <t>https://new.land.naver.com/complexes/11240?tab=detail&amp;rf=Y</t>
        </is>
      </c>
      <c r="AA657" s="0" t="inlineStr">
        <is>
          <t>경기도 수원시 장안구 파장동 212-5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장안구</t>
        </is>
      </c>
      <c r="AE657" s="0" t="inlineStr">
        <is>
          <t>파장동</t>
        </is>
      </c>
      <c r="AG657" s="0" t="inlineStr">
        <is>
          <t>경기도 수원시 장안구 경수대로 1102</t>
        </is>
      </c>
      <c r="AH657" s="0" t="n">
        <v>0</v>
      </c>
      <c r="AI657" s="0" t="n">
        <v>184</v>
      </c>
      <c r="AJ657" s="0" t="n">
        <v>17</v>
      </c>
      <c r="AK657" s="0" t="n">
        <v>0</v>
      </c>
      <c r="AL657" s="0" t="n">
        <v>0</v>
      </c>
    </row>
    <row r="658">
      <c r="A658" s="0" t="inlineStr">
        <is>
          <t>[파장동]</t>
        </is>
      </c>
      <c r="B658" s="0" t="n">
        <v>11240</v>
      </c>
      <c r="C658" s="0" t="n">
        <v>4</v>
      </c>
      <c r="D658" s="0" t="inlineStr">
        <is>
          <t>삼익</t>
        </is>
      </c>
      <c r="E658" s="0" t="inlineStr">
        <is>
          <t>1978.11.</t>
        </is>
      </c>
      <c r="F658" s="0" t="n">
        <v>220</v>
      </c>
      <c r="G658" s="0" t="n">
        <v>25.5</v>
      </c>
      <c r="H658" s="0" t="n">
        <v>84.3</v>
      </c>
      <c r="I658" s="0" t="n">
        <v>23.78</v>
      </c>
      <c r="J658" s="0" t="n">
        <v>78.64</v>
      </c>
      <c r="K658" s="0" t="n">
        <v>12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84</v>
      </c>
      <c r="X658" s="0" t="n">
        <v>11</v>
      </c>
      <c r="Y658" s="0" t="n">
        <v>11</v>
      </c>
      <c r="Z658" s="0" t="inlineStr">
        <is>
          <t>https://new.land.naver.com/complexes/11240?tab=detail&amp;rf=Y</t>
        </is>
      </c>
      <c r="AA658" s="0" t="inlineStr">
        <is>
          <t>경기도 수원시 장안구 파장동 212-5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장안구</t>
        </is>
      </c>
      <c r="AE658" s="0" t="inlineStr">
        <is>
          <t>파장동</t>
        </is>
      </c>
      <c r="AG658" s="0" t="inlineStr">
        <is>
          <t>경기도 수원시 장안구 경수대로 1102</t>
        </is>
      </c>
      <c r="AH658" s="0" t="n">
        <v>0</v>
      </c>
      <c r="AI658" s="0" t="n">
        <v>184</v>
      </c>
      <c r="AJ658" s="0" t="n">
        <v>17</v>
      </c>
      <c r="AK658" s="0" t="n">
        <v>0</v>
      </c>
      <c r="AL658" s="0" t="n">
        <v>0</v>
      </c>
    </row>
    <row r="659">
      <c r="A659" s="0" t="inlineStr">
        <is>
          <t>[파장동]</t>
        </is>
      </c>
      <c r="B659" s="0" t="n">
        <v>11240</v>
      </c>
      <c r="C659" s="0" t="n">
        <v>5</v>
      </c>
      <c r="D659" s="0" t="inlineStr">
        <is>
          <t>삼익</t>
        </is>
      </c>
      <c r="E659" s="0" t="inlineStr">
        <is>
          <t>1978.11.</t>
        </is>
      </c>
      <c r="F659" s="0" t="n">
        <v>220</v>
      </c>
      <c r="G659" s="0" t="n">
        <v>34.99</v>
      </c>
      <c r="H659" s="0" t="n">
        <v>115.7</v>
      </c>
      <c r="I659" s="0" t="n">
        <v>31.71</v>
      </c>
      <c r="J659" s="0" t="n">
        <v>104.83</v>
      </c>
      <c r="K659" s="0" t="n">
        <v>58</v>
      </c>
      <c r="T659" s="0" t="n">
        <v>3</v>
      </c>
      <c r="U659" s="0" t="n">
        <v>1</v>
      </c>
      <c r="V659" s="0" t="inlineStr">
        <is>
          <t>계단식</t>
        </is>
      </c>
      <c r="W659" s="0" t="inlineStr">
        <is>
          <t>115B</t>
        </is>
      </c>
      <c r="X659" s="0" t="n">
        <v>11</v>
      </c>
      <c r="Y659" s="0" t="n">
        <v>11</v>
      </c>
      <c r="Z659" s="0" t="inlineStr">
        <is>
          <t>https://new.land.naver.com/complexes/11240?tab=detail&amp;rf=Y</t>
        </is>
      </c>
      <c r="AA659" s="0" t="inlineStr">
        <is>
          <t>경기도 수원시 장안구 파장동 212-5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장안구</t>
        </is>
      </c>
      <c r="AE659" s="0" t="inlineStr">
        <is>
          <t>파장동</t>
        </is>
      </c>
      <c r="AG659" s="0" t="inlineStr">
        <is>
          <t>경기도 수원시 장안구 경수대로 1102</t>
        </is>
      </c>
      <c r="AH659" s="0" t="n">
        <v>0</v>
      </c>
      <c r="AI659" s="0" t="n">
        <v>184</v>
      </c>
      <c r="AJ659" s="0" t="n">
        <v>17</v>
      </c>
      <c r="AK659" s="0" t="n">
        <v>0</v>
      </c>
      <c r="AL659" s="0" t="n">
        <v>0</v>
      </c>
    </row>
    <row r="660">
      <c r="A660" s="0" t="inlineStr">
        <is>
          <t>[파장동]</t>
        </is>
      </c>
      <c r="B660" s="0" t="n">
        <v>11240</v>
      </c>
      <c r="C660" s="0" t="n">
        <v>6</v>
      </c>
      <c r="D660" s="0" t="inlineStr">
        <is>
          <t>삼익</t>
        </is>
      </c>
      <c r="E660" s="0" t="inlineStr">
        <is>
          <t>1978.11.</t>
        </is>
      </c>
      <c r="F660" s="0" t="n">
        <v>220</v>
      </c>
      <c r="G660" s="0" t="n">
        <v>34.81</v>
      </c>
      <c r="H660" s="0" t="n">
        <v>115.1</v>
      </c>
      <c r="I660" s="0" t="n">
        <v>31.52</v>
      </c>
      <c r="J660" s="0" t="n">
        <v>104.23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11</v>
      </c>
      <c r="Y660" s="0" t="n">
        <v>11</v>
      </c>
      <c r="Z660" s="0" t="inlineStr">
        <is>
          <t>https://new.land.naver.com/complexes/11240?tab=detail&amp;rf=Y</t>
        </is>
      </c>
      <c r="AA660" s="0" t="inlineStr">
        <is>
          <t>경기도 수원시 장안구 파장동 212-5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장안구</t>
        </is>
      </c>
      <c r="AE660" s="0" t="inlineStr">
        <is>
          <t>파장동</t>
        </is>
      </c>
      <c r="AG660" s="0" t="inlineStr">
        <is>
          <t>경기도 수원시 장안구 경수대로 1102</t>
        </is>
      </c>
      <c r="AH660" s="0" t="n">
        <v>0</v>
      </c>
      <c r="AI660" s="0" t="n">
        <v>184</v>
      </c>
      <c r="AJ660" s="0" t="n">
        <v>17</v>
      </c>
      <c r="AK660" s="0" t="n">
        <v>0</v>
      </c>
      <c r="AL660" s="0" t="n">
        <v>0</v>
      </c>
    </row>
    <row r="661">
      <c r="A661" s="0" t="inlineStr">
        <is>
          <t>[파장동]</t>
        </is>
      </c>
      <c r="B661" s="0" t="n">
        <v>11240</v>
      </c>
      <c r="C661" s="0" t="n">
        <v>7</v>
      </c>
      <c r="D661" s="0" t="inlineStr">
        <is>
          <t>삼익</t>
        </is>
      </c>
      <c r="E661" s="0" t="inlineStr">
        <is>
          <t>1978.11.</t>
        </is>
      </c>
      <c r="F661" s="0" t="n">
        <v>220</v>
      </c>
      <c r="G661" s="0" t="n">
        <v>35.6</v>
      </c>
      <c r="H661" s="0" t="n">
        <v>117.71</v>
      </c>
      <c r="I661" s="0" t="n">
        <v>32.31</v>
      </c>
      <c r="J661" s="0" t="n">
        <v>106.84</v>
      </c>
      <c r="K661" s="0" t="n">
        <v>6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117</v>
      </c>
      <c r="X661" s="0" t="n">
        <v>11</v>
      </c>
      <c r="Y661" s="0" t="n">
        <v>11</v>
      </c>
      <c r="Z661" s="0" t="inlineStr">
        <is>
          <t>https://new.land.naver.com/complexes/11240?tab=detail&amp;rf=Y</t>
        </is>
      </c>
      <c r="AA661" s="0" t="inlineStr">
        <is>
          <t>경기도 수원시 장안구 파장동 212-5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장안구</t>
        </is>
      </c>
      <c r="AE661" s="0" t="inlineStr">
        <is>
          <t>파장동</t>
        </is>
      </c>
      <c r="AG661" s="0" t="inlineStr">
        <is>
          <t>경기도 수원시 장안구 경수대로 1102</t>
        </is>
      </c>
      <c r="AH661" s="0" t="n">
        <v>0</v>
      </c>
      <c r="AI661" s="0" t="n">
        <v>184</v>
      </c>
      <c r="AJ661" s="0" t="n">
        <v>17</v>
      </c>
      <c r="AK661" s="0" t="n">
        <v>0</v>
      </c>
      <c r="AL661" s="0" t="n">
        <v>0</v>
      </c>
    </row>
    <row r="662">
      <c r="A662" s="0" t="inlineStr">
        <is>
          <t>[파장동]</t>
        </is>
      </c>
      <c r="B662" s="0" t="n">
        <v>112403</v>
      </c>
      <c r="C662" s="0" t="n">
        <v>1</v>
      </c>
      <c r="D662" s="0" t="inlineStr">
        <is>
          <t>미다스</t>
        </is>
      </c>
      <c r="E662" s="0" t="inlineStr">
        <is>
          <t>2007.04.</t>
        </is>
      </c>
      <c r="F662" s="0" t="n">
        <v>19</v>
      </c>
      <c r="G662" s="0" t="n">
        <v>24.93</v>
      </c>
      <c r="H662" s="0" t="n">
        <v>82.44</v>
      </c>
      <c r="I662" s="0" t="n">
        <v>21.72</v>
      </c>
      <c r="J662" s="0" t="n">
        <v>71.81999999999999</v>
      </c>
      <c r="K662" s="0" t="n">
        <v>5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82C</t>
        </is>
      </c>
      <c r="X662" s="0" t="n">
        <v>9</v>
      </c>
      <c r="Y662" s="0" t="n">
        <v>7</v>
      </c>
      <c r="Z662" s="0" t="inlineStr">
        <is>
          <t>https://new.land.naver.com/complexes/112403?tab=detail&amp;rf=Y</t>
        </is>
      </c>
      <c r="AA662" s="0" t="inlineStr">
        <is>
          <t>경기도 수원시 장안구 파장동 582-3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장안구</t>
        </is>
      </c>
      <c r="AE662" s="0" t="inlineStr">
        <is>
          <t>파장동</t>
        </is>
      </c>
      <c r="AG662" s="0" t="inlineStr">
        <is>
          <t>경기도 수원시 장안구 파장천로11번길 9</t>
        </is>
      </c>
      <c r="AH662" s="0" t="n">
        <v>0</v>
      </c>
      <c r="AI662" s="0" t="n">
        <v>355</v>
      </c>
      <c r="AJ662" s="0" t="n">
        <v>59</v>
      </c>
      <c r="AK662" s="0" t="n">
        <v>20</v>
      </c>
      <c r="AL662" s="0" t="n">
        <v>1.05</v>
      </c>
    </row>
    <row r="663">
      <c r="A663" s="0" t="inlineStr">
        <is>
          <t>[파장동]</t>
        </is>
      </c>
      <c r="B663" s="0" t="n">
        <v>112403</v>
      </c>
      <c r="C663" s="0" t="n">
        <v>2</v>
      </c>
      <c r="D663" s="0" t="inlineStr">
        <is>
          <t>미다스</t>
        </is>
      </c>
      <c r="E663" s="0" t="inlineStr">
        <is>
          <t>2007.04.</t>
        </is>
      </c>
      <c r="F663" s="0" t="n">
        <v>19</v>
      </c>
      <c r="G663" s="0" t="n">
        <v>25.37</v>
      </c>
      <c r="H663" s="0" t="n">
        <v>83.89</v>
      </c>
      <c r="I663" s="0" t="n">
        <v>22.1</v>
      </c>
      <c r="J663" s="0" t="n">
        <v>73.09</v>
      </c>
      <c r="K663" s="0" t="n">
        <v>6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83B</t>
        </is>
      </c>
      <c r="X663" s="0" t="n">
        <v>9</v>
      </c>
      <c r="Y663" s="0" t="n">
        <v>7</v>
      </c>
      <c r="Z663" s="0" t="inlineStr">
        <is>
          <t>https://new.land.naver.com/complexes/112403?tab=detail&amp;rf=Y</t>
        </is>
      </c>
      <c r="AA663" s="0" t="inlineStr">
        <is>
          <t>경기도 수원시 장안구 파장동 582-3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장안구</t>
        </is>
      </c>
      <c r="AE663" s="0" t="inlineStr">
        <is>
          <t>파장동</t>
        </is>
      </c>
      <c r="AG663" s="0" t="inlineStr">
        <is>
          <t>경기도 수원시 장안구 파장천로11번길 9</t>
        </is>
      </c>
      <c r="AH663" s="0" t="n">
        <v>0</v>
      </c>
      <c r="AI663" s="0" t="n">
        <v>355</v>
      </c>
      <c r="AJ663" s="0" t="n">
        <v>59</v>
      </c>
      <c r="AK663" s="0" t="n">
        <v>20</v>
      </c>
      <c r="AL663" s="0" t="n">
        <v>1.05</v>
      </c>
    </row>
    <row r="664">
      <c r="A664" s="0" t="inlineStr">
        <is>
          <t>[파장동]</t>
        </is>
      </c>
      <c r="B664" s="0" t="n">
        <v>112403</v>
      </c>
      <c r="C664" s="0" t="n">
        <v>3</v>
      </c>
      <c r="D664" s="0" t="inlineStr">
        <is>
          <t>미다스</t>
        </is>
      </c>
      <c r="E664" s="0" t="inlineStr">
        <is>
          <t>2007.04.</t>
        </is>
      </c>
      <c r="F664" s="0" t="n">
        <v>19</v>
      </c>
      <c r="G664" s="0" t="n">
        <v>25.31</v>
      </c>
      <c r="H664" s="0" t="n">
        <v>83.67</v>
      </c>
      <c r="I664" s="0" t="n">
        <v>22.05</v>
      </c>
      <c r="J664" s="0" t="n">
        <v>72.90000000000001</v>
      </c>
      <c r="K664" s="0" t="n">
        <v>5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83A</t>
        </is>
      </c>
      <c r="X664" s="0" t="n">
        <v>9</v>
      </c>
      <c r="Y664" s="0" t="n">
        <v>7</v>
      </c>
      <c r="Z664" s="0" t="inlineStr">
        <is>
          <t>https://new.land.naver.com/complexes/112403?tab=detail&amp;rf=Y</t>
        </is>
      </c>
      <c r="AA664" s="0" t="inlineStr">
        <is>
          <t>경기도 수원시 장안구 파장동 582-3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장안구</t>
        </is>
      </c>
      <c r="AE664" s="0" t="inlineStr">
        <is>
          <t>파장동</t>
        </is>
      </c>
      <c r="AG664" s="0" t="inlineStr">
        <is>
          <t>경기도 수원시 장안구 파장천로11번길 9</t>
        </is>
      </c>
      <c r="AH664" s="0" t="n">
        <v>0</v>
      </c>
      <c r="AI664" s="0" t="n">
        <v>355</v>
      </c>
      <c r="AJ664" s="0" t="n">
        <v>59</v>
      </c>
      <c r="AK664" s="0" t="n">
        <v>20</v>
      </c>
      <c r="AL664" s="0" t="n">
        <v>1.05</v>
      </c>
    </row>
    <row r="665">
      <c r="A665" s="0" t="inlineStr">
        <is>
          <t>[파장동]</t>
        </is>
      </c>
      <c r="B665" s="0" t="n">
        <v>112403</v>
      </c>
      <c r="C665" s="0" t="n">
        <v>4</v>
      </c>
      <c r="D665" s="0" t="inlineStr">
        <is>
          <t>미다스</t>
        </is>
      </c>
      <c r="E665" s="0" t="inlineStr">
        <is>
          <t>2007.04.</t>
        </is>
      </c>
      <c r="F665" s="0" t="n">
        <v>19</v>
      </c>
      <c r="G665" s="0" t="n">
        <v>29.58</v>
      </c>
      <c r="H665" s="0" t="n">
        <v>97.79000000000001</v>
      </c>
      <c r="I665" s="0" t="n">
        <v>21.72</v>
      </c>
      <c r="J665" s="0" t="n">
        <v>71.81999999999999</v>
      </c>
      <c r="K665" s="0" t="n">
        <v>1</v>
      </c>
      <c r="T665" s="0" t="n">
        <v>3</v>
      </c>
      <c r="U665" s="0" t="n">
        <v>2</v>
      </c>
      <c r="V665" s="0" t="inlineStr">
        <is>
          <t>복도식</t>
        </is>
      </c>
      <c r="W665" s="0" t="n">
        <v>97</v>
      </c>
      <c r="X665" s="0" t="n">
        <v>9</v>
      </c>
      <c r="Y665" s="0" t="n">
        <v>7</v>
      </c>
      <c r="Z665" s="0" t="inlineStr">
        <is>
          <t>https://new.land.naver.com/complexes/112403?tab=detail&amp;rf=Y</t>
        </is>
      </c>
      <c r="AA665" s="0" t="inlineStr">
        <is>
          <t>경기도 수원시 장안구 파장동 582-3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장안구</t>
        </is>
      </c>
      <c r="AE665" s="0" t="inlineStr">
        <is>
          <t>파장동</t>
        </is>
      </c>
      <c r="AG665" s="0" t="inlineStr">
        <is>
          <t>경기도 수원시 장안구 파장천로11번길 9</t>
        </is>
      </c>
      <c r="AH665" s="0" t="n">
        <v>0</v>
      </c>
      <c r="AI665" s="0" t="n">
        <v>355</v>
      </c>
      <c r="AJ665" s="0" t="n">
        <v>59</v>
      </c>
      <c r="AK665" s="0" t="n">
        <v>20</v>
      </c>
      <c r="AL665" s="0" t="n">
        <v>1.05</v>
      </c>
    </row>
    <row r="666">
      <c r="A666" s="0" t="inlineStr">
        <is>
          <t>[파장동]</t>
        </is>
      </c>
      <c r="B666" s="0" t="n">
        <v>112403</v>
      </c>
      <c r="C666" s="0" t="n">
        <v>5</v>
      </c>
      <c r="D666" s="0" t="inlineStr">
        <is>
          <t>미다스</t>
        </is>
      </c>
      <c r="E666" s="0" t="inlineStr">
        <is>
          <t>2007.04.</t>
        </is>
      </c>
      <c r="F666" s="0" t="n">
        <v>19</v>
      </c>
      <c r="G666" s="0" t="n">
        <v>46.19</v>
      </c>
      <c r="H666" s="0" t="n">
        <v>152.7</v>
      </c>
      <c r="I666" s="0" t="n">
        <v>39.33</v>
      </c>
      <c r="J666" s="0" t="n">
        <v>130.02</v>
      </c>
      <c r="K666" s="0" t="n">
        <v>1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152</v>
      </c>
      <c r="X666" s="0" t="n">
        <v>9</v>
      </c>
      <c r="Y666" s="0" t="n">
        <v>7</v>
      </c>
      <c r="Z666" s="0" t="inlineStr">
        <is>
          <t>https://new.land.naver.com/complexes/112403?tab=detail&amp;rf=Y</t>
        </is>
      </c>
      <c r="AA666" s="0" t="inlineStr">
        <is>
          <t>경기도 수원시 장안구 파장동 582-3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장안구</t>
        </is>
      </c>
      <c r="AE666" s="0" t="inlineStr">
        <is>
          <t>파장동</t>
        </is>
      </c>
      <c r="AG666" s="0" t="inlineStr">
        <is>
          <t>경기도 수원시 장안구 파장천로11번길 9</t>
        </is>
      </c>
      <c r="AH666" s="0" t="n">
        <v>0</v>
      </c>
      <c r="AI666" s="0" t="n">
        <v>355</v>
      </c>
      <c r="AJ666" s="0" t="n">
        <v>59</v>
      </c>
      <c r="AK666" s="0" t="n">
        <v>20</v>
      </c>
      <c r="AL666" s="0" t="n">
        <v>1.05</v>
      </c>
    </row>
    <row r="667">
      <c r="A667" s="0" t="inlineStr">
        <is>
          <t>[파장동]</t>
        </is>
      </c>
      <c r="B667" s="0" t="n">
        <v>112403</v>
      </c>
      <c r="C667" s="0" t="n">
        <v>6</v>
      </c>
      <c r="D667" s="0" t="inlineStr">
        <is>
          <t>미다스</t>
        </is>
      </c>
      <c r="E667" s="0" t="inlineStr">
        <is>
          <t>2007.04.</t>
        </is>
      </c>
      <c r="F667" s="0" t="n">
        <v>19</v>
      </c>
      <c r="G667" s="0" t="n">
        <v>50.24</v>
      </c>
      <c r="H667" s="0" t="n">
        <v>166.11</v>
      </c>
      <c r="I667" s="0" t="n">
        <v>43.77</v>
      </c>
      <c r="J667" s="0" t="n">
        <v>144.72</v>
      </c>
      <c r="K667" s="0" t="n">
        <v>1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166</v>
      </c>
      <c r="X667" s="0" t="n">
        <v>9</v>
      </c>
      <c r="Y667" s="0" t="n">
        <v>7</v>
      </c>
      <c r="Z667" s="0" t="inlineStr">
        <is>
          <t>https://new.land.naver.com/complexes/112403?tab=detail&amp;rf=Y</t>
        </is>
      </c>
      <c r="AA667" s="0" t="inlineStr">
        <is>
          <t>경기도 수원시 장안구 파장동 582-3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장안구</t>
        </is>
      </c>
      <c r="AE667" s="0" t="inlineStr">
        <is>
          <t>파장동</t>
        </is>
      </c>
      <c r="AG667" s="0" t="inlineStr">
        <is>
          <t>경기도 수원시 장안구 파장천로11번길 9</t>
        </is>
      </c>
      <c r="AH667" s="0" t="n">
        <v>0</v>
      </c>
      <c r="AI667" s="0" t="n">
        <v>355</v>
      </c>
      <c r="AJ667" s="0" t="n">
        <v>59</v>
      </c>
      <c r="AK667" s="0" t="n">
        <v>20</v>
      </c>
      <c r="AL667" s="0" t="n">
        <v>1.05</v>
      </c>
    </row>
    <row r="668">
      <c r="A668" s="0" t="inlineStr">
        <is>
          <t>[파장동]</t>
        </is>
      </c>
      <c r="B668" s="0" t="n">
        <v>10446</v>
      </c>
      <c r="C668" s="0" t="n">
        <v>1</v>
      </c>
      <c r="D668" s="0" t="inlineStr">
        <is>
          <t>현대</t>
        </is>
      </c>
      <c r="E668" s="0" t="inlineStr">
        <is>
          <t>1992.04.</t>
        </is>
      </c>
      <c r="F668" s="0" t="n">
        <v>225</v>
      </c>
      <c r="G668" s="0" t="n">
        <v>22.63</v>
      </c>
      <c r="H668" s="0" t="n">
        <v>74.83</v>
      </c>
      <c r="I668" s="0" t="n">
        <v>18.02</v>
      </c>
      <c r="J668" s="0" t="n">
        <v>59.6</v>
      </c>
      <c r="K668" s="0" t="n">
        <v>83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74</v>
      </c>
      <c r="X668" s="0" t="n">
        <v>6</v>
      </c>
      <c r="Y668" s="0" t="n">
        <v>4</v>
      </c>
      <c r="Z668" s="0" t="inlineStr">
        <is>
          <t>https://new.land.naver.com/complexes/10446?tab=detail&amp;rf=Y</t>
        </is>
      </c>
      <c r="AA668" s="0" t="inlineStr">
        <is>
          <t>경기도 수원시 장안구 파장동 624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장안구</t>
        </is>
      </c>
      <c r="AE668" s="0" t="inlineStr">
        <is>
          <t>파장동</t>
        </is>
      </c>
      <c r="AG668" s="0" t="inlineStr">
        <is>
          <t>경기도 수원시 장안구 파장천로44번길 75</t>
        </is>
      </c>
      <c r="AH668" s="0" t="n">
        <v>0</v>
      </c>
      <c r="AI668" s="0" t="n">
        <v>157</v>
      </c>
      <c r="AJ668" s="0" t="n">
        <v>31</v>
      </c>
      <c r="AK668" s="0" t="n">
        <v>225</v>
      </c>
      <c r="AL668" s="0" t="n">
        <v>1</v>
      </c>
    </row>
    <row r="669">
      <c r="A669" s="0" t="inlineStr">
        <is>
          <t>[파장동]</t>
        </is>
      </c>
      <c r="B669" s="0" t="n">
        <v>10446</v>
      </c>
      <c r="C669" s="0" t="n">
        <v>2</v>
      </c>
      <c r="D669" s="0" t="inlineStr">
        <is>
          <t>현대</t>
        </is>
      </c>
      <c r="E669" s="0" t="inlineStr">
        <is>
          <t>1992.04.</t>
        </is>
      </c>
      <c r="F669" s="0" t="n">
        <v>225</v>
      </c>
      <c r="G669" s="0" t="n">
        <v>25.96</v>
      </c>
      <c r="H669" s="0" t="n">
        <v>85.81999999999999</v>
      </c>
      <c r="I669" s="0" t="n">
        <v>20.67</v>
      </c>
      <c r="J669" s="0" t="n">
        <v>68.34999999999999</v>
      </c>
      <c r="K669" s="0" t="n">
        <v>24</v>
      </c>
      <c r="T669" s="0" t="n">
        <v>3</v>
      </c>
      <c r="U669" s="0" t="n">
        <v>1</v>
      </c>
      <c r="V669" s="0" t="inlineStr">
        <is>
          <t>계단식</t>
        </is>
      </c>
      <c r="W669" s="0" t="n">
        <v>85</v>
      </c>
      <c r="X669" s="0" t="n">
        <v>6</v>
      </c>
      <c r="Y669" s="0" t="n">
        <v>4</v>
      </c>
      <c r="Z669" s="0" t="inlineStr">
        <is>
          <t>https://new.land.naver.com/complexes/10446?tab=detail&amp;rf=Y</t>
        </is>
      </c>
      <c r="AA669" s="0" t="inlineStr">
        <is>
          <t>경기도 수원시 장안구 파장동 624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장안구</t>
        </is>
      </c>
      <c r="AE669" s="0" t="inlineStr">
        <is>
          <t>파장동</t>
        </is>
      </c>
      <c r="AG669" s="0" t="inlineStr">
        <is>
          <t>경기도 수원시 장안구 파장천로44번길 75</t>
        </is>
      </c>
      <c r="AH669" s="0" t="n">
        <v>0</v>
      </c>
      <c r="AI669" s="0" t="n">
        <v>157</v>
      </c>
      <c r="AJ669" s="0" t="n">
        <v>31</v>
      </c>
      <c r="AK669" s="0" t="n">
        <v>225</v>
      </c>
      <c r="AL669" s="0" t="n">
        <v>1</v>
      </c>
    </row>
    <row r="670">
      <c r="A670" s="0" t="inlineStr">
        <is>
          <t>[파장동]</t>
        </is>
      </c>
      <c r="B670" s="0" t="n">
        <v>10446</v>
      </c>
      <c r="C670" s="0" t="n">
        <v>3</v>
      </c>
      <c r="D670" s="0" t="inlineStr">
        <is>
          <t>현대</t>
        </is>
      </c>
      <c r="E670" s="0" t="inlineStr">
        <is>
          <t>1992.04.</t>
        </is>
      </c>
      <c r="F670" s="0" t="n">
        <v>225</v>
      </c>
      <c r="G670" s="0" t="n">
        <v>32.26</v>
      </c>
      <c r="H670" s="0" t="n">
        <v>106.66</v>
      </c>
      <c r="I670" s="0" t="n">
        <v>25.69</v>
      </c>
      <c r="J670" s="0" t="n">
        <v>84.95</v>
      </c>
      <c r="K670" s="0" t="n">
        <v>118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106</v>
      </c>
      <c r="X670" s="0" t="n">
        <v>6</v>
      </c>
      <c r="Y670" s="0" t="n">
        <v>4</v>
      </c>
      <c r="Z670" s="0" t="inlineStr">
        <is>
          <t>https://new.land.naver.com/complexes/10446?tab=detail&amp;rf=Y</t>
        </is>
      </c>
      <c r="AA670" s="0" t="inlineStr">
        <is>
          <t>경기도 수원시 장안구 파장동 624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장안구</t>
        </is>
      </c>
      <c r="AE670" s="0" t="inlineStr">
        <is>
          <t>파장동</t>
        </is>
      </c>
      <c r="AG670" s="0" t="inlineStr">
        <is>
          <t>경기도 수원시 장안구 파장천로44번길 75</t>
        </is>
      </c>
      <c r="AH670" s="0" t="n">
        <v>0</v>
      </c>
      <c r="AI670" s="0" t="n">
        <v>157</v>
      </c>
      <c r="AJ670" s="0" t="n">
        <v>31</v>
      </c>
      <c r="AK670" s="0" t="n">
        <v>225</v>
      </c>
      <c r="AL670" s="0" t="n">
        <v>1</v>
      </c>
    </row>
    <row r="671">
      <c r="A671" s="0" t="inlineStr">
        <is>
          <t>[파장동]</t>
        </is>
      </c>
      <c r="B671" s="0" t="n">
        <v>2718</v>
      </c>
      <c r="C671" s="0" t="n">
        <v>1</v>
      </c>
      <c r="D671" s="0" t="inlineStr">
        <is>
          <t>화남2차</t>
        </is>
      </c>
      <c r="E671" s="0" t="inlineStr">
        <is>
          <t>1991.05.</t>
        </is>
      </c>
      <c r="F671" s="0" t="n">
        <v>203</v>
      </c>
      <c r="G671" s="0" t="n">
        <v>21.27</v>
      </c>
      <c r="H671" s="0" t="n">
        <v>70.33</v>
      </c>
      <c r="I671" s="0" t="n">
        <v>15.79</v>
      </c>
      <c r="J671" s="0" t="n">
        <v>52.23</v>
      </c>
      <c r="K671" s="0" t="n">
        <v>9</v>
      </c>
      <c r="T671" s="0" t="n">
        <v>2</v>
      </c>
      <c r="U671" s="0" t="n">
        <v>1</v>
      </c>
      <c r="V671" s="0" t="inlineStr">
        <is>
          <t>복도식</t>
        </is>
      </c>
      <c r="W671" s="0" t="inlineStr">
        <is>
          <t>70A</t>
        </is>
      </c>
      <c r="X671" s="0" t="n">
        <v>11</v>
      </c>
      <c r="Y671" s="0" t="n">
        <v>7</v>
      </c>
      <c r="Z671" s="0" t="inlineStr">
        <is>
          <t>https://new.land.naver.com/complexes/2718?tab=detail&amp;rf=Y</t>
        </is>
      </c>
      <c r="AA671" s="0" t="inlineStr">
        <is>
          <t>경기도 수원시 장안구 파장동 470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장안구</t>
        </is>
      </c>
      <c r="AE671" s="0" t="inlineStr">
        <is>
          <t>파장동</t>
        </is>
      </c>
      <c r="AG671" s="0" t="inlineStr">
        <is>
          <t>경기도 수원시 장안구 파장천로44번길 33</t>
        </is>
      </c>
      <c r="AH671" s="0" t="n">
        <v>0</v>
      </c>
      <c r="AI671" s="0" t="n">
        <v>265</v>
      </c>
      <c r="AJ671" s="0" t="n">
        <v>27</v>
      </c>
      <c r="AK671" s="0" t="n">
        <v>0</v>
      </c>
      <c r="AL671" s="0" t="n">
        <v>0</v>
      </c>
    </row>
    <row r="672">
      <c r="A672" s="0" t="inlineStr">
        <is>
          <t>[파장동]</t>
        </is>
      </c>
      <c r="B672" s="0" t="n">
        <v>2718</v>
      </c>
      <c r="C672" s="0" t="n">
        <v>2</v>
      </c>
      <c r="D672" s="0" t="inlineStr">
        <is>
          <t>화남2차</t>
        </is>
      </c>
      <c r="E672" s="0" t="inlineStr">
        <is>
          <t>1991.05.</t>
        </is>
      </c>
      <c r="F672" s="0" t="n">
        <v>203</v>
      </c>
      <c r="G672" s="0" t="n">
        <v>23.57</v>
      </c>
      <c r="H672" s="0" t="n">
        <v>77.92</v>
      </c>
      <c r="I672" s="0" t="n">
        <v>17.47</v>
      </c>
      <c r="J672" s="0" t="n">
        <v>57.78</v>
      </c>
      <c r="K672" s="0" t="n">
        <v>106</v>
      </c>
      <c r="T672" s="0" t="n">
        <v>2</v>
      </c>
      <c r="U672" s="0" t="n">
        <v>1</v>
      </c>
      <c r="V672" s="0" t="inlineStr">
        <is>
          <t>복도식</t>
        </is>
      </c>
      <c r="W672" s="0" t="n">
        <v>77</v>
      </c>
      <c r="X672" s="0" t="n">
        <v>11</v>
      </c>
      <c r="Y672" s="0" t="n">
        <v>7</v>
      </c>
      <c r="Z672" s="0" t="inlineStr">
        <is>
          <t>https://new.land.naver.com/complexes/2718?tab=detail&amp;rf=Y</t>
        </is>
      </c>
      <c r="AA672" s="0" t="inlineStr">
        <is>
          <t>경기도 수원시 장안구 파장동 470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장안구</t>
        </is>
      </c>
      <c r="AE672" s="0" t="inlineStr">
        <is>
          <t>파장동</t>
        </is>
      </c>
      <c r="AG672" s="0" t="inlineStr">
        <is>
          <t>경기도 수원시 장안구 파장천로44번길 33</t>
        </is>
      </c>
      <c r="AH672" s="0" t="n">
        <v>0</v>
      </c>
      <c r="AI672" s="0" t="n">
        <v>265</v>
      </c>
      <c r="AJ672" s="0" t="n">
        <v>27</v>
      </c>
      <c r="AK672" s="0" t="n">
        <v>0</v>
      </c>
      <c r="AL672" s="0" t="n">
        <v>0</v>
      </c>
    </row>
    <row r="673">
      <c r="A673" s="0" t="inlineStr">
        <is>
          <t>[파장동]</t>
        </is>
      </c>
      <c r="B673" s="0" t="n">
        <v>2718</v>
      </c>
      <c r="C673" s="0" t="n">
        <v>3</v>
      </c>
      <c r="D673" s="0" t="inlineStr">
        <is>
          <t>화남2차</t>
        </is>
      </c>
      <c r="E673" s="0" t="inlineStr">
        <is>
          <t>1991.05.</t>
        </is>
      </c>
      <c r="F673" s="0" t="n">
        <v>203</v>
      </c>
      <c r="G673" s="0" t="n">
        <v>24.33</v>
      </c>
      <c r="H673" s="0" t="n">
        <v>80.45999999999999</v>
      </c>
      <c r="I673" s="0" t="n">
        <v>18.05</v>
      </c>
      <c r="J673" s="0" t="n">
        <v>59.67</v>
      </c>
      <c r="K673" s="0" t="n">
        <v>44</v>
      </c>
      <c r="T673" s="0" t="n">
        <v>3</v>
      </c>
      <c r="U673" s="0" t="n">
        <v>1</v>
      </c>
      <c r="V673" s="0" t="inlineStr">
        <is>
          <t>복도식</t>
        </is>
      </c>
      <c r="W673" s="0" t="inlineStr">
        <is>
          <t>80B</t>
        </is>
      </c>
      <c r="X673" s="0" t="n">
        <v>11</v>
      </c>
      <c r="Y673" s="0" t="n">
        <v>7</v>
      </c>
      <c r="Z673" s="0" t="inlineStr">
        <is>
          <t>https://new.land.naver.com/complexes/2718?tab=detail&amp;rf=Y</t>
        </is>
      </c>
      <c r="AA673" s="0" t="inlineStr">
        <is>
          <t>경기도 수원시 장안구 파장동 470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장안구</t>
        </is>
      </c>
      <c r="AE673" s="0" t="inlineStr">
        <is>
          <t>파장동</t>
        </is>
      </c>
      <c r="AG673" s="0" t="inlineStr">
        <is>
          <t>경기도 수원시 장안구 파장천로44번길 33</t>
        </is>
      </c>
      <c r="AH673" s="0" t="n">
        <v>0</v>
      </c>
      <c r="AI673" s="0" t="n">
        <v>265</v>
      </c>
      <c r="AJ673" s="0" t="n">
        <v>27</v>
      </c>
      <c r="AK673" s="0" t="n">
        <v>0</v>
      </c>
      <c r="AL673" s="0" t="n">
        <v>0</v>
      </c>
    </row>
    <row r="674">
      <c r="A674" s="0" t="inlineStr">
        <is>
          <t>[파장동]</t>
        </is>
      </c>
      <c r="B674" s="0" t="n">
        <v>2718</v>
      </c>
      <c r="C674" s="0" t="n">
        <v>4</v>
      </c>
      <c r="D674" s="0" t="inlineStr">
        <is>
          <t>화남2차</t>
        </is>
      </c>
      <c r="E674" s="0" t="inlineStr">
        <is>
          <t>1991.05.</t>
        </is>
      </c>
      <c r="F674" s="0" t="n">
        <v>203</v>
      </c>
      <c r="G674" s="0" t="n">
        <v>25.95</v>
      </c>
      <c r="H674" s="0" t="n">
        <v>85.8</v>
      </c>
      <c r="I674" s="0" t="n">
        <v>19.24</v>
      </c>
      <c r="J674" s="0" t="n">
        <v>63.62</v>
      </c>
      <c r="K674" s="0" t="n">
        <v>22</v>
      </c>
      <c r="T674" s="0" t="n">
        <v>3</v>
      </c>
      <c r="U674" s="0" t="n">
        <v>1</v>
      </c>
      <c r="V674" s="0" t="inlineStr">
        <is>
          <t>복도식</t>
        </is>
      </c>
      <c r="W674" s="0" t="n">
        <v>85</v>
      </c>
      <c r="X674" s="0" t="n">
        <v>11</v>
      </c>
      <c r="Y674" s="0" t="n">
        <v>7</v>
      </c>
      <c r="Z674" s="0" t="inlineStr">
        <is>
          <t>https://new.land.naver.com/complexes/2718?tab=detail&amp;rf=Y</t>
        </is>
      </c>
      <c r="AA674" s="0" t="inlineStr">
        <is>
          <t>경기도 수원시 장안구 파장동 470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장안구</t>
        </is>
      </c>
      <c r="AE674" s="0" t="inlineStr">
        <is>
          <t>파장동</t>
        </is>
      </c>
      <c r="AG674" s="0" t="inlineStr">
        <is>
          <t>경기도 수원시 장안구 파장천로44번길 33</t>
        </is>
      </c>
      <c r="AH674" s="0" t="n">
        <v>0</v>
      </c>
      <c r="AI674" s="0" t="n">
        <v>265</v>
      </c>
      <c r="AJ674" s="0" t="n">
        <v>27</v>
      </c>
      <c r="AK674" s="0" t="n">
        <v>0</v>
      </c>
      <c r="AL674" s="0" t="n">
        <v>0</v>
      </c>
    </row>
    <row r="675">
      <c r="A675" s="0" t="inlineStr">
        <is>
          <t>[파장동]</t>
        </is>
      </c>
      <c r="B675" s="0" t="n">
        <v>2718</v>
      </c>
      <c r="C675" s="0" t="n">
        <v>5</v>
      </c>
      <c r="D675" s="0" t="inlineStr">
        <is>
          <t>화남2차</t>
        </is>
      </c>
      <c r="E675" s="0" t="inlineStr">
        <is>
          <t>1991.05.</t>
        </is>
      </c>
      <c r="F675" s="0" t="n">
        <v>203</v>
      </c>
      <c r="G675" s="0" t="n">
        <v>31.29</v>
      </c>
      <c r="H675" s="0" t="n">
        <v>103.44</v>
      </c>
      <c r="I675" s="0" t="n">
        <v>23.19</v>
      </c>
      <c r="J675" s="0" t="n">
        <v>76.68000000000001</v>
      </c>
      <c r="K675" s="0" t="n">
        <v>11</v>
      </c>
      <c r="T675" s="0" t="n">
        <v>3</v>
      </c>
      <c r="U675" s="0" t="n">
        <v>2</v>
      </c>
      <c r="V675" s="0" t="inlineStr">
        <is>
          <t>복도식</t>
        </is>
      </c>
      <c r="W675" s="0" t="n">
        <v>103</v>
      </c>
      <c r="X675" s="0" t="n">
        <v>11</v>
      </c>
      <c r="Y675" s="0" t="n">
        <v>7</v>
      </c>
      <c r="Z675" s="0" t="inlineStr">
        <is>
          <t>https://new.land.naver.com/complexes/2718?tab=detail&amp;rf=Y</t>
        </is>
      </c>
      <c r="AA675" s="0" t="inlineStr">
        <is>
          <t>경기도 수원시 장안구 파장동 470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장안구</t>
        </is>
      </c>
      <c r="AE675" s="0" t="inlineStr">
        <is>
          <t>파장동</t>
        </is>
      </c>
      <c r="AG675" s="0" t="inlineStr">
        <is>
          <t>경기도 수원시 장안구 파장천로44번길 33</t>
        </is>
      </c>
      <c r="AH675" s="0" t="n">
        <v>0</v>
      </c>
      <c r="AI675" s="0" t="n">
        <v>265</v>
      </c>
      <c r="AJ675" s="0" t="n">
        <v>27</v>
      </c>
      <c r="AK675" s="0" t="n">
        <v>0</v>
      </c>
      <c r="AL675" s="0" t="n">
        <v>0</v>
      </c>
    </row>
    <row r="676">
      <c r="A676" s="0" t="inlineStr">
        <is>
          <t>[파장동]</t>
        </is>
      </c>
      <c r="B676" s="0" t="n">
        <v>2718</v>
      </c>
      <c r="C676" s="0" t="n">
        <v>6</v>
      </c>
      <c r="D676" s="0" t="inlineStr">
        <is>
          <t>화남2차</t>
        </is>
      </c>
      <c r="E676" s="0" t="inlineStr">
        <is>
          <t>1991.05.</t>
        </is>
      </c>
      <c r="F676" s="0" t="n">
        <v>203</v>
      </c>
      <c r="G676" s="0" t="n">
        <v>31.91</v>
      </c>
      <c r="H676" s="0" t="n">
        <v>105.49</v>
      </c>
      <c r="I676" s="0" t="n">
        <v>23.65</v>
      </c>
      <c r="J676" s="0" t="n">
        <v>78.20999999999999</v>
      </c>
      <c r="K676" s="0" t="n">
        <v>11</v>
      </c>
      <c r="T676" s="0" t="n">
        <v>3</v>
      </c>
      <c r="U676" s="0" t="n">
        <v>2</v>
      </c>
      <c r="V676" s="0" t="inlineStr">
        <is>
          <t>복도식</t>
        </is>
      </c>
      <c r="W676" s="0" t="n">
        <v>105</v>
      </c>
      <c r="X676" s="0" t="n">
        <v>11</v>
      </c>
      <c r="Y676" s="0" t="n">
        <v>7</v>
      </c>
      <c r="Z676" s="0" t="inlineStr">
        <is>
          <t>https://new.land.naver.com/complexes/2718?tab=detail&amp;rf=Y</t>
        </is>
      </c>
      <c r="AA676" s="0" t="inlineStr">
        <is>
          <t>경기도 수원시 장안구 파장동 470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장안구</t>
        </is>
      </c>
      <c r="AE676" s="0" t="inlineStr">
        <is>
          <t>파장동</t>
        </is>
      </c>
      <c r="AG676" s="0" t="inlineStr">
        <is>
          <t>경기도 수원시 장안구 파장천로44번길 33</t>
        </is>
      </c>
      <c r="AH676" s="0" t="n">
        <v>0</v>
      </c>
      <c r="AI676" s="0" t="n">
        <v>265</v>
      </c>
      <c r="AJ676" s="0" t="n">
        <v>27</v>
      </c>
      <c r="AK676" s="0" t="n">
        <v>0</v>
      </c>
      <c r="AL676" s="0" t="n">
        <v>0</v>
      </c>
    </row>
    <row r="677">
      <c r="A677" s="0" t="inlineStr">
        <is>
          <t>[파장동]</t>
        </is>
      </c>
      <c r="B677" s="0" t="n">
        <v>14785</v>
      </c>
      <c r="C677" s="0" t="n">
        <v>1</v>
      </c>
      <c r="D677" s="0" t="inlineStr">
        <is>
          <t>무진</t>
        </is>
      </c>
      <c r="E677" s="0" t="inlineStr">
        <is>
          <t>1994.12.</t>
        </is>
      </c>
      <c r="F677" s="0" t="n">
        <v>70</v>
      </c>
      <c r="G677" s="0" t="n">
        <v>20.77</v>
      </c>
      <c r="H677" s="0" t="n">
        <v>68.68000000000001</v>
      </c>
      <c r="I677" s="0" t="n">
        <v>16.97</v>
      </c>
      <c r="J677" s="0" t="n">
        <v>56.1</v>
      </c>
      <c r="K677" s="0" t="n">
        <v>1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68</v>
      </c>
      <c r="X677" s="0" t="n">
        <v>8</v>
      </c>
      <c r="Y677" s="0" t="n">
        <v>7</v>
      </c>
      <c r="Z677" s="0" t="inlineStr">
        <is>
          <t>https://new.land.naver.com/complexes/14785?tab=detail&amp;rf=Y</t>
        </is>
      </c>
      <c r="AA677" s="0" t="inlineStr">
        <is>
          <t>경기도 수원시 장안구 파장동 597-18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장안구</t>
        </is>
      </c>
      <c r="AE677" s="0" t="inlineStr">
        <is>
          <t>파장동</t>
        </is>
      </c>
      <c r="AG677" s="0" t="inlineStr">
        <is>
          <t>경기도 수원시 장안구 파장천로26번길 54</t>
        </is>
      </c>
      <c r="AH677" s="0" t="n">
        <v>0</v>
      </c>
      <c r="AI677" s="0" t="n">
        <v>266</v>
      </c>
      <c r="AJ677" s="0" t="n">
        <v>38</v>
      </c>
      <c r="AK677" s="0" t="n">
        <v>70</v>
      </c>
      <c r="AL677" s="0" t="n">
        <v>1</v>
      </c>
    </row>
    <row r="678">
      <c r="A678" s="0" t="inlineStr">
        <is>
          <t>[파장동]</t>
        </is>
      </c>
      <c r="B678" s="0" t="n">
        <v>14785</v>
      </c>
      <c r="C678" s="0" t="n">
        <v>2</v>
      </c>
      <c r="D678" s="0" t="inlineStr">
        <is>
          <t>무진</t>
        </is>
      </c>
      <c r="E678" s="0" t="inlineStr">
        <is>
          <t>1994.12.</t>
        </is>
      </c>
      <c r="F678" s="0" t="n">
        <v>70</v>
      </c>
      <c r="G678" s="0" t="n">
        <v>21.97</v>
      </c>
      <c r="H678" s="0" t="n">
        <v>72.65000000000001</v>
      </c>
      <c r="I678" s="0" t="n">
        <v>17.95</v>
      </c>
      <c r="J678" s="0" t="n">
        <v>59.34</v>
      </c>
      <c r="K678" s="0" t="n">
        <v>22</v>
      </c>
      <c r="T678" s="0" t="n">
        <v>3</v>
      </c>
      <c r="U678" s="0" t="n">
        <v>1</v>
      </c>
      <c r="V678" s="0" t="inlineStr">
        <is>
          <t>복도식</t>
        </is>
      </c>
      <c r="W678" s="0" t="inlineStr">
        <is>
          <t>72B</t>
        </is>
      </c>
      <c r="X678" s="0" t="n">
        <v>8</v>
      </c>
      <c r="Y678" s="0" t="n">
        <v>7</v>
      </c>
      <c r="Z678" s="0" t="inlineStr">
        <is>
          <t>https://new.land.naver.com/complexes/14785?tab=detail&amp;rf=Y</t>
        </is>
      </c>
      <c r="AA678" s="0" t="inlineStr">
        <is>
          <t>경기도 수원시 장안구 파장동 597-18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장안구</t>
        </is>
      </c>
      <c r="AE678" s="0" t="inlineStr">
        <is>
          <t>파장동</t>
        </is>
      </c>
      <c r="AG678" s="0" t="inlineStr">
        <is>
          <t>경기도 수원시 장안구 파장천로26번길 54</t>
        </is>
      </c>
      <c r="AH678" s="0" t="n">
        <v>0</v>
      </c>
      <c r="AI678" s="0" t="n">
        <v>266</v>
      </c>
      <c r="AJ678" s="0" t="n">
        <v>38</v>
      </c>
      <c r="AK678" s="0" t="n">
        <v>70</v>
      </c>
      <c r="AL678" s="0" t="n">
        <v>1</v>
      </c>
    </row>
    <row r="679">
      <c r="A679" s="0" t="inlineStr">
        <is>
          <t>[파장동]</t>
        </is>
      </c>
      <c r="B679" s="0" t="n">
        <v>14785</v>
      </c>
      <c r="C679" s="0" t="n">
        <v>3</v>
      </c>
      <c r="D679" s="0" t="inlineStr">
        <is>
          <t>무진</t>
        </is>
      </c>
      <c r="E679" s="0" t="inlineStr">
        <is>
          <t>1994.12.</t>
        </is>
      </c>
      <c r="F679" s="0" t="n">
        <v>70</v>
      </c>
      <c r="G679" s="0" t="n">
        <v>21.84</v>
      </c>
      <c r="H679" s="0" t="n">
        <v>72.20999999999999</v>
      </c>
      <c r="I679" s="0" t="n">
        <v>17.84</v>
      </c>
      <c r="J679" s="0" t="n">
        <v>58.98</v>
      </c>
      <c r="K679" s="0" t="n">
        <v>1</v>
      </c>
      <c r="T679" s="0" t="n">
        <v>3</v>
      </c>
      <c r="U679" s="0" t="n">
        <v>1</v>
      </c>
      <c r="V679" s="0" t="inlineStr">
        <is>
          <t>복도식</t>
        </is>
      </c>
      <c r="W679" s="0" t="inlineStr">
        <is>
          <t>72A</t>
        </is>
      </c>
      <c r="X679" s="0" t="n">
        <v>8</v>
      </c>
      <c r="Y679" s="0" t="n">
        <v>7</v>
      </c>
      <c r="Z679" s="0" t="inlineStr">
        <is>
          <t>https://new.land.naver.com/complexes/14785?tab=detail&amp;rf=Y</t>
        </is>
      </c>
      <c r="AA679" s="0" t="inlineStr">
        <is>
          <t>경기도 수원시 장안구 파장동 597-18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장안구</t>
        </is>
      </c>
      <c r="AE679" s="0" t="inlineStr">
        <is>
          <t>파장동</t>
        </is>
      </c>
      <c r="AG679" s="0" t="inlineStr">
        <is>
          <t>경기도 수원시 장안구 파장천로26번길 54</t>
        </is>
      </c>
      <c r="AH679" s="0" t="n">
        <v>0</v>
      </c>
      <c r="AI679" s="0" t="n">
        <v>266</v>
      </c>
      <c r="AJ679" s="0" t="n">
        <v>38</v>
      </c>
      <c r="AK679" s="0" t="n">
        <v>70</v>
      </c>
      <c r="AL679" s="0" t="n">
        <v>1</v>
      </c>
    </row>
    <row r="680">
      <c r="A680" s="0" t="inlineStr">
        <is>
          <t>[파장동]</t>
        </is>
      </c>
      <c r="B680" s="0" t="n">
        <v>14785</v>
      </c>
      <c r="C680" s="0" t="n">
        <v>4</v>
      </c>
      <c r="D680" s="0" t="inlineStr">
        <is>
          <t>무진</t>
        </is>
      </c>
      <c r="E680" s="0" t="inlineStr">
        <is>
          <t>1994.12.</t>
        </is>
      </c>
      <c r="F680" s="0" t="n">
        <v>70</v>
      </c>
      <c r="G680" s="0" t="n">
        <v>22.13</v>
      </c>
      <c r="H680" s="0" t="n">
        <v>73.16</v>
      </c>
      <c r="I680" s="0" t="n">
        <v>18.07</v>
      </c>
      <c r="J680" s="0" t="n">
        <v>59.76</v>
      </c>
      <c r="K680" s="0" t="n">
        <v>6</v>
      </c>
      <c r="T680" s="0" t="n">
        <v>3</v>
      </c>
      <c r="U680" s="0" t="n">
        <v>1</v>
      </c>
      <c r="V680" s="0" t="inlineStr">
        <is>
          <t>복도식</t>
        </is>
      </c>
      <c r="W680" s="0" t="inlineStr">
        <is>
          <t>73C</t>
        </is>
      </c>
      <c r="X680" s="0" t="n">
        <v>8</v>
      </c>
      <c r="Y680" s="0" t="n">
        <v>7</v>
      </c>
      <c r="Z680" s="0" t="inlineStr">
        <is>
          <t>https://new.land.naver.com/complexes/14785?tab=detail&amp;rf=Y</t>
        </is>
      </c>
      <c r="AA680" s="0" t="inlineStr">
        <is>
          <t>경기도 수원시 장안구 파장동 597-18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장안구</t>
        </is>
      </c>
      <c r="AE680" s="0" t="inlineStr">
        <is>
          <t>파장동</t>
        </is>
      </c>
      <c r="AG680" s="0" t="inlineStr">
        <is>
          <t>경기도 수원시 장안구 파장천로26번길 54</t>
        </is>
      </c>
      <c r="AH680" s="0" t="n">
        <v>0</v>
      </c>
      <c r="AI680" s="0" t="n">
        <v>266</v>
      </c>
      <c r="AJ680" s="0" t="n">
        <v>38</v>
      </c>
      <c r="AK680" s="0" t="n">
        <v>70</v>
      </c>
      <c r="AL680" s="0" t="n">
        <v>1</v>
      </c>
    </row>
    <row r="681">
      <c r="A681" s="0" t="inlineStr">
        <is>
          <t>[파장동]</t>
        </is>
      </c>
      <c r="B681" s="0" t="n">
        <v>14785</v>
      </c>
      <c r="C681" s="0" t="n">
        <v>5</v>
      </c>
      <c r="D681" s="0" t="inlineStr">
        <is>
          <t>무진</t>
        </is>
      </c>
      <c r="E681" s="0" t="inlineStr">
        <is>
          <t>1994.12.</t>
        </is>
      </c>
      <c r="F681" s="0" t="n">
        <v>70</v>
      </c>
      <c r="G681" s="0" t="n">
        <v>27.61</v>
      </c>
      <c r="H681" s="0" t="n">
        <v>91.29000000000001</v>
      </c>
      <c r="I681" s="0" t="n">
        <v>22.55</v>
      </c>
      <c r="J681" s="0" t="n">
        <v>74.56</v>
      </c>
      <c r="K681" s="0" t="n">
        <v>1</v>
      </c>
      <c r="T681" s="0" t="n">
        <v>3</v>
      </c>
      <c r="U681" s="0" t="n">
        <v>1</v>
      </c>
      <c r="V681" s="0" t="inlineStr">
        <is>
          <t>복도식</t>
        </is>
      </c>
      <c r="W681" s="0" t="n">
        <v>91</v>
      </c>
      <c r="X681" s="0" t="n">
        <v>8</v>
      </c>
      <c r="Y681" s="0" t="n">
        <v>7</v>
      </c>
      <c r="Z681" s="0" t="inlineStr">
        <is>
          <t>https://new.land.naver.com/complexes/14785?tab=detail&amp;rf=Y</t>
        </is>
      </c>
      <c r="AA681" s="0" t="inlineStr">
        <is>
          <t>경기도 수원시 장안구 파장동 597-18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장안구</t>
        </is>
      </c>
      <c r="AE681" s="0" t="inlineStr">
        <is>
          <t>파장동</t>
        </is>
      </c>
      <c r="AG681" s="0" t="inlineStr">
        <is>
          <t>경기도 수원시 장안구 파장천로26번길 54</t>
        </is>
      </c>
      <c r="AH681" s="0" t="n">
        <v>0</v>
      </c>
      <c r="AI681" s="0" t="n">
        <v>266</v>
      </c>
      <c r="AJ681" s="0" t="n">
        <v>38</v>
      </c>
      <c r="AK681" s="0" t="n">
        <v>70</v>
      </c>
      <c r="AL681" s="0" t="n">
        <v>1</v>
      </c>
    </row>
    <row r="682">
      <c r="A682" s="0" t="inlineStr">
        <is>
          <t>[파장동]</t>
        </is>
      </c>
      <c r="B682" s="0" t="n">
        <v>14785</v>
      </c>
      <c r="C682" s="0" t="n">
        <v>6</v>
      </c>
      <c r="D682" s="0" t="inlineStr">
        <is>
          <t>무진</t>
        </is>
      </c>
      <c r="E682" s="0" t="inlineStr">
        <is>
          <t>1994.12.</t>
        </is>
      </c>
      <c r="F682" s="0" t="n">
        <v>70</v>
      </c>
      <c r="G682" s="0" t="n">
        <v>31.43</v>
      </c>
      <c r="H682" s="0" t="n">
        <v>103.91</v>
      </c>
      <c r="I682" s="0" t="n">
        <v>25.67</v>
      </c>
      <c r="J682" s="0" t="n">
        <v>84.87</v>
      </c>
      <c r="K682" s="0" t="n">
        <v>39</v>
      </c>
      <c r="T682" s="0" t="n">
        <v>3</v>
      </c>
      <c r="U682" s="0" t="n">
        <v>2</v>
      </c>
      <c r="V682" s="0" t="inlineStr">
        <is>
          <t>복도식</t>
        </is>
      </c>
      <c r="W682" s="0" t="n">
        <v>103</v>
      </c>
      <c r="X682" s="0" t="n">
        <v>8</v>
      </c>
      <c r="Y682" s="0" t="n">
        <v>7</v>
      </c>
      <c r="Z682" s="0" t="inlineStr">
        <is>
          <t>https://new.land.naver.com/complexes/14785?tab=detail&amp;rf=Y</t>
        </is>
      </c>
      <c r="AA682" s="0" t="inlineStr">
        <is>
          <t>경기도 수원시 장안구 파장동 597-18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장안구</t>
        </is>
      </c>
      <c r="AE682" s="0" t="inlineStr">
        <is>
          <t>파장동</t>
        </is>
      </c>
      <c r="AG682" s="0" t="inlineStr">
        <is>
          <t>경기도 수원시 장안구 파장천로26번길 54</t>
        </is>
      </c>
      <c r="AH682" s="0" t="n">
        <v>0</v>
      </c>
      <c r="AI682" s="0" t="n">
        <v>266</v>
      </c>
      <c r="AJ682" s="0" t="n">
        <v>38</v>
      </c>
      <c r="AK682" s="0" t="n">
        <v>70</v>
      </c>
      <c r="AL682" s="0" t="n">
        <v>1</v>
      </c>
    </row>
    <row r="683">
      <c r="A683" s="0" t="inlineStr">
        <is>
          <t>[파장동]</t>
        </is>
      </c>
      <c r="B683" s="0" t="n">
        <v>8320</v>
      </c>
      <c r="C683" s="0" t="n">
        <v>1</v>
      </c>
      <c r="D683" s="0" t="inlineStr">
        <is>
          <t>익주</t>
        </is>
      </c>
      <c r="E683" s="0" t="inlineStr">
        <is>
          <t>1997.06.</t>
        </is>
      </c>
      <c r="F683" s="0" t="n">
        <v>81</v>
      </c>
      <c r="G683" s="0" t="n">
        <v>24.22</v>
      </c>
      <c r="H683" s="0" t="n">
        <v>80.08</v>
      </c>
      <c r="I683" s="0" t="n">
        <v>18.11</v>
      </c>
      <c r="J683" s="0" t="n">
        <v>59.9</v>
      </c>
      <c r="K683" s="0" t="n">
        <v>30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80</v>
      </c>
      <c r="X683" s="0" t="n">
        <v>15</v>
      </c>
      <c r="Y683" s="0" t="n">
        <v>7</v>
      </c>
      <c r="Z683" s="0" t="inlineStr">
        <is>
          <t>https://new.land.naver.com/complexes/8320?tab=detail&amp;rf=Y</t>
        </is>
      </c>
      <c r="AA683" s="0" t="inlineStr">
        <is>
          <t>경기도 수원시 장안구 파장동 281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장안구</t>
        </is>
      </c>
      <c r="AE683" s="0" t="inlineStr">
        <is>
          <t>파장동</t>
        </is>
      </c>
      <c r="AG683" s="0" t="inlineStr">
        <is>
          <t>경기도 수원시 장안구 파장천로 57</t>
        </is>
      </c>
      <c r="AH683" s="0" t="n">
        <v>0</v>
      </c>
      <c r="AI683" s="0" t="n">
        <v>0</v>
      </c>
      <c r="AJ683" s="0" t="n">
        <v>0</v>
      </c>
      <c r="AK683" s="0" t="n">
        <v>0</v>
      </c>
      <c r="AL683" s="0" t="n">
        <v>0</v>
      </c>
    </row>
    <row r="684">
      <c r="A684" s="0" t="inlineStr">
        <is>
          <t>[파장동]</t>
        </is>
      </c>
      <c r="B684" s="0" t="n">
        <v>8320</v>
      </c>
      <c r="C684" s="0" t="n">
        <v>2</v>
      </c>
      <c r="D684" s="0" t="inlineStr">
        <is>
          <t>익주</t>
        </is>
      </c>
      <c r="E684" s="0" t="inlineStr">
        <is>
          <t>1997.06.</t>
        </is>
      </c>
      <c r="F684" s="0" t="n">
        <v>81</v>
      </c>
      <c r="G684" s="0" t="n">
        <v>33.55</v>
      </c>
      <c r="H684" s="0" t="n">
        <v>110.91</v>
      </c>
      <c r="I684" s="0" t="n">
        <v>25.67</v>
      </c>
      <c r="J684" s="0" t="n">
        <v>84.89</v>
      </c>
      <c r="K684" s="0" t="n">
        <v>22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110A</t>
        </is>
      </c>
      <c r="X684" s="0" t="n">
        <v>15</v>
      </c>
      <c r="Y684" s="0" t="n">
        <v>7</v>
      </c>
      <c r="Z684" s="0" t="inlineStr">
        <is>
          <t>https://new.land.naver.com/complexes/8320?tab=detail&amp;rf=Y</t>
        </is>
      </c>
      <c r="AA684" s="0" t="inlineStr">
        <is>
          <t>경기도 수원시 장안구 파장동 281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장안구</t>
        </is>
      </c>
      <c r="AE684" s="0" t="inlineStr">
        <is>
          <t>파장동</t>
        </is>
      </c>
      <c r="AG684" s="0" t="inlineStr">
        <is>
          <t>경기도 수원시 장안구 파장천로 57</t>
        </is>
      </c>
      <c r="AH684" s="0" t="n">
        <v>0</v>
      </c>
      <c r="AI684" s="0" t="n">
        <v>0</v>
      </c>
      <c r="AJ684" s="0" t="n">
        <v>0</v>
      </c>
      <c r="AK684" s="0" t="n">
        <v>0</v>
      </c>
      <c r="AL684" s="0" t="n">
        <v>0</v>
      </c>
    </row>
    <row r="685">
      <c r="A685" s="0" t="inlineStr">
        <is>
          <t>[파장동]</t>
        </is>
      </c>
      <c r="B685" s="0" t="n">
        <v>8320</v>
      </c>
      <c r="C685" s="0" t="n">
        <v>3</v>
      </c>
      <c r="D685" s="0" t="inlineStr">
        <is>
          <t>익주</t>
        </is>
      </c>
      <c r="E685" s="0" t="inlineStr">
        <is>
          <t>1997.06.</t>
        </is>
      </c>
      <c r="F685" s="0" t="n">
        <v>81</v>
      </c>
      <c r="G685" s="0" t="n">
        <v>33.57</v>
      </c>
      <c r="H685" s="0" t="n">
        <v>111</v>
      </c>
      <c r="I685" s="0" t="n">
        <v>25.7</v>
      </c>
      <c r="J685" s="0" t="n">
        <v>84.95999999999999</v>
      </c>
      <c r="K685" s="0" t="n">
        <v>29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111B</t>
        </is>
      </c>
      <c r="X685" s="0" t="n">
        <v>15</v>
      </c>
      <c r="Y685" s="0" t="n">
        <v>7</v>
      </c>
      <c r="Z685" s="0" t="inlineStr">
        <is>
          <t>https://new.land.naver.com/complexes/8320?tab=detail&amp;rf=Y</t>
        </is>
      </c>
      <c r="AA685" s="0" t="inlineStr">
        <is>
          <t>경기도 수원시 장안구 파장동 281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장안구</t>
        </is>
      </c>
      <c r="AE685" s="0" t="inlineStr">
        <is>
          <t>파장동</t>
        </is>
      </c>
      <c r="AG685" s="0" t="inlineStr">
        <is>
          <t>경기도 수원시 장안구 파장천로 57</t>
        </is>
      </c>
      <c r="AH685" s="0" t="n">
        <v>0</v>
      </c>
      <c r="AI685" s="0" t="n">
        <v>0</v>
      </c>
      <c r="AJ685" s="0" t="n">
        <v>0</v>
      </c>
      <c r="AK685" s="0" t="n">
        <v>0</v>
      </c>
      <c r="AL685" s="0" t="n">
        <v>0</v>
      </c>
    </row>
    <row r="686">
      <c r="A686" s="0" t="inlineStr">
        <is>
          <t>[파장동]</t>
        </is>
      </c>
      <c r="B686" s="0" t="n">
        <v>2716</v>
      </c>
      <c r="C686" s="0" t="n">
        <v>1</v>
      </c>
      <c r="D686" s="0" t="inlineStr">
        <is>
          <t>동진</t>
        </is>
      </c>
      <c r="E686" s="0" t="inlineStr">
        <is>
          <t>1995.10.</t>
        </is>
      </c>
      <c r="F686" s="0" t="n">
        <v>81</v>
      </c>
      <c r="G686" s="0" t="n">
        <v>24.38</v>
      </c>
      <c r="H686" s="0" t="n">
        <v>80.62</v>
      </c>
      <c r="I686" s="0" t="n">
        <v>18.13</v>
      </c>
      <c r="J686" s="0" t="n">
        <v>59.94</v>
      </c>
      <c r="K686" s="0" t="n">
        <v>36</v>
      </c>
      <c r="T686" s="0" t="n">
        <v>2</v>
      </c>
      <c r="U686" s="0" t="n">
        <v>1</v>
      </c>
      <c r="V686" s="0" t="inlineStr">
        <is>
          <t>계단식</t>
        </is>
      </c>
      <c r="W686" s="0" t="n">
        <v>80</v>
      </c>
      <c r="X686" s="0" t="n">
        <v>9</v>
      </c>
      <c r="Y686" s="0" t="n">
        <v>9</v>
      </c>
      <c r="Z686" s="0" t="inlineStr">
        <is>
          <t>https://new.land.naver.com/complexes/2716?tab=detail&amp;rf=Y</t>
        </is>
      </c>
      <c r="AA686" s="0" t="inlineStr">
        <is>
          <t>경기도 수원시 장안구 파장동 213-5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장안구</t>
        </is>
      </c>
      <c r="AE686" s="0" t="inlineStr">
        <is>
          <t>파장동</t>
        </is>
      </c>
      <c r="AG686" s="0" t="inlineStr">
        <is>
          <t>경기도 수원시 장안구 수일로 13</t>
        </is>
      </c>
      <c r="AH686" s="0" t="n">
        <v>0</v>
      </c>
      <c r="AI686" s="0" t="n">
        <v>277</v>
      </c>
      <c r="AJ686" s="0" t="n">
        <v>35</v>
      </c>
      <c r="AK686" s="0" t="n">
        <v>0</v>
      </c>
      <c r="AL686" s="0" t="n">
        <v>0</v>
      </c>
    </row>
    <row r="687">
      <c r="A687" s="0" t="inlineStr">
        <is>
          <t>[파장동]</t>
        </is>
      </c>
      <c r="B687" s="0" t="n">
        <v>2716</v>
      </c>
      <c r="C687" s="0" t="n">
        <v>2</v>
      </c>
      <c r="D687" s="0" t="inlineStr">
        <is>
          <t>동진</t>
        </is>
      </c>
      <c r="E687" s="0" t="inlineStr">
        <is>
          <t>1995.10.</t>
        </is>
      </c>
      <c r="F687" s="0" t="n">
        <v>81</v>
      </c>
      <c r="G687" s="0" t="n">
        <v>29.59</v>
      </c>
      <c r="H687" s="0" t="n">
        <v>97.84</v>
      </c>
      <c r="I687" s="0" t="n">
        <v>22</v>
      </c>
      <c r="J687" s="0" t="n">
        <v>72.75</v>
      </c>
      <c r="K687" s="0" t="n">
        <v>45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97</v>
      </c>
      <c r="X687" s="0" t="n">
        <v>9</v>
      </c>
      <c r="Y687" s="0" t="n">
        <v>9</v>
      </c>
      <c r="Z687" s="0" t="inlineStr">
        <is>
          <t>https://new.land.naver.com/complexes/2716?tab=detail&amp;rf=Y</t>
        </is>
      </c>
      <c r="AA687" s="0" t="inlineStr">
        <is>
          <t>경기도 수원시 장안구 파장동 213-5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장안구</t>
        </is>
      </c>
      <c r="AE687" s="0" t="inlineStr">
        <is>
          <t>파장동</t>
        </is>
      </c>
      <c r="AG687" s="0" t="inlineStr">
        <is>
          <t>경기도 수원시 장안구 수일로 13</t>
        </is>
      </c>
      <c r="AH687" s="0" t="n">
        <v>0</v>
      </c>
      <c r="AI687" s="0" t="n">
        <v>277</v>
      </c>
      <c r="AJ687" s="0" t="n">
        <v>35</v>
      </c>
      <c r="AK687" s="0" t="n">
        <v>0</v>
      </c>
      <c r="AL687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송죽동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수원로얄팰리스</t>
        </is>
      </c>
      <c r="B6" s="16" t="inlineStr">
        <is>
          <t>'06.01.</t>
        </is>
      </c>
      <c r="C6" s="164" t="n">
        <v>614</v>
      </c>
      <c r="D6" s="161" t="n">
        <v>34.8</v>
      </c>
      <c r="E6" s="163" t="n">
        <v>11</v>
      </c>
      <c r="F6" s="161" t="n">
        <v>26.7</v>
      </c>
      <c r="G6" s="27" t="n">
        <v>8</v>
      </c>
      <c r="H6" s="164" t="n">
        <v>98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inlineStr">
        <is>
          <t>34A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수원로얄팰리스</t>
        </is>
      </c>
      <c r="B7" s="16" t="inlineStr">
        <is>
          <t>'06.01.</t>
        </is>
      </c>
      <c r="C7" s="164" t="n">
        <v>614</v>
      </c>
      <c r="D7" s="161" t="n">
        <v>36.3</v>
      </c>
      <c r="E7" s="163" t="n">
        <v>11</v>
      </c>
      <c r="F7" s="161" t="n">
        <v>27.8</v>
      </c>
      <c r="G7" s="27" t="n">
        <v>8</v>
      </c>
      <c r="H7" s="164" t="n">
        <v>28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1</v>
      </c>
      <c r="R7" s="113" t="n">
        <v>1</v>
      </c>
      <c r="S7" s="113" t="inlineStr">
        <is>
          <t>계</t>
        </is>
      </c>
      <c r="T7" s="8" t="inlineStr">
        <is>
          <t>36B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수원로얄팰리스</t>
        </is>
      </c>
      <c r="B8" s="16" t="inlineStr">
        <is>
          <t>'06.01.</t>
        </is>
      </c>
      <c r="C8" s="164" t="n">
        <v>614</v>
      </c>
      <c r="D8" s="161" t="n">
        <v>52.7</v>
      </c>
      <c r="E8" s="163" t="n">
        <v>16</v>
      </c>
      <c r="F8" s="161" t="n">
        <v>40.3</v>
      </c>
      <c r="G8" s="27" t="n">
        <v>12</v>
      </c>
      <c r="H8" s="164" t="n">
        <v>14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52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수원로얄팰리스</t>
        </is>
      </c>
      <c r="B9" s="16" t="inlineStr">
        <is>
          <t>'06.01.</t>
        </is>
      </c>
      <c r="C9" s="164" t="n">
        <v>614</v>
      </c>
      <c r="D9" s="161" t="n">
        <v>70.59999999999999</v>
      </c>
      <c r="E9" s="163" t="n">
        <v>21</v>
      </c>
      <c r="F9" s="161" t="n">
        <v>54</v>
      </c>
      <c r="G9" s="27" t="n">
        <v>16</v>
      </c>
      <c r="H9" s="164" t="n">
        <v>70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수원로얄팰리스</t>
        </is>
      </c>
      <c r="B10" s="16" t="inlineStr">
        <is>
          <t>'06.01.</t>
        </is>
      </c>
      <c r="C10" s="164" t="n">
        <v>614</v>
      </c>
      <c r="D10" s="161" t="n">
        <v>80.3</v>
      </c>
      <c r="E10" s="163" t="n">
        <v>24</v>
      </c>
      <c r="F10" s="161" t="n">
        <v>61.4</v>
      </c>
      <c r="G10" s="27" t="n">
        <v>19</v>
      </c>
      <c r="H10" s="164" t="n">
        <v>14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80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수원로얄팰리스</t>
        </is>
      </c>
      <c r="B11" s="16" t="inlineStr">
        <is>
          <t>'06.01.</t>
        </is>
      </c>
      <c r="C11" s="164" t="n">
        <v>614</v>
      </c>
      <c r="D11" s="161" t="n">
        <v>111.1</v>
      </c>
      <c r="E11" s="163" t="n">
        <v>34</v>
      </c>
      <c r="F11" s="161" t="n">
        <v>85</v>
      </c>
      <c r="G11" s="27" t="n">
        <v>26</v>
      </c>
      <c r="H11" s="164" t="n">
        <v>290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111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수원로얄팰리스</t>
        </is>
      </c>
      <c r="B12" s="16" t="inlineStr">
        <is>
          <t>'06.01.</t>
        </is>
      </c>
      <c r="C12" s="164" t="n">
        <v>614</v>
      </c>
      <c r="D12" s="161" t="n">
        <v>145.5</v>
      </c>
      <c r="E12" s="163" t="n">
        <v>44</v>
      </c>
      <c r="F12" s="161" t="n">
        <v>111.3</v>
      </c>
      <c r="G12" s="27" t="n">
        <v>34</v>
      </c>
      <c r="H12" s="164" t="n">
        <v>100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수원아너스빌위즈</t>
        </is>
      </c>
      <c r="B14" s="16" t="inlineStr">
        <is>
          <t>'17.04.</t>
        </is>
      </c>
      <c r="C14" s="164" t="n">
        <v>798</v>
      </c>
      <c r="D14" s="161" t="n">
        <v>86</v>
      </c>
      <c r="E14" s="163" t="n">
        <v>26</v>
      </c>
      <c r="F14" s="161" t="n">
        <v>60</v>
      </c>
      <c r="G14" s="27" t="n">
        <v>18</v>
      </c>
      <c r="H14" s="164" t="n">
        <v>150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86A1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수원아너스빌위즈</t>
        </is>
      </c>
      <c r="B15" s="16" t="inlineStr">
        <is>
          <t>'17.04.</t>
        </is>
      </c>
      <c r="C15" s="164" t="n">
        <v>798</v>
      </c>
      <c r="D15" s="161" t="n">
        <v>86</v>
      </c>
      <c r="E15" s="163" t="n">
        <v>26</v>
      </c>
      <c r="F15" s="161" t="n">
        <v>60</v>
      </c>
      <c r="G15" s="27" t="n">
        <v>18</v>
      </c>
      <c r="H15" s="164" t="n">
        <v>10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86A2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수원아너스빌위즈</t>
        </is>
      </c>
      <c r="B16" s="16" t="inlineStr">
        <is>
          <t>'17.04.</t>
        </is>
      </c>
      <c r="C16" s="164" t="n">
        <v>798</v>
      </c>
      <c r="D16" s="161" t="n">
        <v>119.7</v>
      </c>
      <c r="E16" s="163" t="n">
        <v>36</v>
      </c>
      <c r="F16" s="161" t="n">
        <v>85</v>
      </c>
      <c r="G16" s="27" t="n">
        <v>26</v>
      </c>
      <c r="H16" s="164" t="n">
        <v>152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119C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수원아너스빌위즈</t>
        </is>
      </c>
      <c r="B17" s="16" t="inlineStr">
        <is>
          <t>'17.04.</t>
        </is>
      </c>
      <c r="C17" s="164" t="n">
        <v>798</v>
      </c>
      <c r="D17" s="161" t="n">
        <v>119.7</v>
      </c>
      <c r="E17" s="163" t="n">
        <v>36</v>
      </c>
      <c r="F17" s="161" t="n">
        <v>84.90000000000001</v>
      </c>
      <c r="G17" s="27" t="n">
        <v>26</v>
      </c>
      <c r="H17" s="164" t="n">
        <v>148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119A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수원아너스빌위즈</t>
        </is>
      </c>
      <c r="B18" s="16" t="inlineStr">
        <is>
          <t>'17.04.</t>
        </is>
      </c>
      <c r="C18" s="164" t="n">
        <v>798</v>
      </c>
      <c r="D18" s="161" t="n">
        <v>120</v>
      </c>
      <c r="E18" s="163" t="n">
        <v>36</v>
      </c>
      <c r="F18" s="161" t="n">
        <v>85</v>
      </c>
      <c r="G18" s="27" t="n">
        <v>26</v>
      </c>
      <c r="H18" s="164" t="n">
        <v>148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120B1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수원아너스빌위즈</t>
        </is>
      </c>
      <c r="B19" s="16" t="inlineStr">
        <is>
          <t>'17.04.</t>
        </is>
      </c>
      <c r="C19" s="164" t="n">
        <v>798</v>
      </c>
      <c r="D19" s="161" t="n">
        <v>120</v>
      </c>
      <c r="E19" s="163" t="n">
        <v>36</v>
      </c>
      <c r="F19" s="161" t="n">
        <v>85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120B2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수원아너스빌위즈</t>
        </is>
      </c>
      <c r="B20" s="16" t="inlineStr">
        <is>
          <t>'17.04.</t>
        </is>
      </c>
      <c r="C20" s="164" t="n">
        <v>798</v>
      </c>
      <c r="D20" s="161" t="n">
        <v>141.6</v>
      </c>
      <c r="E20" s="163" t="n">
        <v>43</v>
      </c>
      <c r="F20" s="161" t="n">
        <v>100.6</v>
      </c>
      <c r="G20" s="27" t="n">
        <v>30</v>
      </c>
      <c r="H20" s="164" t="n">
        <v>160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141A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수원아너스빌위즈</t>
        </is>
      </c>
      <c r="B21" s="16" t="inlineStr">
        <is>
          <t>'17.04.</t>
        </is>
      </c>
      <c r="C21" s="164" t="n">
        <v>798</v>
      </c>
      <c r="D21" s="161" t="n">
        <v>179.1</v>
      </c>
      <c r="E21" s="163" t="n">
        <v>54</v>
      </c>
      <c r="F21" s="161" t="n">
        <v>128.2</v>
      </c>
      <c r="G21" s="27" t="n">
        <v>39</v>
      </c>
      <c r="H21" s="164" t="n">
        <v>10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inlineStr">
        <is>
          <t>179A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91" dxfId="17">
      <formula>AV4="X"</formula>
    </cfRule>
    <cfRule type="expression" priority="292" dxfId="16">
      <formula>AV4="후보"</formula>
    </cfRule>
  </conditionalFormatting>
  <conditionalFormatting sqref="AC1:AC2 AC4:AC6 N4:N5">
    <cfRule type="cellIs" priority="288" operator="greaterThan" dxfId="13">
      <formula>0.9</formula>
    </cfRule>
    <cfRule type="cellIs" priority="289" operator="greaterThan" dxfId="12">
      <formula>0.85</formula>
    </cfRule>
  </conditionalFormatting>
  <conditionalFormatting sqref="N1:N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6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6">
    <cfRule type="expression" priority="280" dxfId="3">
      <formula>AND(IF(OR($Q6=1,$Q6=2),1,0),IF($X6&lt;=20,1,0))</formula>
    </cfRule>
    <cfRule type="expression" priority="281" dxfId="2">
      <formula>AND(IF($Q6=2,1,0),IF($X6&lt;30,1,0))</formula>
    </cfRule>
    <cfRule type="expression" priority="282" dxfId="1">
      <formula>AND(IF($Q6=3,1,0),IF($X6&lt;30,1,0))</formula>
    </cfRule>
    <cfRule type="expression" priority="283" dxfId="0">
      <formula>AND(IF($Q6=3,1,IF($Q6=4,1,0)),IF($F6&lt;=85,1,0))</formula>
    </cfRule>
  </conditionalFormatting>
  <conditionalFormatting sqref="X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AI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V7">
    <cfRule type="expression" priority="270" dxfId="17">
      <formula>AV7="X"</formula>
    </cfRule>
    <cfRule type="expression" priority="271" dxfId="16">
      <formula>AV7="후보"</formula>
    </cfRule>
  </conditionalFormatting>
  <conditionalFormatting sqref="AC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">
    <cfRule type="expression" priority="261" dxfId="3">
      <formula>AND(IF(OR($Q7=1,$Q7=2),1,0),IF($X7&lt;=20,1,0))</formula>
    </cfRule>
    <cfRule type="expression" priority="262" dxfId="2">
      <formula>AND(IF($Q7=2,1,0),IF($X7&lt;30,1,0))</formula>
    </cfRule>
    <cfRule type="expression" priority="263" dxfId="1">
      <formula>AND(IF($Q7=3,1,0),IF($X7&lt;30,1,0))</formula>
    </cfRule>
    <cfRule type="expression" priority="264" dxfId="0">
      <formula>AND(IF($Q7=3,1,IF($Q7=4,1,0)),IF($F7&lt;=85,1,0))</formula>
    </cfRule>
  </conditionalFormatting>
  <conditionalFormatting sqref="X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AI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V8">
    <cfRule type="expression" priority="251" dxfId="17">
      <formula>AV8="X"</formula>
    </cfRule>
    <cfRule type="expression" priority="252" dxfId="16">
      <formula>AV8="후보"</formula>
    </cfRule>
  </conditionalFormatting>
  <conditionalFormatting sqref="AC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">
    <cfRule type="expression" priority="242" dxfId="3">
      <formula>AND(IF(OR($Q8=1,$Q8=2),1,0),IF($X8&lt;=20,1,0))</formula>
    </cfRule>
    <cfRule type="expression" priority="243" dxfId="2">
      <formula>AND(IF($Q8=2,1,0),IF($X8&lt;30,1,0))</formula>
    </cfRule>
    <cfRule type="expression" priority="244" dxfId="1">
      <formula>AND(IF($Q8=3,1,0),IF($X8&lt;30,1,0))</formula>
    </cfRule>
    <cfRule type="expression" priority="245" dxfId="0">
      <formula>AND(IF($Q8=3,1,IF($Q8=4,1,0)),IF($F8&lt;=85,1,0))</formula>
    </cfRule>
  </conditionalFormatting>
  <conditionalFormatting sqref="X8">
    <cfRule type="expression" priority="238" dxfId="3">
      <formula>AND(IF(OR($Q8=1,$Q8=2),1,0),IF($X8&lt;=20,1,0))</formula>
    </cfRule>
    <cfRule type="expression" priority="239" dxfId="2">
      <formula>AND(IF($Q8=2,1,0),IF($X8&lt;30,1,0))</formula>
    </cfRule>
    <cfRule type="expression" priority="240" dxfId="1">
      <formula>AND(IF($Q8=3,1,0),IF($X8&lt;30,1,0))</formula>
    </cfRule>
    <cfRule type="expression" priority="241" dxfId="0">
      <formula>AND(IF($Q8=3,1,IF($Q8=4,1,0)),IF($F8&lt;=85,1,0))</formula>
    </cfRule>
  </conditionalFormatting>
  <conditionalFormatting sqref="AI8">
    <cfRule type="expression" priority="234" dxfId="3">
      <formula>AND(IF(OR($Q8=1,$Q8=2),1,0),IF($X8&lt;=20,1,0))</formula>
    </cfRule>
    <cfRule type="expression" priority="235" dxfId="2">
      <formula>AND(IF($Q8=2,1,0),IF($X8&lt;30,1,0))</formula>
    </cfRule>
    <cfRule type="expression" priority="236" dxfId="1">
      <formula>AND(IF($Q8=3,1,0),IF($X8&lt;30,1,0))</formula>
    </cfRule>
    <cfRule type="expression" priority="237" dxfId="0">
      <formula>AND(IF($Q8=3,1,IF($Q8=4,1,0)),IF($F8&lt;=85,1,0))</formula>
    </cfRule>
  </conditionalFormatting>
  <conditionalFormatting sqref="AV9">
    <cfRule type="expression" priority="232" dxfId="17">
      <formula>AV9="X"</formula>
    </cfRule>
    <cfRule type="expression" priority="233" dxfId="16">
      <formula>AV9="후보"</formula>
    </cfRule>
  </conditionalFormatting>
  <conditionalFormatting sqref="AC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">
    <cfRule type="expression" priority="223" dxfId="3">
      <formula>AND(IF(OR($Q9=1,$Q9=2),1,0),IF($X9&lt;=20,1,0))</formula>
    </cfRule>
    <cfRule type="expression" priority="224" dxfId="2">
      <formula>AND(IF($Q9=2,1,0),IF($X9&lt;30,1,0))</formula>
    </cfRule>
    <cfRule type="expression" priority="225" dxfId="1">
      <formula>AND(IF($Q9=3,1,0),IF($X9&lt;30,1,0))</formula>
    </cfRule>
    <cfRule type="expression" priority="226" dxfId="0">
      <formula>AND(IF($Q9=3,1,IF($Q9=4,1,0)),IF($F9&lt;=85,1,0))</formula>
    </cfRule>
  </conditionalFormatting>
  <conditionalFormatting sqref="X9">
    <cfRule type="expression" priority="219" dxfId="3">
      <formula>AND(IF(OR($Q9=1,$Q9=2),1,0),IF($X9&lt;=20,1,0))</formula>
    </cfRule>
    <cfRule type="expression" priority="220" dxfId="2">
      <formula>AND(IF($Q9=2,1,0),IF($X9&lt;30,1,0))</formula>
    </cfRule>
    <cfRule type="expression" priority="221" dxfId="1">
      <formula>AND(IF($Q9=3,1,0),IF($X9&lt;30,1,0))</formula>
    </cfRule>
    <cfRule type="expression" priority="222" dxfId="0">
      <formula>AND(IF($Q9=3,1,IF($Q9=4,1,0)),IF($F9&lt;=85,1,0))</formula>
    </cfRule>
  </conditionalFormatting>
  <conditionalFormatting sqref="AI9">
    <cfRule type="expression" priority="215" dxfId="3">
      <formula>AND(IF(OR($Q9=1,$Q9=2),1,0),IF($X9&lt;=20,1,0))</formula>
    </cfRule>
    <cfRule type="expression" priority="216" dxfId="2">
      <formula>AND(IF($Q9=2,1,0),IF($X9&lt;30,1,0))</formula>
    </cfRule>
    <cfRule type="expression" priority="217" dxfId="1">
      <formula>AND(IF($Q9=3,1,0),IF($X9&lt;30,1,0))</formula>
    </cfRule>
    <cfRule type="expression" priority="218" dxfId="0">
      <formula>AND(IF($Q9=3,1,IF($Q9=4,1,0)),IF($F9&lt;=85,1,0))</formula>
    </cfRule>
  </conditionalFormatting>
  <conditionalFormatting sqref="AV10">
    <cfRule type="expression" priority="213" dxfId="17">
      <formula>AV10="X"</formula>
    </cfRule>
    <cfRule type="expression" priority="214" dxfId="16">
      <formula>AV10="후보"</formula>
    </cfRule>
  </conditionalFormatting>
  <conditionalFormatting sqref="AC1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0">
    <cfRule type="expression" priority="204" dxfId="3">
      <formula>AND(IF(OR($Q10=1,$Q10=2),1,0),IF($X10&lt;=20,1,0))</formula>
    </cfRule>
    <cfRule type="expression" priority="205" dxfId="2">
      <formula>AND(IF($Q10=2,1,0),IF($X10&lt;30,1,0))</formula>
    </cfRule>
    <cfRule type="expression" priority="206" dxfId="1">
      <formula>AND(IF($Q10=3,1,0),IF($X10&lt;30,1,0))</formula>
    </cfRule>
    <cfRule type="expression" priority="207" dxfId="0">
      <formula>AND(IF($Q10=3,1,IF($Q10=4,1,0)),IF($F10&lt;=85,1,0))</formula>
    </cfRule>
  </conditionalFormatting>
  <conditionalFormatting sqref="X10">
    <cfRule type="expression" priority="200" dxfId="3">
      <formula>AND(IF(OR($Q10=1,$Q10=2),1,0),IF($X10&lt;=20,1,0))</formula>
    </cfRule>
    <cfRule type="expression" priority="201" dxfId="2">
      <formula>AND(IF($Q10=2,1,0),IF($X10&lt;30,1,0))</formula>
    </cfRule>
    <cfRule type="expression" priority="202" dxfId="1">
      <formula>AND(IF($Q10=3,1,0),IF($X10&lt;30,1,0))</formula>
    </cfRule>
    <cfRule type="expression" priority="203" dxfId="0">
      <formula>AND(IF($Q10=3,1,IF($Q10=4,1,0)),IF($F10&lt;=85,1,0))</formula>
    </cfRule>
  </conditionalFormatting>
  <conditionalFormatting sqref="AI10">
    <cfRule type="expression" priority="196" dxfId="3">
      <formula>AND(IF(OR($Q10=1,$Q10=2),1,0),IF($X10&lt;=20,1,0))</formula>
    </cfRule>
    <cfRule type="expression" priority="197" dxfId="2">
      <formula>AND(IF($Q10=2,1,0),IF($X10&lt;30,1,0))</formula>
    </cfRule>
    <cfRule type="expression" priority="198" dxfId="1">
      <formula>AND(IF($Q10=3,1,0),IF($X10&lt;30,1,0))</formula>
    </cfRule>
    <cfRule type="expression" priority="199" dxfId="0">
      <formula>AND(IF($Q10=3,1,IF($Q10=4,1,0)),IF($F10&lt;=85,1,0))</formula>
    </cfRule>
  </conditionalFormatting>
  <conditionalFormatting sqref="AV11">
    <cfRule type="expression" priority="194" dxfId="17">
      <formula>AV11="X"</formula>
    </cfRule>
    <cfRule type="expression" priority="195" dxfId="16">
      <formula>AV11="후보"</formula>
    </cfRule>
  </conditionalFormatting>
  <conditionalFormatting sqref="AC1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17">
      <formula>AV12="X"</formula>
    </cfRule>
    <cfRule type="expression" priority="176" dxfId="16">
      <formula>AV12="후보"</formula>
    </cfRule>
  </conditionalFormatting>
  <conditionalFormatting sqref="AC1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17">
      <formula>AV13="X"</formula>
    </cfRule>
    <cfRule type="expression" priority="157" dxfId="16">
      <formula>AV13="후보"</formula>
    </cfRule>
  </conditionalFormatting>
  <conditionalFormatting sqref="AC13 N1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4">
    <cfRule type="expression" priority="151" dxfId="17">
      <formula>AV14="X"</formula>
    </cfRule>
    <cfRule type="expression" priority="152" dxfId="16">
      <formula>AV14="후보"</formula>
    </cfRule>
  </conditionalFormatting>
  <conditionalFormatting sqref="AC1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4">
    <cfRule type="expression" priority="142" dxfId="3">
      <formula>AND(IF(OR($Q14=1,$Q14=2),1,0),IF($X14&lt;=20,1,0))</formula>
    </cfRule>
    <cfRule type="expression" priority="143" dxfId="2">
      <formula>AND(IF($Q14=2,1,0),IF($X14&lt;30,1,0))</formula>
    </cfRule>
    <cfRule type="expression" priority="144" dxfId="1">
      <formula>AND(IF($Q14=3,1,0),IF($X14&lt;30,1,0))</formula>
    </cfRule>
    <cfRule type="expression" priority="145" dxfId="0">
      <formula>AND(IF($Q14=3,1,IF($Q14=4,1,0)),IF($F14&lt;=85,1,0))</formula>
    </cfRule>
  </conditionalFormatting>
  <conditionalFormatting sqref="X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AI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V15">
    <cfRule type="expression" priority="132" dxfId="17">
      <formula>AV15="X"</formula>
    </cfRule>
    <cfRule type="expression" priority="133" dxfId="16">
      <formula>AV15="후보"</formula>
    </cfRule>
  </conditionalFormatting>
  <conditionalFormatting sqref="AC1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17">
      <formula>AV16="X"</formula>
    </cfRule>
    <cfRule type="expression" priority="114" dxfId="16">
      <formula>AV16="후보"</formula>
    </cfRule>
  </conditionalFormatting>
  <conditionalFormatting sqref="AC1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17">
      <formula>AV17="X"</formula>
    </cfRule>
    <cfRule type="expression" priority="95" dxfId="16">
      <formula>AV17="후보"</formula>
    </cfRule>
  </conditionalFormatting>
  <conditionalFormatting sqref="AC1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17">
      <formula>AV18="X"</formula>
    </cfRule>
    <cfRule type="expression" priority="76" dxfId="16">
      <formula>AV18="후보"</formula>
    </cfRule>
  </conditionalFormatting>
  <conditionalFormatting sqref="AC1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17">
      <formula>AV19="X"</formula>
    </cfRule>
    <cfRule type="expression" priority="57" dxfId="16">
      <formula>AV19="후보"</formula>
    </cfRule>
  </conditionalFormatting>
  <conditionalFormatting sqref="AC1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신미주</t>
        </is>
      </c>
      <c r="B6" s="16" t="inlineStr">
        <is>
          <t>'97.12.</t>
        </is>
      </c>
      <c r="C6" s="164" t="n">
        <v>300</v>
      </c>
      <c r="D6" s="161" t="n">
        <v>85.09999999999999</v>
      </c>
      <c r="E6" s="163" t="n">
        <v>26</v>
      </c>
      <c r="F6" s="161" t="n">
        <v>59.9</v>
      </c>
      <c r="G6" s="27" t="n">
        <v>18</v>
      </c>
      <c r="H6" s="164" t="n">
        <v>140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신미주</t>
        </is>
      </c>
      <c r="B7" s="16" t="inlineStr">
        <is>
          <t>'97.12.</t>
        </is>
      </c>
      <c r="C7" s="164" t="n">
        <v>300</v>
      </c>
      <c r="D7" s="161" t="n">
        <v>105.7</v>
      </c>
      <c r="E7" s="163" t="n">
        <v>32</v>
      </c>
      <c r="F7" s="161" t="n">
        <v>84.90000000000001</v>
      </c>
      <c r="G7" s="27" t="n">
        <v>26</v>
      </c>
      <c r="H7" s="164" t="n">
        <v>160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복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서광교파크스위첸</t>
        </is>
      </c>
      <c r="B9" s="16" t="inlineStr">
        <is>
          <t>'23.05.</t>
        </is>
      </c>
      <c r="C9" s="164" t="n">
        <v>1130</v>
      </c>
      <c r="D9" s="161" t="n">
        <v>69.5</v>
      </c>
      <c r="E9" s="163" t="n">
        <v>21</v>
      </c>
      <c r="F9" s="161" t="n">
        <v>52.7</v>
      </c>
      <c r="G9" s="27" t="n">
        <v>16</v>
      </c>
      <c r="H9" s="164" t="n">
        <v>204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69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서광교파크스위첸</t>
        </is>
      </c>
      <c r="B10" s="16" t="inlineStr">
        <is>
          <t>'23.05.</t>
        </is>
      </c>
      <c r="C10" s="164" t="n">
        <v>1130</v>
      </c>
      <c r="D10" s="161" t="n">
        <v>78.8</v>
      </c>
      <c r="E10" s="163" t="n">
        <v>24</v>
      </c>
      <c r="F10" s="161" t="n">
        <v>59.1</v>
      </c>
      <c r="G10" s="27" t="n">
        <v>18</v>
      </c>
      <c r="H10" s="164" t="n">
        <v>17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78A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서광교파크스위첸</t>
        </is>
      </c>
      <c r="B11" s="16" t="inlineStr">
        <is>
          <t>'23.05.</t>
        </is>
      </c>
      <c r="C11" s="164" t="n">
        <v>1130</v>
      </c>
      <c r="D11" s="161" t="n">
        <v>78.7</v>
      </c>
      <c r="E11" s="163" t="n">
        <v>24</v>
      </c>
      <c r="F11" s="161" t="n">
        <v>59.4</v>
      </c>
      <c r="G11" s="27" t="n">
        <v>18</v>
      </c>
      <c r="H11" s="164" t="n">
        <v>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78D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서광교파크스위첸</t>
        </is>
      </c>
      <c r="B12" s="16" t="inlineStr">
        <is>
          <t>'23.05.</t>
        </is>
      </c>
      <c r="C12" s="164" t="n">
        <v>1130</v>
      </c>
      <c r="D12" s="161" t="n">
        <v>79.3</v>
      </c>
      <c r="E12" s="163" t="n">
        <v>24</v>
      </c>
      <c r="F12" s="161" t="n">
        <v>59.8</v>
      </c>
      <c r="G12" s="27" t="n">
        <v>18</v>
      </c>
      <c r="H12" s="164" t="n">
        <v>24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79E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서광교파크스위첸</t>
        </is>
      </c>
      <c r="B13" s="16" t="inlineStr">
        <is>
          <t>'23.05.</t>
        </is>
      </c>
      <c r="C13" s="164" t="n">
        <v>1130</v>
      </c>
      <c r="D13" s="161" t="n">
        <v>79</v>
      </c>
      <c r="E13" s="163" t="n">
        <v>24</v>
      </c>
      <c r="F13" s="161" t="n">
        <v>59.8</v>
      </c>
      <c r="G13" s="27" t="n">
        <v>18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79B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서광교파크스위첸</t>
        </is>
      </c>
      <c r="B14" s="16" t="inlineStr">
        <is>
          <t>'23.05.</t>
        </is>
      </c>
      <c r="C14" s="164" t="n">
        <v>1130</v>
      </c>
      <c r="D14" s="161" t="n">
        <v>79.7</v>
      </c>
      <c r="E14" s="163" t="n">
        <v>24</v>
      </c>
      <c r="F14" s="161" t="n">
        <v>59.7</v>
      </c>
      <c r="G14" s="27" t="n">
        <v>18</v>
      </c>
      <c r="H14" s="164" t="n">
        <v>9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79C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서광교파크스위첸</t>
        </is>
      </c>
      <c r="B15" s="16" t="inlineStr">
        <is>
          <t>'23.05.</t>
        </is>
      </c>
      <c r="C15" s="164" t="n">
        <v>1130</v>
      </c>
      <c r="D15" s="161" t="n">
        <v>99.5</v>
      </c>
      <c r="E15" s="163" t="n">
        <v>30</v>
      </c>
      <c r="F15" s="161" t="n">
        <v>75.3</v>
      </c>
      <c r="G15" s="27" t="n">
        <v>23</v>
      </c>
      <c r="H15" s="164" t="n">
        <v>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99B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서광교파크스위첸</t>
        </is>
      </c>
      <c r="B16" s="16" t="inlineStr">
        <is>
          <t>'23.05.</t>
        </is>
      </c>
      <c r="C16" s="164" t="n">
        <v>1130</v>
      </c>
      <c r="D16" s="161" t="n">
        <v>100.7</v>
      </c>
      <c r="E16" s="163" t="n">
        <v>30</v>
      </c>
      <c r="F16" s="161" t="n">
        <v>75.8</v>
      </c>
      <c r="G16" s="27" t="n">
        <v>23</v>
      </c>
      <c r="H16" s="164" t="n">
        <v>36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100A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서광교파크스위첸</t>
        </is>
      </c>
      <c r="B17" s="16" t="inlineStr">
        <is>
          <t>'23.05.</t>
        </is>
      </c>
      <c r="C17" s="164" t="n">
        <v>1130</v>
      </c>
      <c r="D17" s="161" t="n">
        <v>111.7</v>
      </c>
      <c r="E17" s="163" t="n">
        <v>34</v>
      </c>
      <c r="F17" s="161" t="n">
        <v>84.90000000000001</v>
      </c>
      <c r="G17" s="27" t="n">
        <v>26</v>
      </c>
      <c r="H17" s="164" t="n">
        <v>53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111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15" dxfId="17">
      <formula>AV4="X"</formula>
    </cfRule>
    <cfRule type="expression" priority="216" dxfId="16">
      <formula>AV4="후보"</formula>
    </cfRule>
  </conditionalFormatting>
  <conditionalFormatting sqref="AC1:AC2 AC4:AC6 N4:N5">
    <cfRule type="cellIs" priority="212" operator="greaterThan" dxfId="13">
      <formula>0.9</formula>
    </cfRule>
    <cfRule type="cellIs" priority="213" operator="greaterThan" dxfId="12">
      <formula>0.85</formula>
    </cfRule>
  </conditionalFormatting>
  <conditionalFormatting sqref="N1:N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">
    <cfRule type="expression" priority="204" dxfId="3">
      <formula>AND(IF(OR($Q6=1,$Q6=2),1,0),IF($X6&lt;=20,1,0))</formula>
    </cfRule>
    <cfRule type="expression" priority="205" dxfId="2">
      <formula>AND(IF($Q6=2,1,0),IF($X6&lt;30,1,0))</formula>
    </cfRule>
    <cfRule type="expression" priority="206" dxfId="1">
      <formula>AND(IF($Q6=3,1,0),IF($X6&lt;30,1,0))</formula>
    </cfRule>
    <cfRule type="expression" priority="207" dxfId="0">
      <formula>AND(IF($Q6=3,1,IF($Q6=4,1,0)),IF($F6&lt;=85,1,0))</formula>
    </cfRule>
  </conditionalFormatting>
  <conditionalFormatting sqref="X6">
    <cfRule type="expression" priority="200" dxfId="3">
      <formula>AND(IF(OR($Q6=1,$Q6=2),1,0),IF($X6&lt;=20,1,0))</formula>
    </cfRule>
    <cfRule type="expression" priority="201" dxfId="2">
      <formula>AND(IF($Q6=2,1,0),IF($X6&lt;30,1,0))</formula>
    </cfRule>
    <cfRule type="expression" priority="202" dxfId="1">
      <formula>AND(IF($Q6=3,1,0),IF($X6&lt;30,1,0))</formula>
    </cfRule>
    <cfRule type="expression" priority="203" dxfId="0">
      <formula>AND(IF($Q6=3,1,IF($Q6=4,1,0)),IF($F6&lt;=85,1,0))</formula>
    </cfRule>
  </conditionalFormatting>
  <conditionalFormatting sqref="AI6">
    <cfRule type="expression" priority="196" dxfId="3">
      <formula>AND(IF(OR($Q6=1,$Q6=2),1,0),IF($X6&lt;=20,1,0))</formula>
    </cfRule>
    <cfRule type="expression" priority="197" dxfId="2">
      <formula>AND(IF($Q6=2,1,0),IF($X6&lt;30,1,0))</formula>
    </cfRule>
    <cfRule type="expression" priority="198" dxfId="1">
      <formula>AND(IF($Q6=3,1,0),IF($X6&lt;30,1,0))</formula>
    </cfRule>
    <cfRule type="expression" priority="199" dxfId="0">
      <formula>AND(IF($Q6=3,1,IF($Q6=4,1,0)),IF($F6&lt;=85,1,0))</formula>
    </cfRule>
  </conditionalFormatting>
  <conditionalFormatting sqref="AV7">
    <cfRule type="expression" priority="194" dxfId="17">
      <formula>AV7="X"</formula>
    </cfRule>
    <cfRule type="expression" priority="195" dxfId="16">
      <formula>AV7="후보"</formula>
    </cfRule>
  </conditionalFormatting>
  <conditionalFormatting sqref="AC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">
    <cfRule type="expression" priority="185" dxfId="3">
      <formula>AND(IF(OR($Q7=1,$Q7=2),1,0),IF($X7&lt;=20,1,0))</formula>
    </cfRule>
    <cfRule type="expression" priority="186" dxfId="2">
      <formula>AND(IF($Q7=2,1,0),IF($X7&lt;30,1,0))</formula>
    </cfRule>
    <cfRule type="expression" priority="187" dxfId="1">
      <formula>AND(IF($Q7=3,1,0),IF($X7&lt;30,1,0))</formula>
    </cfRule>
    <cfRule type="expression" priority="188" dxfId="0">
      <formula>AND(IF($Q7=3,1,IF($Q7=4,1,0)),IF($F7&lt;=85,1,0))</formula>
    </cfRule>
  </conditionalFormatting>
  <conditionalFormatting sqref="X7">
    <cfRule type="expression" priority="181" dxfId="3">
      <formula>AND(IF(OR($Q7=1,$Q7=2),1,0),IF($X7&lt;=20,1,0))</formula>
    </cfRule>
    <cfRule type="expression" priority="182" dxfId="2">
      <formula>AND(IF($Q7=2,1,0),IF($X7&lt;30,1,0))</formula>
    </cfRule>
    <cfRule type="expression" priority="183" dxfId="1">
      <formula>AND(IF($Q7=3,1,0),IF($X7&lt;30,1,0))</formula>
    </cfRule>
    <cfRule type="expression" priority="184" dxfId="0">
      <formula>AND(IF($Q7=3,1,IF($Q7=4,1,0)),IF($F7&lt;=85,1,0))</formula>
    </cfRule>
  </conditionalFormatting>
  <conditionalFormatting sqref="AI7">
    <cfRule type="expression" priority="177" dxfId="3">
      <formula>AND(IF(OR($Q7=1,$Q7=2),1,0),IF($X7&lt;=20,1,0))</formula>
    </cfRule>
    <cfRule type="expression" priority="178" dxfId="2">
      <formula>AND(IF($Q7=2,1,0),IF($X7&lt;30,1,0))</formula>
    </cfRule>
    <cfRule type="expression" priority="179" dxfId="1">
      <formula>AND(IF($Q7=3,1,0),IF($X7&lt;30,1,0))</formula>
    </cfRule>
    <cfRule type="expression" priority="180" dxfId="0">
      <formula>AND(IF($Q7=3,1,IF($Q7=4,1,0)),IF($F7&lt;=85,1,0))</formula>
    </cfRule>
  </conditionalFormatting>
  <conditionalFormatting sqref="AV8">
    <cfRule type="expression" priority="175" dxfId="17">
      <formula>AV8="X"</formula>
    </cfRule>
    <cfRule type="expression" priority="176" dxfId="16">
      <formula>AV8="후보"</formula>
    </cfRule>
  </conditionalFormatting>
  <conditionalFormatting sqref="AC8 N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9">
    <cfRule type="expression" priority="170" dxfId="17">
      <formula>AV9="X"</formula>
    </cfRule>
    <cfRule type="expression" priority="171" dxfId="16">
      <formula>AV9="후보"</formula>
    </cfRule>
  </conditionalFormatting>
  <conditionalFormatting sqref="AC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9">
    <cfRule type="expression" priority="161" dxfId="3">
      <formula>AND(IF(OR($Q9=1,$Q9=2),1,0),IF($X9&lt;=20,1,0))</formula>
    </cfRule>
    <cfRule type="expression" priority="162" dxfId="2">
      <formula>AND(IF($Q9=2,1,0),IF($X9&lt;30,1,0))</formula>
    </cfRule>
    <cfRule type="expression" priority="163" dxfId="1">
      <formula>AND(IF($Q9=3,1,0),IF($X9&lt;30,1,0))</formula>
    </cfRule>
    <cfRule type="expression" priority="164" dxfId="0">
      <formula>AND(IF($Q9=3,1,IF($Q9=4,1,0)),IF($F9&lt;=85,1,0))</formula>
    </cfRule>
  </conditionalFormatting>
  <conditionalFormatting sqref="X9">
    <cfRule type="expression" priority="157" dxfId="3">
      <formula>AND(IF(OR($Q9=1,$Q9=2),1,0),IF($X9&lt;=20,1,0))</formula>
    </cfRule>
    <cfRule type="expression" priority="158" dxfId="2">
      <formula>AND(IF($Q9=2,1,0),IF($X9&lt;30,1,0))</formula>
    </cfRule>
    <cfRule type="expression" priority="159" dxfId="1">
      <formula>AND(IF($Q9=3,1,0),IF($X9&lt;30,1,0))</formula>
    </cfRule>
    <cfRule type="expression" priority="160" dxfId="0">
      <formula>AND(IF($Q9=3,1,IF($Q9=4,1,0)),IF($F9&lt;=85,1,0))</formula>
    </cfRule>
  </conditionalFormatting>
  <conditionalFormatting sqref="AI9">
    <cfRule type="expression" priority="153" dxfId="3">
      <formula>AND(IF(OR($Q9=1,$Q9=2),1,0),IF($X9&lt;=20,1,0))</formula>
    </cfRule>
    <cfRule type="expression" priority="154" dxfId="2">
      <formula>AND(IF($Q9=2,1,0),IF($X9&lt;30,1,0))</formula>
    </cfRule>
    <cfRule type="expression" priority="155" dxfId="1">
      <formula>AND(IF($Q9=3,1,0),IF($X9&lt;30,1,0))</formula>
    </cfRule>
    <cfRule type="expression" priority="156" dxfId="0">
      <formula>AND(IF($Q9=3,1,IF($Q9=4,1,0)),IF($F9&lt;=85,1,0))</formula>
    </cfRule>
  </conditionalFormatting>
  <conditionalFormatting sqref="AV10">
    <cfRule type="expression" priority="151" dxfId="17">
      <formula>AV10="X"</formula>
    </cfRule>
    <cfRule type="expression" priority="152" dxfId="16">
      <formula>AV10="후보"</formula>
    </cfRule>
  </conditionalFormatting>
  <conditionalFormatting sqref="AC1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">
    <cfRule type="expression" priority="142" dxfId="3">
      <formula>AND(IF(OR($Q10=1,$Q10=2),1,0),IF($X10&lt;=20,1,0))</formula>
    </cfRule>
    <cfRule type="expression" priority="143" dxfId="2">
      <formula>AND(IF($Q10=2,1,0),IF($X10&lt;30,1,0))</formula>
    </cfRule>
    <cfRule type="expression" priority="144" dxfId="1">
      <formula>AND(IF($Q10=3,1,0),IF($X10&lt;30,1,0))</formula>
    </cfRule>
    <cfRule type="expression" priority="145" dxfId="0">
      <formula>AND(IF($Q10=3,1,IF($Q10=4,1,0)),IF($F10&lt;=85,1,0))</formula>
    </cfRule>
  </conditionalFormatting>
  <conditionalFormatting sqref="X10">
    <cfRule type="expression" priority="138" dxfId="3">
      <formula>AND(IF(OR($Q10=1,$Q10=2),1,0),IF($X10&lt;=20,1,0))</formula>
    </cfRule>
    <cfRule type="expression" priority="139" dxfId="2">
      <formula>AND(IF($Q10=2,1,0),IF($X10&lt;30,1,0))</formula>
    </cfRule>
    <cfRule type="expression" priority="140" dxfId="1">
      <formula>AND(IF($Q10=3,1,0),IF($X10&lt;30,1,0))</formula>
    </cfRule>
    <cfRule type="expression" priority="141" dxfId="0">
      <formula>AND(IF($Q10=3,1,IF($Q10=4,1,0)),IF($F10&lt;=85,1,0))</formula>
    </cfRule>
  </conditionalFormatting>
  <conditionalFormatting sqref="AI10">
    <cfRule type="expression" priority="134" dxfId="3">
      <formula>AND(IF(OR($Q10=1,$Q10=2),1,0),IF($X10&lt;=20,1,0))</formula>
    </cfRule>
    <cfRule type="expression" priority="135" dxfId="2">
      <formula>AND(IF($Q10=2,1,0),IF($X10&lt;30,1,0))</formula>
    </cfRule>
    <cfRule type="expression" priority="136" dxfId="1">
      <formula>AND(IF($Q10=3,1,0),IF($X10&lt;30,1,0))</formula>
    </cfRule>
    <cfRule type="expression" priority="137" dxfId="0">
      <formula>AND(IF($Q10=3,1,IF($Q10=4,1,0)),IF($F10&lt;=85,1,0))</formula>
    </cfRule>
  </conditionalFormatting>
  <conditionalFormatting sqref="AV11">
    <cfRule type="expression" priority="132" dxfId="17">
      <formula>AV11="X"</formula>
    </cfRule>
    <cfRule type="expression" priority="133" dxfId="16">
      <formula>AV11="후보"</formula>
    </cfRule>
  </conditionalFormatting>
  <conditionalFormatting sqref="AC1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1">
    <cfRule type="expression" priority="123" dxfId="3">
      <formula>AND(IF(OR($Q11=1,$Q11=2),1,0),IF($X11&lt;=20,1,0))</formula>
    </cfRule>
    <cfRule type="expression" priority="124" dxfId="2">
      <formula>AND(IF($Q11=2,1,0),IF($X11&lt;30,1,0))</formula>
    </cfRule>
    <cfRule type="expression" priority="125" dxfId="1">
      <formula>AND(IF($Q11=3,1,0),IF($X11&lt;30,1,0))</formula>
    </cfRule>
    <cfRule type="expression" priority="126" dxfId="0">
      <formula>AND(IF($Q11=3,1,IF($Q11=4,1,0)),IF($F11&lt;=85,1,0))</formula>
    </cfRule>
  </conditionalFormatting>
  <conditionalFormatting sqref="X11">
    <cfRule type="expression" priority="119" dxfId="3">
      <formula>AND(IF(OR($Q11=1,$Q11=2),1,0),IF($X11&lt;=20,1,0))</formula>
    </cfRule>
    <cfRule type="expression" priority="120" dxfId="2">
      <formula>AND(IF($Q11=2,1,0),IF($X11&lt;30,1,0))</formula>
    </cfRule>
    <cfRule type="expression" priority="121" dxfId="1">
      <formula>AND(IF($Q11=3,1,0),IF($X11&lt;30,1,0))</formula>
    </cfRule>
    <cfRule type="expression" priority="122" dxfId="0">
      <formula>AND(IF($Q11=3,1,IF($Q11=4,1,0)),IF($F11&lt;=85,1,0))</formula>
    </cfRule>
  </conditionalFormatting>
  <conditionalFormatting sqref="AI11">
    <cfRule type="expression" priority="115" dxfId="3">
      <formula>AND(IF(OR($Q11=1,$Q11=2),1,0),IF($X11&lt;=20,1,0))</formula>
    </cfRule>
    <cfRule type="expression" priority="116" dxfId="2">
      <formula>AND(IF($Q11=2,1,0),IF($X11&lt;30,1,0))</formula>
    </cfRule>
    <cfRule type="expression" priority="117" dxfId="1">
      <formula>AND(IF($Q11=3,1,0),IF($X11&lt;30,1,0))</formula>
    </cfRule>
    <cfRule type="expression" priority="118" dxfId="0">
      <formula>AND(IF($Q11=3,1,IF($Q11=4,1,0)),IF($F11&lt;=85,1,0))</formula>
    </cfRule>
  </conditionalFormatting>
  <conditionalFormatting sqref="AV12">
    <cfRule type="expression" priority="113" dxfId="17">
      <formula>AV12="X"</formula>
    </cfRule>
    <cfRule type="expression" priority="114" dxfId="16">
      <formula>AV12="후보"</formula>
    </cfRule>
  </conditionalFormatting>
  <conditionalFormatting sqref="AC1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">
    <cfRule type="expression" priority="104" dxfId="3">
      <formula>AND(IF(OR($Q12=1,$Q12=2),1,0),IF($X12&lt;=20,1,0))</formula>
    </cfRule>
    <cfRule type="expression" priority="105" dxfId="2">
      <formula>AND(IF($Q12=2,1,0),IF($X12&lt;30,1,0))</formula>
    </cfRule>
    <cfRule type="expression" priority="106" dxfId="1">
      <formula>AND(IF($Q12=3,1,0),IF($X12&lt;30,1,0))</formula>
    </cfRule>
    <cfRule type="expression" priority="107" dxfId="0">
      <formula>AND(IF($Q12=3,1,IF($Q12=4,1,0)),IF($F12&lt;=85,1,0))</formula>
    </cfRule>
  </conditionalFormatting>
  <conditionalFormatting sqref="X12">
    <cfRule type="expression" priority="100" dxfId="3">
      <formula>AND(IF(OR($Q12=1,$Q12=2),1,0),IF($X12&lt;=20,1,0))</formula>
    </cfRule>
    <cfRule type="expression" priority="101" dxfId="2">
      <formula>AND(IF($Q12=2,1,0),IF($X12&lt;30,1,0))</formula>
    </cfRule>
    <cfRule type="expression" priority="102" dxfId="1">
      <formula>AND(IF($Q12=3,1,0),IF($X12&lt;30,1,0))</formula>
    </cfRule>
    <cfRule type="expression" priority="103" dxfId="0">
      <formula>AND(IF($Q12=3,1,IF($Q12=4,1,0)),IF($F12&lt;=85,1,0))</formula>
    </cfRule>
  </conditionalFormatting>
  <conditionalFormatting sqref="AI12">
    <cfRule type="expression" priority="96" dxfId="3">
      <formula>AND(IF(OR($Q12=1,$Q12=2),1,0),IF($X12&lt;=20,1,0))</formula>
    </cfRule>
    <cfRule type="expression" priority="97" dxfId="2">
      <formula>AND(IF($Q12=2,1,0),IF($X12&lt;30,1,0))</formula>
    </cfRule>
    <cfRule type="expression" priority="98" dxfId="1">
      <formula>AND(IF($Q12=3,1,0),IF($X12&lt;30,1,0))</formula>
    </cfRule>
    <cfRule type="expression" priority="99" dxfId="0">
      <formula>AND(IF($Q12=3,1,IF($Q12=4,1,0)),IF($F12&lt;=85,1,0))</formula>
    </cfRule>
  </conditionalFormatting>
  <conditionalFormatting sqref="AV13">
    <cfRule type="expression" priority="94" dxfId="17">
      <formula>AV13="X"</formula>
    </cfRule>
    <cfRule type="expression" priority="95" dxfId="16">
      <formula>AV13="후보"</formula>
    </cfRule>
  </conditionalFormatting>
  <conditionalFormatting sqref="AC1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3">
    <cfRule type="expression" priority="85" dxfId="3">
      <formula>AND(IF(OR($Q13=1,$Q13=2),1,0),IF($X13&lt;=20,1,0))</formula>
    </cfRule>
    <cfRule type="expression" priority="86" dxfId="2">
      <formula>AND(IF($Q13=2,1,0),IF($X13&lt;30,1,0))</formula>
    </cfRule>
    <cfRule type="expression" priority="87" dxfId="1">
      <formula>AND(IF($Q13=3,1,0),IF($X13&lt;30,1,0))</formula>
    </cfRule>
    <cfRule type="expression" priority="88" dxfId="0">
      <formula>AND(IF($Q13=3,1,IF($Q13=4,1,0)),IF($F13&lt;=85,1,0))</formula>
    </cfRule>
  </conditionalFormatting>
  <conditionalFormatting sqref="X13">
    <cfRule type="expression" priority="81" dxfId="3">
      <formula>AND(IF(OR($Q13=1,$Q13=2),1,0),IF($X13&lt;=20,1,0))</formula>
    </cfRule>
    <cfRule type="expression" priority="82" dxfId="2">
      <formula>AND(IF($Q13=2,1,0),IF($X13&lt;30,1,0))</formula>
    </cfRule>
    <cfRule type="expression" priority="83" dxfId="1">
      <formula>AND(IF($Q13=3,1,0),IF($X13&lt;30,1,0))</formula>
    </cfRule>
    <cfRule type="expression" priority="84" dxfId="0">
      <formula>AND(IF($Q13=3,1,IF($Q13=4,1,0)),IF($F13&lt;=85,1,0))</formula>
    </cfRule>
  </conditionalFormatting>
  <conditionalFormatting sqref="AI13">
    <cfRule type="expression" priority="77" dxfId="3">
      <formula>AND(IF(OR($Q13=1,$Q13=2),1,0),IF($X13&lt;=20,1,0))</formula>
    </cfRule>
    <cfRule type="expression" priority="78" dxfId="2">
      <formula>AND(IF($Q13=2,1,0),IF($X13&lt;30,1,0))</formula>
    </cfRule>
    <cfRule type="expression" priority="79" dxfId="1">
      <formula>AND(IF($Q13=3,1,0),IF($X13&lt;30,1,0))</formula>
    </cfRule>
    <cfRule type="expression" priority="80" dxfId="0">
      <formula>AND(IF($Q13=3,1,IF($Q13=4,1,0)),IF($F13&lt;=85,1,0))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율전동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벽산블루밍</t>
        </is>
      </c>
      <c r="B6" s="16" t="inlineStr">
        <is>
          <t>'05.04.</t>
        </is>
      </c>
      <c r="C6" s="164" t="n">
        <v>318</v>
      </c>
      <c r="D6" s="161" t="n">
        <v>105.9</v>
      </c>
      <c r="E6" s="163" t="n">
        <v>32</v>
      </c>
      <c r="F6" s="161" t="n">
        <v>84.7</v>
      </c>
      <c r="G6" s="27" t="n">
        <v>26</v>
      </c>
      <c r="H6" s="164" t="n">
        <v>299</v>
      </c>
      <c r="I6" s="165" t="n">
        <v>45000</v>
      </c>
      <c r="J6" s="165" t="inlineStr">
        <is>
          <t>19</t>
        </is>
      </c>
      <c r="K6" s="165" t="n">
        <v>30000</v>
      </c>
      <c r="L6" s="165" t="inlineStr">
        <is>
          <t>14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벽산블루밍</t>
        </is>
      </c>
      <c r="B7" s="16" t="inlineStr">
        <is>
          <t>'05.04.</t>
        </is>
      </c>
      <c r="C7" s="164" t="n">
        <v>318</v>
      </c>
      <c r="D7" s="161" t="n">
        <v>106.4</v>
      </c>
      <c r="E7" s="163" t="n">
        <v>32</v>
      </c>
      <c r="F7" s="161" t="n">
        <v>84.59999999999999</v>
      </c>
      <c r="G7" s="27" t="n">
        <v>26</v>
      </c>
      <c r="H7" s="164" t="n">
        <v>19</v>
      </c>
      <c r="I7" s="165" t="n">
        <v>48000</v>
      </c>
      <c r="J7" s="165" t="inlineStr">
        <is>
          <t>13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화남</t>
        </is>
      </c>
      <c r="B9" s="16" t="inlineStr">
        <is>
          <t>'97.12.</t>
        </is>
      </c>
      <c r="C9" s="164" t="n">
        <v>200</v>
      </c>
      <c r="D9" s="161" t="n">
        <v>81.8</v>
      </c>
      <c r="E9" s="163" t="n">
        <v>25</v>
      </c>
      <c r="F9" s="161" t="n">
        <v>59.9</v>
      </c>
      <c r="G9" s="27" t="n">
        <v>18</v>
      </c>
      <c r="H9" s="164" t="n">
        <v>80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81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화남</t>
        </is>
      </c>
      <c r="B10" s="16" t="inlineStr">
        <is>
          <t>'97.12.</t>
        </is>
      </c>
      <c r="C10" s="164" t="n">
        <v>200</v>
      </c>
      <c r="D10" s="161" t="n">
        <v>99.8</v>
      </c>
      <c r="E10" s="163" t="n">
        <v>30</v>
      </c>
      <c r="F10" s="161" t="n">
        <v>76.09999999999999</v>
      </c>
      <c r="G10" s="27" t="n">
        <v>23</v>
      </c>
      <c r="H10" s="164" t="n">
        <v>20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99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화남</t>
        </is>
      </c>
      <c r="B11" s="16" t="inlineStr">
        <is>
          <t>'97.12.</t>
        </is>
      </c>
      <c r="C11" s="164" t="n">
        <v>200</v>
      </c>
      <c r="D11" s="161" t="n">
        <v>109.4</v>
      </c>
      <c r="E11" s="163" t="n">
        <v>33</v>
      </c>
      <c r="F11" s="161" t="n">
        <v>84.59999999999999</v>
      </c>
      <c r="G11" s="27" t="n">
        <v>26</v>
      </c>
      <c r="H11" s="164" t="n">
        <v>100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109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신일</t>
        </is>
      </c>
      <c r="B13" s="16" t="inlineStr">
        <is>
          <t>'97.12.</t>
        </is>
      </c>
      <c r="C13" s="164" t="n">
        <v>824</v>
      </c>
      <c r="D13" s="161" t="n">
        <v>80.40000000000001</v>
      </c>
      <c r="E13" s="163" t="n">
        <v>24</v>
      </c>
      <c r="F13" s="161" t="n">
        <v>59.9</v>
      </c>
      <c r="G13" s="27" t="n">
        <v>18</v>
      </c>
      <c r="H13" s="164" t="n">
        <v>360</v>
      </c>
      <c r="I13" s="165" t="n">
        <v>43000</v>
      </c>
      <c r="J13" s="165" t="inlineStr">
        <is>
          <t>18</t>
        </is>
      </c>
      <c r="K13" s="165" t="n">
        <v>26000</v>
      </c>
      <c r="L13" s="165" t="inlineStr">
        <is>
          <t>17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신일</t>
        </is>
      </c>
      <c r="B14" s="16" t="inlineStr">
        <is>
          <t>'97.12.</t>
        </is>
      </c>
      <c r="C14" s="164" t="n">
        <v>824</v>
      </c>
      <c r="D14" s="161" t="n">
        <v>107.7</v>
      </c>
      <c r="E14" s="163" t="n">
        <v>33</v>
      </c>
      <c r="F14" s="161" t="n">
        <v>84.90000000000001</v>
      </c>
      <c r="G14" s="27" t="n">
        <v>26</v>
      </c>
      <c r="H14" s="164" t="n">
        <v>350</v>
      </c>
      <c r="I14" s="165" t="n">
        <v>50000</v>
      </c>
      <c r="J14" s="165" t="inlineStr">
        <is>
          <t>20</t>
        </is>
      </c>
      <c r="K14" s="165" t="n">
        <v>40000</v>
      </c>
      <c r="L14" s="165" t="inlineStr">
        <is>
          <t>13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신일</t>
        </is>
      </c>
      <c r="B15" s="16" t="inlineStr">
        <is>
          <t>'97.12.</t>
        </is>
      </c>
      <c r="C15" s="164" t="n">
        <v>824</v>
      </c>
      <c r="D15" s="161" t="n">
        <v>154.5</v>
      </c>
      <c r="E15" s="163" t="n">
        <v>47</v>
      </c>
      <c r="F15" s="161" t="n">
        <v>126.9</v>
      </c>
      <c r="G15" s="27" t="n">
        <v>38</v>
      </c>
      <c r="H15" s="164" t="n">
        <v>114</v>
      </c>
      <c r="I15" s="165" t="n">
        <v>70000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천록</t>
        </is>
      </c>
      <c r="B17" s="16" t="inlineStr">
        <is>
          <t>'83.06.</t>
        </is>
      </c>
      <c r="C17" s="164" t="n">
        <v>230</v>
      </c>
      <c r="D17" s="161" t="n">
        <v>56.3</v>
      </c>
      <c r="E17" s="163" t="n">
        <v>17</v>
      </c>
      <c r="F17" s="161" t="n">
        <v>44.7</v>
      </c>
      <c r="G17" s="27" t="n">
        <v>14</v>
      </c>
      <c r="H17" s="164" t="n">
        <v>180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n">
        <v>56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천록</t>
        </is>
      </c>
      <c r="B18" s="16" t="inlineStr">
        <is>
          <t>'83.06.</t>
        </is>
      </c>
      <c r="C18" s="164" t="n">
        <v>230</v>
      </c>
      <c r="D18" s="161" t="n">
        <v>75.40000000000001</v>
      </c>
      <c r="E18" s="163" t="n">
        <v>23</v>
      </c>
      <c r="F18" s="161" t="n">
        <v>62.1</v>
      </c>
      <c r="G18" s="27" t="n">
        <v>19</v>
      </c>
      <c r="H18" s="164" t="n">
        <v>50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삼성1단지</t>
        </is>
      </c>
      <c r="B20" s="16" t="inlineStr">
        <is>
          <t>'98.08.</t>
        </is>
      </c>
      <c r="C20" s="164" t="n">
        <v>364</v>
      </c>
      <c r="D20" s="161" t="n">
        <v>89.2</v>
      </c>
      <c r="E20" s="163" t="n">
        <v>27</v>
      </c>
      <c r="F20" s="161" t="n">
        <v>60</v>
      </c>
      <c r="G20" s="27" t="n">
        <v>18</v>
      </c>
      <c r="H20" s="164" t="n">
        <v>114</v>
      </c>
      <c r="I20" s="165" t="n">
        <v>52000</v>
      </c>
      <c r="J20" s="165" t="inlineStr">
        <is>
          <t>7</t>
        </is>
      </c>
      <c r="K20" s="165" t="n">
        <v>30000</v>
      </c>
      <c r="L20" s="165" t="inlineStr">
        <is>
          <t>19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89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삼성1단지</t>
        </is>
      </c>
      <c r="B21" s="16" t="inlineStr">
        <is>
          <t>'98.08.</t>
        </is>
      </c>
      <c r="C21" s="164" t="n">
        <v>364</v>
      </c>
      <c r="D21" s="161" t="n">
        <v>115.4</v>
      </c>
      <c r="E21" s="163" t="n">
        <v>35</v>
      </c>
      <c r="F21" s="161" t="n">
        <v>85</v>
      </c>
      <c r="G21" s="27" t="n">
        <v>26</v>
      </c>
      <c r="H21" s="164" t="n">
        <v>250</v>
      </c>
      <c r="I21" s="165" t="n">
        <v>57000</v>
      </c>
      <c r="J21" s="165" t="inlineStr">
        <is>
          <t>10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율전이안</t>
        </is>
      </c>
      <c r="B23" s="16" t="inlineStr">
        <is>
          <t>'05.10.</t>
        </is>
      </c>
      <c r="C23" s="164" t="n">
        <v>383</v>
      </c>
      <c r="D23" s="161" t="n">
        <v>71.5</v>
      </c>
      <c r="E23" s="163" t="n">
        <v>22</v>
      </c>
      <c r="F23" s="161" t="n">
        <v>52.7</v>
      </c>
      <c r="G23" s="27" t="n">
        <v>16</v>
      </c>
      <c r="H23" s="164" t="n">
        <v>84</v>
      </c>
      <c r="I23" s="165" t="n">
        <v>40000</v>
      </c>
      <c r="J23" s="165" t="inlineStr">
        <is>
          <t>6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71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율전이안</t>
        </is>
      </c>
      <c r="B24" s="16" t="inlineStr">
        <is>
          <t>'05.10.</t>
        </is>
      </c>
      <c r="C24" s="164" t="n">
        <v>383</v>
      </c>
      <c r="D24" s="161" t="n">
        <v>113.8</v>
      </c>
      <c r="E24" s="163" t="n">
        <v>34</v>
      </c>
      <c r="F24" s="161" t="n">
        <v>85</v>
      </c>
      <c r="G24" s="27" t="n">
        <v>26</v>
      </c>
      <c r="H24" s="164" t="n">
        <v>84</v>
      </c>
      <c r="I24" s="165" t="n">
        <v>65000</v>
      </c>
      <c r="J24" s="165" t="inlineStr">
        <is>
          <t>7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율전이안</t>
        </is>
      </c>
      <c r="B25" s="16" t="inlineStr">
        <is>
          <t>'05.10.</t>
        </is>
      </c>
      <c r="C25" s="164" t="n">
        <v>383</v>
      </c>
      <c r="D25" s="161" t="n">
        <v>113.6</v>
      </c>
      <c r="E25" s="163" t="n">
        <v>34</v>
      </c>
      <c r="F25" s="161" t="n">
        <v>85</v>
      </c>
      <c r="G25" s="27" t="n">
        <v>26</v>
      </c>
      <c r="H25" s="164" t="n">
        <v>9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율전이안</t>
        </is>
      </c>
      <c r="B26" s="16" t="inlineStr">
        <is>
          <t>'05.10.</t>
        </is>
      </c>
      <c r="C26" s="164" t="n">
        <v>383</v>
      </c>
      <c r="D26" s="161" t="n">
        <v>114.4</v>
      </c>
      <c r="E26" s="163" t="n">
        <v>35</v>
      </c>
      <c r="F26" s="161" t="n">
        <v>85</v>
      </c>
      <c r="G26" s="27" t="n">
        <v>26</v>
      </c>
      <c r="H26" s="164" t="n">
        <v>178</v>
      </c>
      <c r="I26" s="165" t="n">
        <v>57500</v>
      </c>
      <c r="J26" s="165" t="inlineStr">
        <is>
          <t>6</t>
        </is>
      </c>
      <c r="K26" s="165" t="n">
        <v>40000</v>
      </c>
      <c r="L26" s="165" t="inlineStr">
        <is>
          <t>6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율전이안</t>
        </is>
      </c>
      <c r="B27" s="16" t="inlineStr">
        <is>
          <t>'05.10.</t>
        </is>
      </c>
      <c r="C27" s="164" t="n">
        <v>383</v>
      </c>
      <c r="D27" s="161" t="n">
        <v>151.8</v>
      </c>
      <c r="E27" s="163" t="n">
        <v>46</v>
      </c>
      <c r="F27" s="161" t="n">
        <v>122.3</v>
      </c>
      <c r="G27" s="27" t="n">
        <v>37</v>
      </c>
      <c r="H27" s="164" t="n">
        <v>28</v>
      </c>
      <c r="I27" s="165" t="n">
        <v>74000</v>
      </c>
      <c r="J27" s="165" t="inlineStr">
        <is>
          <t>11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수원성균관대역동문굿모닝힐</t>
        </is>
      </c>
      <c r="B29" s="16" t="inlineStr">
        <is>
          <t>'17.12.</t>
        </is>
      </c>
      <c r="C29" s="164" t="n">
        <v>699</v>
      </c>
      <c r="D29" s="161" t="n">
        <v>78.40000000000001</v>
      </c>
      <c r="E29" s="163" t="n">
        <v>24</v>
      </c>
      <c r="F29" s="161" t="n">
        <v>60</v>
      </c>
      <c r="G29" s="27" t="n">
        <v>18</v>
      </c>
      <c r="H29" s="164" t="n">
        <v>147</v>
      </c>
      <c r="I29" s="165" t="n">
        <v>60000</v>
      </c>
      <c r="J29" s="165" t="inlineStr">
        <is>
          <t>고</t>
        </is>
      </c>
      <c r="K29" s="165" t="n">
        <v>36000</v>
      </c>
      <c r="L29" s="165" t="inlineStr">
        <is>
          <t>고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78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수원성균관대역동문굿모닝힐</t>
        </is>
      </c>
      <c r="B30" s="16" t="inlineStr">
        <is>
          <t>'17.12.</t>
        </is>
      </c>
      <c r="C30" s="164" t="n">
        <v>699</v>
      </c>
      <c r="D30" s="161" t="n">
        <v>109.8</v>
      </c>
      <c r="E30" s="163" t="n">
        <v>33</v>
      </c>
      <c r="F30" s="161" t="n">
        <v>85</v>
      </c>
      <c r="G30" s="27" t="n">
        <v>26</v>
      </c>
      <c r="H30" s="164" t="n">
        <v>198</v>
      </c>
      <c r="I30" s="165" t="n">
        <v>72000</v>
      </c>
      <c r="J30" s="165" t="inlineStr">
        <is>
          <t>15</t>
        </is>
      </c>
      <c r="K30" s="165" t="n">
        <v>40000</v>
      </c>
      <c r="L30" s="165" t="inlineStr">
        <is>
          <t>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109B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수원성균관대역동문굿모닝힐</t>
        </is>
      </c>
      <c r="B31" s="16" t="inlineStr">
        <is>
          <t>'17.12.</t>
        </is>
      </c>
      <c r="C31" s="164" t="n">
        <v>699</v>
      </c>
      <c r="D31" s="161" t="n">
        <v>109.8</v>
      </c>
      <c r="E31" s="163" t="n">
        <v>33</v>
      </c>
      <c r="F31" s="161" t="n">
        <v>85</v>
      </c>
      <c r="G31" s="27" t="n">
        <v>26</v>
      </c>
      <c r="H31" s="164" t="n">
        <v>166</v>
      </c>
      <c r="I31" s="165" t="n">
        <v>72000</v>
      </c>
      <c r="J31" s="165" t="inlineStr">
        <is>
          <t>15</t>
        </is>
      </c>
      <c r="K31" s="165" t="n">
        <v>40000</v>
      </c>
      <c r="L31" s="165" t="inlineStr">
        <is>
          <t>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109C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수원성균관대역동문굿모닝힐</t>
        </is>
      </c>
      <c r="B32" s="16" t="inlineStr">
        <is>
          <t>'17.12.</t>
        </is>
      </c>
      <c r="C32" s="164" t="n">
        <v>699</v>
      </c>
      <c r="D32" s="161" t="n">
        <v>110.1</v>
      </c>
      <c r="E32" s="163" t="n">
        <v>33</v>
      </c>
      <c r="F32" s="161" t="n">
        <v>84.8</v>
      </c>
      <c r="G32" s="27" t="n">
        <v>26</v>
      </c>
      <c r="H32" s="164" t="n">
        <v>188</v>
      </c>
      <c r="I32" s="165" t="n">
        <v>75000</v>
      </c>
      <c r="J32" s="165" t="inlineStr">
        <is>
          <t>10</t>
        </is>
      </c>
      <c r="K32" s="165" t="n">
        <v>45000</v>
      </c>
      <c r="L32" s="165" t="inlineStr">
        <is>
          <t>15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삼성2단지</t>
        </is>
      </c>
      <c r="B34" s="16" t="inlineStr">
        <is>
          <t>'98.08.</t>
        </is>
      </c>
      <c r="C34" s="164" t="n">
        <v>700</v>
      </c>
      <c r="D34" s="161" t="n">
        <v>89</v>
      </c>
      <c r="E34" s="163" t="n">
        <v>27</v>
      </c>
      <c r="F34" s="161" t="n">
        <v>60</v>
      </c>
      <c r="G34" s="27" t="n">
        <v>18</v>
      </c>
      <c r="H34" s="164" t="n">
        <v>180</v>
      </c>
      <c r="I34" s="165" t="n">
        <v>51000</v>
      </c>
      <c r="J34" s="165" t="inlineStr">
        <is>
          <t>14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inlineStr">
        <is>
          <t>88A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삼성2단지</t>
        </is>
      </c>
      <c r="B35" s="16" t="inlineStr">
        <is>
          <t>'98.08.</t>
        </is>
      </c>
      <c r="C35" s="164" t="n">
        <v>700</v>
      </c>
      <c r="D35" s="161" t="n">
        <v>90</v>
      </c>
      <c r="E35" s="163" t="n">
        <v>27</v>
      </c>
      <c r="F35" s="161" t="n">
        <v>60</v>
      </c>
      <c r="G35" s="27" t="n">
        <v>18</v>
      </c>
      <c r="H35" s="164" t="n">
        <v>66</v>
      </c>
      <c r="I35" s="165" t="n">
        <v>51000</v>
      </c>
      <c r="J35" s="165" t="inlineStr">
        <is>
          <t>12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inlineStr">
        <is>
          <t>89B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삼성2단지</t>
        </is>
      </c>
      <c r="B36" s="16" t="inlineStr">
        <is>
          <t>'98.08.</t>
        </is>
      </c>
      <c r="C36" s="164" t="n">
        <v>700</v>
      </c>
      <c r="D36" s="161" t="n">
        <v>115.3</v>
      </c>
      <c r="E36" s="163" t="n">
        <v>35</v>
      </c>
      <c r="F36" s="161" t="n">
        <v>85</v>
      </c>
      <c r="G36" s="27" t="n">
        <v>26</v>
      </c>
      <c r="H36" s="164" t="n">
        <v>454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115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밤꽃마을뜨란채</t>
        </is>
      </c>
      <c r="B38" s="16" t="inlineStr">
        <is>
          <t>'05.09.</t>
        </is>
      </c>
      <c r="C38" s="164" t="n">
        <v>1078</v>
      </c>
      <c r="D38" s="161" t="n">
        <v>75</v>
      </c>
      <c r="E38" s="163" t="n">
        <v>23</v>
      </c>
      <c r="F38" s="161" t="n">
        <v>59.1</v>
      </c>
      <c r="G38" s="27" t="n">
        <v>18</v>
      </c>
      <c r="H38" s="164" t="n">
        <v>174</v>
      </c>
      <c r="I38" s="165" t="n">
        <v>43000</v>
      </c>
      <c r="J38" s="165" t="inlineStr">
        <is>
          <t>8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75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밤꽃마을뜨란채</t>
        </is>
      </c>
      <c r="B39" s="16" t="inlineStr">
        <is>
          <t>'05.09.</t>
        </is>
      </c>
      <c r="C39" s="164" t="n">
        <v>1078</v>
      </c>
      <c r="D39" s="161" t="n">
        <v>107.7</v>
      </c>
      <c r="E39" s="163" t="n">
        <v>33</v>
      </c>
      <c r="F39" s="161" t="n">
        <v>84.8</v>
      </c>
      <c r="G39" s="27" t="n">
        <v>26</v>
      </c>
      <c r="H39" s="164" t="n">
        <v>744</v>
      </c>
      <c r="I39" s="165" t="n">
        <v>52000</v>
      </c>
      <c r="J39" s="165" t="inlineStr">
        <is>
          <t>14</t>
        </is>
      </c>
      <c r="K39" s="165" t="n">
        <v>35000</v>
      </c>
      <c r="L39" s="165" t="inlineStr">
        <is>
          <t>14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107A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밤꽃마을뜨란채</t>
        </is>
      </c>
      <c r="B40" s="16" t="inlineStr">
        <is>
          <t>'05.09.</t>
        </is>
      </c>
      <c r="C40" s="164" t="n">
        <v>1078</v>
      </c>
      <c r="D40" s="161" t="n">
        <v>107.8</v>
      </c>
      <c r="E40" s="163" t="n">
        <v>33</v>
      </c>
      <c r="F40" s="161" t="n">
        <v>84.90000000000001</v>
      </c>
      <c r="G40" s="27" t="n">
        <v>26</v>
      </c>
      <c r="H40" s="164" t="n">
        <v>160</v>
      </c>
      <c r="I40" s="165" t="n">
        <v>56000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107B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54" dxfId="17">
      <formula>AV4="X"</formula>
    </cfRule>
    <cfRule type="expression" priority="555" dxfId="16">
      <formula>AV4="후보"</formula>
    </cfRule>
  </conditionalFormatting>
  <conditionalFormatting sqref="AC1:AC2 AC4:AC6 N4:N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1:N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6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6">
    <cfRule type="expression" priority="543" dxfId="3">
      <formula>AND(IF(OR($Q6=1,$Q6=2),1,0),IF($X6&lt;=20,1,0))</formula>
    </cfRule>
    <cfRule type="expression" priority="544" dxfId="2">
      <formula>AND(IF($Q6=2,1,0),IF($X6&lt;30,1,0))</formula>
    </cfRule>
    <cfRule type="expression" priority="545" dxfId="1">
      <formula>AND(IF($Q6=3,1,0),IF($X6&lt;30,1,0))</formula>
    </cfRule>
    <cfRule type="expression" priority="546" dxfId="0">
      <formula>AND(IF($Q6=3,1,IF($Q6=4,1,0)),IF($F6&lt;=85,1,0))</formula>
    </cfRule>
  </conditionalFormatting>
  <conditionalFormatting sqref="X6">
    <cfRule type="expression" priority="539" dxfId="3">
      <formula>AND(IF(OR($Q6=1,$Q6=2),1,0),IF($X6&lt;=20,1,0))</formula>
    </cfRule>
    <cfRule type="expression" priority="540" dxfId="2">
      <formula>AND(IF($Q6=2,1,0),IF($X6&lt;30,1,0))</formula>
    </cfRule>
    <cfRule type="expression" priority="541" dxfId="1">
      <formula>AND(IF($Q6=3,1,0),IF($X6&lt;30,1,0))</formula>
    </cfRule>
    <cfRule type="expression" priority="542" dxfId="0">
      <formula>AND(IF($Q6=3,1,IF($Q6=4,1,0)),IF($F6&lt;=85,1,0))</formula>
    </cfRule>
  </conditionalFormatting>
  <conditionalFormatting sqref="AI6">
    <cfRule type="expression" priority="535" dxfId="3">
      <formula>AND(IF(OR($Q6=1,$Q6=2),1,0),IF($X6&lt;=20,1,0))</formula>
    </cfRule>
    <cfRule type="expression" priority="536" dxfId="2">
      <formula>AND(IF($Q6=2,1,0),IF($X6&lt;30,1,0))</formula>
    </cfRule>
    <cfRule type="expression" priority="537" dxfId="1">
      <formula>AND(IF($Q6=3,1,0),IF($X6&lt;30,1,0))</formula>
    </cfRule>
    <cfRule type="expression" priority="538" dxfId="0">
      <formula>AND(IF($Q6=3,1,IF($Q6=4,1,0)),IF($F6&lt;=85,1,0))</formula>
    </cfRule>
  </conditionalFormatting>
  <conditionalFormatting sqref="AV7">
    <cfRule type="expression" priority="533" dxfId="17">
      <formula>AV7="X"</formula>
    </cfRule>
    <cfRule type="expression" priority="534" dxfId="16">
      <formula>AV7="후보"</formula>
    </cfRule>
  </conditionalFormatting>
  <conditionalFormatting sqref="AC7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7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7">
    <cfRule type="expression" priority="524" dxfId="3">
      <formula>AND(IF(OR($Q7=1,$Q7=2),1,0),IF($X7&lt;=20,1,0))</formula>
    </cfRule>
    <cfRule type="expression" priority="525" dxfId="2">
      <formula>AND(IF($Q7=2,1,0),IF($X7&lt;30,1,0))</formula>
    </cfRule>
    <cfRule type="expression" priority="526" dxfId="1">
      <formula>AND(IF($Q7=3,1,0),IF($X7&lt;30,1,0))</formula>
    </cfRule>
    <cfRule type="expression" priority="527" dxfId="0">
      <formula>AND(IF($Q7=3,1,IF($Q7=4,1,0)),IF($F7&lt;=85,1,0))</formula>
    </cfRule>
  </conditionalFormatting>
  <conditionalFormatting sqref="X7">
    <cfRule type="expression" priority="520" dxfId="3">
      <formula>AND(IF(OR($Q7=1,$Q7=2),1,0),IF($X7&lt;=20,1,0))</formula>
    </cfRule>
    <cfRule type="expression" priority="521" dxfId="2">
      <formula>AND(IF($Q7=2,1,0),IF($X7&lt;30,1,0))</formula>
    </cfRule>
    <cfRule type="expression" priority="522" dxfId="1">
      <formula>AND(IF($Q7=3,1,0),IF($X7&lt;30,1,0))</formula>
    </cfRule>
    <cfRule type="expression" priority="523" dxfId="0">
      <formula>AND(IF($Q7=3,1,IF($Q7=4,1,0)),IF($F7&lt;=85,1,0))</formula>
    </cfRule>
  </conditionalFormatting>
  <conditionalFormatting sqref="AI7">
    <cfRule type="expression" priority="516" dxfId="3">
      <formula>AND(IF(OR($Q7=1,$Q7=2),1,0),IF($X7&lt;=20,1,0))</formula>
    </cfRule>
    <cfRule type="expression" priority="517" dxfId="2">
      <formula>AND(IF($Q7=2,1,0),IF($X7&lt;30,1,0))</formula>
    </cfRule>
    <cfRule type="expression" priority="518" dxfId="1">
      <formula>AND(IF($Q7=3,1,0),IF($X7&lt;30,1,0))</formula>
    </cfRule>
    <cfRule type="expression" priority="519" dxfId="0">
      <formula>AND(IF($Q7=3,1,IF($Q7=4,1,0)),IF($F7&lt;=85,1,0))</formula>
    </cfRule>
  </conditionalFormatting>
  <conditionalFormatting sqref="AV8">
    <cfRule type="expression" priority="514" dxfId="17">
      <formula>AV8="X"</formula>
    </cfRule>
    <cfRule type="expression" priority="515" dxfId="16">
      <formula>AV8="후보"</formula>
    </cfRule>
  </conditionalFormatting>
  <conditionalFormatting sqref="AC8 N8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9">
    <cfRule type="expression" priority="509" dxfId="17">
      <formula>AV9="X"</formula>
    </cfRule>
    <cfRule type="expression" priority="510" dxfId="16">
      <formula>AV9="후보"</formula>
    </cfRule>
  </conditionalFormatting>
  <conditionalFormatting sqref="AC9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9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9">
    <cfRule type="expression" priority="500" dxfId="3">
      <formula>AND(IF(OR($Q9=1,$Q9=2),1,0),IF($X9&lt;=20,1,0))</formula>
    </cfRule>
    <cfRule type="expression" priority="501" dxfId="2">
      <formula>AND(IF($Q9=2,1,0),IF($X9&lt;30,1,0))</formula>
    </cfRule>
    <cfRule type="expression" priority="502" dxfId="1">
      <formula>AND(IF($Q9=3,1,0),IF($X9&lt;30,1,0))</formula>
    </cfRule>
    <cfRule type="expression" priority="503" dxfId="0">
      <formula>AND(IF($Q9=3,1,IF($Q9=4,1,0)),IF($F9&lt;=85,1,0))</formula>
    </cfRule>
  </conditionalFormatting>
  <conditionalFormatting sqref="X9">
    <cfRule type="expression" priority="496" dxfId="3">
      <formula>AND(IF(OR($Q9=1,$Q9=2),1,0),IF($X9&lt;=20,1,0))</formula>
    </cfRule>
    <cfRule type="expression" priority="497" dxfId="2">
      <formula>AND(IF($Q9=2,1,0),IF($X9&lt;30,1,0))</formula>
    </cfRule>
    <cfRule type="expression" priority="498" dxfId="1">
      <formula>AND(IF($Q9=3,1,0),IF($X9&lt;30,1,0))</formula>
    </cfRule>
    <cfRule type="expression" priority="499" dxfId="0">
      <formula>AND(IF($Q9=3,1,IF($Q9=4,1,0)),IF($F9&lt;=85,1,0))</formula>
    </cfRule>
  </conditionalFormatting>
  <conditionalFormatting sqref="AI9">
    <cfRule type="expression" priority="492" dxfId="3">
      <formula>AND(IF(OR($Q9=1,$Q9=2),1,0),IF($X9&lt;=20,1,0))</formula>
    </cfRule>
    <cfRule type="expression" priority="493" dxfId="2">
      <formula>AND(IF($Q9=2,1,0),IF($X9&lt;30,1,0))</formula>
    </cfRule>
    <cfRule type="expression" priority="494" dxfId="1">
      <formula>AND(IF($Q9=3,1,0),IF($X9&lt;30,1,0))</formula>
    </cfRule>
    <cfRule type="expression" priority="495" dxfId="0">
      <formula>AND(IF($Q9=3,1,IF($Q9=4,1,0)),IF($F9&lt;=85,1,0))</formula>
    </cfRule>
  </conditionalFormatting>
  <conditionalFormatting sqref="AV10">
    <cfRule type="expression" priority="490" dxfId="17">
      <formula>AV10="X"</formula>
    </cfRule>
    <cfRule type="expression" priority="491" dxfId="16">
      <formula>AV10="후보"</formula>
    </cfRule>
  </conditionalFormatting>
  <conditionalFormatting sqref="AC1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0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0">
    <cfRule type="expression" priority="481" dxfId="3">
      <formula>AND(IF(OR($Q10=1,$Q10=2),1,0),IF($X10&lt;=20,1,0))</formula>
    </cfRule>
    <cfRule type="expression" priority="482" dxfId="2">
      <formula>AND(IF($Q10=2,1,0),IF($X10&lt;30,1,0))</formula>
    </cfRule>
    <cfRule type="expression" priority="483" dxfId="1">
      <formula>AND(IF($Q10=3,1,0),IF($X10&lt;30,1,0))</formula>
    </cfRule>
    <cfRule type="expression" priority="484" dxfId="0">
      <formula>AND(IF($Q10=3,1,IF($Q10=4,1,0)),IF($F10&lt;=85,1,0))</formula>
    </cfRule>
  </conditionalFormatting>
  <conditionalFormatting sqref="X10">
    <cfRule type="expression" priority="477" dxfId="3">
      <formula>AND(IF(OR($Q10=1,$Q10=2),1,0),IF($X10&lt;=20,1,0))</formula>
    </cfRule>
    <cfRule type="expression" priority="478" dxfId="2">
      <formula>AND(IF($Q10=2,1,0),IF($X10&lt;30,1,0))</formula>
    </cfRule>
    <cfRule type="expression" priority="479" dxfId="1">
      <formula>AND(IF($Q10=3,1,0),IF($X10&lt;30,1,0))</formula>
    </cfRule>
    <cfRule type="expression" priority="480" dxfId="0">
      <formula>AND(IF($Q10=3,1,IF($Q10=4,1,0)),IF($F10&lt;=85,1,0))</formula>
    </cfRule>
  </conditionalFormatting>
  <conditionalFormatting sqref="AI10">
    <cfRule type="expression" priority="473" dxfId="3">
      <formula>AND(IF(OR($Q10=1,$Q10=2),1,0),IF($X10&lt;=20,1,0))</formula>
    </cfRule>
    <cfRule type="expression" priority="474" dxfId="2">
      <formula>AND(IF($Q10=2,1,0),IF($X10&lt;30,1,0))</formula>
    </cfRule>
    <cfRule type="expression" priority="475" dxfId="1">
      <formula>AND(IF($Q10=3,1,0),IF($X10&lt;30,1,0))</formula>
    </cfRule>
    <cfRule type="expression" priority="476" dxfId="0">
      <formula>AND(IF($Q10=3,1,IF($Q10=4,1,0)),IF($F10&lt;=85,1,0))</formula>
    </cfRule>
  </conditionalFormatting>
  <conditionalFormatting sqref="AV11">
    <cfRule type="expression" priority="471" dxfId="17">
      <formula>AV11="X"</formula>
    </cfRule>
    <cfRule type="expression" priority="472" dxfId="16">
      <formula>AV11="후보"</formula>
    </cfRule>
  </conditionalFormatting>
  <conditionalFormatting sqref="AC11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1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1">
    <cfRule type="expression" priority="462" dxfId="3">
      <formula>AND(IF(OR($Q11=1,$Q11=2),1,0),IF($X11&lt;=20,1,0))</formula>
    </cfRule>
    <cfRule type="expression" priority="463" dxfId="2">
      <formula>AND(IF($Q11=2,1,0),IF($X11&lt;30,1,0))</formula>
    </cfRule>
    <cfRule type="expression" priority="464" dxfId="1">
      <formula>AND(IF($Q11=3,1,0),IF($X11&lt;30,1,0))</formula>
    </cfRule>
    <cfRule type="expression" priority="465" dxfId="0">
      <formula>AND(IF($Q11=3,1,IF($Q11=4,1,0)),IF($F11&lt;=85,1,0))</formula>
    </cfRule>
  </conditionalFormatting>
  <conditionalFormatting sqref="X11">
    <cfRule type="expression" priority="458" dxfId="3">
      <formula>AND(IF(OR($Q11=1,$Q11=2),1,0),IF($X11&lt;=20,1,0))</formula>
    </cfRule>
    <cfRule type="expression" priority="459" dxfId="2">
      <formula>AND(IF($Q11=2,1,0),IF($X11&lt;30,1,0))</formula>
    </cfRule>
    <cfRule type="expression" priority="460" dxfId="1">
      <formula>AND(IF($Q11=3,1,0),IF($X11&lt;30,1,0))</formula>
    </cfRule>
    <cfRule type="expression" priority="461" dxfId="0">
      <formula>AND(IF($Q11=3,1,IF($Q11=4,1,0)),IF($F11&lt;=85,1,0))</formula>
    </cfRule>
  </conditionalFormatting>
  <conditionalFormatting sqref="AI11">
    <cfRule type="expression" priority="454" dxfId="3">
      <formula>AND(IF(OR($Q11=1,$Q11=2),1,0),IF($X11&lt;=20,1,0))</formula>
    </cfRule>
    <cfRule type="expression" priority="455" dxfId="2">
      <formula>AND(IF($Q11=2,1,0),IF($X11&lt;30,1,0))</formula>
    </cfRule>
    <cfRule type="expression" priority="456" dxfId="1">
      <formula>AND(IF($Q11=3,1,0),IF($X11&lt;30,1,0))</formula>
    </cfRule>
    <cfRule type="expression" priority="457" dxfId="0">
      <formula>AND(IF($Q11=3,1,IF($Q11=4,1,0)),IF($F11&lt;=85,1,0))</formula>
    </cfRule>
  </conditionalFormatting>
  <conditionalFormatting sqref="AV12">
    <cfRule type="expression" priority="452" dxfId="17">
      <formula>AV12="X"</formula>
    </cfRule>
    <cfRule type="expression" priority="453" dxfId="16">
      <formula>AV12="후보"</formula>
    </cfRule>
  </conditionalFormatting>
  <conditionalFormatting sqref="AC12 N12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AV13">
    <cfRule type="expression" priority="447" dxfId="17">
      <formula>AV13="X"</formula>
    </cfRule>
    <cfRule type="expression" priority="448" dxfId="16">
      <formula>AV13="후보"</formula>
    </cfRule>
  </conditionalFormatting>
  <conditionalFormatting sqref="AC1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3">
    <cfRule type="expression" priority="438" dxfId="3">
      <formula>AND(IF(OR($Q13=1,$Q13=2),1,0),IF($X13&lt;=20,1,0))</formula>
    </cfRule>
    <cfRule type="expression" priority="439" dxfId="2">
      <formula>AND(IF($Q13=2,1,0),IF($X13&lt;30,1,0))</formula>
    </cfRule>
    <cfRule type="expression" priority="440" dxfId="1">
      <formula>AND(IF($Q13=3,1,0),IF($X13&lt;30,1,0))</formula>
    </cfRule>
    <cfRule type="expression" priority="441" dxfId="0">
      <formula>AND(IF($Q13=3,1,IF($Q13=4,1,0)),IF($F13&lt;=85,1,0))</formula>
    </cfRule>
  </conditionalFormatting>
  <conditionalFormatting sqref="X13">
    <cfRule type="expression" priority="434" dxfId="3">
      <formula>AND(IF(OR($Q13=1,$Q13=2),1,0),IF($X13&lt;=20,1,0))</formula>
    </cfRule>
    <cfRule type="expression" priority="435" dxfId="2">
      <formula>AND(IF($Q13=2,1,0),IF($X13&lt;30,1,0))</formula>
    </cfRule>
    <cfRule type="expression" priority="436" dxfId="1">
      <formula>AND(IF($Q13=3,1,0),IF($X13&lt;30,1,0))</formula>
    </cfRule>
    <cfRule type="expression" priority="437" dxfId="0">
      <formula>AND(IF($Q13=3,1,IF($Q13=4,1,0)),IF($F13&lt;=85,1,0))</formula>
    </cfRule>
  </conditionalFormatting>
  <conditionalFormatting sqref="AI13">
    <cfRule type="expression" priority="430" dxfId="3">
      <formula>AND(IF(OR($Q13=1,$Q13=2),1,0),IF($X13&lt;=20,1,0))</formula>
    </cfRule>
    <cfRule type="expression" priority="431" dxfId="2">
      <formula>AND(IF($Q13=2,1,0),IF($X13&lt;30,1,0))</formula>
    </cfRule>
    <cfRule type="expression" priority="432" dxfId="1">
      <formula>AND(IF($Q13=3,1,0),IF($X13&lt;30,1,0))</formula>
    </cfRule>
    <cfRule type="expression" priority="433" dxfId="0">
      <formula>AND(IF($Q13=3,1,IF($Q13=4,1,0)),IF($F13&lt;=85,1,0))</formula>
    </cfRule>
  </conditionalFormatting>
  <conditionalFormatting sqref="AV14">
    <cfRule type="expression" priority="428" dxfId="17">
      <formula>AV14="X"</formula>
    </cfRule>
    <cfRule type="expression" priority="429" dxfId="16">
      <formula>AV14="후보"</formula>
    </cfRule>
  </conditionalFormatting>
  <conditionalFormatting sqref="AC1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4">
    <cfRule type="expression" priority="419" dxfId="3">
      <formula>AND(IF(OR($Q14=1,$Q14=2),1,0),IF($X14&lt;=20,1,0))</formula>
    </cfRule>
    <cfRule type="expression" priority="420" dxfId="2">
      <formula>AND(IF($Q14=2,1,0),IF($X14&lt;30,1,0))</formula>
    </cfRule>
    <cfRule type="expression" priority="421" dxfId="1">
      <formula>AND(IF($Q14=3,1,0),IF($X14&lt;30,1,0))</formula>
    </cfRule>
    <cfRule type="expression" priority="422" dxfId="0">
      <formula>AND(IF($Q14=3,1,IF($Q14=4,1,0)),IF($F14&lt;=85,1,0))</formula>
    </cfRule>
  </conditionalFormatting>
  <conditionalFormatting sqref="X14">
    <cfRule type="expression" priority="415" dxfId="3">
      <formula>AND(IF(OR($Q14=1,$Q14=2),1,0),IF($X14&lt;=20,1,0))</formula>
    </cfRule>
    <cfRule type="expression" priority="416" dxfId="2">
      <formula>AND(IF($Q14=2,1,0),IF($X14&lt;30,1,0))</formula>
    </cfRule>
    <cfRule type="expression" priority="417" dxfId="1">
      <formula>AND(IF($Q14=3,1,0),IF($X14&lt;30,1,0))</formula>
    </cfRule>
    <cfRule type="expression" priority="418" dxfId="0">
      <formula>AND(IF($Q14=3,1,IF($Q14=4,1,0)),IF($F14&lt;=85,1,0))</formula>
    </cfRule>
  </conditionalFormatting>
  <conditionalFormatting sqref="AI14">
    <cfRule type="expression" priority="411" dxfId="3">
      <formula>AND(IF(OR($Q14=1,$Q14=2),1,0),IF($X14&lt;=20,1,0))</formula>
    </cfRule>
    <cfRule type="expression" priority="412" dxfId="2">
      <formula>AND(IF($Q14=2,1,0),IF($X14&lt;30,1,0))</formula>
    </cfRule>
    <cfRule type="expression" priority="413" dxfId="1">
      <formula>AND(IF($Q14=3,1,0),IF($X14&lt;30,1,0))</formula>
    </cfRule>
    <cfRule type="expression" priority="414" dxfId="0">
      <formula>AND(IF($Q14=3,1,IF($Q14=4,1,0)),IF($F14&lt;=85,1,0))</formula>
    </cfRule>
  </conditionalFormatting>
  <conditionalFormatting sqref="AV15">
    <cfRule type="expression" priority="409" dxfId="17">
      <formula>AV15="X"</formula>
    </cfRule>
    <cfRule type="expression" priority="410" dxfId="16">
      <formula>AV15="후보"</formula>
    </cfRule>
  </conditionalFormatting>
  <conditionalFormatting sqref="AC1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5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5">
    <cfRule type="expression" priority="400" dxfId="3">
      <formula>AND(IF(OR($Q15=1,$Q15=2),1,0),IF($X15&lt;=20,1,0))</formula>
    </cfRule>
    <cfRule type="expression" priority="401" dxfId="2">
      <formula>AND(IF($Q15=2,1,0),IF($X15&lt;30,1,0))</formula>
    </cfRule>
    <cfRule type="expression" priority="402" dxfId="1">
      <formula>AND(IF($Q15=3,1,0),IF($X15&lt;30,1,0))</formula>
    </cfRule>
    <cfRule type="expression" priority="403" dxfId="0">
      <formula>AND(IF($Q15=3,1,IF($Q15=4,1,0)),IF($F15&lt;=85,1,0))</formula>
    </cfRule>
  </conditionalFormatting>
  <conditionalFormatting sqref="X15">
    <cfRule type="expression" priority="396" dxfId="3">
      <formula>AND(IF(OR($Q15=1,$Q15=2),1,0),IF($X15&lt;=20,1,0))</formula>
    </cfRule>
    <cfRule type="expression" priority="397" dxfId="2">
      <formula>AND(IF($Q15=2,1,0),IF($X15&lt;30,1,0))</formula>
    </cfRule>
    <cfRule type="expression" priority="398" dxfId="1">
      <formula>AND(IF($Q15=3,1,0),IF($X15&lt;30,1,0))</formula>
    </cfRule>
    <cfRule type="expression" priority="399" dxfId="0">
      <formula>AND(IF($Q15=3,1,IF($Q15=4,1,0)),IF($F15&lt;=85,1,0))</formula>
    </cfRule>
  </conditionalFormatting>
  <conditionalFormatting sqref="AI15">
    <cfRule type="expression" priority="392" dxfId="3">
      <formula>AND(IF(OR($Q15=1,$Q15=2),1,0),IF($X15&lt;=20,1,0))</formula>
    </cfRule>
    <cfRule type="expression" priority="393" dxfId="2">
      <formula>AND(IF($Q15=2,1,0),IF($X15&lt;30,1,0))</formula>
    </cfRule>
    <cfRule type="expression" priority="394" dxfId="1">
      <formula>AND(IF($Q15=3,1,0),IF($X15&lt;30,1,0))</formula>
    </cfRule>
    <cfRule type="expression" priority="395" dxfId="0">
      <formula>AND(IF($Q15=3,1,IF($Q15=4,1,0)),IF($F15&lt;=85,1,0))</formula>
    </cfRule>
  </conditionalFormatting>
  <conditionalFormatting sqref="AV16">
    <cfRule type="expression" priority="390" dxfId="17">
      <formula>AV16="X"</formula>
    </cfRule>
    <cfRule type="expression" priority="391" dxfId="16">
      <formula>AV16="후보"</formula>
    </cfRule>
  </conditionalFormatting>
  <conditionalFormatting sqref="AC16 N16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7">
    <cfRule type="expression" priority="385" dxfId="17">
      <formula>AV17="X"</formula>
    </cfRule>
    <cfRule type="expression" priority="386" dxfId="16">
      <formula>AV17="후보"</formula>
    </cfRule>
  </conditionalFormatting>
  <conditionalFormatting sqref="AC1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7">
    <cfRule type="expression" priority="376" dxfId="3">
      <formula>AND(IF(OR($Q17=1,$Q17=2),1,0),IF($X17&lt;=20,1,0))</formula>
    </cfRule>
    <cfRule type="expression" priority="377" dxfId="2">
      <formula>AND(IF($Q17=2,1,0),IF($X17&lt;30,1,0))</formula>
    </cfRule>
    <cfRule type="expression" priority="378" dxfId="1">
      <formula>AND(IF($Q17=3,1,0),IF($X17&lt;30,1,0))</formula>
    </cfRule>
    <cfRule type="expression" priority="379" dxfId="0">
      <formula>AND(IF($Q17=3,1,IF($Q17=4,1,0)),IF($F17&lt;=85,1,0))</formula>
    </cfRule>
  </conditionalFormatting>
  <conditionalFormatting sqref="X17">
    <cfRule type="expression" priority="372" dxfId="3">
      <formula>AND(IF(OR($Q17=1,$Q17=2),1,0),IF($X17&lt;=20,1,0))</formula>
    </cfRule>
    <cfRule type="expression" priority="373" dxfId="2">
      <formula>AND(IF($Q17=2,1,0),IF($X17&lt;30,1,0))</formula>
    </cfRule>
    <cfRule type="expression" priority="374" dxfId="1">
      <formula>AND(IF($Q17=3,1,0),IF($X17&lt;30,1,0))</formula>
    </cfRule>
    <cfRule type="expression" priority="375" dxfId="0">
      <formula>AND(IF($Q17=3,1,IF($Q17=4,1,0)),IF($F17&lt;=85,1,0))</formula>
    </cfRule>
  </conditionalFormatting>
  <conditionalFormatting sqref="AI17">
    <cfRule type="expression" priority="368" dxfId="3">
      <formula>AND(IF(OR($Q17=1,$Q17=2),1,0),IF($X17&lt;=20,1,0))</formula>
    </cfRule>
    <cfRule type="expression" priority="369" dxfId="2">
      <formula>AND(IF($Q17=2,1,0),IF($X17&lt;30,1,0))</formula>
    </cfRule>
    <cfRule type="expression" priority="370" dxfId="1">
      <formula>AND(IF($Q17=3,1,0),IF($X17&lt;30,1,0))</formula>
    </cfRule>
    <cfRule type="expression" priority="371" dxfId="0">
      <formula>AND(IF($Q17=3,1,IF($Q17=4,1,0)),IF($F17&lt;=85,1,0))</formula>
    </cfRule>
  </conditionalFormatting>
  <conditionalFormatting sqref="AV18">
    <cfRule type="expression" priority="366" dxfId="17">
      <formula>AV18="X"</formula>
    </cfRule>
    <cfRule type="expression" priority="367" dxfId="16">
      <formula>AV18="후보"</formula>
    </cfRule>
  </conditionalFormatting>
  <conditionalFormatting sqref="AC1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8">
    <cfRule type="expression" priority="357" dxfId="3">
      <formula>AND(IF(OR($Q18=1,$Q18=2),1,0),IF($X18&lt;=20,1,0))</formula>
    </cfRule>
    <cfRule type="expression" priority="358" dxfId="2">
      <formula>AND(IF($Q18=2,1,0),IF($X18&lt;30,1,0))</formula>
    </cfRule>
    <cfRule type="expression" priority="359" dxfId="1">
      <formula>AND(IF($Q18=3,1,0),IF($X18&lt;30,1,0))</formula>
    </cfRule>
    <cfRule type="expression" priority="360" dxfId="0">
      <formula>AND(IF($Q18=3,1,IF($Q18=4,1,0)),IF($F18&lt;=85,1,0))</formula>
    </cfRule>
  </conditionalFormatting>
  <conditionalFormatting sqref="X18">
    <cfRule type="expression" priority="353" dxfId="3">
      <formula>AND(IF(OR($Q18=1,$Q18=2),1,0),IF($X18&lt;=20,1,0))</formula>
    </cfRule>
    <cfRule type="expression" priority="354" dxfId="2">
      <formula>AND(IF($Q18=2,1,0),IF($X18&lt;30,1,0))</formula>
    </cfRule>
    <cfRule type="expression" priority="355" dxfId="1">
      <formula>AND(IF($Q18=3,1,0),IF($X18&lt;30,1,0))</formula>
    </cfRule>
    <cfRule type="expression" priority="356" dxfId="0">
      <formula>AND(IF($Q18=3,1,IF($Q18=4,1,0)),IF($F18&lt;=85,1,0))</formula>
    </cfRule>
  </conditionalFormatting>
  <conditionalFormatting sqref="AI18">
    <cfRule type="expression" priority="349" dxfId="3">
      <formula>AND(IF(OR($Q18=1,$Q18=2),1,0),IF($X18&lt;=20,1,0))</formula>
    </cfRule>
    <cfRule type="expression" priority="350" dxfId="2">
      <formula>AND(IF($Q18=2,1,0),IF($X18&lt;30,1,0))</formula>
    </cfRule>
    <cfRule type="expression" priority="351" dxfId="1">
      <formula>AND(IF($Q18=3,1,0),IF($X18&lt;30,1,0))</formula>
    </cfRule>
    <cfRule type="expression" priority="352" dxfId="0">
      <formula>AND(IF($Q18=3,1,IF($Q18=4,1,0)),IF($F18&lt;=85,1,0))</formula>
    </cfRule>
  </conditionalFormatting>
  <conditionalFormatting sqref="AV19">
    <cfRule type="expression" priority="347" dxfId="17">
      <formula>AV19="X"</formula>
    </cfRule>
    <cfRule type="expression" priority="348" dxfId="16">
      <formula>AV19="후보"</formula>
    </cfRule>
  </conditionalFormatting>
  <conditionalFormatting sqref="AC19 N1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0">
    <cfRule type="expression" priority="342" dxfId="17">
      <formula>AV20="X"</formula>
    </cfRule>
    <cfRule type="expression" priority="343" dxfId="16">
      <formula>AV20="후보"</formula>
    </cfRule>
  </conditionalFormatting>
  <conditionalFormatting sqref="AC2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0">
    <cfRule type="expression" priority="333" dxfId="3">
      <formula>AND(IF(OR($Q20=1,$Q20=2),1,0),IF($X20&lt;=20,1,0))</formula>
    </cfRule>
    <cfRule type="expression" priority="334" dxfId="2">
      <formula>AND(IF($Q20=2,1,0),IF($X20&lt;30,1,0))</formula>
    </cfRule>
    <cfRule type="expression" priority="335" dxfId="1">
      <formula>AND(IF($Q20=3,1,0),IF($X20&lt;30,1,0))</formula>
    </cfRule>
    <cfRule type="expression" priority="336" dxfId="0">
      <formula>AND(IF($Q20=3,1,IF($Q20=4,1,0)),IF($F20&lt;=85,1,0))</formula>
    </cfRule>
  </conditionalFormatting>
  <conditionalFormatting sqref="X20">
    <cfRule type="expression" priority="329" dxfId="3">
      <formula>AND(IF(OR($Q20=1,$Q20=2),1,0),IF($X20&lt;=20,1,0))</formula>
    </cfRule>
    <cfRule type="expression" priority="330" dxfId="2">
      <formula>AND(IF($Q20=2,1,0),IF($X20&lt;30,1,0))</formula>
    </cfRule>
    <cfRule type="expression" priority="331" dxfId="1">
      <formula>AND(IF($Q20=3,1,0),IF($X20&lt;30,1,0))</formula>
    </cfRule>
    <cfRule type="expression" priority="332" dxfId="0">
      <formula>AND(IF($Q20=3,1,IF($Q20=4,1,0)),IF($F20&lt;=85,1,0))</formula>
    </cfRule>
  </conditionalFormatting>
  <conditionalFormatting sqref="AI20">
    <cfRule type="expression" priority="325" dxfId="3">
      <formula>AND(IF(OR($Q20=1,$Q20=2),1,0),IF($X20&lt;=20,1,0))</formula>
    </cfRule>
    <cfRule type="expression" priority="326" dxfId="2">
      <formula>AND(IF($Q20=2,1,0),IF($X20&lt;30,1,0))</formula>
    </cfRule>
    <cfRule type="expression" priority="327" dxfId="1">
      <formula>AND(IF($Q20=3,1,0),IF($X20&lt;30,1,0))</formula>
    </cfRule>
    <cfRule type="expression" priority="328" dxfId="0">
      <formula>AND(IF($Q20=3,1,IF($Q20=4,1,0)),IF($F20&lt;=85,1,0))</formula>
    </cfRule>
  </conditionalFormatting>
  <conditionalFormatting sqref="AV21">
    <cfRule type="expression" priority="323" dxfId="17">
      <formula>AV21="X"</formula>
    </cfRule>
    <cfRule type="expression" priority="324" dxfId="16">
      <formula>AV21="후보"</formula>
    </cfRule>
  </conditionalFormatting>
  <conditionalFormatting sqref="AC2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1">
    <cfRule type="expression" priority="314" dxfId="3">
      <formula>AND(IF(OR($Q21=1,$Q21=2),1,0),IF($X21&lt;=20,1,0))</formula>
    </cfRule>
    <cfRule type="expression" priority="315" dxfId="2">
      <formula>AND(IF($Q21=2,1,0),IF($X21&lt;30,1,0))</formula>
    </cfRule>
    <cfRule type="expression" priority="316" dxfId="1">
      <formula>AND(IF($Q21=3,1,0),IF($X21&lt;30,1,0))</formula>
    </cfRule>
    <cfRule type="expression" priority="317" dxfId="0">
      <formula>AND(IF($Q21=3,1,IF($Q21=4,1,0)),IF($F21&lt;=85,1,0))</formula>
    </cfRule>
  </conditionalFormatting>
  <conditionalFormatting sqref="X21">
    <cfRule type="expression" priority="310" dxfId="3">
      <formula>AND(IF(OR($Q21=1,$Q21=2),1,0),IF($X21&lt;=20,1,0))</formula>
    </cfRule>
    <cfRule type="expression" priority="311" dxfId="2">
      <formula>AND(IF($Q21=2,1,0),IF($X21&lt;30,1,0))</formula>
    </cfRule>
    <cfRule type="expression" priority="312" dxfId="1">
      <formula>AND(IF($Q21=3,1,0),IF($X21&lt;30,1,0))</formula>
    </cfRule>
    <cfRule type="expression" priority="313" dxfId="0">
      <formula>AND(IF($Q21=3,1,IF($Q21=4,1,0)),IF($F21&lt;=85,1,0))</formula>
    </cfRule>
  </conditionalFormatting>
  <conditionalFormatting sqref="AI21">
    <cfRule type="expression" priority="306" dxfId="3">
      <formula>AND(IF(OR($Q21=1,$Q21=2),1,0),IF($X21&lt;=20,1,0))</formula>
    </cfRule>
    <cfRule type="expression" priority="307" dxfId="2">
      <formula>AND(IF($Q21=2,1,0),IF($X21&lt;30,1,0))</formula>
    </cfRule>
    <cfRule type="expression" priority="308" dxfId="1">
      <formula>AND(IF($Q21=3,1,0),IF($X21&lt;30,1,0))</formula>
    </cfRule>
    <cfRule type="expression" priority="309" dxfId="0">
      <formula>AND(IF($Q21=3,1,IF($Q21=4,1,0)),IF($F21&lt;=85,1,0))</formula>
    </cfRule>
  </conditionalFormatting>
  <conditionalFormatting sqref="AV22">
    <cfRule type="expression" priority="304" dxfId="17">
      <formula>AV22="X"</formula>
    </cfRule>
    <cfRule type="expression" priority="305" dxfId="16">
      <formula>AV22="후보"</formula>
    </cfRule>
  </conditionalFormatting>
  <conditionalFormatting sqref="AC22 N2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23">
    <cfRule type="expression" priority="299" dxfId="17">
      <formula>AV23="X"</formula>
    </cfRule>
    <cfRule type="expression" priority="300" dxfId="16">
      <formula>AV23="후보"</formula>
    </cfRule>
  </conditionalFormatting>
  <conditionalFormatting sqref="AC2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3">
    <cfRule type="expression" priority="290" dxfId="3">
      <formula>AND(IF(OR($Q23=1,$Q23=2),1,0),IF($X23&lt;=20,1,0))</formula>
    </cfRule>
    <cfRule type="expression" priority="291" dxfId="2">
      <formula>AND(IF($Q23=2,1,0),IF($X23&lt;30,1,0))</formula>
    </cfRule>
    <cfRule type="expression" priority="292" dxfId="1">
      <formula>AND(IF($Q23=3,1,0),IF($X23&lt;30,1,0))</formula>
    </cfRule>
    <cfRule type="expression" priority="293" dxfId="0">
      <formula>AND(IF($Q23=3,1,IF($Q23=4,1,0)),IF($F23&lt;=85,1,0))</formula>
    </cfRule>
  </conditionalFormatting>
  <conditionalFormatting sqref="X23">
    <cfRule type="expression" priority="286" dxfId="3">
      <formula>AND(IF(OR($Q23=1,$Q23=2),1,0),IF($X23&lt;=20,1,0))</formula>
    </cfRule>
    <cfRule type="expression" priority="287" dxfId="2">
      <formula>AND(IF($Q23=2,1,0),IF($X23&lt;30,1,0))</formula>
    </cfRule>
    <cfRule type="expression" priority="288" dxfId="1">
      <formula>AND(IF($Q23=3,1,0),IF($X23&lt;30,1,0))</formula>
    </cfRule>
    <cfRule type="expression" priority="289" dxfId="0">
      <formula>AND(IF($Q23=3,1,IF($Q23=4,1,0)),IF($F23&lt;=85,1,0))</formula>
    </cfRule>
  </conditionalFormatting>
  <conditionalFormatting sqref="AI23">
    <cfRule type="expression" priority="282" dxfId="3">
      <formula>AND(IF(OR($Q23=1,$Q23=2),1,0),IF($X23&lt;=20,1,0))</formula>
    </cfRule>
    <cfRule type="expression" priority="283" dxfId="2">
      <formula>AND(IF($Q23=2,1,0),IF($X23&lt;30,1,0))</formula>
    </cfRule>
    <cfRule type="expression" priority="284" dxfId="1">
      <formula>AND(IF($Q23=3,1,0),IF($X23&lt;30,1,0))</formula>
    </cfRule>
    <cfRule type="expression" priority="285" dxfId="0">
      <formula>AND(IF($Q23=3,1,IF($Q23=4,1,0)),IF($F23&lt;=85,1,0))</formula>
    </cfRule>
  </conditionalFormatting>
  <conditionalFormatting sqref="AV24">
    <cfRule type="expression" priority="280" dxfId="17">
      <formula>AV24="X"</formula>
    </cfRule>
    <cfRule type="expression" priority="281" dxfId="16">
      <formula>AV24="후보"</formula>
    </cfRule>
  </conditionalFormatting>
  <conditionalFormatting sqref="AC2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4">
    <cfRule type="expression" priority="271" dxfId="3">
      <formula>AND(IF(OR($Q24=1,$Q24=2),1,0),IF($X24&lt;=20,1,0))</formula>
    </cfRule>
    <cfRule type="expression" priority="272" dxfId="2">
      <formula>AND(IF($Q24=2,1,0),IF($X24&lt;30,1,0))</formula>
    </cfRule>
    <cfRule type="expression" priority="273" dxfId="1">
      <formula>AND(IF($Q24=3,1,0),IF($X24&lt;30,1,0))</formula>
    </cfRule>
    <cfRule type="expression" priority="274" dxfId="0">
      <formula>AND(IF($Q24=3,1,IF($Q24=4,1,0)),IF($F24&lt;=85,1,0))</formula>
    </cfRule>
  </conditionalFormatting>
  <conditionalFormatting sqref="X24">
    <cfRule type="expression" priority="267" dxfId="3">
      <formula>AND(IF(OR($Q24=1,$Q24=2),1,0),IF($X24&lt;=20,1,0))</formula>
    </cfRule>
    <cfRule type="expression" priority="268" dxfId="2">
      <formula>AND(IF($Q24=2,1,0),IF($X24&lt;30,1,0))</formula>
    </cfRule>
    <cfRule type="expression" priority="269" dxfId="1">
      <formula>AND(IF($Q24=3,1,0),IF($X24&lt;30,1,0))</formula>
    </cfRule>
    <cfRule type="expression" priority="270" dxfId="0">
      <formula>AND(IF($Q24=3,1,IF($Q24=4,1,0)),IF($F24&lt;=85,1,0))</formula>
    </cfRule>
  </conditionalFormatting>
  <conditionalFormatting sqref="AI24">
    <cfRule type="expression" priority="263" dxfId="3">
      <formula>AND(IF(OR($Q24=1,$Q24=2),1,0),IF($X24&lt;=20,1,0))</formula>
    </cfRule>
    <cfRule type="expression" priority="264" dxfId="2">
      <formula>AND(IF($Q24=2,1,0),IF($X24&lt;30,1,0))</formula>
    </cfRule>
    <cfRule type="expression" priority="265" dxfId="1">
      <formula>AND(IF($Q24=3,1,0),IF($X24&lt;30,1,0))</formula>
    </cfRule>
    <cfRule type="expression" priority="266" dxfId="0">
      <formula>AND(IF($Q24=3,1,IF($Q24=4,1,0)),IF($F24&lt;=85,1,0))</formula>
    </cfRule>
  </conditionalFormatting>
  <conditionalFormatting sqref="AV25">
    <cfRule type="expression" priority="261" dxfId="17">
      <formula>AV25="X"</formula>
    </cfRule>
    <cfRule type="expression" priority="262" dxfId="16">
      <formula>AV25="후보"</formula>
    </cfRule>
  </conditionalFormatting>
  <conditionalFormatting sqref="AC2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5">
    <cfRule type="expression" priority="252" dxfId="3">
      <formula>AND(IF(OR($Q25=1,$Q25=2),1,0),IF($X25&lt;=20,1,0))</formula>
    </cfRule>
    <cfRule type="expression" priority="253" dxfId="2">
      <formula>AND(IF($Q25=2,1,0),IF($X25&lt;30,1,0))</formula>
    </cfRule>
    <cfRule type="expression" priority="254" dxfId="1">
      <formula>AND(IF($Q25=3,1,0),IF($X25&lt;30,1,0))</formula>
    </cfRule>
    <cfRule type="expression" priority="255" dxfId="0">
      <formula>AND(IF($Q25=3,1,IF($Q25=4,1,0)),IF($F25&lt;=85,1,0))</formula>
    </cfRule>
  </conditionalFormatting>
  <conditionalFormatting sqref="X25">
    <cfRule type="expression" priority="248" dxfId="3">
      <formula>AND(IF(OR($Q25=1,$Q25=2),1,0),IF($X25&lt;=20,1,0))</formula>
    </cfRule>
    <cfRule type="expression" priority="249" dxfId="2">
      <formula>AND(IF($Q25=2,1,0),IF($X25&lt;30,1,0))</formula>
    </cfRule>
    <cfRule type="expression" priority="250" dxfId="1">
      <formula>AND(IF($Q25=3,1,0),IF($X25&lt;30,1,0))</formula>
    </cfRule>
    <cfRule type="expression" priority="251" dxfId="0">
      <formula>AND(IF($Q25=3,1,IF($Q25=4,1,0)),IF($F25&lt;=85,1,0))</formula>
    </cfRule>
  </conditionalFormatting>
  <conditionalFormatting sqref="AI25">
    <cfRule type="expression" priority="244" dxfId="3">
      <formula>AND(IF(OR($Q25=1,$Q25=2),1,0),IF($X25&lt;=20,1,0))</formula>
    </cfRule>
    <cfRule type="expression" priority="245" dxfId="2">
      <formula>AND(IF($Q25=2,1,0),IF($X25&lt;30,1,0))</formula>
    </cfRule>
    <cfRule type="expression" priority="246" dxfId="1">
      <formula>AND(IF($Q25=3,1,0),IF($X25&lt;30,1,0))</formula>
    </cfRule>
    <cfRule type="expression" priority="247" dxfId="0">
      <formula>AND(IF($Q25=3,1,IF($Q25=4,1,0)),IF($F25&lt;=85,1,0))</formula>
    </cfRule>
  </conditionalFormatting>
  <conditionalFormatting sqref="AV26">
    <cfRule type="expression" priority="242" dxfId="17">
      <formula>AV26="X"</formula>
    </cfRule>
    <cfRule type="expression" priority="243" dxfId="16">
      <formula>AV26="후보"</formula>
    </cfRule>
  </conditionalFormatting>
  <conditionalFormatting sqref="AC2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6">
    <cfRule type="expression" priority="233" dxfId="3">
      <formula>AND(IF(OR($Q26=1,$Q26=2),1,0),IF($X26&lt;=20,1,0))</formula>
    </cfRule>
    <cfRule type="expression" priority="234" dxfId="2">
      <formula>AND(IF($Q26=2,1,0),IF($X26&lt;30,1,0))</formula>
    </cfRule>
    <cfRule type="expression" priority="235" dxfId="1">
      <formula>AND(IF($Q26=3,1,0),IF($X26&lt;30,1,0))</formula>
    </cfRule>
    <cfRule type="expression" priority="236" dxfId="0">
      <formula>AND(IF($Q26=3,1,IF($Q26=4,1,0)),IF($F26&lt;=85,1,0))</formula>
    </cfRule>
  </conditionalFormatting>
  <conditionalFormatting sqref="X26">
    <cfRule type="expression" priority="229" dxfId="3">
      <formula>AND(IF(OR($Q26=1,$Q26=2),1,0),IF($X26&lt;=20,1,0))</formula>
    </cfRule>
    <cfRule type="expression" priority="230" dxfId="2">
      <formula>AND(IF($Q26=2,1,0),IF($X26&lt;30,1,0))</formula>
    </cfRule>
    <cfRule type="expression" priority="231" dxfId="1">
      <formula>AND(IF($Q26=3,1,0),IF($X26&lt;30,1,0))</formula>
    </cfRule>
    <cfRule type="expression" priority="232" dxfId="0">
      <formula>AND(IF($Q26=3,1,IF($Q26=4,1,0)),IF($F26&lt;=85,1,0))</formula>
    </cfRule>
  </conditionalFormatting>
  <conditionalFormatting sqref="AI26">
    <cfRule type="expression" priority="225" dxfId="3">
      <formula>AND(IF(OR($Q26=1,$Q26=2),1,0),IF($X26&lt;=20,1,0))</formula>
    </cfRule>
    <cfRule type="expression" priority="226" dxfId="2">
      <formula>AND(IF($Q26=2,1,0),IF($X26&lt;30,1,0))</formula>
    </cfRule>
    <cfRule type="expression" priority="227" dxfId="1">
      <formula>AND(IF($Q26=3,1,0),IF($X26&lt;30,1,0))</formula>
    </cfRule>
    <cfRule type="expression" priority="228" dxfId="0">
      <formula>AND(IF($Q26=3,1,IF($Q26=4,1,0)),IF($F26&lt;=85,1,0))</formula>
    </cfRule>
  </conditionalFormatting>
  <conditionalFormatting sqref="AV27">
    <cfRule type="expression" priority="223" dxfId="17">
      <formula>AV27="X"</formula>
    </cfRule>
    <cfRule type="expression" priority="224" dxfId="16">
      <formula>AV27="후보"</formula>
    </cfRule>
  </conditionalFormatting>
  <conditionalFormatting sqref="AC2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7">
    <cfRule type="expression" priority="214" dxfId="3">
      <formula>AND(IF(OR($Q27=1,$Q27=2),1,0),IF($X27&lt;=20,1,0))</formula>
    </cfRule>
    <cfRule type="expression" priority="215" dxfId="2">
      <formula>AND(IF($Q27=2,1,0),IF($X27&lt;30,1,0))</formula>
    </cfRule>
    <cfRule type="expression" priority="216" dxfId="1">
      <formula>AND(IF($Q27=3,1,0),IF($X27&lt;30,1,0))</formula>
    </cfRule>
    <cfRule type="expression" priority="217" dxfId="0">
      <formula>AND(IF($Q27=3,1,IF($Q27=4,1,0)),IF($F27&lt;=85,1,0))</formula>
    </cfRule>
  </conditionalFormatting>
  <conditionalFormatting sqref="X27">
    <cfRule type="expression" priority="210" dxfId="3">
      <formula>AND(IF(OR($Q27=1,$Q27=2),1,0),IF($X27&lt;=20,1,0))</formula>
    </cfRule>
    <cfRule type="expression" priority="211" dxfId="2">
      <formula>AND(IF($Q27=2,1,0),IF($X27&lt;30,1,0))</formula>
    </cfRule>
    <cfRule type="expression" priority="212" dxfId="1">
      <formula>AND(IF($Q27=3,1,0),IF($X27&lt;30,1,0))</formula>
    </cfRule>
    <cfRule type="expression" priority="213" dxfId="0">
      <formula>AND(IF($Q27=3,1,IF($Q27=4,1,0)),IF($F27&lt;=85,1,0))</formula>
    </cfRule>
  </conditionalFormatting>
  <conditionalFormatting sqref="AI27">
    <cfRule type="expression" priority="206" dxfId="3">
      <formula>AND(IF(OR($Q27=1,$Q27=2),1,0),IF($X27&lt;=20,1,0))</formula>
    </cfRule>
    <cfRule type="expression" priority="207" dxfId="2">
      <formula>AND(IF($Q27=2,1,0),IF($X27&lt;30,1,0))</formula>
    </cfRule>
    <cfRule type="expression" priority="208" dxfId="1">
      <formula>AND(IF($Q27=3,1,0),IF($X27&lt;30,1,0))</formula>
    </cfRule>
    <cfRule type="expression" priority="209" dxfId="0">
      <formula>AND(IF($Q27=3,1,IF($Q27=4,1,0)),IF($F27&lt;=85,1,0))</formula>
    </cfRule>
  </conditionalFormatting>
  <conditionalFormatting sqref="AV28">
    <cfRule type="expression" priority="204" dxfId="17">
      <formula>AV28="X"</formula>
    </cfRule>
    <cfRule type="expression" priority="205" dxfId="16">
      <formula>AV28="후보"</formula>
    </cfRule>
  </conditionalFormatting>
  <conditionalFormatting sqref="AC28 N2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9">
    <cfRule type="expression" priority="199" dxfId="17">
      <formula>AV29="X"</formula>
    </cfRule>
    <cfRule type="expression" priority="200" dxfId="16">
      <formula>AV29="후보"</formula>
    </cfRule>
  </conditionalFormatting>
  <conditionalFormatting sqref="AC2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17">
      <formula>AV30="X"</formula>
    </cfRule>
    <cfRule type="expression" priority="181" dxfId="16">
      <formula>AV30="후보"</formula>
    </cfRule>
  </conditionalFormatting>
  <conditionalFormatting sqref="AC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0">
    <cfRule type="expression" priority="171" dxfId="3">
      <formula>AND(IF(OR($Q30=1,$Q30=2),1,0),IF($X30&lt;=20,1,0))</formula>
    </cfRule>
    <cfRule type="expression" priority="172" dxfId="2">
      <formula>AND(IF($Q30=2,1,0),IF($X30&lt;30,1,0))</formula>
    </cfRule>
    <cfRule type="expression" priority="173" dxfId="1">
      <formula>AND(IF($Q30=3,1,0),IF($X30&lt;30,1,0))</formula>
    </cfRule>
    <cfRule type="expression" priority="174" dxfId="0">
      <formula>AND(IF($Q30=3,1,IF($Q30=4,1,0)),IF($F30&lt;=85,1,0))</formula>
    </cfRule>
  </conditionalFormatting>
  <conditionalFormatting sqref="X30">
    <cfRule type="expression" priority="167" dxfId="3">
      <formula>AND(IF(OR($Q30=1,$Q30=2),1,0),IF($X30&lt;=20,1,0))</formula>
    </cfRule>
    <cfRule type="expression" priority="168" dxfId="2">
      <formula>AND(IF($Q30=2,1,0),IF($X30&lt;30,1,0))</formula>
    </cfRule>
    <cfRule type="expression" priority="169" dxfId="1">
      <formula>AND(IF($Q30=3,1,0),IF($X30&lt;30,1,0))</formula>
    </cfRule>
    <cfRule type="expression" priority="170" dxfId="0">
      <formula>AND(IF($Q30=3,1,IF($Q30=4,1,0)),IF($F30&lt;=85,1,0))</formula>
    </cfRule>
  </conditionalFormatting>
  <conditionalFormatting sqref="AI30">
    <cfRule type="expression" priority="163" dxfId="3">
      <formula>AND(IF(OR($Q30=1,$Q30=2),1,0),IF($X30&lt;=20,1,0))</formula>
    </cfRule>
    <cfRule type="expression" priority="164" dxfId="2">
      <formula>AND(IF($Q30=2,1,0),IF($X30&lt;30,1,0))</formula>
    </cfRule>
    <cfRule type="expression" priority="165" dxfId="1">
      <formula>AND(IF($Q30=3,1,0),IF($X30&lt;30,1,0))</formula>
    </cfRule>
    <cfRule type="expression" priority="166" dxfId="0">
      <formula>AND(IF($Q30=3,1,IF($Q30=4,1,0)),IF($F30&lt;=85,1,0))</formula>
    </cfRule>
  </conditionalFormatting>
  <conditionalFormatting sqref="AV31">
    <cfRule type="expression" priority="161" dxfId="17">
      <formula>AV31="X"</formula>
    </cfRule>
    <cfRule type="expression" priority="162" dxfId="16">
      <formula>AV31="후보"</formula>
    </cfRule>
  </conditionalFormatting>
  <conditionalFormatting sqref="AC3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1">
    <cfRule type="expression" priority="152" dxfId="3">
      <formula>AND(IF(OR($Q31=1,$Q31=2),1,0),IF($X31&lt;=20,1,0))</formula>
    </cfRule>
    <cfRule type="expression" priority="153" dxfId="2">
      <formula>AND(IF($Q31=2,1,0),IF($X31&lt;30,1,0))</formula>
    </cfRule>
    <cfRule type="expression" priority="154" dxfId="1">
      <formula>AND(IF($Q31=3,1,0),IF($X31&lt;30,1,0))</formula>
    </cfRule>
    <cfRule type="expression" priority="155" dxfId="0">
      <formula>AND(IF($Q31=3,1,IF($Q31=4,1,0)),IF($F31&lt;=85,1,0))</formula>
    </cfRule>
  </conditionalFormatting>
  <conditionalFormatting sqref="X31">
    <cfRule type="expression" priority="148" dxfId="3">
      <formula>AND(IF(OR($Q31=1,$Q31=2),1,0),IF($X31&lt;=20,1,0))</formula>
    </cfRule>
    <cfRule type="expression" priority="149" dxfId="2">
      <formula>AND(IF($Q31=2,1,0),IF($X31&lt;30,1,0))</formula>
    </cfRule>
    <cfRule type="expression" priority="150" dxfId="1">
      <formula>AND(IF($Q31=3,1,0),IF($X31&lt;30,1,0))</formula>
    </cfRule>
    <cfRule type="expression" priority="151" dxfId="0">
      <formula>AND(IF($Q31=3,1,IF($Q31=4,1,0)),IF($F31&lt;=85,1,0))</formula>
    </cfRule>
  </conditionalFormatting>
  <conditionalFormatting sqref="AI31">
    <cfRule type="expression" priority="144" dxfId="3">
      <formula>AND(IF(OR($Q31=1,$Q31=2),1,0),IF($X31&lt;=20,1,0))</formula>
    </cfRule>
    <cfRule type="expression" priority="145" dxfId="2">
      <formula>AND(IF($Q31=2,1,0),IF($X31&lt;30,1,0))</formula>
    </cfRule>
    <cfRule type="expression" priority="146" dxfId="1">
      <formula>AND(IF($Q31=3,1,0),IF($X31&lt;30,1,0))</formula>
    </cfRule>
    <cfRule type="expression" priority="147" dxfId="0">
      <formula>AND(IF($Q31=3,1,IF($Q31=4,1,0)),IF($F31&lt;=85,1,0))</formula>
    </cfRule>
  </conditionalFormatting>
  <conditionalFormatting sqref="AV32">
    <cfRule type="expression" priority="142" dxfId="17">
      <formula>AV32="X"</formula>
    </cfRule>
    <cfRule type="expression" priority="143" dxfId="16">
      <formula>AV32="후보"</formula>
    </cfRule>
  </conditionalFormatting>
  <conditionalFormatting sqref="AC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2">
    <cfRule type="expression" priority="133" dxfId="3">
      <formula>AND(IF(OR($Q32=1,$Q32=2),1,0),IF($X32&lt;=20,1,0))</formula>
    </cfRule>
    <cfRule type="expression" priority="134" dxfId="2">
      <formula>AND(IF($Q32=2,1,0),IF($X32&lt;30,1,0))</formula>
    </cfRule>
    <cfRule type="expression" priority="135" dxfId="1">
      <formula>AND(IF($Q32=3,1,0),IF($X32&lt;30,1,0))</formula>
    </cfRule>
    <cfRule type="expression" priority="136" dxfId="0">
      <formula>AND(IF($Q32=3,1,IF($Q32=4,1,0)),IF($F32&lt;=85,1,0))</formula>
    </cfRule>
  </conditionalFormatting>
  <conditionalFormatting sqref="X32">
    <cfRule type="expression" priority="129" dxfId="3">
      <formula>AND(IF(OR($Q32=1,$Q32=2),1,0),IF($X32&lt;=20,1,0))</formula>
    </cfRule>
    <cfRule type="expression" priority="130" dxfId="2">
      <formula>AND(IF($Q32=2,1,0),IF($X32&lt;30,1,0))</formula>
    </cfRule>
    <cfRule type="expression" priority="131" dxfId="1">
      <formula>AND(IF($Q32=3,1,0),IF($X32&lt;30,1,0))</formula>
    </cfRule>
    <cfRule type="expression" priority="132" dxfId="0">
      <formula>AND(IF($Q32=3,1,IF($Q32=4,1,0)),IF($F32&lt;=85,1,0))</formula>
    </cfRule>
  </conditionalFormatting>
  <conditionalFormatting sqref="AI32">
    <cfRule type="expression" priority="125" dxfId="3">
      <formula>AND(IF(OR($Q32=1,$Q32=2),1,0),IF($X32&lt;=20,1,0))</formula>
    </cfRule>
    <cfRule type="expression" priority="126" dxfId="2">
      <formula>AND(IF($Q32=2,1,0),IF($X32&lt;30,1,0))</formula>
    </cfRule>
    <cfRule type="expression" priority="127" dxfId="1">
      <formula>AND(IF($Q32=3,1,0),IF($X32&lt;30,1,0))</formula>
    </cfRule>
    <cfRule type="expression" priority="128" dxfId="0">
      <formula>AND(IF($Q32=3,1,IF($Q32=4,1,0)),IF($F32&lt;=85,1,0))</formula>
    </cfRule>
  </conditionalFormatting>
  <conditionalFormatting sqref="AV33">
    <cfRule type="expression" priority="123" dxfId="17">
      <formula>AV33="X"</formula>
    </cfRule>
    <cfRule type="expression" priority="124" dxfId="16">
      <formula>AV33="후보"</formula>
    </cfRule>
  </conditionalFormatting>
  <conditionalFormatting sqref="AC33 N3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4">
    <cfRule type="expression" priority="118" dxfId="17">
      <formula>AV34="X"</formula>
    </cfRule>
    <cfRule type="expression" priority="119" dxfId="16">
      <formula>AV34="후보"</formula>
    </cfRule>
  </conditionalFormatting>
  <conditionalFormatting sqref="AC3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4">
    <cfRule type="expression" priority="109" dxfId="3">
      <formula>AND(IF(OR($Q34=1,$Q34=2),1,0),IF($X34&lt;=20,1,0))</formula>
    </cfRule>
    <cfRule type="expression" priority="110" dxfId="2">
      <formula>AND(IF($Q34=2,1,0),IF($X34&lt;30,1,0))</formula>
    </cfRule>
    <cfRule type="expression" priority="111" dxfId="1">
      <formula>AND(IF($Q34=3,1,0),IF($X34&lt;30,1,0))</formula>
    </cfRule>
    <cfRule type="expression" priority="112" dxfId="0">
      <formula>AND(IF($Q34=3,1,IF($Q34=4,1,0)),IF($F34&lt;=85,1,0))</formula>
    </cfRule>
  </conditionalFormatting>
  <conditionalFormatting sqref="X34">
    <cfRule type="expression" priority="105" dxfId="3">
      <formula>AND(IF(OR($Q34=1,$Q34=2),1,0),IF($X34&lt;=20,1,0))</formula>
    </cfRule>
    <cfRule type="expression" priority="106" dxfId="2">
      <formula>AND(IF($Q34=2,1,0),IF($X34&lt;30,1,0))</formula>
    </cfRule>
    <cfRule type="expression" priority="107" dxfId="1">
      <formula>AND(IF($Q34=3,1,0),IF($X34&lt;30,1,0))</formula>
    </cfRule>
    <cfRule type="expression" priority="108" dxfId="0">
      <formula>AND(IF($Q34=3,1,IF($Q34=4,1,0)),IF($F34&lt;=85,1,0))</formula>
    </cfRule>
  </conditionalFormatting>
  <conditionalFormatting sqref="AI34">
    <cfRule type="expression" priority="101" dxfId="3">
      <formula>AND(IF(OR($Q34=1,$Q34=2),1,0),IF($X34&lt;=20,1,0))</formula>
    </cfRule>
    <cfRule type="expression" priority="102" dxfId="2">
      <formula>AND(IF($Q34=2,1,0),IF($X34&lt;30,1,0))</formula>
    </cfRule>
    <cfRule type="expression" priority="103" dxfId="1">
      <formula>AND(IF($Q34=3,1,0),IF($X34&lt;30,1,0))</formula>
    </cfRule>
    <cfRule type="expression" priority="104" dxfId="0">
      <formula>AND(IF($Q34=3,1,IF($Q34=4,1,0)),IF($F34&lt;=85,1,0))</formula>
    </cfRule>
  </conditionalFormatting>
  <conditionalFormatting sqref="AV35">
    <cfRule type="expression" priority="99" dxfId="17">
      <formula>AV35="X"</formula>
    </cfRule>
    <cfRule type="expression" priority="100" dxfId="16">
      <formula>AV35="후보"</formula>
    </cfRule>
  </conditionalFormatting>
  <conditionalFormatting sqref="AC3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5">
    <cfRule type="expression" priority="90" dxfId="3">
      <formula>AND(IF(OR($Q35=1,$Q35=2),1,0),IF($X35&lt;=20,1,0))</formula>
    </cfRule>
    <cfRule type="expression" priority="91" dxfId="2">
      <formula>AND(IF($Q35=2,1,0),IF($X35&lt;30,1,0))</formula>
    </cfRule>
    <cfRule type="expression" priority="92" dxfId="1">
      <formula>AND(IF($Q35=3,1,0),IF($X35&lt;30,1,0))</formula>
    </cfRule>
    <cfRule type="expression" priority="93" dxfId="0">
      <formula>AND(IF($Q35=3,1,IF($Q35=4,1,0)),IF($F35&lt;=85,1,0))</formula>
    </cfRule>
  </conditionalFormatting>
  <conditionalFormatting sqref="X35">
    <cfRule type="expression" priority="86" dxfId="3">
      <formula>AND(IF(OR($Q35=1,$Q35=2),1,0),IF($X35&lt;=20,1,0))</formula>
    </cfRule>
    <cfRule type="expression" priority="87" dxfId="2">
      <formula>AND(IF($Q35=2,1,0),IF($X35&lt;30,1,0))</formula>
    </cfRule>
    <cfRule type="expression" priority="88" dxfId="1">
      <formula>AND(IF($Q35=3,1,0),IF($X35&lt;30,1,0))</formula>
    </cfRule>
    <cfRule type="expression" priority="89" dxfId="0">
      <formula>AND(IF($Q35=3,1,IF($Q35=4,1,0)),IF($F35&lt;=85,1,0))</formula>
    </cfRule>
  </conditionalFormatting>
  <conditionalFormatting sqref="AI35">
    <cfRule type="expression" priority="82" dxfId="3">
      <formula>AND(IF(OR($Q35=1,$Q35=2),1,0),IF($X35&lt;=20,1,0))</formula>
    </cfRule>
    <cfRule type="expression" priority="83" dxfId="2">
      <formula>AND(IF($Q35=2,1,0),IF($X35&lt;30,1,0))</formula>
    </cfRule>
    <cfRule type="expression" priority="84" dxfId="1">
      <formula>AND(IF($Q35=3,1,0),IF($X35&lt;30,1,0))</formula>
    </cfRule>
    <cfRule type="expression" priority="85" dxfId="0">
      <formula>AND(IF($Q35=3,1,IF($Q35=4,1,0)),IF($F35&lt;=85,1,0))</formula>
    </cfRule>
  </conditionalFormatting>
  <conditionalFormatting sqref="AV36">
    <cfRule type="expression" priority="80" dxfId="17">
      <formula>AV36="X"</formula>
    </cfRule>
    <cfRule type="expression" priority="81" dxfId="16">
      <formula>AV36="후보"</formula>
    </cfRule>
  </conditionalFormatting>
  <conditionalFormatting sqref="AC3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6">
    <cfRule type="expression" priority="71" dxfId="3">
      <formula>AND(IF(OR($Q36=1,$Q36=2),1,0),IF($X36&lt;=20,1,0))</formula>
    </cfRule>
    <cfRule type="expression" priority="72" dxfId="2">
      <formula>AND(IF($Q36=2,1,0),IF($X36&lt;30,1,0))</formula>
    </cfRule>
    <cfRule type="expression" priority="73" dxfId="1">
      <formula>AND(IF($Q36=3,1,0),IF($X36&lt;30,1,0))</formula>
    </cfRule>
    <cfRule type="expression" priority="74" dxfId="0">
      <formula>AND(IF($Q36=3,1,IF($Q36=4,1,0)),IF($F36&lt;=85,1,0))</formula>
    </cfRule>
  </conditionalFormatting>
  <conditionalFormatting sqref="X36">
    <cfRule type="expression" priority="67" dxfId="3">
      <formula>AND(IF(OR($Q36=1,$Q36=2),1,0),IF($X36&lt;=20,1,0))</formula>
    </cfRule>
    <cfRule type="expression" priority="68" dxfId="2">
      <formula>AND(IF($Q36=2,1,0),IF($X36&lt;30,1,0))</formula>
    </cfRule>
    <cfRule type="expression" priority="69" dxfId="1">
      <formula>AND(IF($Q36=3,1,0),IF($X36&lt;30,1,0))</formula>
    </cfRule>
    <cfRule type="expression" priority="70" dxfId="0">
      <formula>AND(IF($Q36=3,1,IF($Q36=4,1,0)),IF($F36&lt;=85,1,0))</formula>
    </cfRule>
  </conditionalFormatting>
  <conditionalFormatting sqref="AI36">
    <cfRule type="expression" priority="63" dxfId="3">
      <formula>AND(IF(OR($Q36=1,$Q36=2),1,0),IF($X36&lt;=20,1,0))</formula>
    </cfRule>
    <cfRule type="expression" priority="64" dxfId="2">
      <formula>AND(IF($Q36=2,1,0),IF($X36&lt;30,1,0))</formula>
    </cfRule>
    <cfRule type="expression" priority="65" dxfId="1">
      <formula>AND(IF($Q36=3,1,0),IF($X36&lt;30,1,0))</formula>
    </cfRule>
    <cfRule type="expression" priority="66" dxfId="0">
      <formula>AND(IF($Q36=3,1,IF($Q36=4,1,0)),IF($F36&lt;=85,1,0))</formula>
    </cfRule>
  </conditionalFormatting>
  <conditionalFormatting sqref="AV37">
    <cfRule type="expression" priority="61" dxfId="17">
      <formula>AV37="X"</formula>
    </cfRule>
    <cfRule type="expression" priority="62" dxfId="16">
      <formula>AV37="후보"</formula>
    </cfRule>
  </conditionalFormatting>
  <conditionalFormatting sqref="AC37 N3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8">
    <cfRule type="expression" priority="56" dxfId="17">
      <formula>AV38="X"</formula>
    </cfRule>
    <cfRule type="expression" priority="57" dxfId="16">
      <formula>AV38="후보"</formula>
    </cfRule>
  </conditionalFormatting>
  <conditionalFormatting sqref="AC3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17">
      <formula>AV39="X"</formula>
    </cfRule>
    <cfRule type="expression" priority="38" dxfId="16">
      <formula>AV39="후보"</formula>
    </cfRule>
  </conditionalFormatting>
  <conditionalFormatting sqref="AC3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17">
      <formula>AV40="X"</formula>
    </cfRule>
    <cfRule type="expression" priority="19" dxfId="16">
      <formula>AV40="후보"</formula>
    </cfRule>
  </conditionalFormatting>
  <conditionalFormatting sqref="AC4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이목동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수원장안STX-KAN2단지</t>
        </is>
      </c>
      <c r="B6" s="16" t="inlineStr">
        <is>
          <t>'13.02.</t>
        </is>
      </c>
      <c r="C6" s="164" t="n">
        <v>213</v>
      </c>
      <c r="D6" s="161" t="n">
        <v>85.90000000000001</v>
      </c>
      <c r="E6" s="163" t="n">
        <v>26</v>
      </c>
      <c r="F6" s="161" t="n">
        <v>60</v>
      </c>
      <c r="G6" s="27" t="n">
        <v>18</v>
      </c>
      <c r="H6" s="164" t="n">
        <v>45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수원장안STX-KAN2단지</t>
        </is>
      </c>
      <c r="B7" s="16" t="inlineStr">
        <is>
          <t>'13.02.</t>
        </is>
      </c>
      <c r="C7" s="164" t="n">
        <v>213</v>
      </c>
      <c r="D7" s="161" t="n">
        <v>85.90000000000001</v>
      </c>
      <c r="E7" s="163" t="n">
        <v>26</v>
      </c>
      <c r="F7" s="161" t="n">
        <v>60</v>
      </c>
      <c r="G7" s="27" t="n">
        <v>18</v>
      </c>
      <c r="H7" s="164" t="n">
        <v>15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85B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수원장안STX-KAN2단지</t>
        </is>
      </c>
      <c r="B8" s="16" t="inlineStr">
        <is>
          <t>'13.02.</t>
        </is>
      </c>
      <c r="C8" s="164" t="n">
        <v>213</v>
      </c>
      <c r="D8" s="161" t="n">
        <v>112.2</v>
      </c>
      <c r="E8" s="163" t="n">
        <v>34</v>
      </c>
      <c r="F8" s="161" t="n">
        <v>84.59999999999999</v>
      </c>
      <c r="G8" s="27" t="n">
        <v>26</v>
      </c>
      <c r="H8" s="164" t="n">
        <v>86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수원장안STX-KAN2단지</t>
        </is>
      </c>
      <c r="B9" s="16" t="inlineStr">
        <is>
          <t>'13.02.</t>
        </is>
      </c>
      <c r="C9" s="164" t="n">
        <v>213</v>
      </c>
      <c r="D9" s="161" t="n">
        <v>112.2</v>
      </c>
      <c r="E9" s="163" t="n">
        <v>34</v>
      </c>
      <c r="F9" s="161" t="n">
        <v>84.90000000000001</v>
      </c>
      <c r="G9" s="27" t="n">
        <v>26</v>
      </c>
      <c r="H9" s="164" t="n">
        <v>67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수원장안힐스테이트</t>
        </is>
      </c>
      <c r="B11" s="16" t="inlineStr">
        <is>
          <t>'12.02.</t>
        </is>
      </c>
      <c r="C11" s="164" t="n">
        <v>927</v>
      </c>
      <c r="D11" s="161" t="n">
        <v>83.59999999999999</v>
      </c>
      <c r="E11" s="163" t="n">
        <v>25</v>
      </c>
      <c r="F11" s="161" t="n">
        <v>60</v>
      </c>
      <c r="G11" s="27" t="n">
        <v>18</v>
      </c>
      <c r="H11" s="164" t="n">
        <v>102</v>
      </c>
      <c r="I11" s="165" t="n">
        <v>63000</v>
      </c>
      <c r="J11" s="165" t="inlineStr">
        <is>
          <t>14</t>
        </is>
      </c>
      <c r="K11" s="165" t="n">
        <v>35000</v>
      </c>
      <c r="L11" s="165" t="inlineStr">
        <is>
          <t>10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수원장안힐스테이트</t>
        </is>
      </c>
      <c r="B12" s="16" t="inlineStr">
        <is>
          <t>'12.02.</t>
        </is>
      </c>
      <c r="C12" s="164" t="n">
        <v>927</v>
      </c>
      <c r="D12" s="161" t="n">
        <v>85.90000000000001</v>
      </c>
      <c r="E12" s="163" t="n">
        <v>26</v>
      </c>
      <c r="F12" s="161" t="n">
        <v>60</v>
      </c>
      <c r="G12" s="27" t="n">
        <v>18</v>
      </c>
      <c r="H12" s="164" t="n">
        <v>102</v>
      </c>
      <c r="I12" s="165" t="n">
        <v>65000</v>
      </c>
      <c r="J12" s="165" t="inlineStr">
        <is>
          <t>15</t>
        </is>
      </c>
      <c r="K12" s="165" t="n">
        <v>40000</v>
      </c>
      <c r="L12" s="165" t="inlineStr">
        <is>
          <t>15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85B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수원장안힐스테이트</t>
        </is>
      </c>
      <c r="B13" s="16" t="inlineStr">
        <is>
          <t>'12.02.</t>
        </is>
      </c>
      <c r="C13" s="164" t="n">
        <v>927</v>
      </c>
      <c r="D13" s="161" t="n">
        <v>111.8</v>
      </c>
      <c r="E13" s="163" t="n">
        <v>34</v>
      </c>
      <c r="F13" s="161" t="n">
        <v>85</v>
      </c>
      <c r="G13" s="27" t="n">
        <v>26</v>
      </c>
      <c r="H13" s="164" t="n">
        <v>141</v>
      </c>
      <c r="I13" s="165" t="n">
        <v>74000</v>
      </c>
      <c r="J13" s="165" t="inlineStr">
        <is>
          <t>18</t>
        </is>
      </c>
      <c r="K13" s="165" t="n">
        <v>43000</v>
      </c>
      <c r="L13" s="165" t="inlineStr">
        <is>
          <t>11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수원장안힐스테이트</t>
        </is>
      </c>
      <c r="B14" s="16" t="inlineStr">
        <is>
          <t>'12.02.</t>
        </is>
      </c>
      <c r="C14" s="164" t="n">
        <v>927</v>
      </c>
      <c r="D14" s="161" t="n">
        <v>112.8</v>
      </c>
      <c r="E14" s="163" t="n">
        <v>34</v>
      </c>
      <c r="F14" s="161" t="n">
        <v>85</v>
      </c>
      <c r="G14" s="27" t="n">
        <v>26</v>
      </c>
      <c r="H14" s="164" t="n">
        <v>210</v>
      </c>
      <c r="I14" s="165" t="n">
        <v>79000</v>
      </c>
      <c r="J14" s="165" t="inlineStr">
        <is>
          <t>15</t>
        </is>
      </c>
      <c r="K14" s="165" t="n">
        <v>45000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수원장안힐스테이트</t>
        </is>
      </c>
      <c r="B15" s="16" t="inlineStr">
        <is>
          <t>'12.02.</t>
        </is>
      </c>
      <c r="C15" s="164" t="n">
        <v>927</v>
      </c>
      <c r="D15" s="161" t="n">
        <v>130.1</v>
      </c>
      <c r="E15" s="163" t="n">
        <v>39</v>
      </c>
      <c r="F15" s="161" t="n">
        <v>102</v>
      </c>
      <c r="G15" s="27" t="n">
        <v>31</v>
      </c>
      <c r="H15" s="164" t="n">
        <v>168</v>
      </c>
      <c r="I15" s="165" t="n">
        <v>89000</v>
      </c>
      <c r="J15" s="165" t="inlineStr">
        <is>
          <t>11</t>
        </is>
      </c>
      <c r="K15" s="165" t="n">
        <v>43000</v>
      </c>
      <c r="L15" s="165" t="inlineStr">
        <is>
          <t>9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수원장안힐스테이트</t>
        </is>
      </c>
      <c r="B16" s="16" t="inlineStr">
        <is>
          <t>'12.02.</t>
        </is>
      </c>
      <c r="C16" s="164" t="n">
        <v>927</v>
      </c>
      <c r="D16" s="161" t="n">
        <v>156.3</v>
      </c>
      <c r="E16" s="163" t="n">
        <v>47</v>
      </c>
      <c r="F16" s="161" t="n">
        <v>128</v>
      </c>
      <c r="G16" s="27" t="n">
        <v>39</v>
      </c>
      <c r="H16" s="164" t="n">
        <v>117</v>
      </c>
      <c r="I16" s="165" t="n">
        <v>117000</v>
      </c>
      <c r="J16" s="165" t="inlineStr">
        <is>
          <t>15</t>
        </is>
      </c>
      <c r="K16" s="165" t="n">
        <v>58000</v>
      </c>
      <c r="L16" s="165" t="inlineStr">
        <is>
          <t>8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156A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수원장안힐스테이트</t>
        </is>
      </c>
      <c r="B17" s="16" t="inlineStr">
        <is>
          <t>'12.02.</t>
        </is>
      </c>
      <c r="C17" s="164" t="n">
        <v>927</v>
      </c>
      <c r="D17" s="161" t="n">
        <v>156.3</v>
      </c>
      <c r="E17" s="163" t="n">
        <v>47</v>
      </c>
      <c r="F17" s="161" t="n">
        <v>128</v>
      </c>
      <c r="G17" s="27" t="n">
        <v>39</v>
      </c>
      <c r="H17" s="164" t="n">
        <v>36</v>
      </c>
      <c r="I17" s="165" t="n">
        <v>117000</v>
      </c>
      <c r="J17" s="165" t="inlineStr">
        <is>
          <t>15</t>
        </is>
      </c>
      <c r="K17" s="165" t="n">
        <v>58000</v>
      </c>
      <c r="L17" s="165" t="inlineStr">
        <is>
          <t>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156B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수원장안힐스테이트</t>
        </is>
      </c>
      <c r="B18" s="16" t="inlineStr">
        <is>
          <t>'12.02.</t>
        </is>
      </c>
      <c r="C18" s="164" t="n">
        <v>927</v>
      </c>
      <c r="D18" s="161" t="n">
        <v>157.7</v>
      </c>
      <c r="E18" s="163" t="n">
        <v>48</v>
      </c>
      <c r="F18" s="161" t="n">
        <v>128</v>
      </c>
      <c r="G18" s="27" t="n">
        <v>39</v>
      </c>
      <c r="H18" s="164" t="n">
        <v>51</v>
      </c>
      <c r="I18" s="165" t="n">
        <v>95000</v>
      </c>
      <c r="J18" s="165" t="inlineStr">
        <is>
          <t>15</t>
        </is>
      </c>
      <c r="K18" s="165" t="n">
        <v>62000</v>
      </c>
      <c r="L18" s="165" t="inlineStr">
        <is>
          <t>15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수원장안STX-KAN1단지</t>
        </is>
      </c>
      <c r="B20" s="16" t="inlineStr">
        <is>
          <t>'13.02.</t>
        </is>
      </c>
      <c r="C20" s="164" t="n">
        <v>734</v>
      </c>
      <c r="D20" s="161" t="n">
        <v>85.09999999999999</v>
      </c>
      <c r="E20" s="163" t="n">
        <v>26</v>
      </c>
      <c r="F20" s="161" t="n">
        <v>60</v>
      </c>
      <c r="G20" s="27" t="n">
        <v>18</v>
      </c>
      <c r="H20" s="164" t="n">
        <v>130</v>
      </c>
      <c r="I20" s="165" t="n">
        <v>61000</v>
      </c>
      <c r="J20" s="165" t="inlineStr">
        <is>
          <t>중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85A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수원장안STX-KAN1단지</t>
        </is>
      </c>
      <c r="B21" s="16" t="inlineStr">
        <is>
          <t>'13.02.</t>
        </is>
      </c>
      <c r="C21" s="164" t="n">
        <v>734</v>
      </c>
      <c r="D21" s="161" t="n">
        <v>85.09999999999999</v>
      </c>
      <c r="E21" s="163" t="n">
        <v>26</v>
      </c>
      <c r="F21" s="161" t="n">
        <v>60</v>
      </c>
      <c r="G21" s="27" t="n">
        <v>18</v>
      </c>
      <c r="H21" s="164" t="n">
        <v>17</v>
      </c>
      <c r="I21" s="165" t="n">
        <v>61000</v>
      </c>
      <c r="J21" s="165" t="inlineStr">
        <is>
          <t>중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수원장안STX-KAN1단지</t>
        </is>
      </c>
      <c r="B22" s="16" t="inlineStr">
        <is>
          <t>'13.02.</t>
        </is>
      </c>
      <c r="C22" s="164" t="n">
        <v>734</v>
      </c>
      <c r="D22" s="161" t="n">
        <v>112</v>
      </c>
      <c r="E22" s="163" t="n">
        <v>34</v>
      </c>
      <c r="F22" s="161" t="n">
        <v>84.59999999999999</v>
      </c>
      <c r="G22" s="27" t="n">
        <v>26</v>
      </c>
      <c r="H22" s="164" t="n">
        <v>194</v>
      </c>
      <c r="I22" s="165" t="n">
        <v>75000</v>
      </c>
      <c r="J22" s="165" t="inlineStr">
        <is>
          <t>9</t>
        </is>
      </c>
      <c r="K22" s="165" t="n">
        <v>38000</v>
      </c>
      <c r="L22" s="165" t="inlineStr">
        <is>
          <t>고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111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수원장안STX-KAN1단지</t>
        </is>
      </c>
      <c r="B23" s="16" t="inlineStr">
        <is>
          <t>'13.02.</t>
        </is>
      </c>
      <c r="C23" s="164" t="n">
        <v>734</v>
      </c>
      <c r="D23" s="161" t="n">
        <v>128.5</v>
      </c>
      <c r="E23" s="163" t="n">
        <v>39</v>
      </c>
      <c r="F23" s="161" t="n">
        <v>101.9</v>
      </c>
      <c r="G23" s="27" t="n">
        <v>31</v>
      </c>
      <c r="H23" s="164" t="n">
        <v>108</v>
      </c>
      <c r="I23" s="165" t="n">
        <v>88000</v>
      </c>
      <c r="J23" s="165" t="inlineStr">
        <is>
          <t>19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128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수원장안STX-KAN1단지</t>
        </is>
      </c>
      <c r="B24" s="16" t="inlineStr">
        <is>
          <t>'13.02.</t>
        </is>
      </c>
      <c r="C24" s="164" t="n">
        <v>734</v>
      </c>
      <c r="D24" s="161" t="n">
        <v>131.7</v>
      </c>
      <c r="E24" s="163" t="n">
        <v>40</v>
      </c>
      <c r="F24" s="161" t="n">
        <v>103.9</v>
      </c>
      <c r="G24" s="27" t="n">
        <v>31</v>
      </c>
      <c r="H24" s="164" t="n">
        <v>95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131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수원장안STX-KAN1단지</t>
        </is>
      </c>
      <c r="B25" s="16" t="inlineStr">
        <is>
          <t>'13.02.</t>
        </is>
      </c>
      <c r="C25" s="164" t="n">
        <v>734</v>
      </c>
      <c r="D25" s="161" t="n">
        <v>143.7</v>
      </c>
      <c r="E25" s="163" t="n">
        <v>43</v>
      </c>
      <c r="F25" s="161" t="n">
        <v>114.9</v>
      </c>
      <c r="G25" s="27" t="n">
        <v>35</v>
      </c>
      <c r="H25" s="164" t="n">
        <v>144</v>
      </c>
      <c r="I25" s="165" t="n">
        <v>90000</v>
      </c>
      <c r="J25" s="165" t="inlineStr">
        <is>
          <t>12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수원장안STX-KAN1단지</t>
        </is>
      </c>
      <c r="B26" s="16" t="inlineStr">
        <is>
          <t>'13.02.</t>
        </is>
      </c>
      <c r="C26" s="164" t="n">
        <v>734</v>
      </c>
      <c r="D26" s="161" t="n">
        <v>154.2</v>
      </c>
      <c r="E26" s="163" t="n">
        <v>47</v>
      </c>
      <c r="F26" s="161" t="n">
        <v>124.4</v>
      </c>
      <c r="G26" s="27" t="n">
        <v>38</v>
      </c>
      <c r="H26" s="164" t="n">
        <v>46</v>
      </c>
      <c r="I26" s="165" t="n">
        <v>93000</v>
      </c>
      <c r="J26" s="165" t="inlineStr">
        <is>
          <t>15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3</v>
      </c>
      <c r="S26" s="113" t="inlineStr">
        <is>
          <t>계</t>
        </is>
      </c>
      <c r="T26" s="8" t="n">
        <v>154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17">
      <formula>AV4="X"</formula>
    </cfRule>
    <cfRule type="expression" priority="373" dxfId="16">
      <formula>AV4="후보"</formula>
    </cfRule>
  </conditionalFormatting>
  <conditionalFormatting sqref="AC1:AC2 AC4:AC6 N4:N5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N1:N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17">
      <formula>AV7="X"</formula>
    </cfRule>
    <cfRule type="expression" priority="352" dxfId="16">
      <formula>AV7="후보"</formula>
    </cfRule>
  </conditionalFormatting>
  <conditionalFormatting sqref="AC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17">
      <formula>AV8="X"</formula>
    </cfRule>
    <cfRule type="expression" priority="333" dxfId="16">
      <formula>AV8="후보"</formula>
    </cfRule>
  </conditionalFormatting>
  <conditionalFormatting sqref="AC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17">
      <formula>AV9="X"</formula>
    </cfRule>
    <cfRule type="expression" priority="314" dxfId="16">
      <formula>AV9="후보"</formula>
    </cfRule>
  </conditionalFormatting>
  <conditionalFormatting sqref="AC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17">
      <formula>AV10="X"</formula>
    </cfRule>
    <cfRule type="expression" priority="295" dxfId="16">
      <formula>AV10="후보"</formula>
    </cfRule>
  </conditionalFormatting>
  <conditionalFormatting sqref="AC10 N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1">
    <cfRule type="expression" priority="289" dxfId="17">
      <formula>AV11="X"</formula>
    </cfRule>
    <cfRule type="expression" priority="290" dxfId="16">
      <formula>AV11="후보"</formula>
    </cfRule>
  </conditionalFormatting>
  <conditionalFormatting sqref="AC1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">
    <cfRule type="expression" priority="280" dxfId="3">
      <formula>AND(IF(OR($Q11=1,$Q11=2),1,0),IF($X11&lt;=20,1,0))</formula>
    </cfRule>
    <cfRule type="expression" priority="281" dxfId="2">
      <formula>AND(IF($Q11=2,1,0),IF($X11&lt;30,1,0))</formula>
    </cfRule>
    <cfRule type="expression" priority="282" dxfId="1">
      <formula>AND(IF($Q11=3,1,0),IF($X11&lt;30,1,0))</formula>
    </cfRule>
    <cfRule type="expression" priority="283" dxfId="0">
      <formula>AND(IF($Q11=3,1,IF($Q11=4,1,0)),IF($F11&lt;=85,1,0))</formula>
    </cfRule>
  </conditionalFormatting>
  <conditionalFormatting sqref="X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AI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V12">
    <cfRule type="expression" priority="270" dxfId="17">
      <formula>AV12="X"</formula>
    </cfRule>
    <cfRule type="expression" priority="271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3">
    <cfRule type="expression" priority="242" dxfId="3">
      <formula>AND(IF(OR($Q13=1,$Q13=2),1,0),IF($X13&lt;=20,1,0))</formula>
    </cfRule>
    <cfRule type="expression" priority="243" dxfId="2">
      <formula>AND(IF($Q13=2,1,0),IF($X13&lt;30,1,0))</formula>
    </cfRule>
    <cfRule type="expression" priority="244" dxfId="1">
      <formula>AND(IF($Q13=3,1,0),IF($X13&lt;30,1,0))</formula>
    </cfRule>
    <cfRule type="expression" priority="245" dxfId="0">
      <formula>AND(IF($Q13=3,1,IF($Q13=4,1,0)),IF($F13&lt;=85,1,0))</formula>
    </cfRule>
  </conditionalFormatting>
  <conditionalFormatting sqref="X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AI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V14">
    <cfRule type="expression" priority="232" dxfId="17">
      <formula>AV14="X"</formula>
    </cfRule>
    <cfRule type="expression" priority="233" dxfId="16">
      <formula>AV14="후보"</formula>
    </cfRule>
  </conditionalFormatting>
  <conditionalFormatting sqref="AC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">
    <cfRule type="expression" priority="223" dxfId="3">
      <formula>AND(IF(OR($Q14=1,$Q14=2),1,0),IF($X14&lt;=20,1,0))</formula>
    </cfRule>
    <cfRule type="expression" priority="224" dxfId="2">
      <formula>AND(IF($Q14=2,1,0),IF($X14&lt;30,1,0))</formula>
    </cfRule>
    <cfRule type="expression" priority="225" dxfId="1">
      <formula>AND(IF($Q14=3,1,0),IF($X14&lt;30,1,0))</formula>
    </cfRule>
    <cfRule type="expression" priority="226" dxfId="0">
      <formula>AND(IF($Q14=3,1,IF($Q14=4,1,0)),IF($F14&lt;=85,1,0))</formula>
    </cfRule>
  </conditionalFormatting>
  <conditionalFormatting sqref="X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AI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X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I16">
    <cfRule type="expression" priority="177" dxfId="3">
      <formula>AND(IF(OR($Q16=1,$Q16=2),1,0),IF($X16&lt;=20,1,0))</formula>
    </cfRule>
    <cfRule type="expression" priority="178" dxfId="2">
      <formula>AND(IF($Q16=2,1,0),IF($X16&lt;30,1,0))</formula>
    </cfRule>
    <cfRule type="expression" priority="179" dxfId="1">
      <formula>AND(IF($Q16=3,1,0),IF($X16&lt;30,1,0))</formula>
    </cfRule>
    <cfRule type="expression" priority="180" dxfId="0">
      <formula>AND(IF($Q16=3,1,IF($Q16=4,1,0)),IF($F16&lt;=85,1,0))</formula>
    </cfRule>
  </conditionalFormatting>
  <conditionalFormatting sqref="AV17">
    <cfRule type="expression" priority="175" dxfId="17">
      <formula>AV17="X"</formula>
    </cfRule>
    <cfRule type="expression" priority="176" dxfId="16">
      <formula>AV17="후보"</formula>
    </cfRule>
  </conditionalFormatting>
  <conditionalFormatting sqref="AC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">
    <cfRule type="expression" priority="166" dxfId="3">
      <formula>AND(IF(OR($Q17=1,$Q17=2),1,0),IF($X17&lt;=20,1,0))</formula>
    </cfRule>
    <cfRule type="expression" priority="167" dxfId="2">
      <formula>AND(IF($Q17=2,1,0),IF($X17&lt;30,1,0))</formula>
    </cfRule>
    <cfRule type="expression" priority="168" dxfId="1">
      <formula>AND(IF($Q17=3,1,0),IF($X17&lt;30,1,0))</formula>
    </cfRule>
    <cfRule type="expression" priority="169" dxfId="0">
      <formula>AND(IF($Q17=3,1,IF($Q17=4,1,0)),IF($F17&lt;=85,1,0))</formula>
    </cfRule>
  </conditionalFormatting>
  <conditionalFormatting sqref="X17">
    <cfRule type="expression" priority="162" dxfId="3">
      <formula>AND(IF(OR($Q17=1,$Q17=2),1,0),IF($X17&lt;=20,1,0))</formula>
    </cfRule>
    <cfRule type="expression" priority="163" dxfId="2">
      <formula>AND(IF($Q17=2,1,0),IF($X17&lt;30,1,0))</formula>
    </cfRule>
    <cfRule type="expression" priority="164" dxfId="1">
      <formula>AND(IF($Q17=3,1,0),IF($X17&lt;30,1,0))</formula>
    </cfRule>
    <cfRule type="expression" priority="165" dxfId="0">
      <formula>AND(IF($Q17=3,1,IF($Q17=4,1,0)),IF($F17&lt;=85,1,0))</formula>
    </cfRule>
  </conditionalFormatting>
  <conditionalFormatting sqref="AI17">
    <cfRule type="expression" priority="158" dxfId="3">
      <formula>AND(IF(OR($Q17=1,$Q17=2),1,0),IF($X17&lt;=20,1,0))</formula>
    </cfRule>
    <cfRule type="expression" priority="159" dxfId="2">
      <formula>AND(IF($Q17=2,1,0),IF($X17&lt;30,1,0))</formula>
    </cfRule>
    <cfRule type="expression" priority="160" dxfId="1">
      <formula>AND(IF($Q17=3,1,0),IF($X17&lt;30,1,0))</formula>
    </cfRule>
    <cfRule type="expression" priority="161" dxfId="0">
      <formula>AND(IF($Q17=3,1,IF($Q17=4,1,0)),IF($F17&lt;=85,1,0))</formula>
    </cfRule>
  </conditionalFormatting>
  <conditionalFormatting sqref="AV18">
    <cfRule type="expression" priority="156" dxfId="17">
      <formula>AV18="X"</formula>
    </cfRule>
    <cfRule type="expression" priority="157" dxfId="16">
      <formula>AV18="후보"</formula>
    </cfRule>
  </conditionalFormatting>
  <conditionalFormatting sqref="AC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17">
      <formula>AV19="X"</formula>
    </cfRule>
    <cfRule type="expression" priority="138" dxfId="16">
      <formula>AV19="후보"</formula>
    </cfRule>
  </conditionalFormatting>
  <conditionalFormatting sqref="AC19 N1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6" sqref="A176:XFD17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정자동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경남아너스빌</t>
        </is>
      </c>
      <c r="B6" s="16" t="inlineStr">
        <is>
          <t>'06.04.</t>
        </is>
      </c>
      <c r="C6" s="164" t="n">
        <v>422</v>
      </c>
      <c r="D6" s="161" t="n">
        <v>75.2</v>
      </c>
      <c r="E6" s="163" t="n">
        <v>23</v>
      </c>
      <c r="F6" s="161" t="n">
        <v>60</v>
      </c>
      <c r="G6" s="27" t="n">
        <v>18</v>
      </c>
      <c r="H6" s="164" t="n">
        <v>86</v>
      </c>
      <c r="I6" s="165" t="n">
        <v>43500</v>
      </c>
      <c r="J6" s="165" t="inlineStr">
        <is>
          <t>9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경남아너스빌</t>
        </is>
      </c>
      <c r="B7" s="16" t="inlineStr">
        <is>
          <t>'06.04.</t>
        </is>
      </c>
      <c r="C7" s="164" t="n">
        <v>422</v>
      </c>
      <c r="D7" s="161" t="n">
        <v>105.6</v>
      </c>
      <c r="E7" s="163" t="n">
        <v>32</v>
      </c>
      <c r="F7" s="161" t="n">
        <v>84.90000000000001</v>
      </c>
      <c r="G7" s="27" t="n">
        <v>26</v>
      </c>
      <c r="H7" s="164" t="n">
        <v>179</v>
      </c>
      <c r="I7" s="165" t="n">
        <v>55000</v>
      </c>
      <c r="J7" s="165" t="inlineStr">
        <is>
          <t>7</t>
        </is>
      </c>
      <c r="K7" s="165" t="n">
        <v>38000</v>
      </c>
      <c r="L7" s="165" t="inlineStr">
        <is>
          <t>7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경남아너스빌</t>
        </is>
      </c>
      <c r="B8" s="16" t="inlineStr">
        <is>
          <t>'06.04.</t>
        </is>
      </c>
      <c r="C8" s="164" t="n">
        <v>422</v>
      </c>
      <c r="D8" s="161" t="n">
        <v>105.8</v>
      </c>
      <c r="E8" s="163" t="n">
        <v>32</v>
      </c>
      <c r="F8" s="161" t="n">
        <v>84.90000000000001</v>
      </c>
      <c r="G8" s="27" t="n">
        <v>26</v>
      </c>
      <c r="H8" s="164" t="n">
        <v>45</v>
      </c>
      <c r="I8" s="165" t="n">
        <v>58000</v>
      </c>
      <c r="J8" s="165" t="inlineStr">
        <is>
          <t>9</t>
        </is>
      </c>
      <c r="K8" s="165" t="n">
        <v>40000</v>
      </c>
      <c r="L8" s="165" t="inlineStr">
        <is>
          <t>12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105A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경남아너스빌</t>
        </is>
      </c>
      <c r="B9" s="16" t="inlineStr">
        <is>
          <t>'06.04.</t>
        </is>
      </c>
      <c r="C9" s="164" t="n">
        <v>422</v>
      </c>
      <c r="D9" s="161" t="n">
        <v>105.8</v>
      </c>
      <c r="E9" s="163" t="n">
        <v>32</v>
      </c>
      <c r="F9" s="161" t="n">
        <v>84.90000000000001</v>
      </c>
      <c r="G9" s="27" t="n">
        <v>26</v>
      </c>
      <c r="H9" s="164" t="n">
        <v>43</v>
      </c>
      <c r="I9" s="165" t="n">
        <v>58000</v>
      </c>
      <c r="J9" s="165" t="inlineStr">
        <is>
          <t>9</t>
        </is>
      </c>
      <c r="K9" s="165" t="n">
        <v>40000</v>
      </c>
      <c r="L9" s="165" t="inlineStr">
        <is>
          <t>12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105B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경남아너스빌</t>
        </is>
      </c>
      <c r="B10" s="16" t="inlineStr">
        <is>
          <t>'06.04.</t>
        </is>
      </c>
      <c r="C10" s="164" t="n">
        <v>422</v>
      </c>
      <c r="D10" s="161" t="n">
        <v>125.3</v>
      </c>
      <c r="E10" s="163" t="n">
        <v>38</v>
      </c>
      <c r="F10" s="161" t="n">
        <v>100.5</v>
      </c>
      <c r="G10" s="27" t="n">
        <v>30</v>
      </c>
      <c r="H10" s="164" t="n">
        <v>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125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경남아너스빌</t>
        </is>
      </c>
      <c r="B11" s="16" t="inlineStr">
        <is>
          <t>'06.04.</t>
        </is>
      </c>
      <c r="C11" s="164" t="n">
        <v>422</v>
      </c>
      <c r="D11" s="161" t="n">
        <v>150.1</v>
      </c>
      <c r="E11" s="163" t="n">
        <v>45</v>
      </c>
      <c r="F11" s="161" t="n">
        <v>119.6</v>
      </c>
      <c r="G11" s="27" t="n">
        <v>36</v>
      </c>
      <c r="H11" s="164" t="n">
        <v>60</v>
      </c>
      <c r="I11" s="165" t="n">
        <v>68000</v>
      </c>
      <c r="J11" s="165" t="inlineStr">
        <is>
          <t>5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150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수원SK스카이뷰</t>
        </is>
      </c>
      <c r="B13" s="16" t="inlineStr">
        <is>
          <t>'13.05.</t>
        </is>
      </c>
      <c r="C13" s="164" t="n">
        <v>3498</v>
      </c>
      <c r="D13" s="161" t="n">
        <v>82.3</v>
      </c>
      <c r="E13" s="163" t="n">
        <v>25</v>
      </c>
      <c r="F13" s="161" t="n">
        <v>60</v>
      </c>
      <c r="G13" s="27" t="n">
        <v>18</v>
      </c>
      <c r="H13" s="164" t="n">
        <v>180</v>
      </c>
      <c r="I13" s="165" t="n">
        <v>66000</v>
      </c>
      <c r="J13" s="165" t="inlineStr">
        <is>
          <t>24</t>
        </is>
      </c>
      <c r="K13" s="165" t="n">
        <v>43000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수원SK스카이뷰</t>
        </is>
      </c>
      <c r="B14" s="16" t="inlineStr">
        <is>
          <t>'13.05.</t>
        </is>
      </c>
      <c r="C14" s="164" t="n">
        <v>3498</v>
      </c>
      <c r="D14" s="161" t="n">
        <v>82.5</v>
      </c>
      <c r="E14" s="163" t="n">
        <v>25</v>
      </c>
      <c r="F14" s="161" t="n">
        <v>60</v>
      </c>
      <c r="G14" s="27" t="n">
        <v>18</v>
      </c>
      <c r="H14" s="164" t="n">
        <v>180</v>
      </c>
      <c r="I14" s="165" t="n">
        <v>66000</v>
      </c>
      <c r="J14" s="165" t="inlineStr">
        <is>
          <t>21</t>
        </is>
      </c>
      <c r="K14" s="165" t="n">
        <v>43000</v>
      </c>
      <c r="L14" s="165" t="inlineStr">
        <is>
          <t>고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82C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수원SK스카이뷰</t>
        </is>
      </c>
      <c r="B15" s="16" t="inlineStr">
        <is>
          <t>'13.05.</t>
        </is>
      </c>
      <c r="C15" s="164" t="n">
        <v>3498</v>
      </c>
      <c r="D15" s="161" t="n">
        <v>83.09999999999999</v>
      </c>
      <c r="E15" s="163" t="n">
        <v>25</v>
      </c>
      <c r="F15" s="161" t="n">
        <v>59.9</v>
      </c>
      <c r="G15" s="27" t="n">
        <v>18</v>
      </c>
      <c r="H15" s="164" t="n">
        <v>348</v>
      </c>
      <c r="I15" s="165" t="n">
        <v>65000</v>
      </c>
      <c r="J15" s="165" t="inlineStr">
        <is>
          <t>중</t>
        </is>
      </c>
      <c r="K15" s="165" t="n">
        <v>43000</v>
      </c>
      <c r="L15" s="165" t="inlineStr">
        <is>
          <t>중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83B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수원SK스카이뷰</t>
        </is>
      </c>
      <c r="B16" s="16" t="inlineStr">
        <is>
          <t>'13.05.</t>
        </is>
      </c>
      <c r="C16" s="164" t="n">
        <v>3498</v>
      </c>
      <c r="D16" s="161" t="n">
        <v>114.8</v>
      </c>
      <c r="E16" s="163" t="n">
        <v>35</v>
      </c>
      <c r="F16" s="161" t="n">
        <v>85</v>
      </c>
      <c r="G16" s="27" t="n">
        <v>26</v>
      </c>
      <c r="H16" s="164" t="n">
        <v>180</v>
      </c>
      <c r="I16" s="165" t="n">
        <v>90000</v>
      </c>
      <c r="J16" s="165" t="inlineStr">
        <is>
          <t>29</t>
        </is>
      </c>
      <c r="K16" s="165" t="n">
        <v>47000</v>
      </c>
      <c r="L16" s="165" t="inlineStr">
        <is>
          <t>중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수원SK스카이뷰</t>
        </is>
      </c>
      <c r="B17" s="16" t="inlineStr">
        <is>
          <t>'13.05.</t>
        </is>
      </c>
      <c r="C17" s="164" t="n">
        <v>3498</v>
      </c>
      <c r="D17" s="161" t="n">
        <v>115.8</v>
      </c>
      <c r="E17" s="163" t="n">
        <v>35</v>
      </c>
      <c r="F17" s="161" t="n">
        <v>84.90000000000001</v>
      </c>
      <c r="G17" s="27" t="n">
        <v>26</v>
      </c>
      <c r="H17" s="164" t="n">
        <v>639</v>
      </c>
      <c r="I17" s="165" t="n">
        <v>90000</v>
      </c>
      <c r="J17" s="165" t="inlineStr">
        <is>
          <t>22</t>
        </is>
      </c>
      <c r="K17" s="165" t="n">
        <v>45000</v>
      </c>
      <c r="L17" s="165" t="inlineStr">
        <is>
          <t>17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115A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수원SK스카이뷰</t>
        </is>
      </c>
      <c r="B18" s="16" t="inlineStr">
        <is>
          <t>'13.05.</t>
        </is>
      </c>
      <c r="C18" s="164" t="n">
        <v>3498</v>
      </c>
      <c r="D18" s="161" t="n">
        <v>116</v>
      </c>
      <c r="E18" s="163" t="n">
        <v>35</v>
      </c>
      <c r="F18" s="161" t="n">
        <v>84.90000000000001</v>
      </c>
      <c r="G18" s="27" t="n">
        <v>26</v>
      </c>
      <c r="H18" s="164" t="n">
        <v>942</v>
      </c>
      <c r="I18" s="165" t="n">
        <v>80000</v>
      </c>
      <c r="J18" s="165" t="inlineStr">
        <is>
          <t>중</t>
        </is>
      </c>
      <c r="K18" s="165" t="n">
        <v>48000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116B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수원SK스카이뷰</t>
        </is>
      </c>
      <c r="B19" s="16" t="inlineStr">
        <is>
          <t>'13.05.</t>
        </is>
      </c>
      <c r="C19" s="164" t="n">
        <v>3498</v>
      </c>
      <c r="D19" s="161" t="n">
        <v>120.6</v>
      </c>
      <c r="E19" s="163" t="n">
        <v>36</v>
      </c>
      <c r="F19" s="161" t="n">
        <v>84.90000000000001</v>
      </c>
      <c r="G19" s="27" t="n">
        <v>26</v>
      </c>
      <c r="H19" s="164" t="n">
        <v>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120PB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수원SK스카이뷰</t>
        </is>
      </c>
      <c r="B20" s="16" t="inlineStr">
        <is>
          <t>'13.05.</t>
        </is>
      </c>
      <c r="C20" s="164" t="n">
        <v>3498</v>
      </c>
      <c r="D20" s="161" t="n">
        <v>120.3</v>
      </c>
      <c r="E20" s="163" t="n">
        <v>36</v>
      </c>
      <c r="F20" s="161" t="n">
        <v>85</v>
      </c>
      <c r="G20" s="27" t="n">
        <v>26</v>
      </c>
      <c r="H20" s="164" t="n">
        <v>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120PC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수원SK스카이뷰</t>
        </is>
      </c>
      <c r="B21" s="16" t="inlineStr">
        <is>
          <t>'13.05.</t>
        </is>
      </c>
      <c r="C21" s="164" t="n">
        <v>3498</v>
      </c>
      <c r="D21" s="161" t="n">
        <v>131.6</v>
      </c>
      <c r="E21" s="163" t="n">
        <v>40</v>
      </c>
      <c r="F21" s="161" t="n">
        <v>97.8</v>
      </c>
      <c r="G21" s="27" t="n">
        <v>30</v>
      </c>
      <c r="H21" s="164" t="n">
        <v>296</v>
      </c>
      <c r="I21" s="165" t="n">
        <v>106000</v>
      </c>
      <c r="J21" s="165" t="inlineStr">
        <is>
          <t>16</t>
        </is>
      </c>
      <c r="K21" s="165" t="n">
        <v>70000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131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수원SK스카이뷰</t>
        </is>
      </c>
      <c r="B22" s="16" t="inlineStr">
        <is>
          <t>'13.05.</t>
        </is>
      </c>
      <c r="C22" s="164" t="n">
        <v>3498</v>
      </c>
      <c r="D22" s="161" t="n">
        <v>147.8</v>
      </c>
      <c r="E22" s="163" t="n">
        <v>45</v>
      </c>
      <c r="F22" s="161" t="n">
        <v>110.7</v>
      </c>
      <c r="G22" s="27" t="n">
        <v>33</v>
      </c>
      <c r="H22" s="164" t="n">
        <v>134</v>
      </c>
      <c r="I22" s="165" t="n">
        <v>125000</v>
      </c>
      <c r="J22" s="165" t="inlineStr">
        <is>
          <t>중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147B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수원SK스카이뷰</t>
        </is>
      </c>
      <c r="B23" s="16" t="inlineStr">
        <is>
          <t>'13.05.</t>
        </is>
      </c>
      <c r="C23" s="164" t="n">
        <v>3498</v>
      </c>
      <c r="D23" s="161" t="n">
        <v>148.3</v>
      </c>
      <c r="E23" s="163" t="n">
        <v>45</v>
      </c>
      <c r="F23" s="161" t="n">
        <v>110.5</v>
      </c>
      <c r="G23" s="27" t="n">
        <v>33</v>
      </c>
      <c r="H23" s="164" t="n">
        <v>252</v>
      </c>
      <c r="I23" s="165" t="n">
        <v>120000</v>
      </c>
      <c r="J23" s="165" t="inlineStr">
        <is>
          <t>6</t>
        </is>
      </c>
      <c r="K23" s="165" t="n">
        <v>70000</v>
      </c>
      <c r="L23" s="165" t="inlineStr">
        <is>
          <t>8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148A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수원SK스카이뷰</t>
        </is>
      </c>
      <c r="B24" s="16" t="inlineStr">
        <is>
          <t>'13.05.</t>
        </is>
      </c>
      <c r="C24" s="164" t="n">
        <v>3498</v>
      </c>
      <c r="D24" s="161" t="n">
        <v>153.9</v>
      </c>
      <c r="E24" s="163" t="n">
        <v>47</v>
      </c>
      <c r="F24" s="161" t="n">
        <v>110.6</v>
      </c>
      <c r="G24" s="27" t="n">
        <v>33</v>
      </c>
      <c r="H24" s="164" t="n">
        <v>3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3</v>
      </c>
      <c r="S24" s="113" t="inlineStr">
        <is>
          <t>계</t>
        </is>
      </c>
      <c r="T24" s="8" t="inlineStr">
        <is>
          <t>153PC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수원SK스카이뷰</t>
        </is>
      </c>
      <c r="B25" s="16" t="inlineStr">
        <is>
          <t>'13.05.</t>
        </is>
      </c>
      <c r="C25" s="164" t="n">
        <v>3498</v>
      </c>
      <c r="D25" s="161" t="n">
        <v>154.6</v>
      </c>
      <c r="E25" s="163" t="n">
        <v>47</v>
      </c>
      <c r="F25" s="161" t="n">
        <v>110.6</v>
      </c>
      <c r="G25" s="27" t="n">
        <v>33</v>
      </c>
      <c r="H25" s="164" t="n">
        <v>14</v>
      </c>
      <c r="I25" s="165" t="n">
        <v>135000</v>
      </c>
      <c r="J25" s="165" t="inlineStr">
        <is>
          <t>27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inlineStr">
        <is>
          <t>154PB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수원SK스카이뷰</t>
        </is>
      </c>
      <c r="B26" s="16" t="inlineStr">
        <is>
          <t>'13.05.</t>
        </is>
      </c>
      <c r="C26" s="164" t="n">
        <v>3498</v>
      </c>
      <c r="D26" s="161" t="n">
        <v>164</v>
      </c>
      <c r="E26" s="163" t="n">
        <v>50</v>
      </c>
      <c r="F26" s="161" t="n">
        <v>122.8</v>
      </c>
      <c r="G26" s="27" t="n">
        <v>37</v>
      </c>
      <c r="H26" s="164" t="n">
        <v>35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163B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수원SK스카이뷰</t>
        </is>
      </c>
      <c r="B27" s="16" t="inlineStr">
        <is>
          <t>'13.05.</t>
        </is>
      </c>
      <c r="C27" s="164" t="n">
        <v>3498</v>
      </c>
      <c r="D27" s="161" t="n">
        <v>164.2</v>
      </c>
      <c r="E27" s="163" t="n">
        <v>50</v>
      </c>
      <c r="F27" s="161" t="n">
        <v>122.7</v>
      </c>
      <c r="G27" s="27" t="n">
        <v>37</v>
      </c>
      <c r="H27" s="164" t="n">
        <v>128</v>
      </c>
      <c r="I27" s="165" t="n">
        <v>125000</v>
      </c>
      <c r="J27" s="165" t="inlineStr">
        <is>
          <t>고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164A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수원SK스카이뷰</t>
        </is>
      </c>
      <c r="B28" s="16" t="inlineStr">
        <is>
          <t>'13.05.</t>
        </is>
      </c>
      <c r="C28" s="164" t="n">
        <v>3498</v>
      </c>
      <c r="D28" s="161" t="n">
        <v>164.2</v>
      </c>
      <c r="E28" s="163" t="n">
        <v>50</v>
      </c>
      <c r="F28" s="161" t="n">
        <v>122.7</v>
      </c>
      <c r="G28" s="27" t="n">
        <v>37</v>
      </c>
      <c r="H28" s="164" t="n">
        <v>2</v>
      </c>
      <c r="I28" s="165" t="n">
        <v>125000</v>
      </c>
      <c r="J28" s="165" t="inlineStr">
        <is>
          <t>고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164TA4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수원SK스카이뷰</t>
        </is>
      </c>
      <c r="B29" s="16" t="inlineStr">
        <is>
          <t>'13.05.</t>
        </is>
      </c>
      <c r="C29" s="164" t="n">
        <v>3498</v>
      </c>
      <c r="D29" s="161" t="n">
        <v>171.7</v>
      </c>
      <c r="E29" s="163" t="n">
        <v>52</v>
      </c>
      <c r="F29" s="161" t="n">
        <v>127.9</v>
      </c>
      <c r="G29" s="27" t="n">
        <v>39</v>
      </c>
      <c r="H29" s="164" t="n">
        <v>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171TA3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수원SK스카이뷰</t>
        </is>
      </c>
      <c r="B30" s="16" t="inlineStr">
        <is>
          <t>'13.05.</t>
        </is>
      </c>
      <c r="C30" s="164" t="n">
        <v>3498</v>
      </c>
      <c r="D30" s="161" t="n">
        <v>173.5</v>
      </c>
      <c r="E30" s="163" t="n">
        <v>52</v>
      </c>
      <c r="F30" s="161" t="n">
        <v>129.8</v>
      </c>
      <c r="G30" s="27" t="n">
        <v>39</v>
      </c>
      <c r="H30" s="164" t="n">
        <v>69</v>
      </c>
      <c r="I30" s="165" t="n">
        <v>130000</v>
      </c>
      <c r="J30" s="165" t="inlineStr">
        <is>
          <t>13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173B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수원SK스카이뷰</t>
        </is>
      </c>
      <c r="B31" s="16" t="inlineStr">
        <is>
          <t>'13.05.</t>
        </is>
      </c>
      <c r="C31" s="164" t="n">
        <v>3498</v>
      </c>
      <c r="D31" s="161" t="n">
        <v>173.5</v>
      </c>
      <c r="E31" s="163" t="n">
        <v>52</v>
      </c>
      <c r="F31" s="161" t="n">
        <v>129.8</v>
      </c>
      <c r="G31" s="27" t="n">
        <v>39</v>
      </c>
      <c r="H31" s="164" t="n">
        <v>2</v>
      </c>
      <c r="I31" s="165" t="n">
        <v>130000</v>
      </c>
      <c r="J31" s="165" t="inlineStr">
        <is>
          <t>13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173TB4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수원SK스카이뷰</t>
        </is>
      </c>
      <c r="B32" s="16" t="inlineStr">
        <is>
          <t>'13.05.</t>
        </is>
      </c>
      <c r="C32" s="164" t="n">
        <v>3498</v>
      </c>
      <c r="D32" s="161" t="n">
        <v>174.2</v>
      </c>
      <c r="E32" s="163" t="n">
        <v>53</v>
      </c>
      <c r="F32" s="161" t="n">
        <v>129.7</v>
      </c>
      <c r="G32" s="27" t="n">
        <v>39</v>
      </c>
      <c r="H32" s="164" t="n">
        <v>72</v>
      </c>
      <c r="I32" s="165" t="n">
        <v>130000</v>
      </c>
      <c r="J32" s="165" t="inlineStr">
        <is>
          <t>고</t>
        </is>
      </c>
      <c r="K32" s="165" t="n">
        <v>70000</v>
      </c>
      <c r="L32" s="165" t="inlineStr">
        <is>
          <t>고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174A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수원SK스카이뷰</t>
        </is>
      </c>
      <c r="B33" s="16" t="inlineStr">
        <is>
          <t>'13.05.</t>
        </is>
      </c>
      <c r="C33" s="164" t="n">
        <v>3498</v>
      </c>
      <c r="D33" s="161" t="n">
        <v>174.2</v>
      </c>
      <c r="E33" s="163" t="n">
        <v>53</v>
      </c>
      <c r="F33" s="161" t="n">
        <v>129.7</v>
      </c>
      <c r="G33" s="27" t="n">
        <v>39</v>
      </c>
      <c r="H33" s="164" t="n">
        <v>2</v>
      </c>
      <c r="I33" s="165" t="n">
        <v>130000</v>
      </c>
      <c r="J33" s="165" t="inlineStr">
        <is>
          <t>고</t>
        </is>
      </c>
      <c r="K33" s="165" t="n">
        <v>70000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174TA4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수원SK스카이뷰</t>
        </is>
      </c>
      <c r="B34" s="16" t="inlineStr">
        <is>
          <t>'13.05.</t>
        </is>
      </c>
      <c r="C34" s="164" t="n">
        <v>3498</v>
      </c>
      <c r="D34" s="161" t="n">
        <v>179.4</v>
      </c>
      <c r="E34" s="163" t="n">
        <v>54</v>
      </c>
      <c r="F34" s="161" t="n">
        <v>134.1</v>
      </c>
      <c r="G34" s="27" t="n">
        <v>41</v>
      </c>
      <c r="H34" s="164" t="n">
        <v>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179TA2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수원SK스카이뷰</t>
        </is>
      </c>
      <c r="B35" s="16" t="inlineStr">
        <is>
          <t>'13.05.</t>
        </is>
      </c>
      <c r="C35" s="164" t="n">
        <v>3498</v>
      </c>
      <c r="D35" s="161" t="n">
        <v>181.8</v>
      </c>
      <c r="E35" s="163" t="n">
        <v>55</v>
      </c>
      <c r="F35" s="161" t="n">
        <v>135.8</v>
      </c>
      <c r="G35" s="27" t="n">
        <v>41</v>
      </c>
      <c r="H35" s="164" t="n">
        <v>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181TB3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수원SK스카이뷰</t>
        </is>
      </c>
      <c r="B36" s="16" t="inlineStr">
        <is>
          <t>'13.05.</t>
        </is>
      </c>
      <c r="C36" s="164" t="n">
        <v>3498</v>
      </c>
      <c r="D36" s="161" t="n">
        <v>182</v>
      </c>
      <c r="E36" s="163" t="n">
        <v>55</v>
      </c>
      <c r="F36" s="161" t="n">
        <v>135.4</v>
      </c>
      <c r="G36" s="27" t="n">
        <v>41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182TA3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수원SK스카이뷰</t>
        </is>
      </c>
      <c r="B37" s="16" t="inlineStr">
        <is>
          <t>'13.05.</t>
        </is>
      </c>
      <c r="C37" s="164" t="n">
        <v>3498</v>
      </c>
      <c r="D37" s="161" t="n">
        <v>189.8</v>
      </c>
      <c r="E37" s="163" t="n">
        <v>57</v>
      </c>
      <c r="F37" s="161" t="n">
        <v>141.6</v>
      </c>
      <c r="G37" s="27" t="n">
        <v>43</v>
      </c>
      <c r="H37" s="164" t="n">
        <v>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189TA2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수원SK스카이뷰</t>
        </is>
      </c>
      <c r="B38" s="16" t="inlineStr">
        <is>
          <t>'13.05.</t>
        </is>
      </c>
      <c r="C38" s="164" t="n">
        <v>3498</v>
      </c>
      <c r="D38" s="161" t="n">
        <v>194.7</v>
      </c>
      <c r="E38" s="163" t="n">
        <v>59</v>
      </c>
      <c r="F38" s="161" t="n">
        <v>146.1</v>
      </c>
      <c r="G38" s="27" t="n">
        <v>44</v>
      </c>
      <c r="H38" s="164" t="n">
        <v>2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194TB2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꽃뫼노을마을대동</t>
        </is>
      </c>
      <c r="B40" s="16" t="inlineStr">
        <is>
          <t>'00.07.</t>
        </is>
      </c>
      <c r="C40" s="164" t="n">
        <v>292</v>
      </c>
      <c r="D40" s="161" t="n">
        <v>81.40000000000001</v>
      </c>
      <c r="E40" s="163" t="n">
        <v>25</v>
      </c>
      <c r="F40" s="161" t="n">
        <v>60</v>
      </c>
      <c r="G40" s="27" t="n">
        <v>18</v>
      </c>
      <c r="H40" s="164" t="n">
        <v>200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81A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꽃뫼노을마을대동</t>
        </is>
      </c>
      <c r="B41" s="16" t="inlineStr">
        <is>
          <t>'00.07.</t>
        </is>
      </c>
      <c r="C41" s="164" t="n">
        <v>292</v>
      </c>
      <c r="D41" s="161" t="n">
        <v>81.5</v>
      </c>
      <c r="E41" s="163" t="n">
        <v>25</v>
      </c>
      <c r="F41" s="161" t="n">
        <v>60</v>
      </c>
      <c r="G41" s="27" t="n">
        <v>18</v>
      </c>
      <c r="H41" s="164" t="n">
        <v>92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81B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백설마을5단지효성</t>
        </is>
      </c>
      <c r="B43" s="16" t="inlineStr">
        <is>
          <t>'00.01.</t>
        </is>
      </c>
      <c r="C43" s="164" t="n">
        <v>262</v>
      </c>
      <c r="D43" s="161" t="n">
        <v>98</v>
      </c>
      <c r="E43" s="163" t="n">
        <v>30</v>
      </c>
      <c r="F43" s="161" t="n">
        <v>76.40000000000001</v>
      </c>
      <c r="G43" s="27" t="n">
        <v>23</v>
      </c>
      <c r="H43" s="164" t="n">
        <v>128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백설마을5단지효성</t>
        </is>
      </c>
      <c r="B44" s="16" t="inlineStr">
        <is>
          <t>'00.01.</t>
        </is>
      </c>
      <c r="C44" s="164" t="n">
        <v>262</v>
      </c>
      <c r="D44" s="161" t="n">
        <v>108.6</v>
      </c>
      <c r="E44" s="163" t="n">
        <v>33</v>
      </c>
      <c r="F44" s="161" t="n">
        <v>84.7</v>
      </c>
      <c r="G44" s="27" t="n">
        <v>26</v>
      </c>
      <c r="H44" s="164" t="n">
        <v>134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108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청솔마을6단지SK한화</t>
        </is>
      </c>
      <c r="B46" s="16" t="inlineStr">
        <is>
          <t>'02.01.</t>
        </is>
      </c>
      <c r="C46" s="164" t="n">
        <v>520</v>
      </c>
      <c r="D46" s="161" t="n">
        <v>130.1</v>
      </c>
      <c r="E46" s="163" t="n">
        <v>39</v>
      </c>
      <c r="F46" s="161" t="n">
        <v>99.2</v>
      </c>
      <c r="G46" s="27" t="n">
        <v>30</v>
      </c>
      <c r="H46" s="164" t="n">
        <v>256</v>
      </c>
      <c r="I46" s="165" t="n">
        <v>85000</v>
      </c>
      <c r="J46" s="165" t="inlineStr">
        <is>
          <t>13</t>
        </is>
      </c>
      <c r="K46" s="165" t="n">
        <v>60000</v>
      </c>
      <c r="L46" s="165" t="inlineStr">
        <is>
          <t>16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130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청솔마을6단지SK한화</t>
        </is>
      </c>
      <c r="B47" s="16" t="inlineStr">
        <is>
          <t>'02.01.</t>
        </is>
      </c>
      <c r="C47" s="164" t="n">
        <v>520</v>
      </c>
      <c r="D47" s="161" t="n">
        <v>161.2</v>
      </c>
      <c r="E47" s="163" t="n">
        <v>49</v>
      </c>
      <c r="F47" s="161" t="n">
        <v>128.2</v>
      </c>
      <c r="G47" s="27" t="n">
        <v>39</v>
      </c>
      <c r="H47" s="164" t="n">
        <v>164</v>
      </c>
      <c r="I47" s="165" t="n">
        <v>95000</v>
      </c>
      <c r="J47" s="165" t="inlineStr">
        <is>
          <t>12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161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청솔마을6단지SK한화</t>
        </is>
      </c>
      <c r="B48" s="16" t="inlineStr">
        <is>
          <t>'02.01.</t>
        </is>
      </c>
      <c r="C48" s="164" t="n">
        <v>520</v>
      </c>
      <c r="D48" s="161" t="n">
        <v>194.1</v>
      </c>
      <c r="E48" s="163" t="n">
        <v>59</v>
      </c>
      <c r="F48" s="161" t="n">
        <v>157.4</v>
      </c>
      <c r="G48" s="27" t="n">
        <v>48</v>
      </c>
      <c r="H48" s="164" t="n">
        <v>100</v>
      </c>
      <c r="I48" s="165" t="n">
        <v>94000</v>
      </c>
      <c r="J48" s="165" t="inlineStr">
        <is>
          <t>10</t>
        </is>
      </c>
      <c r="K48" s="165" t="n">
        <v>65000</v>
      </c>
      <c r="L48" s="165" t="inlineStr">
        <is>
          <t>20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5</v>
      </c>
      <c r="R48" s="113" t="n">
        <v>2</v>
      </c>
      <c r="S48" s="113" t="inlineStr">
        <is>
          <t>계</t>
        </is>
      </c>
      <c r="T48" s="8" t="n">
        <v>194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꽃뫼노을마을한마루</t>
        </is>
      </c>
      <c r="B50" s="16" t="inlineStr">
        <is>
          <t>'00.10.</t>
        </is>
      </c>
      <c r="C50" s="164" t="n">
        <v>291</v>
      </c>
      <c r="D50" s="161" t="n">
        <v>52.9</v>
      </c>
      <c r="E50" s="163" t="n">
        <v>16</v>
      </c>
      <c r="F50" s="161" t="n">
        <v>39.8</v>
      </c>
      <c r="G50" s="27" t="n">
        <v>12</v>
      </c>
      <c r="H50" s="164" t="n">
        <v>101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1</v>
      </c>
      <c r="R50" s="113" t="n">
        <v>1</v>
      </c>
      <c r="S50" s="113" t="inlineStr">
        <is>
          <t>복</t>
        </is>
      </c>
      <c r="T50" s="8" t="n">
        <v>52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꽃뫼노을마을한마루</t>
        </is>
      </c>
      <c r="B51" s="16" t="inlineStr">
        <is>
          <t>'00.10.</t>
        </is>
      </c>
      <c r="C51" s="164" t="n">
        <v>291</v>
      </c>
      <c r="D51" s="161" t="n">
        <v>79.59999999999999</v>
      </c>
      <c r="E51" s="163" t="n">
        <v>24</v>
      </c>
      <c r="F51" s="161" t="n">
        <v>60</v>
      </c>
      <c r="G51" s="27" t="n">
        <v>18</v>
      </c>
      <c r="H51" s="164" t="n">
        <v>98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inlineStr">
        <is>
          <t>79B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꽃뫼노을마을한마루</t>
        </is>
      </c>
      <c r="B52" s="16" t="inlineStr">
        <is>
          <t>'00.10.</t>
        </is>
      </c>
      <c r="C52" s="164" t="n">
        <v>291</v>
      </c>
      <c r="D52" s="161" t="n">
        <v>79.59999999999999</v>
      </c>
      <c r="E52" s="163" t="n">
        <v>24</v>
      </c>
      <c r="F52" s="161" t="n">
        <v>60</v>
      </c>
      <c r="G52" s="27" t="n">
        <v>18</v>
      </c>
      <c r="H52" s="164" t="n">
        <v>92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2</v>
      </c>
      <c r="R52" s="113" t="n">
        <v>1</v>
      </c>
      <c r="S52" s="113" t="inlineStr">
        <is>
          <t>계</t>
        </is>
      </c>
      <c r="T52" s="8" t="inlineStr">
        <is>
          <t>79A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북수원자이렉스비아</t>
        </is>
      </c>
      <c r="B54" s="16" t="inlineStr">
        <is>
          <t>'24.03.</t>
        </is>
      </c>
      <c r="C54" s="164" t="n">
        <v>2607</v>
      </c>
      <c r="D54" s="161" t="n">
        <v>67.7</v>
      </c>
      <c r="E54" s="163" t="n">
        <v>20</v>
      </c>
      <c r="F54" s="161" t="n">
        <v>48.9</v>
      </c>
      <c r="G54" s="27" t="n">
        <v>15</v>
      </c>
      <c r="H54" s="164" t="n">
        <v>115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2</v>
      </c>
      <c r="R54" s="113" t="n">
        <v>1</v>
      </c>
      <c r="S54" s="113" t="inlineStr">
        <is>
          <t>계</t>
        </is>
      </c>
      <c r="T54" s="8" t="inlineStr">
        <is>
          <t>67A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북수원자이렉스비아</t>
        </is>
      </c>
      <c r="B55" s="16" t="inlineStr">
        <is>
          <t>'24.03.</t>
        </is>
      </c>
      <c r="C55" s="164" t="n">
        <v>2607</v>
      </c>
      <c r="D55" s="161" t="n">
        <v>67.40000000000001</v>
      </c>
      <c r="E55" s="163" t="n">
        <v>20</v>
      </c>
      <c r="F55" s="161" t="n">
        <v>48.7</v>
      </c>
      <c r="G55" s="27" t="n">
        <v>15</v>
      </c>
      <c r="H55" s="164" t="n">
        <v>23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2</v>
      </c>
      <c r="R55" s="113" t="n">
        <v>1</v>
      </c>
      <c r="S55" s="113" t="inlineStr">
        <is>
          <t>계</t>
        </is>
      </c>
      <c r="T55" s="8" t="inlineStr">
        <is>
          <t>67B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북수원자이렉스비아</t>
        </is>
      </c>
      <c r="B56" s="16" t="inlineStr">
        <is>
          <t>'24.03.</t>
        </is>
      </c>
      <c r="C56" s="164" t="n">
        <v>2607</v>
      </c>
      <c r="D56" s="161" t="n">
        <v>80.59999999999999</v>
      </c>
      <c r="E56" s="163" t="n">
        <v>24</v>
      </c>
      <c r="F56" s="161" t="n">
        <v>59.9</v>
      </c>
      <c r="G56" s="27" t="n">
        <v>18</v>
      </c>
      <c r="H56" s="164" t="n">
        <v>637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80A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북수원자이렉스비아</t>
        </is>
      </c>
      <c r="B57" s="16" t="inlineStr">
        <is>
          <t>'24.03.</t>
        </is>
      </c>
      <c r="C57" s="164" t="n">
        <v>2607</v>
      </c>
      <c r="D57" s="161" t="n">
        <v>80.7</v>
      </c>
      <c r="E57" s="163" t="n">
        <v>24</v>
      </c>
      <c r="F57" s="161" t="n">
        <v>59.8</v>
      </c>
      <c r="G57" s="27" t="n">
        <v>18</v>
      </c>
      <c r="H57" s="164" t="n">
        <v>254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80B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북수원자이렉스비아</t>
        </is>
      </c>
      <c r="B58" s="16" t="inlineStr">
        <is>
          <t>'24.03.</t>
        </is>
      </c>
      <c r="C58" s="164" t="n">
        <v>2607</v>
      </c>
      <c r="D58" s="161" t="n">
        <v>80.8</v>
      </c>
      <c r="E58" s="163" t="n">
        <v>24</v>
      </c>
      <c r="F58" s="161" t="n">
        <v>59.8</v>
      </c>
      <c r="G58" s="27" t="n">
        <v>18</v>
      </c>
      <c r="H58" s="164" t="n">
        <v>218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80E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북수원자이렉스비아</t>
        </is>
      </c>
      <c r="B59" s="16" t="inlineStr">
        <is>
          <t>'24.03.</t>
        </is>
      </c>
      <c r="C59" s="164" t="n">
        <v>2607</v>
      </c>
      <c r="D59" s="161" t="n">
        <v>80.40000000000001</v>
      </c>
      <c r="E59" s="163" t="n">
        <v>24</v>
      </c>
      <c r="F59" s="161" t="n">
        <v>59.8</v>
      </c>
      <c r="G59" s="27" t="n">
        <v>18</v>
      </c>
      <c r="H59" s="164" t="n">
        <v>28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80C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북수원자이렉스비아</t>
        </is>
      </c>
      <c r="B60" s="16" t="inlineStr">
        <is>
          <t>'24.03.</t>
        </is>
      </c>
      <c r="C60" s="164" t="n">
        <v>2607</v>
      </c>
      <c r="D60" s="161" t="n">
        <v>81</v>
      </c>
      <c r="E60" s="163" t="n">
        <v>25</v>
      </c>
      <c r="F60" s="161" t="n">
        <v>59.9</v>
      </c>
      <c r="G60" s="27" t="n">
        <v>18</v>
      </c>
      <c r="H60" s="164" t="n">
        <v>48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81D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북수원자이렉스비아</t>
        </is>
      </c>
      <c r="B61" s="16" t="inlineStr">
        <is>
          <t>'24.03.</t>
        </is>
      </c>
      <c r="C61" s="164" t="n">
        <v>2607</v>
      </c>
      <c r="D61" s="161" t="n">
        <v>98.59999999999999</v>
      </c>
      <c r="E61" s="163" t="n">
        <v>30</v>
      </c>
      <c r="F61" s="161" t="n">
        <v>74.59999999999999</v>
      </c>
      <c r="G61" s="27" t="n">
        <v>23</v>
      </c>
      <c r="H61" s="164" t="n">
        <v>266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98A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북수원자이렉스비아</t>
        </is>
      </c>
      <c r="B62" s="16" t="inlineStr">
        <is>
          <t>'24.03.</t>
        </is>
      </c>
      <c r="C62" s="164" t="n">
        <v>2607</v>
      </c>
      <c r="D62" s="161" t="n">
        <v>98.8</v>
      </c>
      <c r="E62" s="163" t="n">
        <v>30</v>
      </c>
      <c r="F62" s="161" t="n">
        <v>74.8</v>
      </c>
      <c r="G62" s="27" t="n">
        <v>23</v>
      </c>
      <c r="H62" s="164" t="n">
        <v>56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98B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북수원자이렉스비아</t>
        </is>
      </c>
      <c r="B63" s="16" t="inlineStr">
        <is>
          <t>'24.03.</t>
        </is>
      </c>
      <c r="C63" s="164" t="n">
        <v>2607</v>
      </c>
      <c r="D63" s="161" t="n">
        <v>99</v>
      </c>
      <c r="E63" s="163" t="n">
        <v>30</v>
      </c>
      <c r="F63" s="161" t="n">
        <v>74.59999999999999</v>
      </c>
      <c r="G63" s="27" t="n">
        <v>23</v>
      </c>
      <c r="H63" s="164" t="n">
        <v>55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99C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북수원자이렉스비아</t>
        </is>
      </c>
      <c r="B64" s="16" t="inlineStr">
        <is>
          <t>'24.03.</t>
        </is>
      </c>
      <c r="C64" s="164" t="n">
        <v>2607</v>
      </c>
      <c r="D64" s="161" t="n">
        <v>108.7</v>
      </c>
      <c r="E64" s="163" t="n">
        <v>33</v>
      </c>
      <c r="F64" s="161" t="n">
        <v>84.40000000000001</v>
      </c>
      <c r="G64" s="27" t="n">
        <v>26</v>
      </c>
      <c r="H64" s="164" t="n">
        <v>381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108A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북수원자이렉스비아</t>
        </is>
      </c>
      <c r="B65" s="16" t="inlineStr">
        <is>
          <t>'24.03.</t>
        </is>
      </c>
      <c r="C65" s="164" t="n">
        <v>2607</v>
      </c>
      <c r="D65" s="161" t="n">
        <v>109.6</v>
      </c>
      <c r="E65" s="163" t="n">
        <v>33</v>
      </c>
      <c r="F65" s="161" t="n">
        <v>84.90000000000001</v>
      </c>
      <c r="G65" s="27" t="n">
        <v>26</v>
      </c>
      <c r="H65" s="164" t="n">
        <v>164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109B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북수원자이렉스비아</t>
        </is>
      </c>
      <c r="B66" s="16" t="inlineStr">
        <is>
          <t>'24.03.</t>
        </is>
      </c>
      <c r="C66" s="164" t="n">
        <v>2607</v>
      </c>
      <c r="D66" s="161" t="n">
        <v>109.2</v>
      </c>
      <c r="E66" s="163" t="n">
        <v>33</v>
      </c>
      <c r="F66" s="161" t="n">
        <v>84.40000000000001</v>
      </c>
      <c r="G66" s="27" t="n">
        <v>26</v>
      </c>
      <c r="H66" s="164" t="n">
        <v>70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109C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북수원자이렉스비아</t>
        </is>
      </c>
      <c r="B67" s="16" t="inlineStr">
        <is>
          <t>'24.03.</t>
        </is>
      </c>
      <c r="C67" s="164" t="n">
        <v>2607</v>
      </c>
      <c r="D67" s="161" t="n">
        <v>127.8</v>
      </c>
      <c r="E67" s="163" t="n">
        <v>39</v>
      </c>
      <c r="F67" s="161" t="n">
        <v>99.5</v>
      </c>
      <c r="G67" s="27" t="n">
        <v>30</v>
      </c>
      <c r="H67" s="164" t="n">
        <v>108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127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1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2" t="n"/>
      <c r="P68" s="162" t="n"/>
      <c r="Q68" s="163" t="n"/>
      <c r="R68" s="163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0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대월마을8단지대림진흥</t>
        </is>
      </c>
      <c r="B69" s="16" t="inlineStr">
        <is>
          <t>'01.11.</t>
        </is>
      </c>
      <c r="C69" s="164" t="n">
        <v>534</v>
      </c>
      <c r="D69" s="161" t="n">
        <v>114.2</v>
      </c>
      <c r="E69" s="163" t="n">
        <v>35</v>
      </c>
      <c r="F69" s="161" t="n">
        <v>84.90000000000001</v>
      </c>
      <c r="G69" s="27" t="n">
        <v>26</v>
      </c>
      <c r="H69" s="164" t="n">
        <v>534</v>
      </c>
      <c r="I69" s="165" t="n">
        <v>58000</v>
      </c>
      <c r="J69" s="165" t="inlineStr">
        <is>
          <t>5</t>
        </is>
      </c>
      <c r="K69" s="165" t="n">
        <v>35000</v>
      </c>
      <c r="L69" s="165" t="inlineStr">
        <is>
          <t>14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114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북수원리버파크</t>
        </is>
      </c>
      <c r="B71" s="16" t="inlineStr">
        <is>
          <t>'02.10.</t>
        </is>
      </c>
      <c r="C71" s="164" t="n">
        <v>805</v>
      </c>
      <c r="D71" s="161" t="n">
        <v>68</v>
      </c>
      <c r="E71" s="163" t="n">
        <v>21</v>
      </c>
      <c r="F71" s="161" t="n">
        <v>49.8</v>
      </c>
      <c r="G71" s="27" t="n">
        <v>15</v>
      </c>
      <c r="H71" s="164" t="n">
        <v>59</v>
      </c>
      <c r="I71" s="165" t="n">
        <v>39000</v>
      </c>
      <c r="J71" s="165" t="inlineStr">
        <is>
          <t>10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2</v>
      </c>
      <c r="R71" s="113" t="n">
        <v>1</v>
      </c>
      <c r="S71" s="113" t="inlineStr">
        <is>
          <t>계</t>
        </is>
      </c>
      <c r="T71" s="8" t="n">
        <v>67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북수원리버파크</t>
        </is>
      </c>
      <c r="B72" s="16" t="inlineStr">
        <is>
          <t>'02.10.</t>
        </is>
      </c>
      <c r="C72" s="164" t="n">
        <v>805</v>
      </c>
      <c r="D72" s="161" t="n">
        <v>81.8</v>
      </c>
      <c r="E72" s="163" t="n">
        <v>25</v>
      </c>
      <c r="F72" s="161" t="n">
        <v>59.9</v>
      </c>
      <c r="G72" s="27" t="n">
        <v>18</v>
      </c>
      <c r="H72" s="164" t="n">
        <v>674</v>
      </c>
      <c r="I72" s="165" t="n">
        <v>46000</v>
      </c>
      <c r="J72" s="165" t="inlineStr">
        <is>
          <t>19</t>
        </is>
      </c>
      <c r="K72" s="165" t="n">
        <v>28000</v>
      </c>
      <c r="L72" s="165" t="inlineStr">
        <is>
          <t>12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81B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북수원리버파크</t>
        </is>
      </c>
      <c r="B73" s="16" t="inlineStr">
        <is>
          <t>'02.10.</t>
        </is>
      </c>
      <c r="C73" s="164" t="n">
        <v>805</v>
      </c>
      <c r="D73" s="161" t="n">
        <v>81.8</v>
      </c>
      <c r="E73" s="163" t="n">
        <v>25</v>
      </c>
      <c r="F73" s="161" t="n">
        <v>59.9</v>
      </c>
      <c r="G73" s="27" t="n">
        <v>18</v>
      </c>
      <c r="H73" s="164" t="n">
        <v>72</v>
      </c>
      <c r="I73" s="165" t="n">
        <v>46000</v>
      </c>
      <c r="J73" s="165" t="inlineStr">
        <is>
          <t>19</t>
        </is>
      </c>
      <c r="K73" s="165" t="n">
        <v>28000</v>
      </c>
      <c r="L73" s="165" t="inlineStr">
        <is>
          <t>12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81C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연꽃마을풍림</t>
        </is>
      </c>
      <c r="B75" s="16" t="inlineStr">
        <is>
          <t>'99.11.</t>
        </is>
      </c>
      <c r="C75" s="164" t="n">
        <v>792</v>
      </c>
      <c r="D75" s="161" t="n">
        <v>123.1</v>
      </c>
      <c r="E75" s="163" t="n">
        <v>37</v>
      </c>
      <c r="F75" s="161" t="n">
        <v>99.2</v>
      </c>
      <c r="G75" s="27" t="n">
        <v>30</v>
      </c>
      <c r="H75" s="164" t="n">
        <v>350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123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연꽃마을풍림</t>
        </is>
      </c>
      <c r="B76" s="16" t="inlineStr">
        <is>
          <t>'99.11.</t>
        </is>
      </c>
      <c r="C76" s="164" t="n">
        <v>792</v>
      </c>
      <c r="D76" s="161" t="n">
        <v>157.8</v>
      </c>
      <c r="E76" s="163" t="n">
        <v>48</v>
      </c>
      <c r="F76" s="161" t="n">
        <v>127.2</v>
      </c>
      <c r="G76" s="27" t="n">
        <v>38</v>
      </c>
      <c r="H76" s="164" t="n">
        <v>442</v>
      </c>
      <c r="I76" s="165" t="n">
        <v>75000</v>
      </c>
      <c r="J76" s="165" t="inlineStr">
        <is>
          <t>6</t>
        </is>
      </c>
      <c r="K76" s="165" t="n">
        <v>49000</v>
      </c>
      <c r="L76" s="165" t="inlineStr">
        <is>
          <t>13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현대</t>
        </is>
      </c>
      <c r="B78" s="16" t="inlineStr">
        <is>
          <t>'89.12.</t>
        </is>
      </c>
      <c r="C78" s="164" t="n">
        <v>227</v>
      </c>
      <c r="D78" s="161" t="n">
        <v>80.8</v>
      </c>
      <c r="E78" s="163" t="n">
        <v>24</v>
      </c>
      <c r="F78" s="161" t="n">
        <v>62.7</v>
      </c>
      <c r="G78" s="27" t="n">
        <v>19</v>
      </c>
      <c r="H78" s="164" t="n">
        <v>19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80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현대</t>
        </is>
      </c>
      <c r="B79" s="16" t="inlineStr">
        <is>
          <t>'89.12.</t>
        </is>
      </c>
      <c r="C79" s="164" t="n">
        <v>227</v>
      </c>
      <c r="D79" s="161" t="n">
        <v>91.59999999999999</v>
      </c>
      <c r="E79" s="163" t="n">
        <v>28</v>
      </c>
      <c r="F79" s="161" t="n">
        <v>71</v>
      </c>
      <c r="G79" s="27" t="n">
        <v>21</v>
      </c>
      <c r="H79" s="164" t="n">
        <v>60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91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현대</t>
        </is>
      </c>
      <c r="B80" s="16" t="inlineStr">
        <is>
          <t>'89.12.</t>
        </is>
      </c>
      <c r="C80" s="164" t="n">
        <v>227</v>
      </c>
      <c r="D80" s="161" t="n">
        <v>104.8</v>
      </c>
      <c r="E80" s="163" t="n">
        <v>32</v>
      </c>
      <c r="F80" s="161" t="n">
        <v>84.5</v>
      </c>
      <c r="G80" s="27" t="n">
        <v>26</v>
      </c>
      <c r="H80" s="164" t="n">
        <v>20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104B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현대</t>
        </is>
      </c>
      <c r="B81" s="16" t="inlineStr">
        <is>
          <t>'89.12.</t>
        </is>
      </c>
      <c r="C81" s="164" t="n">
        <v>227</v>
      </c>
      <c r="D81" s="161" t="n">
        <v>105.3</v>
      </c>
      <c r="E81" s="163" t="n">
        <v>32</v>
      </c>
      <c r="F81" s="161" t="n">
        <v>84.90000000000001</v>
      </c>
      <c r="G81" s="27" t="n">
        <v>26</v>
      </c>
      <c r="H81" s="164" t="n">
        <v>118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105A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현대</t>
        </is>
      </c>
      <c r="B82" s="16" t="inlineStr">
        <is>
          <t>'89.12.</t>
        </is>
      </c>
      <c r="C82" s="164" t="n">
        <v>227</v>
      </c>
      <c r="D82" s="161" t="n">
        <v>109.5</v>
      </c>
      <c r="E82" s="163" t="n">
        <v>33</v>
      </c>
      <c r="F82" s="161" t="n">
        <v>84.90000000000001</v>
      </c>
      <c r="G82" s="27" t="n">
        <v>26</v>
      </c>
      <c r="H82" s="164" t="n">
        <v>10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109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화서역파크뷰</t>
        </is>
      </c>
      <c r="B84" s="16" t="inlineStr">
        <is>
          <t>'00.12.</t>
        </is>
      </c>
      <c r="C84" s="164" t="n">
        <v>530</v>
      </c>
      <c r="D84" s="161" t="n">
        <v>69.8</v>
      </c>
      <c r="E84" s="163" t="n">
        <v>21</v>
      </c>
      <c r="F84" s="161" t="n">
        <v>49.6</v>
      </c>
      <c r="G84" s="27" t="n">
        <v>15</v>
      </c>
      <c r="H84" s="164" t="n">
        <v>112</v>
      </c>
      <c r="I84" s="165" t="n">
        <v>47000</v>
      </c>
      <c r="J84" s="165" t="inlineStr">
        <is>
          <t>7</t>
        </is>
      </c>
      <c r="K84" s="165" t="n">
        <v>20000</v>
      </c>
      <c r="L84" s="165" t="inlineStr">
        <is>
          <t>21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2</v>
      </c>
      <c r="R84" s="113" t="n">
        <v>1</v>
      </c>
      <c r="S84" s="113" t="inlineStr">
        <is>
          <t>계</t>
        </is>
      </c>
      <c r="T84" s="8" t="n">
        <v>69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화서역파크뷰</t>
        </is>
      </c>
      <c r="B85" s="16" t="inlineStr">
        <is>
          <t>'00.12.</t>
        </is>
      </c>
      <c r="C85" s="164" t="n">
        <v>530</v>
      </c>
      <c r="D85" s="161" t="n">
        <v>81</v>
      </c>
      <c r="E85" s="163" t="n">
        <v>25</v>
      </c>
      <c r="F85" s="161" t="n">
        <v>59.9</v>
      </c>
      <c r="G85" s="27" t="n">
        <v>18</v>
      </c>
      <c r="H85" s="164" t="n">
        <v>418</v>
      </c>
      <c r="I85" s="165" t="n">
        <v>54000</v>
      </c>
      <c r="J85" s="165" t="inlineStr">
        <is>
          <t>11</t>
        </is>
      </c>
      <c r="K85" s="165" t="n">
        <v>28000</v>
      </c>
      <c r="L85" s="165" t="inlineStr">
        <is>
          <t>9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1</v>
      </c>
      <c r="S85" s="113" t="inlineStr">
        <is>
          <t>계</t>
        </is>
      </c>
      <c r="T85" s="8" t="n">
        <v>81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n"/>
      <c r="B86" s="113" t="n"/>
      <c r="C86" s="10" t="n"/>
      <c r="D86" s="13" t="n"/>
      <c r="E86" s="20" t="n"/>
      <c r="F86" s="161" t="n"/>
      <c r="G86" s="13" t="n"/>
      <c r="H86" s="13" t="n"/>
      <c r="I86" s="13" t="n"/>
      <c r="J86" s="13" t="n"/>
      <c r="K86" s="13" t="n"/>
      <c r="L86" s="13" t="n"/>
      <c r="M86" s="13" t="n"/>
      <c r="N86" s="13" t="n"/>
      <c r="O86" s="162" t="n"/>
      <c r="P86" s="162" t="n"/>
      <c r="Q86" s="163" t="n"/>
      <c r="R86" s="163" t="n"/>
      <c r="S86" s="13" t="n"/>
      <c r="T86" s="70" t="n"/>
      <c r="U86" s="13" t="n"/>
      <c r="W86" s="107">
        <f>$A$4&amp;" "&amp;A87&amp;"("&amp;B87&amp;","&amp;C87&amp;"^)"</f>
        <v/>
      </c>
      <c r="X86" s="108" t="n"/>
      <c r="Y86" s="108" t="n"/>
      <c r="Z86" s="108" t="n"/>
      <c r="AA86" s="108" t="n"/>
      <c r="AB86" s="108" t="n"/>
      <c r="AC86" s="108" t="n"/>
      <c r="AD86" s="108" t="n"/>
      <c r="AE86" s="108" t="n"/>
      <c r="AF86" s="109" t="n"/>
      <c r="AH86" s="36">
        <f>IF(A86="","",A86)</f>
        <v/>
      </c>
      <c r="AI86" s="160">
        <f>IF(E86="","",E86)</f>
        <v/>
      </c>
      <c r="AJ86" s="113" t="n"/>
      <c r="AK86" s="113" t="n"/>
      <c r="AL86" s="113" t="n"/>
      <c r="AM86" s="113" t="n"/>
      <c r="AN86" s="113" t="n"/>
      <c r="AO86" s="113" t="n"/>
      <c r="AP86" s="113" t="n"/>
      <c r="AQ86" s="113" t="n"/>
      <c r="AR86" s="113" t="n"/>
      <c r="AS86" s="113" t="n"/>
      <c r="AT86" s="113" t="n"/>
      <c r="AU86" s="113" t="n"/>
      <c r="AV86" s="113" t="n"/>
    </row>
    <row r="87">
      <c r="A87" s="13" t="inlineStr">
        <is>
          <t>화서역현대벽산</t>
        </is>
      </c>
      <c r="B87" s="16" t="inlineStr">
        <is>
          <t>'99.08.</t>
        </is>
      </c>
      <c r="C87" s="164" t="n">
        <v>792</v>
      </c>
      <c r="D87" s="161" t="n">
        <v>79.3</v>
      </c>
      <c r="E87" s="163" t="n">
        <v>24</v>
      </c>
      <c r="F87" s="161" t="n">
        <v>60</v>
      </c>
      <c r="G87" s="27" t="n">
        <v>18</v>
      </c>
      <c r="H87" s="164" t="n">
        <v>396</v>
      </c>
      <c r="I87" s="165" t="n">
        <v>47000</v>
      </c>
      <c r="J87" s="165" t="inlineStr">
        <is>
          <t>16</t>
        </is>
      </c>
      <c r="K87" s="165" t="n">
        <v>30000</v>
      </c>
      <c r="L87" s="165" t="inlineStr">
        <is>
          <t>15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inlineStr">
        <is>
          <t>79B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화서역현대벽산</t>
        </is>
      </c>
      <c r="B88" s="16" t="inlineStr">
        <is>
          <t>'99.08.</t>
        </is>
      </c>
      <c r="C88" s="164" t="n">
        <v>792</v>
      </c>
      <c r="D88" s="161" t="n">
        <v>79.2</v>
      </c>
      <c r="E88" s="163" t="n">
        <v>24</v>
      </c>
      <c r="F88" s="161" t="n">
        <v>59.9</v>
      </c>
      <c r="G88" s="27" t="n">
        <v>18</v>
      </c>
      <c r="H88" s="164" t="n">
        <v>292</v>
      </c>
      <c r="I88" s="165" t="n">
        <v>48000</v>
      </c>
      <c r="J88" s="165" t="inlineStr">
        <is>
          <t>10</t>
        </is>
      </c>
      <c r="K88" s="165" t="n">
        <v>33000</v>
      </c>
      <c r="L88" s="165" t="inlineStr">
        <is>
          <t>8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79A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화서역현대벽산</t>
        </is>
      </c>
      <c r="B89" s="16" t="inlineStr">
        <is>
          <t>'99.08.</t>
        </is>
      </c>
      <c r="C89" s="164" t="n">
        <v>792</v>
      </c>
      <c r="D89" s="161" t="n">
        <v>79.3</v>
      </c>
      <c r="E89" s="163" t="n">
        <v>24</v>
      </c>
      <c r="F89" s="161" t="n">
        <v>59.9</v>
      </c>
      <c r="G89" s="27" t="n">
        <v>18</v>
      </c>
      <c r="H89" s="164" t="n">
        <v>104</v>
      </c>
      <c r="I89" s="165" t="n">
        <v>51500</v>
      </c>
      <c r="J89" s="165" t="inlineStr">
        <is>
          <t>16</t>
        </is>
      </c>
      <c r="K89" s="165" t="n">
        <v>32000</v>
      </c>
      <c r="L89" s="165" t="inlineStr">
        <is>
          <t>14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inlineStr">
        <is>
          <t>79C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정자벽산블루밍</t>
        </is>
      </c>
      <c r="B91" s="16" t="inlineStr">
        <is>
          <t>'07.04.</t>
        </is>
      </c>
      <c r="C91" s="164" t="n">
        <v>481</v>
      </c>
      <c r="D91" s="161" t="n">
        <v>79.90000000000001</v>
      </c>
      <c r="E91" s="163" t="n">
        <v>24</v>
      </c>
      <c r="F91" s="161" t="n">
        <v>60</v>
      </c>
      <c r="G91" s="27" t="n">
        <v>18</v>
      </c>
      <c r="H91" s="164" t="n">
        <v>82</v>
      </c>
      <c r="I91" s="165" t="n">
        <v>45000</v>
      </c>
      <c r="J91" s="165" t="inlineStr">
        <is>
          <t>6</t>
        </is>
      </c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79A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정자벽산블루밍</t>
        </is>
      </c>
      <c r="B92" s="16" t="inlineStr">
        <is>
          <t>'07.04.</t>
        </is>
      </c>
      <c r="C92" s="164" t="n">
        <v>481</v>
      </c>
      <c r="D92" s="161" t="n">
        <v>79.90000000000001</v>
      </c>
      <c r="E92" s="163" t="n">
        <v>24</v>
      </c>
      <c r="F92" s="161" t="n">
        <v>60</v>
      </c>
      <c r="G92" s="27" t="n">
        <v>18</v>
      </c>
      <c r="H92" s="164" t="n">
        <v>27</v>
      </c>
      <c r="I92" s="165" t="n">
        <v>45000</v>
      </c>
      <c r="J92" s="165" t="inlineStr">
        <is>
          <t>6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79B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정자벽산블루밍</t>
        </is>
      </c>
      <c r="B93" s="16" t="inlineStr">
        <is>
          <t>'07.04.</t>
        </is>
      </c>
      <c r="C93" s="164" t="n">
        <v>481</v>
      </c>
      <c r="D93" s="161" t="n">
        <v>111.4</v>
      </c>
      <c r="E93" s="163" t="n">
        <v>34</v>
      </c>
      <c r="F93" s="161" t="n">
        <v>85</v>
      </c>
      <c r="G93" s="27" t="n">
        <v>26</v>
      </c>
      <c r="H93" s="164" t="n">
        <v>284</v>
      </c>
      <c r="I93" s="165" t="n">
        <v>57000</v>
      </c>
      <c r="J93" s="165" t="inlineStr">
        <is>
          <t>10</t>
        </is>
      </c>
      <c r="K93" s="165" t="n">
        <v>43000</v>
      </c>
      <c r="L93" s="165" t="inlineStr">
        <is>
          <t>5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111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정자벽산블루밍</t>
        </is>
      </c>
      <c r="B94" s="16" t="inlineStr">
        <is>
          <t>'07.04.</t>
        </is>
      </c>
      <c r="C94" s="164" t="n">
        <v>481</v>
      </c>
      <c r="D94" s="161" t="n">
        <v>154.9</v>
      </c>
      <c r="E94" s="163" t="n">
        <v>47</v>
      </c>
      <c r="F94" s="161" t="n">
        <v>126.9</v>
      </c>
      <c r="G94" s="27" t="n">
        <v>38</v>
      </c>
      <c r="H94" s="164" t="n">
        <v>88</v>
      </c>
      <c r="I94" s="165" t="n">
        <v>75000</v>
      </c>
      <c r="J94" s="165" t="inlineStr">
        <is>
          <t>7</t>
        </is>
      </c>
      <c r="K94" s="165" t="n">
        <v>48000</v>
      </c>
      <c r="L94" s="165" t="inlineStr">
        <is>
          <t>13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2</v>
      </c>
      <c r="S94" s="113" t="inlineStr">
        <is>
          <t>계</t>
        </is>
      </c>
      <c r="T94" s="8" t="n">
        <v>154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백설마을5단지성지,동양고속</t>
        </is>
      </c>
      <c r="B96" s="16" t="inlineStr">
        <is>
          <t>'99.10.</t>
        </is>
      </c>
      <c r="C96" s="164" t="n">
        <v>576</v>
      </c>
      <c r="D96" s="161" t="n">
        <v>125.6</v>
      </c>
      <c r="E96" s="163" t="n">
        <v>38</v>
      </c>
      <c r="F96" s="161" t="n">
        <v>99.90000000000001</v>
      </c>
      <c r="G96" s="27" t="n">
        <v>30</v>
      </c>
      <c r="H96" s="164" t="n">
        <v>368</v>
      </c>
      <c r="I96" s="165" t="n">
        <v>74000</v>
      </c>
      <c r="J96" s="165" t="inlineStr">
        <is>
          <t>18</t>
        </is>
      </c>
      <c r="K96" s="165" t="n">
        <v>45000</v>
      </c>
      <c r="L96" s="165" t="inlineStr">
        <is>
          <t>6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125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백설마을5단지성지,동양고속</t>
        </is>
      </c>
      <c r="B97" s="16" t="inlineStr">
        <is>
          <t>'99.10.</t>
        </is>
      </c>
      <c r="C97" s="164" t="n">
        <v>576</v>
      </c>
      <c r="D97" s="161" t="n">
        <v>164.5</v>
      </c>
      <c r="E97" s="163" t="n">
        <v>50</v>
      </c>
      <c r="F97" s="161" t="n">
        <v>135.6</v>
      </c>
      <c r="G97" s="27" t="n">
        <v>41</v>
      </c>
      <c r="H97" s="164" t="n">
        <v>208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n">
        <v>164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청솔마을한라</t>
        </is>
      </c>
      <c r="B99" s="16" t="inlineStr">
        <is>
          <t>'01.07.</t>
        </is>
      </c>
      <c r="C99" s="164" t="n">
        <v>845</v>
      </c>
      <c r="D99" s="161" t="n">
        <v>87.2</v>
      </c>
      <c r="E99" s="163" t="n">
        <v>26</v>
      </c>
      <c r="F99" s="161" t="n">
        <v>60</v>
      </c>
      <c r="G99" s="27" t="n">
        <v>18</v>
      </c>
      <c r="H99" s="164" t="n">
        <v>168</v>
      </c>
      <c r="I99" s="165" t="n">
        <v>47000</v>
      </c>
      <c r="J99" s="165" t="inlineStr">
        <is>
          <t>20</t>
        </is>
      </c>
      <c r="K99" s="165" t="n">
        <v>27000</v>
      </c>
      <c r="L99" s="165" t="inlineStr">
        <is>
          <t>20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n">
        <v>87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청솔마을한라</t>
        </is>
      </c>
      <c r="B100" s="16" t="inlineStr">
        <is>
          <t>'01.07.</t>
        </is>
      </c>
      <c r="C100" s="164" t="n">
        <v>845</v>
      </c>
      <c r="D100" s="161" t="n">
        <v>89.40000000000001</v>
      </c>
      <c r="E100" s="163" t="n">
        <v>27</v>
      </c>
      <c r="F100" s="161" t="n">
        <v>60</v>
      </c>
      <c r="G100" s="27" t="n">
        <v>18</v>
      </c>
      <c r="H100" s="164" t="n">
        <v>677</v>
      </c>
      <c r="I100" s="165" t="n">
        <v>51500</v>
      </c>
      <c r="J100" s="165" t="inlineStr">
        <is>
          <t>18</t>
        </is>
      </c>
      <c r="K100" s="165" t="n">
        <v>30000</v>
      </c>
      <c r="L100" s="165" t="inlineStr">
        <is>
          <t>13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89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꽃뫼노을마을신안</t>
        </is>
      </c>
      <c r="B102" s="16" t="inlineStr">
        <is>
          <t>'99.10.</t>
        </is>
      </c>
      <c r="C102" s="164" t="n">
        <v>358</v>
      </c>
      <c r="D102" s="161" t="n">
        <v>96.09999999999999</v>
      </c>
      <c r="E102" s="163" t="n">
        <v>29</v>
      </c>
      <c r="F102" s="161" t="n">
        <v>72.7</v>
      </c>
      <c r="G102" s="27" t="n">
        <v>22</v>
      </c>
      <c r="H102" s="164" t="n">
        <v>176</v>
      </c>
      <c r="I102" s="165" t="n">
        <v>72000</v>
      </c>
      <c r="J102" s="165" t="inlineStr">
        <is>
          <t>17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96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꽃뫼노을마을신안</t>
        </is>
      </c>
      <c r="B103" s="16" t="inlineStr">
        <is>
          <t>'99.10.</t>
        </is>
      </c>
      <c r="C103" s="164" t="n">
        <v>358</v>
      </c>
      <c r="D103" s="161" t="n">
        <v>110.2</v>
      </c>
      <c r="E103" s="163" t="n">
        <v>33</v>
      </c>
      <c r="F103" s="161" t="n">
        <v>84.90000000000001</v>
      </c>
      <c r="G103" s="27" t="n">
        <v>26</v>
      </c>
      <c r="H103" s="164" t="n">
        <v>182</v>
      </c>
      <c r="I103" s="165" t="n">
        <v>65000</v>
      </c>
      <c r="J103" s="165" t="inlineStr">
        <is>
          <t>18</t>
        </is>
      </c>
      <c r="K103" s="165" t="n">
        <v>37000</v>
      </c>
      <c r="L103" s="165" t="inlineStr">
        <is>
          <t>18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110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동신3차</t>
        </is>
      </c>
      <c r="B105" s="16" t="inlineStr">
        <is>
          <t>'89.12.</t>
        </is>
      </c>
      <c r="C105" s="164" t="n">
        <v>330</v>
      </c>
      <c r="D105" s="161" t="n">
        <v>92.90000000000001</v>
      </c>
      <c r="E105" s="163" t="n">
        <v>28</v>
      </c>
      <c r="F105" s="161" t="n">
        <v>69.2</v>
      </c>
      <c r="G105" s="27" t="n">
        <v>21</v>
      </c>
      <c r="H105" s="164" t="n">
        <v>90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1</v>
      </c>
      <c r="S105" s="113" t="inlineStr">
        <is>
          <t>복</t>
        </is>
      </c>
      <c r="T105" s="8" t="n">
        <v>92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동신3차</t>
        </is>
      </c>
      <c r="B106" s="16" t="inlineStr">
        <is>
          <t>'89.12.</t>
        </is>
      </c>
      <c r="C106" s="164" t="n">
        <v>330</v>
      </c>
      <c r="D106" s="161" t="n">
        <v>114.6</v>
      </c>
      <c r="E106" s="163" t="n">
        <v>35</v>
      </c>
      <c r="F106" s="161" t="n">
        <v>84.90000000000001</v>
      </c>
      <c r="G106" s="27" t="n">
        <v>26</v>
      </c>
      <c r="H106" s="164" t="n">
        <v>240</v>
      </c>
      <c r="I106" s="165" t="n">
        <v>50000</v>
      </c>
      <c r="J106" s="165" t="inlineStr">
        <is>
          <t>15</t>
        </is>
      </c>
      <c r="K106" s="165" t="n">
        <v>32000</v>
      </c>
      <c r="L106" s="165" t="inlineStr">
        <is>
          <t>7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복</t>
        </is>
      </c>
      <c r="T106" s="8" t="n">
        <v>114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정자KTe-편한세상</t>
        </is>
      </c>
      <c r="B108" s="16" t="inlineStr">
        <is>
          <t>'08.01.</t>
        </is>
      </c>
      <c r="C108" s="164" t="n">
        <v>288</v>
      </c>
      <c r="D108" s="161" t="n">
        <v>105.9</v>
      </c>
      <c r="E108" s="163" t="n">
        <v>32</v>
      </c>
      <c r="F108" s="161" t="n">
        <v>84.8</v>
      </c>
      <c r="G108" s="27" t="n">
        <v>26</v>
      </c>
      <c r="H108" s="164" t="n">
        <v>58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n">
        <v>105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정자KTe-편한세상</t>
        </is>
      </c>
      <c r="B109" s="16" t="inlineStr">
        <is>
          <t>'08.01.</t>
        </is>
      </c>
      <c r="C109" s="164" t="n">
        <v>288</v>
      </c>
      <c r="D109" s="161" t="n">
        <v>153.3</v>
      </c>
      <c r="E109" s="163" t="n">
        <v>46</v>
      </c>
      <c r="F109" s="161" t="n">
        <v>128.9</v>
      </c>
      <c r="G109" s="27" t="n">
        <v>39</v>
      </c>
      <c r="H109" s="164" t="n">
        <v>118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n">
        <v>153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정자KTe-편한세상</t>
        </is>
      </c>
      <c r="B110" s="16" t="inlineStr">
        <is>
          <t>'08.01.</t>
        </is>
      </c>
      <c r="C110" s="164" t="n">
        <v>288</v>
      </c>
      <c r="D110" s="161" t="n">
        <v>168.1</v>
      </c>
      <c r="E110" s="163" t="n">
        <v>51</v>
      </c>
      <c r="F110" s="161" t="n">
        <v>140.7</v>
      </c>
      <c r="G110" s="27" t="n">
        <v>43</v>
      </c>
      <c r="H110" s="164" t="n">
        <v>60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168A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정자KTe-편한세상</t>
        </is>
      </c>
      <c r="B111" s="16" t="inlineStr">
        <is>
          <t>'08.01.</t>
        </is>
      </c>
      <c r="C111" s="164" t="n">
        <v>288</v>
      </c>
      <c r="D111" s="161" t="n">
        <v>168.1</v>
      </c>
      <c r="E111" s="163" t="n">
        <v>51</v>
      </c>
      <c r="F111" s="161" t="n">
        <v>143.4</v>
      </c>
      <c r="G111" s="27" t="n">
        <v>43</v>
      </c>
      <c r="H111" s="164" t="n">
        <v>52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168B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백설마을5단지삼환나우빌</t>
        </is>
      </c>
      <c r="B113" s="16" t="inlineStr">
        <is>
          <t>'99.11.</t>
        </is>
      </c>
      <c r="C113" s="164" t="n">
        <v>772</v>
      </c>
      <c r="D113" s="161" t="n">
        <v>83</v>
      </c>
      <c r="E113" s="163" t="n">
        <v>25</v>
      </c>
      <c r="F113" s="161" t="n">
        <v>59.8</v>
      </c>
      <c r="G113" s="27" t="n">
        <v>18</v>
      </c>
      <c r="H113" s="164" t="n">
        <v>772</v>
      </c>
      <c r="I113" s="165" t="n">
        <v>48000</v>
      </c>
      <c r="J113" s="165" t="inlineStr">
        <is>
          <t>11</t>
        </is>
      </c>
      <c r="K113" s="165" t="n">
        <v>31000</v>
      </c>
      <c r="L113" s="165" t="inlineStr">
        <is>
          <t>15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83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화서역푸르지오브리시엘</t>
        </is>
      </c>
      <c r="B115" s="16" t="inlineStr">
        <is>
          <t>'23.09.</t>
        </is>
      </c>
      <c r="C115" s="164" t="n">
        <v>665</v>
      </c>
      <c r="D115" s="161" t="n">
        <v>120.3</v>
      </c>
      <c r="E115" s="163" t="n">
        <v>36</v>
      </c>
      <c r="F115" s="161" t="n">
        <v>84.90000000000001</v>
      </c>
      <c r="G115" s="27" t="n">
        <v>26</v>
      </c>
      <c r="H115" s="164" t="n">
        <v>225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120A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화서역푸르지오브리시엘</t>
        </is>
      </c>
      <c r="B116" s="16" t="inlineStr">
        <is>
          <t>'23.09.</t>
        </is>
      </c>
      <c r="C116" s="164" t="n">
        <v>665</v>
      </c>
      <c r="D116" s="161" t="n">
        <v>121.4</v>
      </c>
      <c r="E116" s="163" t="n">
        <v>37</v>
      </c>
      <c r="F116" s="161" t="n">
        <v>84.90000000000001</v>
      </c>
      <c r="G116" s="27" t="n">
        <v>26</v>
      </c>
      <c r="H116" s="164" t="n">
        <v>146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121B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화서역푸르지오브리시엘</t>
        </is>
      </c>
      <c r="B117" s="16" t="inlineStr">
        <is>
          <t>'23.09.</t>
        </is>
      </c>
      <c r="C117" s="164" t="n">
        <v>665</v>
      </c>
      <c r="D117" s="161" t="n">
        <v>122.3</v>
      </c>
      <c r="E117" s="163" t="n">
        <v>37</v>
      </c>
      <c r="F117" s="161" t="n">
        <v>84.90000000000001</v>
      </c>
      <c r="G117" s="27" t="n">
        <v>26</v>
      </c>
      <c r="H117" s="164" t="n">
        <v>72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122C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화서역푸르지오브리시엘</t>
        </is>
      </c>
      <c r="B118" s="16" t="inlineStr">
        <is>
          <t>'23.09.</t>
        </is>
      </c>
      <c r="C118" s="164" t="n">
        <v>665</v>
      </c>
      <c r="D118" s="161" t="n">
        <v>147.6</v>
      </c>
      <c r="E118" s="163" t="n">
        <v>45</v>
      </c>
      <c r="F118" s="161" t="n">
        <v>105</v>
      </c>
      <c r="G118" s="27" t="n">
        <v>32</v>
      </c>
      <c r="H118" s="164" t="n">
        <v>110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147A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화서역푸르지오브리시엘</t>
        </is>
      </c>
      <c r="B119" s="16" t="inlineStr">
        <is>
          <t>'23.09.</t>
        </is>
      </c>
      <c r="C119" s="164" t="n">
        <v>665</v>
      </c>
      <c r="D119" s="161" t="n">
        <v>150.4</v>
      </c>
      <c r="E119" s="163" t="n">
        <v>46</v>
      </c>
      <c r="F119" s="161" t="n">
        <v>104.9</v>
      </c>
      <c r="G119" s="27" t="n">
        <v>32</v>
      </c>
      <c r="H119" s="164" t="n">
        <v>72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150B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화서역푸르지오브리시엘</t>
        </is>
      </c>
      <c r="B120" s="16" t="inlineStr">
        <is>
          <t>'23.09.</t>
        </is>
      </c>
      <c r="C120" s="164" t="n">
        <v>665</v>
      </c>
      <c r="D120" s="161" t="n">
        <v>151.4</v>
      </c>
      <c r="E120" s="163" t="n">
        <v>46</v>
      </c>
      <c r="F120" s="161" t="n">
        <v>104.8</v>
      </c>
      <c r="G120" s="27" t="n">
        <v>32</v>
      </c>
      <c r="H120" s="164" t="n">
        <v>35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151C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화서역푸르지오브리시엘</t>
        </is>
      </c>
      <c r="B121" s="16" t="inlineStr">
        <is>
          <t>'23.09.</t>
        </is>
      </c>
      <c r="C121" s="164" t="n">
        <v>665</v>
      </c>
      <c r="D121" s="161" t="n">
        <v>222.5</v>
      </c>
      <c r="E121" s="163" t="n">
        <v>67</v>
      </c>
      <c r="F121" s="161" t="n">
        <v>154.8</v>
      </c>
      <c r="G121" s="27" t="n">
        <v>47</v>
      </c>
      <c r="H121" s="164" t="n">
        <v>2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3</v>
      </c>
      <c r="S121" s="113" t="inlineStr">
        <is>
          <t>계</t>
        </is>
      </c>
      <c r="T121" s="8" t="inlineStr">
        <is>
          <t>222B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화서역푸르지오브리시엘</t>
        </is>
      </c>
      <c r="B122" s="16" t="inlineStr">
        <is>
          <t>'23.09.</t>
        </is>
      </c>
      <c r="C122" s="164" t="n">
        <v>665</v>
      </c>
      <c r="D122" s="161" t="n">
        <v>222.1</v>
      </c>
      <c r="E122" s="163" t="n">
        <v>67</v>
      </c>
      <c r="F122" s="161" t="n">
        <v>154.8</v>
      </c>
      <c r="G122" s="27" t="n">
        <v>47</v>
      </c>
      <c r="H122" s="164" t="n">
        <v>1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3</v>
      </c>
      <c r="S122" s="113" t="inlineStr">
        <is>
          <t>계</t>
        </is>
      </c>
      <c r="T122" s="8" t="inlineStr">
        <is>
          <t>222A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화서역푸르지오브리시엘</t>
        </is>
      </c>
      <c r="B123" s="16" t="inlineStr">
        <is>
          <t>'23.09.</t>
        </is>
      </c>
      <c r="C123" s="164" t="n">
        <v>665</v>
      </c>
      <c r="D123" s="161" t="n">
        <v>273</v>
      </c>
      <c r="E123" s="163" t="n">
        <v>83</v>
      </c>
      <c r="F123" s="161" t="n">
        <v>189.6</v>
      </c>
      <c r="G123" s="27" t="n">
        <v>57</v>
      </c>
      <c r="H123" s="164" t="n">
        <v>1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3</v>
      </c>
      <c r="S123" s="113" t="inlineStr">
        <is>
          <t>계</t>
        </is>
      </c>
      <c r="T123" s="8" t="inlineStr">
        <is>
          <t>273B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화서역푸르지오브리시엘</t>
        </is>
      </c>
      <c r="B124" s="16" t="inlineStr">
        <is>
          <t>'23.09.</t>
        </is>
      </c>
      <c r="C124" s="164" t="n">
        <v>665</v>
      </c>
      <c r="D124" s="161" t="n">
        <v>274.1</v>
      </c>
      <c r="E124" s="163" t="n">
        <v>83</v>
      </c>
      <c r="F124" s="161" t="n">
        <v>189.8</v>
      </c>
      <c r="G124" s="27" t="n">
        <v>57</v>
      </c>
      <c r="H124" s="164" t="n">
        <v>1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3</v>
      </c>
      <c r="S124" s="113" t="inlineStr">
        <is>
          <t>계</t>
        </is>
      </c>
      <c r="T124" s="8" t="inlineStr">
        <is>
          <t>274A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n"/>
      <c r="B125" s="113" t="n"/>
      <c r="C125" s="10" t="n"/>
      <c r="D125" s="13" t="n"/>
      <c r="E125" s="20" t="n"/>
      <c r="F125" s="161" t="n"/>
      <c r="G125" s="13" t="n"/>
      <c r="H125" s="13" t="n"/>
      <c r="I125" s="13" t="n"/>
      <c r="J125" s="13" t="n"/>
      <c r="K125" s="13" t="n"/>
      <c r="L125" s="13" t="n"/>
      <c r="M125" s="13" t="n"/>
      <c r="N125" s="13" t="n"/>
      <c r="O125" s="162" t="n"/>
      <c r="P125" s="162" t="n"/>
      <c r="Q125" s="163" t="n"/>
      <c r="R125" s="163" t="n"/>
      <c r="S125" s="13" t="n"/>
      <c r="T125" s="70" t="n"/>
      <c r="U125" s="13" t="n"/>
      <c r="W125" s="107">
        <f>$A$4&amp;" "&amp;A126&amp;"("&amp;B126&amp;","&amp;C126&amp;"^)"</f>
        <v/>
      </c>
      <c r="X125" s="108" t="n"/>
      <c r="Y125" s="108" t="n"/>
      <c r="Z125" s="108" t="n"/>
      <c r="AA125" s="108" t="n"/>
      <c r="AB125" s="108" t="n"/>
      <c r="AC125" s="108" t="n"/>
      <c r="AD125" s="108" t="n"/>
      <c r="AE125" s="108" t="n"/>
      <c r="AF125" s="109" t="n"/>
      <c r="AH125" s="36">
        <f>IF(A125="","",A125)</f>
        <v/>
      </c>
      <c r="AI125" s="160">
        <f>IF(E125="","",E125)</f>
        <v/>
      </c>
      <c r="AJ125" s="113" t="n"/>
      <c r="AK125" s="113" t="n"/>
      <c r="AL125" s="113" t="n"/>
      <c r="AM125" s="113" t="n"/>
      <c r="AN125" s="113" t="n"/>
      <c r="AO125" s="113" t="n"/>
      <c r="AP125" s="113" t="n"/>
      <c r="AQ125" s="113" t="n"/>
      <c r="AR125" s="113" t="n"/>
      <c r="AS125" s="113" t="n"/>
      <c r="AT125" s="113" t="n"/>
      <c r="AU125" s="113" t="n"/>
      <c r="AV125" s="113" t="n"/>
    </row>
    <row r="126">
      <c r="A126" s="13" t="inlineStr">
        <is>
          <t>삼성미도</t>
        </is>
      </c>
      <c r="B126" s="16" t="inlineStr">
        <is>
          <t>'97.08.</t>
        </is>
      </c>
      <c r="C126" s="164" t="n">
        <v>251</v>
      </c>
      <c r="D126" s="161" t="n">
        <v>83.59999999999999</v>
      </c>
      <c r="E126" s="163" t="n">
        <v>25</v>
      </c>
      <c r="F126" s="161" t="n">
        <v>59.1</v>
      </c>
      <c r="G126" s="27" t="n">
        <v>18</v>
      </c>
      <c r="H126" s="164" t="n">
        <v>135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1</v>
      </c>
      <c r="S126" s="113" t="inlineStr">
        <is>
          <t>복</t>
        </is>
      </c>
      <c r="T126" s="8" t="n">
        <v>83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삼성미도</t>
        </is>
      </c>
      <c r="B127" s="16" t="inlineStr">
        <is>
          <t>'97.08.</t>
        </is>
      </c>
      <c r="C127" s="164" t="n">
        <v>251</v>
      </c>
      <c r="D127" s="161" t="n">
        <v>104.1</v>
      </c>
      <c r="E127" s="163" t="n">
        <v>31</v>
      </c>
      <c r="F127" s="161" t="n">
        <v>84.40000000000001</v>
      </c>
      <c r="G127" s="27" t="n">
        <v>26</v>
      </c>
      <c r="H127" s="164" t="n">
        <v>116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n">
        <v>104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동신2차</t>
        </is>
      </c>
      <c r="B129" s="16" t="inlineStr">
        <is>
          <t>'88.05.</t>
        </is>
      </c>
      <c r="C129" s="164" t="n">
        <v>1992</v>
      </c>
      <c r="D129" s="161" t="n">
        <v>57.2</v>
      </c>
      <c r="E129" s="163" t="n">
        <v>17</v>
      </c>
      <c r="F129" s="161" t="n">
        <v>43</v>
      </c>
      <c r="G129" s="27" t="n">
        <v>13</v>
      </c>
      <c r="H129" s="164" t="n">
        <v>492</v>
      </c>
      <c r="I129" s="165" t="n">
        <v>25000</v>
      </c>
      <c r="J129" s="165" t="inlineStr">
        <is>
          <t>13</t>
        </is>
      </c>
      <c r="K129" s="165" t="n">
        <v>17000</v>
      </c>
      <c r="L129" s="165" t="inlineStr">
        <is>
          <t>11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2</v>
      </c>
      <c r="R129" s="113" t="n">
        <v>1</v>
      </c>
      <c r="S129" s="113" t="inlineStr">
        <is>
          <t>복</t>
        </is>
      </c>
      <c r="T129" s="8" t="n">
        <v>57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동신2차</t>
        </is>
      </c>
      <c r="B130" s="16" t="inlineStr">
        <is>
          <t>'88.05.</t>
        </is>
      </c>
      <c r="C130" s="164" t="n">
        <v>1992</v>
      </c>
      <c r="D130" s="161" t="n">
        <v>63.8</v>
      </c>
      <c r="E130" s="163" t="n">
        <v>19</v>
      </c>
      <c r="F130" s="161" t="n">
        <v>48.2</v>
      </c>
      <c r="G130" s="27" t="n">
        <v>15</v>
      </c>
      <c r="H130" s="164" t="n">
        <v>240</v>
      </c>
      <c r="I130" s="165" t="n">
        <v>27000</v>
      </c>
      <c r="J130" s="165" t="inlineStr">
        <is>
          <t>15</t>
        </is>
      </c>
      <c r="K130" s="165" t="n">
        <v>19000</v>
      </c>
      <c r="L130" s="165" t="inlineStr">
        <is>
          <t>13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2</v>
      </c>
      <c r="R130" s="113" t="n">
        <v>1</v>
      </c>
      <c r="S130" s="113" t="inlineStr">
        <is>
          <t>복</t>
        </is>
      </c>
      <c r="T130" s="8" t="n">
        <v>63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동신2차</t>
        </is>
      </c>
      <c r="B131" s="16" t="inlineStr">
        <is>
          <t>'88.05.</t>
        </is>
      </c>
      <c r="C131" s="164" t="n">
        <v>1992</v>
      </c>
      <c r="D131" s="161" t="n">
        <v>78.7</v>
      </c>
      <c r="E131" s="163" t="n">
        <v>24</v>
      </c>
      <c r="F131" s="161" t="n">
        <v>59.7</v>
      </c>
      <c r="G131" s="27" t="n">
        <v>18</v>
      </c>
      <c r="H131" s="164" t="n">
        <v>210</v>
      </c>
      <c r="I131" s="165" t="n">
        <v>35000</v>
      </c>
      <c r="J131" s="165" t="inlineStr">
        <is>
          <t>6</t>
        </is>
      </c>
      <c r="K131" s="165" t="n">
        <v>20000</v>
      </c>
      <c r="L131" s="165" t="inlineStr">
        <is>
          <t>15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1</v>
      </c>
      <c r="S131" s="113" t="inlineStr">
        <is>
          <t>복</t>
        </is>
      </c>
      <c r="T131" s="8" t="n">
        <v>78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동신2차</t>
        </is>
      </c>
      <c r="B132" s="16" t="inlineStr">
        <is>
          <t>'88.05.</t>
        </is>
      </c>
      <c r="C132" s="164" t="n">
        <v>1992</v>
      </c>
      <c r="D132" s="161" t="n">
        <v>84.2</v>
      </c>
      <c r="E132" s="163" t="n">
        <v>25</v>
      </c>
      <c r="F132" s="161" t="n">
        <v>63.3</v>
      </c>
      <c r="G132" s="27" t="n">
        <v>19</v>
      </c>
      <c r="H132" s="164" t="n">
        <v>336</v>
      </c>
      <c r="I132" s="165" t="n">
        <v>37000</v>
      </c>
      <c r="J132" s="165" t="inlineStr">
        <is>
          <t>12</t>
        </is>
      </c>
      <c r="K132" s="165" t="n">
        <v>23000</v>
      </c>
      <c r="L132" s="165" t="inlineStr">
        <is>
          <t>11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1</v>
      </c>
      <c r="S132" s="113" t="inlineStr">
        <is>
          <t>복</t>
        </is>
      </c>
      <c r="T132" s="8" t="n">
        <v>84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동신2차</t>
        </is>
      </c>
      <c r="B133" s="16" t="inlineStr">
        <is>
          <t>'88.05.</t>
        </is>
      </c>
      <c r="C133" s="164" t="n">
        <v>1992</v>
      </c>
      <c r="D133" s="161" t="n">
        <v>92.2</v>
      </c>
      <c r="E133" s="163" t="n">
        <v>28</v>
      </c>
      <c r="F133" s="161" t="n">
        <v>69.09999999999999</v>
      </c>
      <c r="G133" s="27" t="n">
        <v>21</v>
      </c>
      <c r="H133" s="164" t="n">
        <v>375</v>
      </c>
      <c r="I133" s="165" t="n">
        <v>44000</v>
      </c>
      <c r="J133" s="165" t="inlineStr">
        <is>
          <t>5</t>
        </is>
      </c>
      <c r="K133" s="165" t="n">
        <v>24000</v>
      </c>
      <c r="L133" s="165" t="inlineStr">
        <is>
          <t>15</t>
        </is>
      </c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3</v>
      </c>
      <c r="R133" s="113" t="n">
        <v>1</v>
      </c>
      <c r="S133" s="113" t="inlineStr">
        <is>
          <t>복</t>
        </is>
      </c>
      <c r="T133" s="8" t="n">
        <v>92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동신2차</t>
        </is>
      </c>
      <c r="B134" s="16" t="inlineStr">
        <is>
          <t>'88.05.</t>
        </is>
      </c>
      <c r="C134" s="164" t="n">
        <v>1992</v>
      </c>
      <c r="D134" s="161" t="n">
        <v>112.5</v>
      </c>
      <c r="E134" s="163" t="n">
        <v>34</v>
      </c>
      <c r="F134" s="161" t="n">
        <v>85</v>
      </c>
      <c r="G134" s="27" t="n">
        <v>26</v>
      </c>
      <c r="H134" s="164" t="n">
        <v>339</v>
      </c>
      <c r="I134" s="165" t="n">
        <v>50000</v>
      </c>
      <c r="J134" s="165" t="inlineStr">
        <is>
          <t>15</t>
        </is>
      </c>
      <c r="K134" s="165" t="n">
        <v>27000</v>
      </c>
      <c r="L134" s="165" t="inlineStr">
        <is>
          <t>6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4</v>
      </c>
      <c r="R134" s="113" t="n">
        <v>2</v>
      </c>
      <c r="S134" s="113" t="inlineStr">
        <is>
          <t>복</t>
        </is>
      </c>
      <c r="T134" s="8" t="n">
        <v>112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n"/>
      <c r="B135" s="113" t="n"/>
      <c r="C135" s="10" t="n"/>
      <c r="D135" s="13" t="n"/>
      <c r="E135" s="20" t="n"/>
      <c r="F135" s="161" t="n"/>
      <c r="G135" s="13" t="n"/>
      <c r="H135" s="13" t="n"/>
      <c r="I135" s="13" t="n"/>
      <c r="J135" s="13" t="n"/>
      <c r="K135" s="13" t="n"/>
      <c r="L135" s="13" t="n"/>
      <c r="M135" s="13" t="n"/>
      <c r="N135" s="13" t="n"/>
      <c r="O135" s="162" t="n"/>
      <c r="P135" s="162" t="n"/>
      <c r="Q135" s="163" t="n"/>
      <c r="R135" s="163" t="n"/>
      <c r="S135" s="13" t="n"/>
      <c r="T135" s="70" t="n"/>
      <c r="U135" s="13" t="n"/>
      <c r="W135" s="107">
        <f>$A$4&amp;" "&amp;A136&amp;"("&amp;B136&amp;","&amp;C136&amp;"^)"</f>
        <v/>
      </c>
      <c r="X135" s="108" t="n"/>
      <c r="Y135" s="108" t="n"/>
      <c r="Z135" s="108" t="n"/>
      <c r="AA135" s="108" t="n"/>
      <c r="AB135" s="108" t="n"/>
      <c r="AC135" s="108" t="n"/>
      <c r="AD135" s="108" t="n"/>
      <c r="AE135" s="108" t="n"/>
      <c r="AF135" s="109" t="n"/>
      <c r="AH135" s="36">
        <f>IF(A135="","",A135)</f>
        <v/>
      </c>
      <c r="AI135" s="160">
        <f>IF(E135="","",E135)</f>
        <v/>
      </c>
      <c r="AJ135" s="113" t="n"/>
      <c r="AK135" s="113" t="n"/>
      <c r="AL135" s="113" t="n"/>
      <c r="AM135" s="113" t="n"/>
      <c r="AN135" s="113" t="n"/>
      <c r="AO135" s="113" t="n"/>
      <c r="AP135" s="113" t="n"/>
      <c r="AQ135" s="113" t="n"/>
      <c r="AR135" s="113" t="n"/>
      <c r="AS135" s="113" t="n"/>
      <c r="AT135" s="113" t="n"/>
      <c r="AU135" s="113" t="n"/>
      <c r="AV135" s="113" t="n"/>
    </row>
    <row r="136">
      <c r="A136" s="13" t="inlineStr">
        <is>
          <t>동신1차</t>
        </is>
      </c>
      <c r="B136" s="16" t="inlineStr">
        <is>
          <t>'87.05.</t>
        </is>
      </c>
      <c r="C136" s="164" t="n">
        <v>1548</v>
      </c>
      <c r="D136" s="161" t="n">
        <v>57</v>
      </c>
      <c r="E136" s="163" t="n">
        <v>17</v>
      </c>
      <c r="F136" s="161" t="n">
        <v>43</v>
      </c>
      <c r="G136" s="27" t="n">
        <v>13</v>
      </c>
      <c r="H136" s="164" t="n">
        <v>222</v>
      </c>
      <c r="I136" s="165" t="n">
        <v>27000</v>
      </c>
      <c r="J136" s="165" t="inlineStr">
        <is>
          <t>8</t>
        </is>
      </c>
      <c r="K136" s="165" t="n">
        <v>17000</v>
      </c>
      <c r="L136" s="165" t="inlineStr">
        <is>
          <t>12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2</v>
      </c>
      <c r="R136" s="113" t="n">
        <v>1</v>
      </c>
      <c r="S136" s="113" t="inlineStr">
        <is>
          <t>복</t>
        </is>
      </c>
      <c r="T136" s="8" t="n">
        <v>57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동신1차</t>
        </is>
      </c>
      <c r="B137" s="16" t="inlineStr">
        <is>
          <t>'87.05.</t>
        </is>
      </c>
      <c r="C137" s="164" t="n">
        <v>1548</v>
      </c>
      <c r="D137" s="161" t="n">
        <v>75.09999999999999</v>
      </c>
      <c r="E137" s="163" t="n">
        <v>23</v>
      </c>
      <c r="F137" s="161" t="n">
        <v>56.7</v>
      </c>
      <c r="G137" s="27" t="n">
        <v>17</v>
      </c>
      <c r="H137" s="164" t="n">
        <v>972</v>
      </c>
      <c r="I137" s="165" t="n">
        <v>33000</v>
      </c>
      <c r="J137" s="165" t="inlineStr">
        <is>
          <t>12</t>
        </is>
      </c>
      <c r="K137" s="165" t="n">
        <v>19000</v>
      </c>
      <c r="L137" s="165" t="inlineStr">
        <is>
          <t>15</t>
        </is>
      </c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3</v>
      </c>
      <c r="R137" s="113" t="n">
        <v>1</v>
      </c>
      <c r="S137" s="113" t="inlineStr">
        <is>
          <t>복</t>
        </is>
      </c>
      <c r="T137" s="8" t="n">
        <v>75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동신1차</t>
        </is>
      </c>
      <c r="B138" s="16" t="inlineStr">
        <is>
          <t>'87.05.</t>
        </is>
      </c>
      <c r="C138" s="164" t="n">
        <v>1548</v>
      </c>
      <c r="D138" s="161" t="n">
        <v>88.40000000000001</v>
      </c>
      <c r="E138" s="163" t="n">
        <v>27</v>
      </c>
      <c r="F138" s="161" t="n">
        <v>66.90000000000001</v>
      </c>
      <c r="G138" s="27" t="n">
        <v>20</v>
      </c>
      <c r="H138" s="164" t="n">
        <v>204</v>
      </c>
      <c r="I138" s="165" t="n">
        <v>40000</v>
      </c>
      <c r="J138" s="165" t="inlineStr">
        <is>
          <t>10</t>
        </is>
      </c>
      <c r="K138" s="165" t="n">
        <v>23000</v>
      </c>
      <c r="L138" s="165" t="inlineStr">
        <is>
          <t>6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1</v>
      </c>
      <c r="S138" s="113" t="inlineStr">
        <is>
          <t>복</t>
        </is>
      </c>
      <c r="T138" s="8" t="n">
        <v>88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동신1차</t>
        </is>
      </c>
      <c r="B139" s="16" t="inlineStr">
        <is>
          <t>'87.05.</t>
        </is>
      </c>
      <c r="C139" s="164" t="n">
        <v>1548</v>
      </c>
      <c r="D139" s="161" t="n">
        <v>98.90000000000001</v>
      </c>
      <c r="E139" s="163" t="n">
        <v>30</v>
      </c>
      <c r="F139" s="161" t="n">
        <v>77.09999999999999</v>
      </c>
      <c r="G139" s="27" t="n">
        <v>23</v>
      </c>
      <c r="H139" s="164" t="n">
        <v>150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1</v>
      </c>
      <c r="S139" s="113" t="inlineStr">
        <is>
          <t>복</t>
        </is>
      </c>
      <c r="T139" s="8" t="n">
        <v>98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연꽃마을벽산</t>
        </is>
      </c>
      <c r="B141" s="16" t="inlineStr">
        <is>
          <t>'00.06.</t>
        </is>
      </c>
      <c r="C141" s="164" t="n">
        <v>392</v>
      </c>
      <c r="D141" s="161" t="n">
        <v>109.1</v>
      </c>
      <c r="E141" s="163" t="n">
        <v>33</v>
      </c>
      <c r="F141" s="161" t="n">
        <v>85</v>
      </c>
      <c r="G141" s="27" t="n">
        <v>26</v>
      </c>
      <c r="H141" s="164" t="n">
        <v>392</v>
      </c>
      <c r="I141" s="165" t="n">
        <v>58000</v>
      </c>
      <c r="J141" s="165" t="inlineStr">
        <is>
          <t>24</t>
        </is>
      </c>
      <c r="K141" s="165" t="n">
        <v>30000</v>
      </c>
      <c r="L141" s="165" t="inlineStr">
        <is>
          <t>25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n">
        <v>109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n"/>
      <c r="B142" s="113" t="n"/>
      <c r="C142" s="10" t="n"/>
      <c r="D142" s="13" t="n"/>
      <c r="E142" s="20" t="n"/>
      <c r="F142" s="161" t="n"/>
      <c r="G142" s="13" t="n"/>
      <c r="H142" s="13" t="n"/>
      <c r="I142" s="13" t="n"/>
      <c r="J142" s="13" t="n"/>
      <c r="K142" s="13" t="n"/>
      <c r="L142" s="13" t="n"/>
      <c r="M142" s="13" t="n"/>
      <c r="N142" s="13" t="n"/>
      <c r="O142" s="162" t="n"/>
      <c r="P142" s="162" t="n"/>
      <c r="Q142" s="163" t="n"/>
      <c r="R142" s="163" t="n"/>
      <c r="S142" s="13" t="n"/>
      <c r="T142" s="70" t="n"/>
      <c r="U142" s="13" t="n"/>
      <c r="W142" s="107">
        <f>$A$4&amp;" "&amp;A143&amp;"("&amp;B143&amp;","&amp;C143&amp;"^)"</f>
        <v/>
      </c>
      <c r="X142" s="108" t="n"/>
      <c r="Y142" s="108" t="n"/>
      <c r="Z142" s="108" t="n"/>
      <c r="AA142" s="108" t="n"/>
      <c r="AB142" s="108" t="n"/>
      <c r="AC142" s="108" t="n"/>
      <c r="AD142" s="108" t="n"/>
      <c r="AE142" s="108" t="n"/>
      <c r="AF142" s="109" t="n"/>
      <c r="AH142" s="36">
        <f>IF(A142="","",A142)</f>
        <v/>
      </c>
      <c r="AI142" s="160">
        <f>IF(E142="","",E142)</f>
        <v/>
      </c>
      <c r="AJ142" s="113" t="n"/>
      <c r="AK142" s="113" t="n"/>
      <c r="AL142" s="113" t="n"/>
      <c r="AM142" s="113" t="n"/>
      <c r="AN142" s="113" t="n"/>
      <c r="AO142" s="113" t="n"/>
      <c r="AP142" s="113" t="n"/>
      <c r="AQ142" s="113" t="n"/>
      <c r="AR142" s="113" t="n"/>
      <c r="AS142" s="113" t="n"/>
      <c r="AT142" s="113" t="n"/>
      <c r="AU142" s="113" t="n"/>
      <c r="AV142" s="113" t="n"/>
    </row>
    <row r="143">
      <c r="A143" s="13" t="inlineStr">
        <is>
          <t>화서역위너스파크</t>
        </is>
      </c>
      <c r="B143" s="16" t="inlineStr">
        <is>
          <t>'02.09.</t>
        </is>
      </c>
      <c r="C143" s="164" t="n">
        <v>583</v>
      </c>
      <c r="D143" s="161" t="n">
        <v>107.5</v>
      </c>
      <c r="E143" s="163" t="n">
        <v>33</v>
      </c>
      <c r="F143" s="161" t="n">
        <v>84.5</v>
      </c>
      <c r="G143" s="27" t="n">
        <v>26</v>
      </c>
      <c r="H143" s="164" t="n">
        <v>408</v>
      </c>
      <c r="I143" s="165" t="n">
        <v>63000</v>
      </c>
      <c r="J143" s="165" t="inlineStr">
        <is>
          <t>19</t>
        </is>
      </c>
      <c r="K143" s="165" t="n">
        <v>35000</v>
      </c>
      <c r="L143" s="165" t="inlineStr">
        <is>
          <t>6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107A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화서역위너스파크</t>
        </is>
      </c>
      <c r="B144" s="16" t="inlineStr">
        <is>
          <t>'02.09.</t>
        </is>
      </c>
      <c r="C144" s="164" t="n">
        <v>583</v>
      </c>
      <c r="D144" s="161" t="n">
        <v>107.6</v>
      </c>
      <c r="E144" s="163" t="n">
        <v>33</v>
      </c>
      <c r="F144" s="161" t="n">
        <v>84.5</v>
      </c>
      <c r="G144" s="27" t="n">
        <v>26</v>
      </c>
      <c r="H144" s="164" t="n">
        <v>130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107B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화서역위너스파크</t>
        </is>
      </c>
      <c r="B145" s="16" t="inlineStr">
        <is>
          <t>'02.09.</t>
        </is>
      </c>
      <c r="C145" s="164" t="n">
        <v>583</v>
      </c>
      <c r="D145" s="161" t="n">
        <v>107.8</v>
      </c>
      <c r="E145" s="163" t="n">
        <v>33</v>
      </c>
      <c r="F145" s="161" t="n">
        <v>84.7</v>
      </c>
      <c r="G145" s="27" t="n">
        <v>26</v>
      </c>
      <c r="H145" s="164" t="n">
        <v>45</v>
      </c>
      <c r="I145" s="165" t="n"/>
      <c r="J145" s="165" t="n"/>
      <c r="K145" s="165" t="n">
        <v>39000</v>
      </c>
      <c r="L145" s="165" t="inlineStr">
        <is>
          <t>17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2</v>
      </c>
      <c r="S145" s="113" t="inlineStr">
        <is>
          <t>계</t>
        </is>
      </c>
      <c r="T145" s="8" t="inlineStr">
        <is>
          <t>107C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n"/>
      <c r="B146" s="113" t="n"/>
      <c r="C146" s="10" t="n"/>
      <c r="D146" s="13" t="n"/>
      <c r="E146" s="20" t="n"/>
      <c r="F146" s="161" t="n"/>
      <c r="G146" s="13" t="n"/>
      <c r="H146" s="13" t="n"/>
      <c r="I146" s="13" t="n"/>
      <c r="J146" s="13" t="n"/>
      <c r="K146" s="13" t="n"/>
      <c r="L146" s="13" t="n"/>
      <c r="M146" s="13" t="n"/>
      <c r="N146" s="13" t="n"/>
      <c r="O146" s="162" t="n"/>
      <c r="P146" s="162" t="n"/>
      <c r="Q146" s="163" t="n"/>
      <c r="R146" s="163" t="n"/>
      <c r="S146" s="13" t="n"/>
      <c r="T146" s="70" t="n"/>
      <c r="U146" s="13" t="n"/>
      <c r="W146" s="107">
        <f>$A$4&amp;" "&amp;A147&amp;"("&amp;B147&amp;","&amp;C147&amp;"^)"</f>
        <v/>
      </c>
      <c r="X146" s="108" t="n"/>
      <c r="Y146" s="108" t="n"/>
      <c r="Z146" s="108" t="n"/>
      <c r="AA146" s="108" t="n"/>
      <c r="AB146" s="108" t="n"/>
      <c r="AC146" s="108" t="n"/>
      <c r="AD146" s="108" t="n"/>
      <c r="AE146" s="108" t="n"/>
      <c r="AF146" s="109" t="n"/>
      <c r="AH146" s="36">
        <f>IF(A146="","",A146)</f>
        <v/>
      </c>
      <c r="AI146" s="160">
        <f>IF(E146="","",E146)</f>
        <v/>
      </c>
      <c r="AJ146" s="113" t="n"/>
      <c r="AK146" s="113" t="n"/>
      <c r="AL146" s="113" t="n"/>
      <c r="AM146" s="113" t="n"/>
      <c r="AN146" s="113" t="n"/>
      <c r="AO146" s="113" t="n"/>
      <c r="AP146" s="113" t="n"/>
      <c r="AQ146" s="113" t="n"/>
      <c r="AR146" s="113" t="n"/>
      <c r="AS146" s="113" t="n"/>
      <c r="AT146" s="113" t="n"/>
      <c r="AU146" s="113" t="n"/>
      <c r="AV146" s="113" t="n"/>
    </row>
    <row r="147">
      <c r="A147" s="13" t="inlineStr">
        <is>
          <t>화서역파크푸르지오</t>
        </is>
      </c>
      <c r="B147" s="16" t="inlineStr">
        <is>
          <t>'21.08.</t>
        </is>
      </c>
      <c r="C147" s="164" t="n">
        <v>2355</v>
      </c>
      <c r="D147" s="161" t="n">
        <v>83.90000000000001</v>
      </c>
      <c r="E147" s="163" t="n">
        <v>25</v>
      </c>
      <c r="F147" s="161" t="n">
        <v>59.8</v>
      </c>
      <c r="G147" s="27" t="n">
        <v>18</v>
      </c>
      <c r="H147" s="164" t="n">
        <v>354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2</v>
      </c>
      <c r="S147" s="113" t="inlineStr">
        <is>
          <t>계</t>
        </is>
      </c>
      <c r="T147" s="8" t="inlineStr">
        <is>
          <t>83A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화서역파크푸르지오</t>
        </is>
      </c>
      <c r="B148" s="16" t="inlineStr">
        <is>
          <t>'21.08.</t>
        </is>
      </c>
      <c r="C148" s="164" t="n">
        <v>2355</v>
      </c>
      <c r="D148" s="161" t="n">
        <v>84.90000000000001</v>
      </c>
      <c r="E148" s="163" t="n">
        <v>26</v>
      </c>
      <c r="F148" s="161" t="n">
        <v>60</v>
      </c>
      <c r="G148" s="27" t="n">
        <v>18</v>
      </c>
      <c r="H148" s="164" t="n">
        <v>96</v>
      </c>
      <c r="I148" s="165" t="n"/>
      <c r="J148" s="165" t="n"/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3</v>
      </c>
      <c r="R148" s="113" t="n">
        <v>2</v>
      </c>
      <c r="S148" s="113" t="inlineStr">
        <is>
          <t>계</t>
        </is>
      </c>
      <c r="T148" s="8" t="inlineStr">
        <is>
          <t>84B</t>
        </is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inlineStr">
        <is>
          <t>화서역파크푸르지오</t>
        </is>
      </c>
      <c r="B149" s="16" t="inlineStr">
        <is>
          <t>'21.08.</t>
        </is>
      </c>
      <c r="C149" s="164" t="n">
        <v>2355</v>
      </c>
      <c r="D149" s="161" t="n">
        <v>104.2</v>
      </c>
      <c r="E149" s="163" t="n">
        <v>32</v>
      </c>
      <c r="F149" s="161" t="n">
        <v>75</v>
      </c>
      <c r="G149" s="27" t="n">
        <v>23</v>
      </c>
      <c r="H149" s="164" t="n">
        <v>259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104A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화서역파크푸르지오</t>
        </is>
      </c>
      <c r="B150" s="16" t="inlineStr">
        <is>
          <t>'21.08.</t>
        </is>
      </c>
      <c r="C150" s="164" t="n">
        <v>2355</v>
      </c>
      <c r="D150" s="161" t="n">
        <v>105.1</v>
      </c>
      <c r="E150" s="163" t="n">
        <v>32</v>
      </c>
      <c r="F150" s="161" t="n">
        <v>75</v>
      </c>
      <c r="G150" s="27" t="n">
        <v>23</v>
      </c>
      <c r="H150" s="164" t="n">
        <v>29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105B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화서역파크푸르지오</t>
        </is>
      </c>
      <c r="B151" s="16" t="inlineStr">
        <is>
          <t>'21.08.</t>
        </is>
      </c>
      <c r="C151" s="164" t="n">
        <v>2355</v>
      </c>
      <c r="D151" s="161" t="n">
        <v>117</v>
      </c>
      <c r="E151" s="163" t="n">
        <v>35</v>
      </c>
      <c r="F151" s="161" t="n">
        <v>84.7</v>
      </c>
      <c r="G151" s="27" t="n">
        <v>26</v>
      </c>
      <c r="H151" s="164" t="n">
        <v>705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116A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화서역파크푸르지오</t>
        </is>
      </c>
      <c r="B152" s="16" t="inlineStr">
        <is>
          <t>'21.08.</t>
        </is>
      </c>
      <c r="C152" s="164" t="n">
        <v>2355</v>
      </c>
      <c r="D152" s="161" t="n">
        <v>118.5</v>
      </c>
      <c r="E152" s="163" t="n">
        <v>36</v>
      </c>
      <c r="F152" s="161" t="n">
        <v>84.8</v>
      </c>
      <c r="G152" s="27" t="n">
        <v>26</v>
      </c>
      <c r="H152" s="164" t="n">
        <v>461</v>
      </c>
      <c r="I152" s="165" t="n"/>
      <c r="J152" s="165" t="n"/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2</v>
      </c>
      <c r="S152" s="113" t="inlineStr">
        <is>
          <t>계</t>
        </is>
      </c>
      <c r="T152" s="8" t="inlineStr">
        <is>
          <t>118B</t>
        </is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화서역파크푸르지오</t>
        </is>
      </c>
      <c r="B153" s="16" t="inlineStr">
        <is>
          <t>'21.08.</t>
        </is>
      </c>
      <c r="C153" s="164" t="n">
        <v>2355</v>
      </c>
      <c r="D153" s="161" t="n">
        <v>118.8</v>
      </c>
      <c r="E153" s="163" t="n">
        <v>36</v>
      </c>
      <c r="F153" s="161" t="n">
        <v>84.8</v>
      </c>
      <c r="G153" s="27" t="n">
        <v>26</v>
      </c>
      <c r="H153" s="164" t="n">
        <v>214</v>
      </c>
      <c r="I153" s="165" t="n"/>
      <c r="J153" s="165" t="n"/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118C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화서역파크푸르지오</t>
        </is>
      </c>
      <c r="B154" s="16" t="inlineStr">
        <is>
          <t>'21.08.</t>
        </is>
      </c>
      <c r="C154" s="164" t="n">
        <v>2355</v>
      </c>
      <c r="D154" s="161" t="n">
        <v>140.7</v>
      </c>
      <c r="E154" s="163" t="n">
        <v>43</v>
      </c>
      <c r="F154" s="161" t="n">
        <v>102</v>
      </c>
      <c r="G154" s="27" t="n">
        <v>31</v>
      </c>
      <c r="H154" s="164" t="n">
        <v>105</v>
      </c>
      <c r="I154" s="165" t="n"/>
      <c r="J154" s="165" t="n"/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140B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화서역파크푸르지오</t>
        </is>
      </c>
      <c r="B155" s="16" t="inlineStr">
        <is>
          <t>'21.08.</t>
        </is>
      </c>
      <c r="C155" s="164" t="n">
        <v>2355</v>
      </c>
      <c r="D155" s="161" t="n">
        <v>141.2</v>
      </c>
      <c r="E155" s="163" t="n">
        <v>43</v>
      </c>
      <c r="F155" s="161" t="n">
        <v>102</v>
      </c>
      <c r="G155" s="27" t="n">
        <v>31</v>
      </c>
      <c r="H155" s="164" t="n">
        <v>108</v>
      </c>
      <c r="I155" s="165" t="n"/>
      <c r="J155" s="165" t="n"/>
      <c r="K155" s="165" t="n"/>
      <c r="L155" s="165" t="n"/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141A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화서역파크푸르지오</t>
        </is>
      </c>
      <c r="B156" s="16" t="inlineStr">
        <is>
          <t>'21.08.</t>
        </is>
      </c>
      <c r="C156" s="164" t="n">
        <v>2355</v>
      </c>
      <c r="D156" s="161" t="n">
        <v>148.3</v>
      </c>
      <c r="E156" s="163" t="n">
        <v>45</v>
      </c>
      <c r="F156" s="161" t="n">
        <v>107.5</v>
      </c>
      <c r="G156" s="27" t="n">
        <v>33</v>
      </c>
      <c r="H156" s="164" t="n">
        <v>9</v>
      </c>
      <c r="I156" s="165" t="n"/>
      <c r="J156" s="165" t="n"/>
      <c r="K156" s="165" t="n"/>
      <c r="L156" s="165" t="n"/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148A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화서역파크푸르지오</t>
        </is>
      </c>
      <c r="B157" s="16" t="inlineStr">
        <is>
          <t>'21.08.</t>
        </is>
      </c>
      <c r="C157" s="164" t="n">
        <v>2355</v>
      </c>
      <c r="D157" s="161" t="n">
        <v>148.1</v>
      </c>
      <c r="E157" s="163" t="n">
        <v>45</v>
      </c>
      <c r="F157" s="161" t="n">
        <v>107.7</v>
      </c>
      <c r="G157" s="27" t="n">
        <v>33</v>
      </c>
      <c r="H157" s="164" t="n">
        <v>9</v>
      </c>
      <c r="I157" s="165" t="n"/>
      <c r="J157" s="165" t="n"/>
      <c r="K157" s="165" t="n"/>
      <c r="L157" s="165" t="n"/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계</t>
        </is>
      </c>
      <c r="T157" s="8" t="inlineStr">
        <is>
          <t>148B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화서역파크푸르지오</t>
        </is>
      </c>
      <c r="B158" s="16" t="inlineStr">
        <is>
          <t>'21.08.</t>
        </is>
      </c>
      <c r="C158" s="164" t="n">
        <v>2355</v>
      </c>
      <c r="D158" s="161" t="n">
        <v>208.8</v>
      </c>
      <c r="E158" s="163" t="n">
        <v>63</v>
      </c>
      <c r="F158" s="161" t="n">
        <v>149.4</v>
      </c>
      <c r="G158" s="27" t="n">
        <v>45</v>
      </c>
      <c r="H158" s="164" t="n">
        <v>3</v>
      </c>
      <c r="I158" s="165" t="n"/>
      <c r="J158" s="165" t="n"/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3</v>
      </c>
      <c r="S158" s="113" t="inlineStr">
        <is>
          <t>계</t>
        </is>
      </c>
      <c r="T158" s="8" t="inlineStr">
        <is>
          <t>208A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화서역파크푸르지오</t>
        </is>
      </c>
      <c r="B159" s="16" t="inlineStr">
        <is>
          <t>'21.08.</t>
        </is>
      </c>
      <c r="C159" s="164" t="n">
        <v>2355</v>
      </c>
      <c r="D159" s="161" t="n">
        <v>208.5</v>
      </c>
      <c r="E159" s="163" t="n">
        <v>63</v>
      </c>
      <c r="F159" s="161" t="n">
        <v>149.1</v>
      </c>
      <c r="G159" s="27" t="n">
        <v>45</v>
      </c>
      <c r="H159" s="164" t="n">
        <v>3</v>
      </c>
      <c r="I159" s="165" t="n"/>
      <c r="J159" s="165" t="n"/>
      <c r="K159" s="165" t="n"/>
      <c r="L159" s="165" t="n"/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3</v>
      </c>
      <c r="S159" s="113" t="inlineStr">
        <is>
          <t>계</t>
        </is>
      </c>
      <c r="T159" s="8" t="inlineStr">
        <is>
          <t>208B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n"/>
      <c r="B160" s="113" t="n"/>
      <c r="C160" s="10" t="n"/>
      <c r="D160" s="13" t="n"/>
      <c r="E160" s="20" t="n"/>
      <c r="F160" s="161" t="n"/>
      <c r="G160" s="13" t="n"/>
      <c r="H160" s="13" t="n"/>
      <c r="I160" s="13" t="n"/>
      <c r="J160" s="13" t="n"/>
      <c r="K160" s="13" t="n"/>
      <c r="L160" s="13" t="n"/>
      <c r="M160" s="13" t="n"/>
      <c r="N160" s="13" t="n"/>
      <c r="O160" s="162" t="n"/>
      <c r="P160" s="162" t="n"/>
      <c r="Q160" s="163" t="n"/>
      <c r="R160" s="163" t="n"/>
      <c r="S160" s="13" t="n"/>
      <c r="T160" s="70" t="n"/>
      <c r="U160" s="13" t="n"/>
      <c r="W160" s="107">
        <f>$A$4&amp;" "&amp;A161&amp;"("&amp;B161&amp;","&amp;C161&amp;"^)"</f>
        <v/>
      </c>
      <c r="X160" s="108" t="n"/>
      <c r="Y160" s="108" t="n"/>
      <c r="Z160" s="108" t="n"/>
      <c r="AA160" s="108" t="n"/>
      <c r="AB160" s="108" t="n"/>
      <c r="AC160" s="108" t="n"/>
      <c r="AD160" s="108" t="n"/>
      <c r="AE160" s="108" t="n"/>
      <c r="AF160" s="109" t="n"/>
      <c r="AH160" s="36">
        <f>IF(A160="","",A160)</f>
        <v/>
      </c>
      <c r="AI160" s="160">
        <f>IF(E160="","",E160)</f>
        <v/>
      </c>
      <c r="AJ160" s="113" t="n"/>
      <c r="AK160" s="113" t="n"/>
      <c r="AL160" s="113" t="n"/>
      <c r="AM160" s="113" t="n"/>
      <c r="AN160" s="113" t="n"/>
      <c r="AO160" s="113" t="n"/>
      <c r="AP160" s="113" t="n"/>
      <c r="AQ160" s="113" t="n"/>
      <c r="AR160" s="113" t="n"/>
      <c r="AS160" s="113" t="n"/>
      <c r="AT160" s="113" t="n"/>
      <c r="AU160" s="113" t="n"/>
      <c r="AV160" s="113" t="n"/>
    </row>
    <row r="161">
      <c r="A161" s="13" t="inlineStr">
        <is>
          <t>남서울그린맨션</t>
        </is>
      </c>
      <c r="B161" s="16" t="inlineStr">
        <is>
          <t>'90.02.</t>
        </is>
      </c>
      <c r="C161" s="164" t="n">
        <v>282</v>
      </c>
      <c r="D161" s="161" t="n">
        <v>92.09999999999999</v>
      </c>
      <c r="E161" s="163" t="n">
        <v>28</v>
      </c>
      <c r="F161" s="161" t="n">
        <v>79.3</v>
      </c>
      <c r="G161" s="27" t="n">
        <v>24</v>
      </c>
      <c r="H161" s="164" t="n">
        <v>15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n">
        <v>92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남서울그린맨션</t>
        </is>
      </c>
      <c r="B162" s="16" t="inlineStr">
        <is>
          <t>'90.02.</t>
        </is>
      </c>
      <c r="C162" s="164" t="n">
        <v>282</v>
      </c>
      <c r="D162" s="161" t="n">
        <v>106.3</v>
      </c>
      <c r="E162" s="163" t="n">
        <v>32</v>
      </c>
      <c r="F162" s="161" t="n">
        <v>91.59999999999999</v>
      </c>
      <c r="G162" s="27" t="n">
        <v>28</v>
      </c>
      <c r="H162" s="164" t="n">
        <v>15</v>
      </c>
      <c r="I162" s="165" t="n"/>
      <c r="J162" s="165" t="n"/>
      <c r="K162" s="165" t="n"/>
      <c r="L162" s="165" t="n"/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3</v>
      </c>
      <c r="R162" s="113" t="n">
        <v>2</v>
      </c>
      <c r="S162" s="113" t="inlineStr">
        <is>
          <t>계</t>
        </is>
      </c>
      <c r="T162" s="8" t="n">
        <v>106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남서울그린맨션</t>
        </is>
      </c>
      <c r="B163" s="16" t="inlineStr">
        <is>
          <t>'90.02.</t>
        </is>
      </c>
      <c r="C163" s="164" t="n">
        <v>282</v>
      </c>
      <c r="D163" s="161" t="n">
        <v>114.8</v>
      </c>
      <c r="E163" s="163" t="n">
        <v>35</v>
      </c>
      <c r="F163" s="161" t="n">
        <v>99.09999999999999</v>
      </c>
      <c r="G163" s="27" t="n">
        <v>30</v>
      </c>
      <c r="H163" s="164" t="n">
        <v>15</v>
      </c>
      <c r="I163" s="165" t="n"/>
      <c r="J163" s="165" t="n"/>
      <c r="K163" s="165" t="n"/>
      <c r="L163" s="165" t="n"/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3</v>
      </c>
      <c r="R163" s="113" t="n">
        <v>2</v>
      </c>
      <c r="S163" s="113" t="inlineStr">
        <is>
          <t>계</t>
        </is>
      </c>
      <c r="T163" s="8" t="n">
        <v>114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남서울그린맨션</t>
        </is>
      </c>
      <c r="B164" s="16" t="inlineStr">
        <is>
          <t>'90.02.</t>
        </is>
      </c>
      <c r="C164" s="164" t="n">
        <v>282</v>
      </c>
      <c r="D164" s="161" t="n">
        <v>121.9</v>
      </c>
      <c r="E164" s="163" t="n">
        <v>37</v>
      </c>
      <c r="F164" s="161" t="n">
        <v>105</v>
      </c>
      <c r="G164" s="27" t="n">
        <v>32</v>
      </c>
      <c r="H164" s="164" t="n">
        <v>142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계</t>
        </is>
      </c>
      <c r="T164" s="8" t="n">
        <v>121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남서울그린맨션</t>
        </is>
      </c>
      <c r="B165" s="16" t="inlineStr">
        <is>
          <t>'90.02.</t>
        </is>
      </c>
      <c r="C165" s="164" t="n">
        <v>282</v>
      </c>
      <c r="D165" s="161" t="n">
        <v>146.2</v>
      </c>
      <c r="E165" s="163" t="n">
        <v>44</v>
      </c>
      <c r="F165" s="161" t="n">
        <v>126.1</v>
      </c>
      <c r="G165" s="27" t="n">
        <v>38</v>
      </c>
      <c r="H165" s="164" t="n">
        <v>95</v>
      </c>
      <c r="I165" s="165" t="n"/>
      <c r="J165" s="165" t="n"/>
      <c r="K165" s="165" t="n"/>
      <c r="L165" s="165" t="n"/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n">
        <v>146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n"/>
      <c r="B166" s="113" t="n"/>
      <c r="C166" s="10" t="n"/>
      <c r="D166" s="13" t="n"/>
      <c r="E166" s="20" t="n"/>
      <c r="F166" s="161" t="n"/>
      <c r="G166" s="13" t="n"/>
      <c r="H166" s="13" t="n"/>
      <c r="I166" s="13" t="n"/>
      <c r="J166" s="13" t="n"/>
      <c r="K166" s="13" t="n"/>
      <c r="L166" s="13" t="n"/>
      <c r="M166" s="13" t="n"/>
      <c r="N166" s="13" t="n"/>
      <c r="O166" s="162" t="n"/>
      <c r="P166" s="162" t="n"/>
      <c r="Q166" s="163" t="n"/>
      <c r="R166" s="163" t="n"/>
      <c r="S166" s="13" t="n"/>
      <c r="T166" s="70" t="n"/>
      <c r="U166" s="13" t="n"/>
      <c r="W166" s="107">
        <f>$A$4&amp;" "&amp;A167&amp;"("&amp;B167&amp;","&amp;C167&amp;"^)"</f>
        <v/>
      </c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9" t="n"/>
      <c r="AH166" s="36">
        <f>IF(A166="","",A166)</f>
        <v/>
      </c>
      <c r="AI166" s="160">
        <f>IF(E166="","",E166)</f>
        <v/>
      </c>
      <c r="AJ166" s="113" t="n"/>
      <c r="AK166" s="113" t="n"/>
      <c r="AL166" s="113" t="n"/>
      <c r="AM166" s="113" t="n"/>
      <c r="AN166" s="113" t="n"/>
      <c r="AO166" s="113" t="n"/>
      <c r="AP166" s="113" t="n"/>
      <c r="AQ166" s="113" t="n"/>
      <c r="AR166" s="113" t="n"/>
      <c r="AS166" s="113" t="n"/>
      <c r="AT166" s="113" t="n"/>
      <c r="AU166" s="113" t="n"/>
      <c r="AV166" s="113" t="n"/>
    </row>
    <row r="167">
      <c r="A167" s="13" t="inlineStr">
        <is>
          <t>두견마을3단지벽산3차</t>
        </is>
      </c>
      <c r="B167" s="16" t="inlineStr">
        <is>
          <t>'00.08.</t>
        </is>
      </c>
      <c r="C167" s="164" t="n">
        <v>389</v>
      </c>
      <c r="D167" s="161" t="n">
        <v>127.4</v>
      </c>
      <c r="E167" s="163" t="n">
        <v>39</v>
      </c>
      <c r="F167" s="161" t="n">
        <v>100</v>
      </c>
      <c r="G167" s="27" t="n">
        <v>30</v>
      </c>
      <c r="H167" s="164" t="n">
        <v>329</v>
      </c>
      <c r="I167" s="165" t="n">
        <v>73000</v>
      </c>
      <c r="J167" s="165" t="inlineStr">
        <is>
          <t>13</t>
        </is>
      </c>
      <c r="K167" s="165" t="n"/>
      <c r="L167" s="165" t="n"/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3</v>
      </c>
      <c r="R167" s="113" t="n">
        <v>2</v>
      </c>
      <c r="S167" s="113" t="inlineStr">
        <is>
          <t>계</t>
        </is>
      </c>
      <c r="T167" s="8" t="n">
        <v>127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inlineStr">
        <is>
          <t>두견마을3단지벽산3차</t>
        </is>
      </c>
      <c r="B168" s="16" t="inlineStr">
        <is>
          <t>'00.08.</t>
        </is>
      </c>
      <c r="C168" s="164" t="n">
        <v>389</v>
      </c>
      <c r="D168" s="161" t="n">
        <v>168.6</v>
      </c>
      <c r="E168" s="163" t="n">
        <v>51</v>
      </c>
      <c r="F168" s="161" t="n">
        <v>134.9</v>
      </c>
      <c r="G168" s="27" t="n">
        <v>41</v>
      </c>
      <c r="H168" s="164" t="n">
        <v>60</v>
      </c>
      <c r="I168" s="165" t="n">
        <v>87000</v>
      </c>
      <c r="J168" s="165" t="inlineStr">
        <is>
          <t>7</t>
        </is>
      </c>
      <c r="K168" s="165" t="n">
        <v>55000</v>
      </c>
      <c r="L168" s="165" t="inlineStr">
        <is>
          <t>11</t>
        </is>
      </c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4</v>
      </c>
      <c r="R168" s="113" t="n">
        <v>2</v>
      </c>
      <c r="S168" s="113" t="inlineStr">
        <is>
          <t>계</t>
        </is>
      </c>
      <c r="T168" s="8" t="n">
        <v>168</v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n"/>
      <c r="B169" s="113" t="n"/>
      <c r="C169" s="10" t="n"/>
      <c r="D169" s="13" t="n"/>
      <c r="E169" s="20" t="n"/>
      <c r="F169" s="161" t="n"/>
      <c r="G169" s="13" t="n"/>
      <c r="H169" s="13" t="n"/>
      <c r="I169" s="13" t="n"/>
      <c r="J169" s="13" t="n"/>
      <c r="K169" s="13" t="n"/>
      <c r="L169" s="13" t="n"/>
      <c r="M169" s="13" t="n"/>
      <c r="N169" s="13" t="n"/>
      <c r="O169" s="162" t="n"/>
      <c r="P169" s="162" t="n"/>
      <c r="Q169" s="163" t="n"/>
      <c r="R169" s="163" t="n"/>
      <c r="S169" s="13" t="n"/>
      <c r="T169" s="70" t="n"/>
      <c r="U169" s="13" t="n"/>
      <c r="W169" s="107">
        <f>$A$4&amp;" "&amp;A170&amp;"("&amp;B170&amp;","&amp;C170&amp;"^)"</f>
        <v/>
      </c>
      <c r="X169" s="108" t="n"/>
      <c r="Y169" s="108" t="n"/>
      <c r="Z169" s="108" t="n"/>
      <c r="AA169" s="108" t="n"/>
      <c r="AB169" s="108" t="n"/>
      <c r="AC169" s="108" t="n"/>
      <c r="AD169" s="108" t="n"/>
      <c r="AE169" s="108" t="n"/>
      <c r="AF169" s="109" t="n"/>
      <c r="AH169" s="36">
        <f>IF(A169="","",A169)</f>
        <v/>
      </c>
      <c r="AI169" s="160">
        <f>IF(E169="","",E169)</f>
        <v/>
      </c>
      <c r="AJ169" s="113" t="n"/>
      <c r="AK169" s="113" t="n"/>
      <c r="AL169" s="113" t="n"/>
      <c r="AM169" s="113" t="n"/>
      <c r="AN169" s="113" t="n"/>
      <c r="AO169" s="113" t="n"/>
      <c r="AP169" s="113" t="n"/>
      <c r="AQ169" s="113" t="n"/>
      <c r="AR169" s="113" t="n"/>
      <c r="AS169" s="113" t="n"/>
      <c r="AT169" s="113" t="n"/>
      <c r="AU169" s="113" t="n"/>
      <c r="AV169" s="113" t="n"/>
    </row>
    <row r="170">
      <c r="A170" s="13" t="inlineStr">
        <is>
          <t>백설마을5단지현대.코오롱</t>
        </is>
      </c>
      <c r="B170" s="16" t="inlineStr">
        <is>
          <t>'99.08.</t>
        </is>
      </c>
      <c r="C170" s="164" t="n">
        <v>692</v>
      </c>
      <c r="D170" s="161" t="n">
        <v>81.5</v>
      </c>
      <c r="E170" s="163" t="n">
        <v>25</v>
      </c>
      <c r="F170" s="161" t="n">
        <v>59.8</v>
      </c>
      <c r="G170" s="27" t="n">
        <v>18</v>
      </c>
      <c r="H170" s="164" t="n">
        <v>692</v>
      </c>
      <c r="I170" s="165" t="n">
        <v>44000</v>
      </c>
      <c r="J170" s="165" t="inlineStr">
        <is>
          <t>13</t>
        </is>
      </c>
      <c r="K170" s="165" t="n">
        <v>29000</v>
      </c>
      <c r="L170" s="165" t="inlineStr">
        <is>
          <t>6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3</v>
      </c>
      <c r="R170" s="113" t="n">
        <v>1</v>
      </c>
      <c r="S170" s="113" t="inlineStr">
        <is>
          <t>계</t>
        </is>
      </c>
      <c r="T170" s="8" t="n">
        <v>81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n"/>
      <c r="B171" s="113" t="n"/>
      <c r="C171" s="10" t="n"/>
      <c r="D171" s="13" t="n"/>
      <c r="E171" s="20" t="n"/>
      <c r="F171" s="161" t="n"/>
      <c r="G171" s="13" t="n"/>
      <c r="H171" s="13" t="n"/>
      <c r="I171" s="13" t="n"/>
      <c r="J171" s="13" t="n"/>
      <c r="K171" s="13" t="n"/>
      <c r="L171" s="13" t="n"/>
      <c r="M171" s="13" t="n"/>
      <c r="N171" s="13" t="n"/>
      <c r="O171" s="162" t="n"/>
      <c r="P171" s="162" t="n"/>
      <c r="Q171" s="163" t="n"/>
      <c r="R171" s="163" t="n"/>
      <c r="S171" s="13" t="n"/>
      <c r="T171" s="70" t="n"/>
      <c r="U171" s="13" t="n"/>
      <c r="W171" s="107">
        <f>$A$4&amp;" "&amp;A172&amp;"("&amp;B172&amp;","&amp;C172&amp;"^)"</f>
        <v/>
      </c>
      <c r="X171" s="108" t="n"/>
      <c r="Y171" s="108" t="n"/>
      <c r="Z171" s="108" t="n"/>
      <c r="AA171" s="108" t="n"/>
      <c r="AB171" s="108" t="n"/>
      <c r="AC171" s="108" t="n"/>
      <c r="AD171" s="108" t="n"/>
      <c r="AE171" s="108" t="n"/>
      <c r="AF171" s="109" t="n"/>
      <c r="AH171" s="36">
        <f>IF(A171="","",A171)</f>
        <v/>
      </c>
      <c r="AI171" s="160">
        <f>IF(E171="","",E171)</f>
        <v/>
      </c>
      <c r="AJ171" s="113" t="n"/>
      <c r="AK171" s="113" t="n"/>
      <c r="AL171" s="113" t="n"/>
      <c r="AM171" s="113" t="n"/>
      <c r="AN171" s="113" t="n"/>
      <c r="AO171" s="113" t="n"/>
      <c r="AP171" s="113" t="n"/>
      <c r="AQ171" s="113" t="n"/>
      <c r="AR171" s="113" t="n"/>
      <c r="AS171" s="113" t="n"/>
      <c r="AT171" s="113" t="n"/>
      <c r="AU171" s="113" t="n"/>
      <c r="AV171" s="113" t="n"/>
    </row>
    <row r="172">
      <c r="A172" s="13" t="inlineStr">
        <is>
          <t>백설에듀빌</t>
        </is>
      </c>
      <c r="B172" s="16" t="inlineStr">
        <is>
          <t>'01.08.</t>
        </is>
      </c>
      <c r="C172" s="164" t="n">
        <v>348</v>
      </c>
      <c r="D172" s="161" t="n">
        <v>111.8</v>
      </c>
      <c r="E172" s="163" t="n">
        <v>34</v>
      </c>
      <c r="F172" s="161" t="n">
        <v>85</v>
      </c>
      <c r="G172" s="27" t="n">
        <v>26</v>
      </c>
      <c r="H172" s="164" t="n">
        <v>324</v>
      </c>
      <c r="I172" s="165" t="n">
        <v>55000</v>
      </c>
      <c r="J172" s="165" t="inlineStr">
        <is>
          <t>19</t>
        </is>
      </c>
      <c r="K172" s="165" t="n">
        <v>40000</v>
      </c>
      <c r="L172" s="165" t="inlineStr">
        <is>
          <t>14</t>
        </is>
      </c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3</v>
      </c>
      <c r="R172" s="113" t="n">
        <v>2</v>
      </c>
      <c r="S172" s="113" t="inlineStr">
        <is>
          <t>계</t>
        </is>
      </c>
      <c r="T172" s="8" t="inlineStr">
        <is>
          <t>111A</t>
        </is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inlineStr">
        <is>
          <t>백설에듀빌</t>
        </is>
      </c>
      <c r="B173" s="16" t="inlineStr">
        <is>
          <t>'01.08.</t>
        </is>
      </c>
      <c r="C173" s="164" t="n">
        <v>348</v>
      </c>
      <c r="D173" s="161" t="n">
        <v>111.7</v>
      </c>
      <c r="E173" s="163" t="n">
        <v>34</v>
      </c>
      <c r="F173" s="161" t="n">
        <v>84.90000000000001</v>
      </c>
      <c r="G173" s="27" t="n">
        <v>26</v>
      </c>
      <c r="H173" s="164" t="n">
        <v>24</v>
      </c>
      <c r="I173" s="165" t="n">
        <v>69000</v>
      </c>
      <c r="J173" s="165" t="inlineStr">
        <is>
          <t>20</t>
        </is>
      </c>
      <c r="K173" s="165" t="n"/>
      <c r="L173" s="165" t="n"/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3</v>
      </c>
      <c r="R173" s="113" t="n">
        <v>2</v>
      </c>
      <c r="S173" s="113" t="inlineStr">
        <is>
          <t>계</t>
        </is>
      </c>
      <c r="T173" s="8" t="inlineStr">
        <is>
          <t>111B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n"/>
      <c r="B174" s="113" t="n"/>
      <c r="C174" s="10" t="n"/>
      <c r="D174" s="13" t="n"/>
      <c r="E174" s="20" t="n"/>
      <c r="F174" s="161" t="n"/>
      <c r="G174" s="13" t="n"/>
      <c r="H174" s="13" t="n"/>
      <c r="I174" s="13" t="n"/>
      <c r="J174" s="13" t="n"/>
      <c r="K174" s="13" t="n"/>
      <c r="L174" s="13" t="n"/>
      <c r="M174" s="13" t="n"/>
      <c r="N174" s="13" t="n"/>
      <c r="O174" s="162" t="n"/>
      <c r="P174" s="162" t="n"/>
      <c r="Q174" s="163" t="n"/>
      <c r="R174" s="163" t="n"/>
      <c r="S174" s="13" t="n"/>
      <c r="T174" s="70" t="n"/>
      <c r="U174" s="13" t="n"/>
      <c r="W174" s="107">
        <f>$A$4&amp;" "&amp;A175&amp;"("&amp;B175&amp;","&amp;C175&amp;"^)"</f>
        <v/>
      </c>
      <c r="X174" s="108" t="n"/>
      <c r="Y174" s="108" t="n"/>
      <c r="Z174" s="108" t="n"/>
      <c r="AA174" s="108" t="n"/>
      <c r="AB174" s="108" t="n"/>
      <c r="AC174" s="108" t="n"/>
      <c r="AD174" s="108" t="n"/>
      <c r="AE174" s="108" t="n"/>
      <c r="AF174" s="109" t="n"/>
      <c r="AH174" s="36">
        <f>IF(A174="","",A174)</f>
        <v/>
      </c>
      <c r="AI174" s="160">
        <f>IF(E174="","",E174)</f>
        <v/>
      </c>
      <c r="AJ174" s="113" t="n"/>
      <c r="AK174" s="113" t="n"/>
      <c r="AL174" s="113" t="n"/>
      <c r="AM174" s="113" t="n"/>
      <c r="AN174" s="113" t="n"/>
      <c r="AO174" s="113" t="n"/>
      <c r="AP174" s="113" t="n"/>
      <c r="AQ174" s="113" t="n"/>
      <c r="AR174" s="113" t="n"/>
      <c r="AS174" s="113" t="n"/>
      <c r="AT174" s="113" t="n"/>
      <c r="AU174" s="113" t="n"/>
      <c r="AV174" s="113" t="n"/>
    </row>
    <row r="175">
      <c r="A175" s="13" t="inlineStr">
        <is>
          <t>화서역우방센트럴파크</t>
        </is>
      </c>
      <c r="B175" s="16" t="inlineStr">
        <is>
          <t>'99.08.</t>
        </is>
      </c>
      <c r="C175" s="164" t="n">
        <v>1335</v>
      </c>
      <c r="D175" s="161" t="n">
        <v>79.5</v>
      </c>
      <c r="E175" s="163" t="n">
        <v>24</v>
      </c>
      <c r="F175" s="161" t="n">
        <v>60</v>
      </c>
      <c r="G175" s="27" t="n">
        <v>18</v>
      </c>
      <c r="H175" s="164" t="n">
        <v>1071</v>
      </c>
      <c r="I175" s="165" t="n">
        <v>55000</v>
      </c>
      <c r="J175" s="165" t="inlineStr">
        <is>
          <t>22</t>
        </is>
      </c>
      <c r="K175" s="165" t="n">
        <v>27000</v>
      </c>
      <c r="L175" s="165" t="inlineStr">
        <is>
          <t>14</t>
        </is>
      </c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3</v>
      </c>
      <c r="R175" s="113" t="n">
        <v>2</v>
      </c>
      <c r="S175" s="113" t="inlineStr">
        <is>
          <t>계</t>
        </is>
      </c>
      <c r="T175" s="8" t="inlineStr">
        <is>
          <t>79A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화서역우방센트럴파크</t>
        </is>
      </c>
      <c r="B176" s="16" t="inlineStr">
        <is>
          <t>'99.08.</t>
        </is>
      </c>
      <c r="C176" s="164" t="n">
        <v>1335</v>
      </c>
      <c r="D176" s="161" t="n">
        <v>80</v>
      </c>
      <c r="E176" s="163" t="n">
        <v>24</v>
      </c>
      <c r="F176" s="161" t="n">
        <v>60</v>
      </c>
      <c r="G176" s="27" t="n">
        <v>18</v>
      </c>
      <c r="H176" s="164" t="n">
        <v>264</v>
      </c>
      <c r="I176" s="165" t="n">
        <v>55000</v>
      </c>
      <c r="J176" s="165" t="inlineStr">
        <is>
          <t>18</t>
        </is>
      </c>
      <c r="K176" s="165" t="n">
        <v>28000</v>
      </c>
      <c r="L176" s="165" t="inlineStr">
        <is>
          <t>20</t>
        </is>
      </c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2</v>
      </c>
      <c r="R176" s="113" t="n">
        <v>1</v>
      </c>
      <c r="S176" s="113" t="inlineStr">
        <is>
          <t>계</t>
        </is>
      </c>
      <c r="T176" s="8" t="inlineStr">
        <is>
          <t>80B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</sheetData>
  <mergeCells count="1">
    <mergeCell ref="AJ1:AN1"/>
  </mergeCells>
  <conditionalFormatting sqref="AV4:AV6">
    <cfRule type="expression" priority="2816" dxfId="17">
      <formula>AV4="X"</formula>
    </cfRule>
    <cfRule type="expression" priority="2817" dxfId="16">
      <formula>AV4="후보"</formula>
    </cfRule>
  </conditionalFormatting>
  <conditionalFormatting sqref="AC1:AC2 AC4:AC6 N4:N5">
    <cfRule type="cellIs" priority="2813" operator="greaterThan" dxfId="13">
      <formula>0.9</formula>
    </cfRule>
    <cfRule type="cellIs" priority="2814" operator="greaterThan" dxfId="12">
      <formula>0.85</formula>
    </cfRule>
  </conditionalFormatting>
  <conditionalFormatting sqref="N1:N2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6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6">
    <cfRule type="expression" priority="2805" dxfId="3">
      <formula>AND(IF(OR($Q6=1,$Q6=2),1,0),IF($X6&lt;=20,1,0))</formula>
    </cfRule>
    <cfRule type="expression" priority="2806" dxfId="2">
      <formula>AND(IF($Q6=2,1,0),IF($X6&lt;30,1,0))</formula>
    </cfRule>
    <cfRule type="expression" priority="2807" dxfId="1">
      <formula>AND(IF($Q6=3,1,0),IF($X6&lt;30,1,0))</formula>
    </cfRule>
    <cfRule type="expression" priority="2808" dxfId="0">
      <formula>AND(IF($Q6=3,1,IF($Q6=4,1,0)),IF($F6&lt;=85,1,0))</formula>
    </cfRule>
  </conditionalFormatting>
  <conditionalFormatting sqref="X6">
    <cfRule type="expression" priority="2801" dxfId="3">
      <formula>AND(IF(OR($Q6=1,$Q6=2),1,0),IF($X6&lt;=20,1,0))</formula>
    </cfRule>
    <cfRule type="expression" priority="2802" dxfId="2">
      <formula>AND(IF($Q6=2,1,0),IF($X6&lt;30,1,0))</formula>
    </cfRule>
    <cfRule type="expression" priority="2803" dxfId="1">
      <formula>AND(IF($Q6=3,1,0),IF($X6&lt;30,1,0))</formula>
    </cfRule>
    <cfRule type="expression" priority="2804" dxfId="0">
      <formula>AND(IF($Q6=3,1,IF($Q6=4,1,0)),IF($F6&lt;=85,1,0))</formula>
    </cfRule>
  </conditionalFormatting>
  <conditionalFormatting sqref="AI6">
    <cfRule type="expression" priority="2797" dxfId="3">
      <formula>AND(IF(OR($Q6=1,$Q6=2),1,0),IF($X6&lt;=20,1,0))</formula>
    </cfRule>
    <cfRule type="expression" priority="2798" dxfId="2">
      <formula>AND(IF($Q6=2,1,0),IF($X6&lt;30,1,0))</formula>
    </cfRule>
    <cfRule type="expression" priority="2799" dxfId="1">
      <formula>AND(IF($Q6=3,1,0),IF($X6&lt;30,1,0))</formula>
    </cfRule>
    <cfRule type="expression" priority="2800" dxfId="0">
      <formula>AND(IF($Q6=3,1,IF($Q6=4,1,0)),IF($F6&lt;=85,1,0))</formula>
    </cfRule>
  </conditionalFormatting>
  <conditionalFormatting sqref="AV7">
    <cfRule type="expression" priority="2795" dxfId="17">
      <formula>AV7="X"</formula>
    </cfRule>
    <cfRule type="expression" priority="2796" dxfId="16">
      <formula>AV7="후보"</formula>
    </cfRule>
  </conditionalFormatting>
  <conditionalFormatting sqref="AC7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7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7">
    <cfRule type="expression" priority="2786" dxfId="3">
      <formula>AND(IF(OR($Q7=1,$Q7=2),1,0),IF($X7&lt;=20,1,0))</formula>
    </cfRule>
    <cfRule type="expression" priority="2787" dxfId="2">
      <formula>AND(IF($Q7=2,1,0),IF($X7&lt;30,1,0))</formula>
    </cfRule>
    <cfRule type="expression" priority="2788" dxfId="1">
      <formula>AND(IF($Q7=3,1,0),IF($X7&lt;30,1,0))</formula>
    </cfRule>
    <cfRule type="expression" priority="2789" dxfId="0">
      <formula>AND(IF($Q7=3,1,IF($Q7=4,1,0)),IF($F7&lt;=85,1,0))</formula>
    </cfRule>
  </conditionalFormatting>
  <conditionalFormatting sqref="X7">
    <cfRule type="expression" priority="2782" dxfId="3">
      <formula>AND(IF(OR($Q7=1,$Q7=2),1,0),IF($X7&lt;=20,1,0))</formula>
    </cfRule>
    <cfRule type="expression" priority="2783" dxfId="2">
      <formula>AND(IF($Q7=2,1,0),IF($X7&lt;30,1,0))</formula>
    </cfRule>
    <cfRule type="expression" priority="2784" dxfId="1">
      <formula>AND(IF($Q7=3,1,0),IF($X7&lt;30,1,0))</formula>
    </cfRule>
    <cfRule type="expression" priority="2785" dxfId="0">
      <formula>AND(IF($Q7=3,1,IF($Q7=4,1,0)),IF($F7&lt;=85,1,0))</formula>
    </cfRule>
  </conditionalFormatting>
  <conditionalFormatting sqref="AI7">
    <cfRule type="expression" priority="2778" dxfId="3">
      <formula>AND(IF(OR($Q7=1,$Q7=2),1,0),IF($X7&lt;=20,1,0))</formula>
    </cfRule>
    <cfRule type="expression" priority="2779" dxfId="2">
      <formula>AND(IF($Q7=2,1,0),IF($X7&lt;30,1,0))</formula>
    </cfRule>
    <cfRule type="expression" priority="2780" dxfId="1">
      <formula>AND(IF($Q7=3,1,0),IF($X7&lt;30,1,0))</formula>
    </cfRule>
    <cfRule type="expression" priority="2781" dxfId="0">
      <formula>AND(IF($Q7=3,1,IF($Q7=4,1,0)),IF($F7&lt;=85,1,0))</formula>
    </cfRule>
  </conditionalFormatting>
  <conditionalFormatting sqref="AV8">
    <cfRule type="expression" priority="2776" dxfId="17">
      <formula>AV8="X"</formula>
    </cfRule>
    <cfRule type="expression" priority="2777" dxfId="16">
      <formula>AV8="후보"</formula>
    </cfRule>
  </conditionalFormatting>
  <conditionalFormatting sqref="AC8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8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8">
    <cfRule type="expression" priority="2767" dxfId="3">
      <formula>AND(IF(OR($Q8=1,$Q8=2),1,0),IF($X8&lt;=20,1,0))</formula>
    </cfRule>
    <cfRule type="expression" priority="2768" dxfId="2">
      <formula>AND(IF($Q8=2,1,0),IF($X8&lt;30,1,0))</formula>
    </cfRule>
    <cfRule type="expression" priority="2769" dxfId="1">
      <formula>AND(IF($Q8=3,1,0),IF($X8&lt;30,1,0))</formula>
    </cfRule>
    <cfRule type="expression" priority="2770" dxfId="0">
      <formula>AND(IF($Q8=3,1,IF($Q8=4,1,0)),IF($F8&lt;=85,1,0))</formula>
    </cfRule>
  </conditionalFormatting>
  <conditionalFormatting sqref="X8">
    <cfRule type="expression" priority="2763" dxfId="3">
      <formula>AND(IF(OR($Q8=1,$Q8=2),1,0),IF($X8&lt;=20,1,0))</formula>
    </cfRule>
    <cfRule type="expression" priority="2764" dxfId="2">
      <formula>AND(IF($Q8=2,1,0),IF($X8&lt;30,1,0))</formula>
    </cfRule>
    <cfRule type="expression" priority="2765" dxfId="1">
      <formula>AND(IF($Q8=3,1,0),IF($X8&lt;30,1,0))</formula>
    </cfRule>
    <cfRule type="expression" priority="2766" dxfId="0">
      <formula>AND(IF($Q8=3,1,IF($Q8=4,1,0)),IF($F8&lt;=85,1,0))</formula>
    </cfRule>
  </conditionalFormatting>
  <conditionalFormatting sqref="AI8">
    <cfRule type="expression" priority="2759" dxfId="3">
      <formula>AND(IF(OR($Q8=1,$Q8=2),1,0),IF($X8&lt;=20,1,0))</formula>
    </cfRule>
    <cfRule type="expression" priority="2760" dxfId="2">
      <formula>AND(IF($Q8=2,1,0),IF($X8&lt;30,1,0))</formula>
    </cfRule>
    <cfRule type="expression" priority="2761" dxfId="1">
      <formula>AND(IF($Q8=3,1,0),IF($X8&lt;30,1,0))</formula>
    </cfRule>
    <cfRule type="expression" priority="2762" dxfId="0">
      <formula>AND(IF($Q8=3,1,IF($Q8=4,1,0)),IF($F8&lt;=85,1,0))</formula>
    </cfRule>
  </conditionalFormatting>
  <conditionalFormatting sqref="AV9">
    <cfRule type="expression" priority="2757" dxfId="17">
      <formula>AV9="X"</formula>
    </cfRule>
    <cfRule type="expression" priority="2758" dxfId="16">
      <formula>AV9="후보"</formula>
    </cfRule>
  </conditionalFormatting>
  <conditionalFormatting sqref="AC9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9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9">
    <cfRule type="expression" priority="2748" dxfId="3">
      <formula>AND(IF(OR($Q9=1,$Q9=2),1,0),IF($X9&lt;=20,1,0))</formula>
    </cfRule>
    <cfRule type="expression" priority="2749" dxfId="2">
      <formula>AND(IF($Q9=2,1,0),IF($X9&lt;30,1,0))</formula>
    </cfRule>
    <cfRule type="expression" priority="2750" dxfId="1">
      <formula>AND(IF($Q9=3,1,0),IF($X9&lt;30,1,0))</formula>
    </cfRule>
    <cfRule type="expression" priority="2751" dxfId="0">
      <formula>AND(IF($Q9=3,1,IF($Q9=4,1,0)),IF($F9&lt;=85,1,0))</formula>
    </cfRule>
  </conditionalFormatting>
  <conditionalFormatting sqref="X9">
    <cfRule type="expression" priority="2744" dxfId="3">
      <formula>AND(IF(OR($Q9=1,$Q9=2),1,0),IF($X9&lt;=20,1,0))</formula>
    </cfRule>
    <cfRule type="expression" priority="2745" dxfId="2">
      <formula>AND(IF($Q9=2,1,0),IF($X9&lt;30,1,0))</formula>
    </cfRule>
    <cfRule type="expression" priority="2746" dxfId="1">
      <formula>AND(IF($Q9=3,1,0),IF($X9&lt;30,1,0))</formula>
    </cfRule>
    <cfRule type="expression" priority="2747" dxfId="0">
      <formula>AND(IF($Q9=3,1,IF($Q9=4,1,0)),IF($F9&lt;=85,1,0))</formula>
    </cfRule>
  </conditionalFormatting>
  <conditionalFormatting sqref="AI9">
    <cfRule type="expression" priority="2740" dxfId="3">
      <formula>AND(IF(OR($Q9=1,$Q9=2),1,0),IF($X9&lt;=20,1,0))</formula>
    </cfRule>
    <cfRule type="expression" priority="2741" dxfId="2">
      <formula>AND(IF($Q9=2,1,0),IF($X9&lt;30,1,0))</formula>
    </cfRule>
    <cfRule type="expression" priority="2742" dxfId="1">
      <formula>AND(IF($Q9=3,1,0),IF($X9&lt;30,1,0))</formula>
    </cfRule>
    <cfRule type="expression" priority="2743" dxfId="0">
      <formula>AND(IF($Q9=3,1,IF($Q9=4,1,0)),IF($F9&lt;=85,1,0))</formula>
    </cfRule>
  </conditionalFormatting>
  <conditionalFormatting sqref="AV10">
    <cfRule type="expression" priority="2738" dxfId="17">
      <formula>AV10="X"</formula>
    </cfRule>
    <cfRule type="expression" priority="2739" dxfId="16">
      <formula>AV10="후보"</formula>
    </cfRule>
  </conditionalFormatting>
  <conditionalFormatting sqref="AC10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N10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E10">
    <cfRule type="expression" priority="2729" dxfId="3">
      <formula>AND(IF(OR($Q10=1,$Q10=2),1,0),IF($X10&lt;=20,1,0))</formula>
    </cfRule>
    <cfRule type="expression" priority="2730" dxfId="2">
      <formula>AND(IF($Q10=2,1,0),IF($X10&lt;30,1,0))</formula>
    </cfRule>
    <cfRule type="expression" priority="2731" dxfId="1">
      <formula>AND(IF($Q10=3,1,0),IF($X10&lt;30,1,0))</formula>
    </cfRule>
    <cfRule type="expression" priority="2732" dxfId="0">
      <formula>AND(IF($Q10=3,1,IF($Q10=4,1,0)),IF($F10&lt;=85,1,0))</formula>
    </cfRule>
  </conditionalFormatting>
  <conditionalFormatting sqref="X10">
    <cfRule type="expression" priority="2725" dxfId="3">
      <formula>AND(IF(OR($Q10=1,$Q10=2),1,0),IF($X10&lt;=20,1,0))</formula>
    </cfRule>
    <cfRule type="expression" priority="2726" dxfId="2">
      <formula>AND(IF($Q10=2,1,0),IF($X10&lt;30,1,0))</formula>
    </cfRule>
    <cfRule type="expression" priority="2727" dxfId="1">
      <formula>AND(IF($Q10=3,1,0),IF($X10&lt;30,1,0))</formula>
    </cfRule>
    <cfRule type="expression" priority="2728" dxfId="0">
      <formula>AND(IF($Q10=3,1,IF($Q10=4,1,0)),IF($F10&lt;=85,1,0))</formula>
    </cfRule>
  </conditionalFormatting>
  <conditionalFormatting sqref="AI10">
    <cfRule type="expression" priority="2721" dxfId="3">
      <formula>AND(IF(OR($Q10=1,$Q10=2),1,0),IF($X10&lt;=20,1,0))</formula>
    </cfRule>
    <cfRule type="expression" priority="2722" dxfId="2">
      <formula>AND(IF($Q10=2,1,0),IF($X10&lt;30,1,0))</formula>
    </cfRule>
    <cfRule type="expression" priority="2723" dxfId="1">
      <formula>AND(IF($Q10=3,1,0),IF($X10&lt;30,1,0))</formula>
    </cfRule>
    <cfRule type="expression" priority="2724" dxfId="0">
      <formula>AND(IF($Q10=3,1,IF($Q10=4,1,0)),IF($F10&lt;=85,1,0))</formula>
    </cfRule>
  </conditionalFormatting>
  <conditionalFormatting sqref="AV11">
    <cfRule type="expression" priority="2719" dxfId="17">
      <formula>AV11="X"</formula>
    </cfRule>
    <cfRule type="expression" priority="2720" dxfId="16">
      <formula>AV11="후보"</formula>
    </cfRule>
  </conditionalFormatting>
  <conditionalFormatting sqref="AC11">
    <cfRule type="cellIs" priority="2716" operator="greaterThan" dxfId="13">
      <formula>0.9</formula>
    </cfRule>
    <cfRule type="cellIs" priority="2717" operator="greaterThan" dxfId="12">
      <formula>0.85</formula>
    </cfRule>
  </conditionalFormatting>
  <conditionalFormatting sqref="N11">
    <cfRule type="cellIs" priority="2714" operator="greaterThan" dxfId="13">
      <formula>0.9</formula>
    </cfRule>
    <cfRule type="cellIs" priority="2715" operator="greaterThan" dxfId="12">
      <formula>0.85</formula>
    </cfRule>
  </conditionalFormatting>
  <conditionalFormatting sqref="E11">
    <cfRule type="expression" priority="2710" dxfId="3">
      <formula>AND(IF(OR($Q11=1,$Q11=2),1,0),IF($X11&lt;=20,1,0))</formula>
    </cfRule>
    <cfRule type="expression" priority="2711" dxfId="2">
      <formula>AND(IF($Q11=2,1,0),IF($X11&lt;30,1,0))</formula>
    </cfRule>
    <cfRule type="expression" priority="2712" dxfId="1">
      <formula>AND(IF($Q11=3,1,0),IF($X11&lt;30,1,0))</formula>
    </cfRule>
    <cfRule type="expression" priority="2713" dxfId="0">
      <formula>AND(IF($Q11=3,1,IF($Q11=4,1,0)),IF($F11&lt;=85,1,0))</formula>
    </cfRule>
  </conditionalFormatting>
  <conditionalFormatting sqref="X11">
    <cfRule type="expression" priority="2706" dxfId="3">
      <formula>AND(IF(OR($Q11=1,$Q11=2),1,0),IF($X11&lt;=20,1,0))</formula>
    </cfRule>
    <cfRule type="expression" priority="2707" dxfId="2">
      <formula>AND(IF($Q11=2,1,0),IF($X11&lt;30,1,0))</formula>
    </cfRule>
    <cfRule type="expression" priority="2708" dxfId="1">
      <formula>AND(IF($Q11=3,1,0),IF($X11&lt;30,1,0))</formula>
    </cfRule>
    <cfRule type="expression" priority="2709" dxfId="0">
      <formula>AND(IF($Q11=3,1,IF($Q11=4,1,0)),IF($F11&lt;=85,1,0))</formula>
    </cfRule>
  </conditionalFormatting>
  <conditionalFormatting sqref="AI11">
    <cfRule type="expression" priority="2702" dxfId="3">
      <formula>AND(IF(OR($Q11=1,$Q11=2),1,0),IF($X11&lt;=20,1,0))</formula>
    </cfRule>
    <cfRule type="expression" priority="2703" dxfId="2">
      <formula>AND(IF($Q11=2,1,0),IF($X11&lt;30,1,0))</formula>
    </cfRule>
    <cfRule type="expression" priority="2704" dxfId="1">
      <formula>AND(IF($Q11=3,1,0),IF($X11&lt;30,1,0))</formula>
    </cfRule>
    <cfRule type="expression" priority="2705" dxfId="0">
      <formula>AND(IF($Q11=3,1,IF($Q11=4,1,0)),IF($F11&lt;=85,1,0))</formula>
    </cfRule>
  </conditionalFormatting>
  <conditionalFormatting sqref="AV12">
    <cfRule type="expression" priority="2700" dxfId="17">
      <formula>AV12="X"</formula>
    </cfRule>
    <cfRule type="expression" priority="2701" dxfId="16">
      <formula>AV12="후보"</formula>
    </cfRule>
  </conditionalFormatting>
  <conditionalFormatting sqref="AC12 N12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AV13">
    <cfRule type="expression" priority="2695" dxfId="17">
      <formula>AV13="X"</formula>
    </cfRule>
    <cfRule type="expression" priority="2696" dxfId="16">
      <formula>AV13="후보"</formula>
    </cfRule>
  </conditionalFormatting>
  <conditionalFormatting sqref="AC13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N13">
    <cfRule type="cellIs" priority="2690" operator="greaterThan" dxfId="13">
      <formula>0.9</formula>
    </cfRule>
    <cfRule type="cellIs" priority="2691" operator="greaterThan" dxfId="12">
      <formula>0.85</formula>
    </cfRule>
  </conditionalFormatting>
  <conditionalFormatting sqref="E13">
    <cfRule type="expression" priority="2686" dxfId="3">
      <formula>AND(IF(OR($Q13=1,$Q13=2),1,0),IF($X13&lt;=20,1,0))</formula>
    </cfRule>
    <cfRule type="expression" priority="2687" dxfId="2">
      <formula>AND(IF($Q13=2,1,0),IF($X13&lt;30,1,0))</formula>
    </cfRule>
    <cfRule type="expression" priority="2688" dxfId="1">
      <formula>AND(IF($Q13=3,1,0),IF($X13&lt;30,1,0))</formula>
    </cfRule>
    <cfRule type="expression" priority="2689" dxfId="0">
      <formula>AND(IF($Q13=3,1,IF($Q13=4,1,0)),IF($F13&lt;=85,1,0))</formula>
    </cfRule>
  </conditionalFormatting>
  <conditionalFormatting sqref="X13">
    <cfRule type="expression" priority="2682" dxfId="3">
      <formula>AND(IF(OR($Q13=1,$Q13=2),1,0),IF($X13&lt;=20,1,0))</formula>
    </cfRule>
    <cfRule type="expression" priority="2683" dxfId="2">
      <formula>AND(IF($Q13=2,1,0),IF($X13&lt;30,1,0))</formula>
    </cfRule>
    <cfRule type="expression" priority="2684" dxfId="1">
      <formula>AND(IF($Q13=3,1,0),IF($X13&lt;30,1,0))</formula>
    </cfRule>
    <cfRule type="expression" priority="2685" dxfId="0">
      <formula>AND(IF($Q13=3,1,IF($Q13=4,1,0)),IF($F13&lt;=85,1,0))</formula>
    </cfRule>
  </conditionalFormatting>
  <conditionalFormatting sqref="AI13">
    <cfRule type="expression" priority="2678" dxfId="3">
      <formula>AND(IF(OR($Q13=1,$Q13=2),1,0),IF($X13&lt;=20,1,0))</formula>
    </cfRule>
    <cfRule type="expression" priority="2679" dxfId="2">
      <formula>AND(IF($Q13=2,1,0),IF($X13&lt;30,1,0))</formula>
    </cfRule>
    <cfRule type="expression" priority="2680" dxfId="1">
      <formula>AND(IF($Q13=3,1,0),IF($X13&lt;30,1,0))</formula>
    </cfRule>
    <cfRule type="expression" priority="2681" dxfId="0">
      <formula>AND(IF($Q13=3,1,IF($Q13=4,1,0)),IF($F13&lt;=85,1,0))</formula>
    </cfRule>
  </conditionalFormatting>
  <conditionalFormatting sqref="AV14">
    <cfRule type="expression" priority="2676" dxfId="17">
      <formula>AV14="X"</formula>
    </cfRule>
    <cfRule type="expression" priority="2677" dxfId="16">
      <formula>AV14="후보"</formula>
    </cfRule>
  </conditionalFormatting>
  <conditionalFormatting sqref="AC14">
    <cfRule type="cellIs" priority="2673" operator="greaterThan" dxfId="13">
      <formula>0.9</formula>
    </cfRule>
    <cfRule type="cellIs" priority="2674" operator="greaterThan" dxfId="12">
      <formula>0.85</formula>
    </cfRule>
  </conditionalFormatting>
  <conditionalFormatting sqref="N14">
    <cfRule type="cellIs" priority="2671" operator="greaterThan" dxfId="13">
      <formula>0.9</formula>
    </cfRule>
    <cfRule type="cellIs" priority="2672" operator="greaterThan" dxfId="12">
      <formula>0.85</formula>
    </cfRule>
  </conditionalFormatting>
  <conditionalFormatting sqref="E14">
    <cfRule type="expression" priority="2667" dxfId="3">
      <formula>AND(IF(OR($Q14=1,$Q14=2),1,0),IF($X14&lt;=20,1,0))</formula>
    </cfRule>
    <cfRule type="expression" priority="2668" dxfId="2">
      <formula>AND(IF($Q14=2,1,0),IF($X14&lt;30,1,0))</formula>
    </cfRule>
    <cfRule type="expression" priority="2669" dxfId="1">
      <formula>AND(IF($Q14=3,1,0),IF($X14&lt;30,1,0))</formula>
    </cfRule>
    <cfRule type="expression" priority="2670" dxfId="0">
      <formula>AND(IF($Q14=3,1,IF($Q14=4,1,0)),IF($F14&lt;=85,1,0))</formula>
    </cfRule>
  </conditionalFormatting>
  <conditionalFormatting sqref="X14">
    <cfRule type="expression" priority="2663" dxfId="3">
      <formula>AND(IF(OR($Q14=1,$Q14=2),1,0),IF($X14&lt;=20,1,0))</formula>
    </cfRule>
    <cfRule type="expression" priority="2664" dxfId="2">
      <formula>AND(IF($Q14=2,1,0),IF($X14&lt;30,1,0))</formula>
    </cfRule>
    <cfRule type="expression" priority="2665" dxfId="1">
      <formula>AND(IF($Q14=3,1,0),IF($X14&lt;30,1,0))</formula>
    </cfRule>
    <cfRule type="expression" priority="2666" dxfId="0">
      <formula>AND(IF($Q14=3,1,IF($Q14=4,1,0)),IF($F14&lt;=85,1,0))</formula>
    </cfRule>
  </conditionalFormatting>
  <conditionalFormatting sqref="AI14">
    <cfRule type="expression" priority="2659" dxfId="3">
      <formula>AND(IF(OR($Q14=1,$Q14=2),1,0),IF($X14&lt;=20,1,0))</formula>
    </cfRule>
    <cfRule type="expression" priority="2660" dxfId="2">
      <formula>AND(IF($Q14=2,1,0),IF($X14&lt;30,1,0))</formula>
    </cfRule>
    <cfRule type="expression" priority="2661" dxfId="1">
      <formula>AND(IF($Q14=3,1,0),IF($X14&lt;30,1,0))</formula>
    </cfRule>
    <cfRule type="expression" priority="2662" dxfId="0">
      <formula>AND(IF($Q14=3,1,IF($Q14=4,1,0)),IF($F14&lt;=85,1,0))</formula>
    </cfRule>
  </conditionalFormatting>
  <conditionalFormatting sqref="AV15">
    <cfRule type="expression" priority="2657" dxfId="17">
      <formula>AV15="X"</formula>
    </cfRule>
    <cfRule type="expression" priority="2658" dxfId="16">
      <formula>AV15="후보"</formula>
    </cfRule>
  </conditionalFormatting>
  <conditionalFormatting sqref="AC15">
    <cfRule type="cellIs" priority="2654" operator="greaterThan" dxfId="13">
      <formula>0.9</formula>
    </cfRule>
    <cfRule type="cellIs" priority="2655" operator="greaterThan" dxfId="12">
      <formula>0.85</formula>
    </cfRule>
  </conditionalFormatting>
  <conditionalFormatting sqref="N15">
    <cfRule type="cellIs" priority="2652" operator="greaterThan" dxfId="13">
      <formula>0.9</formula>
    </cfRule>
    <cfRule type="cellIs" priority="2653" operator="greaterThan" dxfId="12">
      <formula>0.85</formula>
    </cfRule>
  </conditionalFormatting>
  <conditionalFormatting sqref="E15">
    <cfRule type="expression" priority="2648" dxfId="3">
      <formula>AND(IF(OR($Q15=1,$Q15=2),1,0),IF($X15&lt;=20,1,0))</formula>
    </cfRule>
    <cfRule type="expression" priority="2649" dxfId="2">
      <formula>AND(IF($Q15=2,1,0),IF($X15&lt;30,1,0))</formula>
    </cfRule>
    <cfRule type="expression" priority="2650" dxfId="1">
      <formula>AND(IF($Q15=3,1,0),IF($X15&lt;30,1,0))</formula>
    </cfRule>
    <cfRule type="expression" priority="2651" dxfId="0">
      <formula>AND(IF($Q15=3,1,IF($Q15=4,1,0)),IF($F15&lt;=85,1,0))</formula>
    </cfRule>
  </conditionalFormatting>
  <conditionalFormatting sqref="X15">
    <cfRule type="expression" priority="2644" dxfId="3">
      <formula>AND(IF(OR($Q15=1,$Q15=2),1,0),IF($X15&lt;=20,1,0))</formula>
    </cfRule>
    <cfRule type="expression" priority="2645" dxfId="2">
      <formula>AND(IF($Q15=2,1,0),IF($X15&lt;30,1,0))</formula>
    </cfRule>
    <cfRule type="expression" priority="2646" dxfId="1">
      <formula>AND(IF($Q15=3,1,0),IF($X15&lt;30,1,0))</formula>
    </cfRule>
    <cfRule type="expression" priority="2647" dxfId="0">
      <formula>AND(IF($Q15=3,1,IF($Q15=4,1,0)),IF($F15&lt;=85,1,0))</formula>
    </cfRule>
  </conditionalFormatting>
  <conditionalFormatting sqref="AI15">
    <cfRule type="expression" priority="2640" dxfId="3">
      <formula>AND(IF(OR($Q15=1,$Q15=2),1,0),IF($X15&lt;=20,1,0))</formula>
    </cfRule>
    <cfRule type="expression" priority="2641" dxfId="2">
      <formula>AND(IF($Q15=2,1,0),IF($X15&lt;30,1,0))</formula>
    </cfRule>
    <cfRule type="expression" priority="2642" dxfId="1">
      <formula>AND(IF($Q15=3,1,0),IF($X15&lt;30,1,0))</formula>
    </cfRule>
    <cfRule type="expression" priority="2643" dxfId="0">
      <formula>AND(IF($Q15=3,1,IF($Q15=4,1,0)),IF($F15&lt;=85,1,0))</formula>
    </cfRule>
  </conditionalFormatting>
  <conditionalFormatting sqref="AV16">
    <cfRule type="expression" priority="2638" dxfId="17">
      <formula>AV16="X"</formula>
    </cfRule>
    <cfRule type="expression" priority="2639" dxfId="16">
      <formula>AV16="후보"</formula>
    </cfRule>
  </conditionalFormatting>
  <conditionalFormatting sqref="AC16">
    <cfRule type="cellIs" priority="2635" operator="greaterThan" dxfId="13">
      <formula>0.9</formula>
    </cfRule>
    <cfRule type="cellIs" priority="2636" operator="greaterThan" dxfId="12">
      <formula>0.85</formula>
    </cfRule>
  </conditionalFormatting>
  <conditionalFormatting sqref="N16">
    <cfRule type="cellIs" priority="2633" operator="greaterThan" dxfId="13">
      <formula>0.9</formula>
    </cfRule>
    <cfRule type="cellIs" priority="2634" operator="greaterThan" dxfId="12">
      <formula>0.85</formula>
    </cfRule>
  </conditionalFormatting>
  <conditionalFormatting sqref="E16">
    <cfRule type="expression" priority="2629" dxfId="3">
      <formula>AND(IF(OR($Q16=1,$Q16=2),1,0),IF($X16&lt;=20,1,0))</formula>
    </cfRule>
    <cfRule type="expression" priority="2630" dxfId="2">
      <formula>AND(IF($Q16=2,1,0),IF($X16&lt;30,1,0))</formula>
    </cfRule>
    <cfRule type="expression" priority="2631" dxfId="1">
      <formula>AND(IF($Q16=3,1,0),IF($X16&lt;30,1,0))</formula>
    </cfRule>
    <cfRule type="expression" priority="2632" dxfId="0">
      <formula>AND(IF($Q16=3,1,IF($Q16=4,1,0)),IF($F16&lt;=85,1,0))</formula>
    </cfRule>
  </conditionalFormatting>
  <conditionalFormatting sqref="X16">
    <cfRule type="expression" priority="2625" dxfId="3">
      <formula>AND(IF(OR($Q16=1,$Q16=2),1,0),IF($X16&lt;=20,1,0))</formula>
    </cfRule>
    <cfRule type="expression" priority="2626" dxfId="2">
      <formula>AND(IF($Q16=2,1,0),IF($X16&lt;30,1,0))</formula>
    </cfRule>
    <cfRule type="expression" priority="2627" dxfId="1">
      <formula>AND(IF($Q16=3,1,0),IF($X16&lt;30,1,0))</formula>
    </cfRule>
    <cfRule type="expression" priority="2628" dxfId="0">
      <formula>AND(IF($Q16=3,1,IF($Q16=4,1,0)),IF($F16&lt;=85,1,0))</formula>
    </cfRule>
  </conditionalFormatting>
  <conditionalFormatting sqref="AI16">
    <cfRule type="expression" priority="2621" dxfId="3">
      <formula>AND(IF(OR($Q16=1,$Q16=2),1,0),IF($X16&lt;=20,1,0))</formula>
    </cfRule>
    <cfRule type="expression" priority="2622" dxfId="2">
      <formula>AND(IF($Q16=2,1,0),IF($X16&lt;30,1,0))</formula>
    </cfRule>
    <cfRule type="expression" priority="2623" dxfId="1">
      <formula>AND(IF($Q16=3,1,0),IF($X16&lt;30,1,0))</formula>
    </cfRule>
    <cfRule type="expression" priority="2624" dxfId="0">
      <formula>AND(IF($Q16=3,1,IF($Q16=4,1,0)),IF($F16&lt;=85,1,0))</formula>
    </cfRule>
  </conditionalFormatting>
  <conditionalFormatting sqref="AV17">
    <cfRule type="expression" priority="2619" dxfId="17">
      <formula>AV17="X"</formula>
    </cfRule>
    <cfRule type="expression" priority="2620" dxfId="16">
      <formula>AV17="후보"</formula>
    </cfRule>
  </conditionalFormatting>
  <conditionalFormatting sqref="AC17">
    <cfRule type="cellIs" priority="2616" operator="greaterThan" dxfId="13">
      <formula>0.9</formula>
    </cfRule>
    <cfRule type="cellIs" priority="2617" operator="greaterThan" dxfId="12">
      <formula>0.85</formula>
    </cfRule>
  </conditionalFormatting>
  <conditionalFormatting sqref="N17">
    <cfRule type="cellIs" priority="2614" operator="greaterThan" dxfId="13">
      <formula>0.9</formula>
    </cfRule>
    <cfRule type="cellIs" priority="2615" operator="greaterThan" dxfId="12">
      <formula>0.85</formula>
    </cfRule>
  </conditionalFormatting>
  <conditionalFormatting sqref="E17">
    <cfRule type="expression" priority="2610" dxfId="3">
      <formula>AND(IF(OR($Q17=1,$Q17=2),1,0),IF($X17&lt;=20,1,0))</formula>
    </cfRule>
    <cfRule type="expression" priority="2611" dxfId="2">
      <formula>AND(IF($Q17=2,1,0),IF($X17&lt;30,1,0))</formula>
    </cfRule>
    <cfRule type="expression" priority="2612" dxfId="1">
      <formula>AND(IF($Q17=3,1,0),IF($X17&lt;30,1,0))</formula>
    </cfRule>
    <cfRule type="expression" priority="2613" dxfId="0">
      <formula>AND(IF($Q17=3,1,IF($Q17=4,1,0)),IF($F17&lt;=85,1,0))</formula>
    </cfRule>
  </conditionalFormatting>
  <conditionalFormatting sqref="X17">
    <cfRule type="expression" priority="2606" dxfId="3">
      <formula>AND(IF(OR($Q17=1,$Q17=2),1,0),IF($X17&lt;=20,1,0))</formula>
    </cfRule>
    <cfRule type="expression" priority="2607" dxfId="2">
      <formula>AND(IF($Q17=2,1,0),IF($X17&lt;30,1,0))</formula>
    </cfRule>
    <cfRule type="expression" priority="2608" dxfId="1">
      <formula>AND(IF($Q17=3,1,0),IF($X17&lt;30,1,0))</formula>
    </cfRule>
    <cfRule type="expression" priority="2609" dxfId="0">
      <formula>AND(IF($Q17=3,1,IF($Q17=4,1,0)),IF($F17&lt;=85,1,0))</formula>
    </cfRule>
  </conditionalFormatting>
  <conditionalFormatting sqref="AI17">
    <cfRule type="expression" priority="2602" dxfId="3">
      <formula>AND(IF(OR($Q17=1,$Q17=2),1,0),IF($X17&lt;=20,1,0))</formula>
    </cfRule>
    <cfRule type="expression" priority="2603" dxfId="2">
      <formula>AND(IF($Q17=2,1,0),IF($X17&lt;30,1,0))</formula>
    </cfRule>
    <cfRule type="expression" priority="2604" dxfId="1">
      <formula>AND(IF($Q17=3,1,0),IF($X17&lt;30,1,0))</formula>
    </cfRule>
    <cfRule type="expression" priority="2605" dxfId="0">
      <formula>AND(IF($Q17=3,1,IF($Q17=4,1,0)),IF($F17&lt;=85,1,0))</formula>
    </cfRule>
  </conditionalFormatting>
  <conditionalFormatting sqref="AV18">
    <cfRule type="expression" priority="2600" dxfId="17">
      <formula>AV18="X"</formula>
    </cfRule>
    <cfRule type="expression" priority="2601" dxfId="16">
      <formula>AV18="후보"</formula>
    </cfRule>
  </conditionalFormatting>
  <conditionalFormatting sqref="AC18">
    <cfRule type="cellIs" priority="2597" operator="greaterThan" dxfId="13">
      <formula>0.9</formula>
    </cfRule>
    <cfRule type="cellIs" priority="2598" operator="greaterThan" dxfId="12">
      <formula>0.85</formula>
    </cfRule>
  </conditionalFormatting>
  <conditionalFormatting sqref="N18">
    <cfRule type="cellIs" priority="2595" operator="greaterThan" dxfId="13">
      <formula>0.9</formula>
    </cfRule>
    <cfRule type="cellIs" priority="2596" operator="greaterThan" dxfId="12">
      <formula>0.85</formula>
    </cfRule>
  </conditionalFormatting>
  <conditionalFormatting sqref="E18">
    <cfRule type="expression" priority="2591" dxfId="3">
      <formula>AND(IF(OR($Q18=1,$Q18=2),1,0),IF($X18&lt;=20,1,0))</formula>
    </cfRule>
    <cfRule type="expression" priority="2592" dxfId="2">
      <formula>AND(IF($Q18=2,1,0),IF($X18&lt;30,1,0))</formula>
    </cfRule>
    <cfRule type="expression" priority="2593" dxfId="1">
      <formula>AND(IF($Q18=3,1,0),IF($X18&lt;30,1,0))</formula>
    </cfRule>
    <cfRule type="expression" priority="2594" dxfId="0">
      <formula>AND(IF($Q18=3,1,IF($Q18=4,1,0)),IF($F18&lt;=85,1,0))</formula>
    </cfRule>
  </conditionalFormatting>
  <conditionalFormatting sqref="X18">
    <cfRule type="expression" priority="2587" dxfId="3">
      <formula>AND(IF(OR($Q18=1,$Q18=2),1,0),IF($X18&lt;=20,1,0))</formula>
    </cfRule>
    <cfRule type="expression" priority="2588" dxfId="2">
      <formula>AND(IF($Q18=2,1,0),IF($X18&lt;30,1,0))</formula>
    </cfRule>
    <cfRule type="expression" priority="2589" dxfId="1">
      <formula>AND(IF($Q18=3,1,0),IF($X18&lt;30,1,0))</formula>
    </cfRule>
    <cfRule type="expression" priority="2590" dxfId="0">
      <formula>AND(IF($Q18=3,1,IF($Q18=4,1,0)),IF($F18&lt;=85,1,0))</formula>
    </cfRule>
  </conditionalFormatting>
  <conditionalFormatting sqref="AI18">
    <cfRule type="expression" priority="2583" dxfId="3">
      <formula>AND(IF(OR($Q18=1,$Q18=2),1,0),IF($X18&lt;=20,1,0))</formula>
    </cfRule>
    <cfRule type="expression" priority="2584" dxfId="2">
      <formula>AND(IF($Q18=2,1,0),IF($X18&lt;30,1,0))</formula>
    </cfRule>
    <cfRule type="expression" priority="2585" dxfId="1">
      <formula>AND(IF($Q18=3,1,0),IF($X18&lt;30,1,0))</formula>
    </cfRule>
    <cfRule type="expression" priority="2586" dxfId="0">
      <formula>AND(IF($Q18=3,1,IF($Q18=4,1,0)),IF($F18&lt;=85,1,0))</formula>
    </cfRule>
  </conditionalFormatting>
  <conditionalFormatting sqref="AV19">
    <cfRule type="expression" priority="2581" dxfId="17">
      <formula>AV19="X"</formula>
    </cfRule>
    <cfRule type="expression" priority="2582" dxfId="16">
      <formula>AV19="후보"</formula>
    </cfRule>
  </conditionalFormatting>
  <conditionalFormatting sqref="AC19">
    <cfRule type="cellIs" priority="2578" operator="greaterThan" dxfId="13">
      <formula>0.9</formula>
    </cfRule>
    <cfRule type="cellIs" priority="2579" operator="greaterThan" dxfId="12">
      <formula>0.85</formula>
    </cfRule>
  </conditionalFormatting>
  <conditionalFormatting sqref="N19">
    <cfRule type="cellIs" priority="2576" operator="greaterThan" dxfId="13">
      <formula>0.9</formula>
    </cfRule>
    <cfRule type="cellIs" priority="2577" operator="greaterThan" dxfId="12">
      <formula>0.85</formula>
    </cfRule>
  </conditionalFormatting>
  <conditionalFormatting sqref="E19">
    <cfRule type="expression" priority="2572" dxfId="3">
      <formula>AND(IF(OR($Q19=1,$Q19=2),1,0),IF($X19&lt;=20,1,0))</formula>
    </cfRule>
    <cfRule type="expression" priority="2573" dxfId="2">
      <formula>AND(IF($Q19=2,1,0),IF($X19&lt;30,1,0))</formula>
    </cfRule>
    <cfRule type="expression" priority="2574" dxfId="1">
      <formula>AND(IF($Q19=3,1,0),IF($X19&lt;30,1,0))</formula>
    </cfRule>
    <cfRule type="expression" priority="2575" dxfId="0">
      <formula>AND(IF($Q19=3,1,IF($Q19=4,1,0)),IF($F19&lt;=85,1,0))</formula>
    </cfRule>
  </conditionalFormatting>
  <conditionalFormatting sqref="X19">
    <cfRule type="expression" priority="2568" dxfId="3">
      <formula>AND(IF(OR($Q19=1,$Q19=2),1,0),IF($X19&lt;=20,1,0))</formula>
    </cfRule>
    <cfRule type="expression" priority="2569" dxfId="2">
      <formula>AND(IF($Q19=2,1,0),IF($X19&lt;30,1,0))</formula>
    </cfRule>
    <cfRule type="expression" priority="2570" dxfId="1">
      <formula>AND(IF($Q19=3,1,0),IF($X19&lt;30,1,0))</formula>
    </cfRule>
    <cfRule type="expression" priority="2571" dxfId="0">
      <formula>AND(IF($Q19=3,1,IF($Q19=4,1,0)),IF($F19&lt;=85,1,0))</formula>
    </cfRule>
  </conditionalFormatting>
  <conditionalFormatting sqref="AI19">
    <cfRule type="expression" priority="2564" dxfId="3">
      <formula>AND(IF(OR($Q19=1,$Q19=2),1,0),IF($X19&lt;=20,1,0))</formula>
    </cfRule>
    <cfRule type="expression" priority="2565" dxfId="2">
      <formula>AND(IF($Q19=2,1,0),IF($X19&lt;30,1,0))</formula>
    </cfRule>
    <cfRule type="expression" priority="2566" dxfId="1">
      <formula>AND(IF($Q19=3,1,0),IF($X19&lt;30,1,0))</formula>
    </cfRule>
    <cfRule type="expression" priority="2567" dxfId="0">
      <formula>AND(IF($Q19=3,1,IF($Q19=4,1,0)),IF($F19&lt;=85,1,0))</formula>
    </cfRule>
  </conditionalFormatting>
  <conditionalFormatting sqref="AV20">
    <cfRule type="expression" priority="2562" dxfId="17">
      <formula>AV20="X"</formula>
    </cfRule>
    <cfRule type="expression" priority="2563" dxfId="16">
      <formula>AV20="후보"</formula>
    </cfRule>
  </conditionalFormatting>
  <conditionalFormatting sqref="AC20">
    <cfRule type="cellIs" priority="2559" operator="greaterThan" dxfId="13">
      <formula>0.9</formula>
    </cfRule>
    <cfRule type="cellIs" priority="2560" operator="greaterThan" dxfId="12">
      <formula>0.85</formula>
    </cfRule>
  </conditionalFormatting>
  <conditionalFormatting sqref="N20">
    <cfRule type="cellIs" priority="2557" operator="greaterThan" dxfId="13">
      <formula>0.9</formula>
    </cfRule>
    <cfRule type="cellIs" priority="2558" operator="greaterThan" dxfId="12">
      <formula>0.85</formula>
    </cfRule>
  </conditionalFormatting>
  <conditionalFormatting sqref="E20">
    <cfRule type="expression" priority="2553" dxfId="3">
      <formula>AND(IF(OR($Q20=1,$Q20=2),1,0),IF($X20&lt;=20,1,0))</formula>
    </cfRule>
    <cfRule type="expression" priority="2554" dxfId="2">
      <formula>AND(IF($Q20=2,1,0),IF($X20&lt;30,1,0))</formula>
    </cfRule>
    <cfRule type="expression" priority="2555" dxfId="1">
      <formula>AND(IF($Q20=3,1,0),IF($X20&lt;30,1,0))</formula>
    </cfRule>
    <cfRule type="expression" priority="2556" dxfId="0">
      <formula>AND(IF($Q20=3,1,IF($Q20=4,1,0)),IF($F20&lt;=85,1,0))</formula>
    </cfRule>
  </conditionalFormatting>
  <conditionalFormatting sqref="X20">
    <cfRule type="expression" priority="2549" dxfId="3">
      <formula>AND(IF(OR($Q20=1,$Q20=2),1,0),IF($X20&lt;=20,1,0))</formula>
    </cfRule>
    <cfRule type="expression" priority="2550" dxfId="2">
      <formula>AND(IF($Q20=2,1,0),IF($X20&lt;30,1,0))</formula>
    </cfRule>
    <cfRule type="expression" priority="2551" dxfId="1">
      <formula>AND(IF($Q20=3,1,0),IF($X20&lt;30,1,0))</formula>
    </cfRule>
    <cfRule type="expression" priority="2552" dxfId="0">
      <formula>AND(IF($Q20=3,1,IF($Q20=4,1,0)),IF($F20&lt;=85,1,0))</formula>
    </cfRule>
  </conditionalFormatting>
  <conditionalFormatting sqref="AI20">
    <cfRule type="expression" priority="2545" dxfId="3">
      <formula>AND(IF(OR($Q20=1,$Q20=2),1,0),IF($X20&lt;=20,1,0))</formula>
    </cfRule>
    <cfRule type="expression" priority="2546" dxfId="2">
      <formula>AND(IF($Q20=2,1,0),IF($X20&lt;30,1,0))</formula>
    </cfRule>
    <cfRule type="expression" priority="2547" dxfId="1">
      <formula>AND(IF($Q20=3,1,0),IF($X20&lt;30,1,0))</formula>
    </cfRule>
    <cfRule type="expression" priority="2548" dxfId="0">
      <formula>AND(IF($Q20=3,1,IF($Q20=4,1,0)),IF($F20&lt;=85,1,0))</formula>
    </cfRule>
  </conditionalFormatting>
  <conditionalFormatting sqref="AV21">
    <cfRule type="expression" priority="2543" dxfId="17">
      <formula>AV21="X"</formula>
    </cfRule>
    <cfRule type="expression" priority="2544" dxfId="16">
      <formula>AV21="후보"</formula>
    </cfRule>
  </conditionalFormatting>
  <conditionalFormatting sqref="AC21">
    <cfRule type="cellIs" priority="2540" operator="greaterThan" dxfId="13">
      <formula>0.9</formula>
    </cfRule>
    <cfRule type="cellIs" priority="2541" operator="greaterThan" dxfId="12">
      <formula>0.85</formula>
    </cfRule>
  </conditionalFormatting>
  <conditionalFormatting sqref="N21">
    <cfRule type="cellIs" priority="2538" operator="greaterThan" dxfId="13">
      <formula>0.9</formula>
    </cfRule>
    <cfRule type="cellIs" priority="2539" operator="greaterThan" dxfId="12">
      <formula>0.85</formula>
    </cfRule>
  </conditionalFormatting>
  <conditionalFormatting sqref="E21">
    <cfRule type="expression" priority="2534" dxfId="3">
      <formula>AND(IF(OR($Q21=1,$Q21=2),1,0),IF($X21&lt;=20,1,0))</formula>
    </cfRule>
    <cfRule type="expression" priority="2535" dxfId="2">
      <formula>AND(IF($Q21=2,1,0),IF($X21&lt;30,1,0))</formula>
    </cfRule>
    <cfRule type="expression" priority="2536" dxfId="1">
      <formula>AND(IF($Q21=3,1,0),IF($X21&lt;30,1,0))</formula>
    </cfRule>
    <cfRule type="expression" priority="2537" dxfId="0">
      <formula>AND(IF($Q21=3,1,IF($Q21=4,1,0)),IF($F21&lt;=85,1,0))</formula>
    </cfRule>
  </conditionalFormatting>
  <conditionalFormatting sqref="X21">
    <cfRule type="expression" priority="2530" dxfId="3">
      <formula>AND(IF(OR($Q21=1,$Q21=2),1,0),IF($X21&lt;=20,1,0))</formula>
    </cfRule>
    <cfRule type="expression" priority="2531" dxfId="2">
      <formula>AND(IF($Q21=2,1,0),IF($X21&lt;30,1,0))</formula>
    </cfRule>
    <cfRule type="expression" priority="2532" dxfId="1">
      <formula>AND(IF($Q21=3,1,0),IF($X21&lt;30,1,0))</formula>
    </cfRule>
    <cfRule type="expression" priority="2533" dxfId="0">
      <formula>AND(IF($Q21=3,1,IF($Q21=4,1,0)),IF($F21&lt;=85,1,0))</formula>
    </cfRule>
  </conditionalFormatting>
  <conditionalFormatting sqref="AI21">
    <cfRule type="expression" priority="2526" dxfId="3">
      <formula>AND(IF(OR($Q21=1,$Q21=2),1,0),IF($X21&lt;=20,1,0))</formula>
    </cfRule>
    <cfRule type="expression" priority="2527" dxfId="2">
      <formula>AND(IF($Q21=2,1,0),IF($X21&lt;30,1,0))</formula>
    </cfRule>
    <cfRule type="expression" priority="2528" dxfId="1">
      <formula>AND(IF($Q21=3,1,0),IF($X21&lt;30,1,0))</formula>
    </cfRule>
    <cfRule type="expression" priority="2529" dxfId="0">
      <formula>AND(IF($Q21=3,1,IF($Q21=4,1,0)),IF($F21&lt;=85,1,0))</formula>
    </cfRule>
  </conditionalFormatting>
  <conditionalFormatting sqref="AV22">
    <cfRule type="expression" priority="2524" dxfId="17">
      <formula>AV22="X"</formula>
    </cfRule>
    <cfRule type="expression" priority="2525" dxfId="16">
      <formula>AV22="후보"</formula>
    </cfRule>
  </conditionalFormatting>
  <conditionalFormatting sqref="AC22">
    <cfRule type="cellIs" priority="2521" operator="greaterThan" dxfId="13">
      <formula>0.9</formula>
    </cfRule>
    <cfRule type="cellIs" priority="2522" operator="greaterThan" dxfId="12">
      <formula>0.85</formula>
    </cfRule>
  </conditionalFormatting>
  <conditionalFormatting sqref="N22">
    <cfRule type="cellIs" priority="2519" operator="greaterThan" dxfId="13">
      <formula>0.9</formula>
    </cfRule>
    <cfRule type="cellIs" priority="2520" operator="greaterThan" dxfId="12">
      <formula>0.85</formula>
    </cfRule>
  </conditionalFormatting>
  <conditionalFormatting sqref="E22">
    <cfRule type="expression" priority="2515" dxfId="3">
      <formula>AND(IF(OR($Q22=1,$Q22=2),1,0),IF($X22&lt;=20,1,0))</formula>
    </cfRule>
    <cfRule type="expression" priority="2516" dxfId="2">
      <formula>AND(IF($Q22=2,1,0),IF($X22&lt;30,1,0))</formula>
    </cfRule>
    <cfRule type="expression" priority="2517" dxfId="1">
      <formula>AND(IF($Q22=3,1,0),IF($X22&lt;30,1,0))</formula>
    </cfRule>
    <cfRule type="expression" priority="2518" dxfId="0">
      <formula>AND(IF($Q22=3,1,IF($Q22=4,1,0)),IF($F22&lt;=85,1,0))</formula>
    </cfRule>
  </conditionalFormatting>
  <conditionalFormatting sqref="X22">
    <cfRule type="expression" priority="2511" dxfId="3">
      <formula>AND(IF(OR($Q22=1,$Q22=2),1,0),IF($X22&lt;=20,1,0))</formula>
    </cfRule>
    <cfRule type="expression" priority="2512" dxfId="2">
      <formula>AND(IF($Q22=2,1,0),IF($X22&lt;30,1,0))</formula>
    </cfRule>
    <cfRule type="expression" priority="2513" dxfId="1">
      <formula>AND(IF($Q22=3,1,0),IF($X22&lt;30,1,0))</formula>
    </cfRule>
    <cfRule type="expression" priority="2514" dxfId="0">
      <formula>AND(IF($Q22=3,1,IF($Q22=4,1,0)),IF($F22&lt;=85,1,0))</formula>
    </cfRule>
  </conditionalFormatting>
  <conditionalFormatting sqref="AI22">
    <cfRule type="expression" priority="2507" dxfId="3">
      <formula>AND(IF(OR($Q22=1,$Q22=2),1,0),IF($X22&lt;=20,1,0))</formula>
    </cfRule>
    <cfRule type="expression" priority="2508" dxfId="2">
      <formula>AND(IF($Q22=2,1,0),IF($X22&lt;30,1,0))</formula>
    </cfRule>
    <cfRule type="expression" priority="2509" dxfId="1">
      <formula>AND(IF($Q22=3,1,0),IF($X22&lt;30,1,0))</formula>
    </cfRule>
    <cfRule type="expression" priority="2510" dxfId="0">
      <formula>AND(IF($Q22=3,1,IF($Q22=4,1,0)),IF($F22&lt;=85,1,0))</formula>
    </cfRule>
  </conditionalFormatting>
  <conditionalFormatting sqref="AV23">
    <cfRule type="expression" priority="2505" dxfId="17">
      <formula>AV23="X"</formula>
    </cfRule>
    <cfRule type="expression" priority="2506" dxfId="16">
      <formula>AV23="후보"</formula>
    </cfRule>
  </conditionalFormatting>
  <conditionalFormatting sqref="AC23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N23">
    <cfRule type="cellIs" priority="2500" operator="greaterThan" dxfId="13">
      <formula>0.9</formula>
    </cfRule>
    <cfRule type="cellIs" priority="2501" operator="greaterThan" dxfId="12">
      <formula>0.85</formula>
    </cfRule>
  </conditionalFormatting>
  <conditionalFormatting sqref="E23">
    <cfRule type="expression" priority="2496" dxfId="3">
      <formula>AND(IF(OR($Q23=1,$Q23=2),1,0),IF($X23&lt;=20,1,0))</formula>
    </cfRule>
    <cfRule type="expression" priority="2497" dxfId="2">
      <formula>AND(IF($Q23=2,1,0),IF($X23&lt;30,1,0))</formula>
    </cfRule>
    <cfRule type="expression" priority="2498" dxfId="1">
      <formula>AND(IF($Q23=3,1,0),IF($X23&lt;30,1,0))</formula>
    </cfRule>
    <cfRule type="expression" priority="2499" dxfId="0">
      <formula>AND(IF($Q23=3,1,IF($Q23=4,1,0)),IF($F23&lt;=85,1,0))</formula>
    </cfRule>
  </conditionalFormatting>
  <conditionalFormatting sqref="X23">
    <cfRule type="expression" priority="2492" dxfId="3">
      <formula>AND(IF(OR($Q23=1,$Q23=2),1,0),IF($X23&lt;=20,1,0))</formula>
    </cfRule>
    <cfRule type="expression" priority="2493" dxfId="2">
      <formula>AND(IF($Q23=2,1,0),IF($X23&lt;30,1,0))</formula>
    </cfRule>
    <cfRule type="expression" priority="2494" dxfId="1">
      <formula>AND(IF($Q23=3,1,0),IF($X23&lt;30,1,0))</formula>
    </cfRule>
    <cfRule type="expression" priority="2495" dxfId="0">
      <formula>AND(IF($Q23=3,1,IF($Q23=4,1,0)),IF($F23&lt;=85,1,0))</formula>
    </cfRule>
  </conditionalFormatting>
  <conditionalFormatting sqref="AI23">
    <cfRule type="expression" priority="2488" dxfId="3">
      <formula>AND(IF(OR($Q23=1,$Q23=2),1,0),IF($X23&lt;=20,1,0))</formula>
    </cfRule>
    <cfRule type="expression" priority="2489" dxfId="2">
      <formula>AND(IF($Q23=2,1,0),IF($X23&lt;30,1,0))</formula>
    </cfRule>
    <cfRule type="expression" priority="2490" dxfId="1">
      <formula>AND(IF($Q23=3,1,0),IF($X23&lt;30,1,0))</formula>
    </cfRule>
    <cfRule type="expression" priority="2491" dxfId="0">
      <formula>AND(IF($Q23=3,1,IF($Q23=4,1,0)),IF($F23&lt;=85,1,0))</formula>
    </cfRule>
  </conditionalFormatting>
  <conditionalFormatting sqref="AV24">
    <cfRule type="expression" priority="2486" dxfId="17">
      <formula>AV24="X"</formula>
    </cfRule>
    <cfRule type="expression" priority="2487" dxfId="16">
      <formula>AV24="후보"</formula>
    </cfRule>
  </conditionalFormatting>
  <conditionalFormatting sqref="AC24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N24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E24">
    <cfRule type="expression" priority="2477" dxfId="3">
      <formula>AND(IF(OR($Q24=1,$Q24=2),1,0),IF($X24&lt;=20,1,0))</formula>
    </cfRule>
    <cfRule type="expression" priority="2478" dxfId="2">
      <formula>AND(IF($Q24=2,1,0),IF($X24&lt;30,1,0))</formula>
    </cfRule>
    <cfRule type="expression" priority="2479" dxfId="1">
      <formula>AND(IF($Q24=3,1,0),IF($X24&lt;30,1,0))</formula>
    </cfRule>
    <cfRule type="expression" priority="2480" dxfId="0">
      <formula>AND(IF($Q24=3,1,IF($Q24=4,1,0)),IF($F24&lt;=85,1,0))</formula>
    </cfRule>
  </conditionalFormatting>
  <conditionalFormatting sqref="X24">
    <cfRule type="expression" priority="2473" dxfId="3">
      <formula>AND(IF(OR($Q24=1,$Q24=2),1,0),IF($X24&lt;=20,1,0))</formula>
    </cfRule>
    <cfRule type="expression" priority="2474" dxfId="2">
      <formula>AND(IF($Q24=2,1,0),IF($X24&lt;30,1,0))</formula>
    </cfRule>
    <cfRule type="expression" priority="2475" dxfId="1">
      <formula>AND(IF($Q24=3,1,0),IF($X24&lt;30,1,0))</formula>
    </cfRule>
    <cfRule type="expression" priority="2476" dxfId="0">
      <formula>AND(IF($Q24=3,1,IF($Q24=4,1,0)),IF($F24&lt;=85,1,0))</formula>
    </cfRule>
  </conditionalFormatting>
  <conditionalFormatting sqref="AI24">
    <cfRule type="expression" priority="2469" dxfId="3">
      <formula>AND(IF(OR($Q24=1,$Q24=2),1,0),IF($X24&lt;=20,1,0))</formula>
    </cfRule>
    <cfRule type="expression" priority="2470" dxfId="2">
      <formula>AND(IF($Q24=2,1,0),IF($X24&lt;30,1,0))</formula>
    </cfRule>
    <cfRule type="expression" priority="2471" dxfId="1">
      <formula>AND(IF($Q24=3,1,0),IF($X24&lt;30,1,0))</formula>
    </cfRule>
    <cfRule type="expression" priority="2472" dxfId="0">
      <formula>AND(IF($Q24=3,1,IF($Q24=4,1,0)),IF($F24&lt;=85,1,0))</formula>
    </cfRule>
  </conditionalFormatting>
  <conditionalFormatting sqref="AV25">
    <cfRule type="expression" priority="2467" dxfId="17">
      <formula>AV25="X"</formula>
    </cfRule>
    <cfRule type="expression" priority="2468" dxfId="16">
      <formula>AV25="후보"</formula>
    </cfRule>
  </conditionalFormatting>
  <conditionalFormatting sqref="AC25">
    <cfRule type="cellIs" priority="2464" operator="greaterThan" dxfId="13">
      <formula>0.9</formula>
    </cfRule>
    <cfRule type="cellIs" priority="2465" operator="greaterThan" dxfId="12">
      <formula>0.85</formula>
    </cfRule>
  </conditionalFormatting>
  <conditionalFormatting sqref="N25">
    <cfRule type="cellIs" priority="2462" operator="greaterThan" dxfId="13">
      <formula>0.9</formula>
    </cfRule>
    <cfRule type="cellIs" priority="2463" operator="greaterThan" dxfId="12">
      <formula>0.85</formula>
    </cfRule>
  </conditionalFormatting>
  <conditionalFormatting sqref="E25">
    <cfRule type="expression" priority="2458" dxfId="3">
      <formula>AND(IF(OR($Q25=1,$Q25=2),1,0),IF($X25&lt;=20,1,0))</formula>
    </cfRule>
    <cfRule type="expression" priority="2459" dxfId="2">
      <formula>AND(IF($Q25=2,1,0),IF($X25&lt;30,1,0))</formula>
    </cfRule>
    <cfRule type="expression" priority="2460" dxfId="1">
      <formula>AND(IF($Q25=3,1,0),IF($X25&lt;30,1,0))</formula>
    </cfRule>
    <cfRule type="expression" priority="2461" dxfId="0">
      <formula>AND(IF($Q25=3,1,IF($Q25=4,1,0)),IF($F25&lt;=85,1,0))</formula>
    </cfRule>
  </conditionalFormatting>
  <conditionalFormatting sqref="X25">
    <cfRule type="expression" priority="2454" dxfId="3">
      <formula>AND(IF(OR($Q25=1,$Q25=2),1,0),IF($X25&lt;=20,1,0))</formula>
    </cfRule>
    <cfRule type="expression" priority="2455" dxfId="2">
      <formula>AND(IF($Q25=2,1,0),IF($X25&lt;30,1,0))</formula>
    </cfRule>
    <cfRule type="expression" priority="2456" dxfId="1">
      <formula>AND(IF($Q25=3,1,0),IF($X25&lt;30,1,0))</formula>
    </cfRule>
    <cfRule type="expression" priority="2457" dxfId="0">
      <formula>AND(IF($Q25=3,1,IF($Q25=4,1,0)),IF($F25&lt;=85,1,0))</formula>
    </cfRule>
  </conditionalFormatting>
  <conditionalFormatting sqref="AI25">
    <cfRule type="expression" priority="2450" dxfId="3">
      <formula>AND(IF(OR($Q25=1,$Q25=2),1,0),IF($X25&lt;=20,1,0))</formula>
    </cfRule>
    <cfRule type="expression" priority="2451" dxfId="2">
      <formula>AND(IF($Q25=2,1,0),IF($X25&lt;30,1,0))</formula>
    </cfRule>
    <cfRule type="expression" priority="2452" dxfId="1">
      <formula>AND(IF($Q25=3,1,0),IF($X25&lt;30,1,0))</formula>
    </cfRule>
    <cfRule type="expression" priority="2453" dxfId="0">
      <formula>AND(IF($Q25=3,1,IF($Q25=4,1,0)),IF($F25&lt;=85,1,0))</formula>
    </cfRule>
  </conditionalFormatting>
  <conditionalFormatting sqref="AV26">
    <cfRule type="expression" priority="2448" dxfId="17">
      <formula>AV26="X"</formula>
    </cfRule>
    <cfRule type="expression" priority="2449" dxfId="16">
      <formula>AV26="후보"</formula>
    </cfRule>
  </conditionalFormatting>
  <conditionalFormatting sqref="AC26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26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26">
    <cfRule type="expression" priority="2439" dxfId="3">
      <formula>AND(IF(OR($Q26=1,$Q26=2),1,0),IF($X26&lt;=20,1,0))</formula>
    </cfRule>
    <cfRule type="expression" priority="2440" dxfId="2">
      <formula>AND(IF($Q26=2,1,0),IF($X26&lt;30,1,0))</formula>
    </cfRule>
    <cfRule type="expression" priority="2441" dxfId="1">
      <formula>AND(IF($Q26=3,1,0),IF($X26&lt;30,1,0))</formula>
    </cfRule>
    <cfRule type="expression" priority="2442" dxfId="0">
      <formula>AND(IF($Q26=3,1,IF($Q26=4,1,0)),IF($F26&lt;=85,1,0))</formula>
    </cfRule>
  </conditionalFormatting>
  <conditionalFormatting sqref="X26">
    <cfRule type="expression" priority="2435" dxfId="3">
      <formula>AND(IF(OR($Q26=1,$Q26=2),1,0),IF($X26&lt;=20,1,0))</formula>
    </cfRule>
    <cfRule type="expression" priority="2436" dxfId="2">
      <formula>AND(IF($Q26=2,1,0),IF($X26&lt;30,1,0))</formula>
    </cfRule>
    <cfRule type="expression" priority="2437" dxfId="1">
      <formula>AND(IF($Q26=3,1,0),IF($X26&lt;30,1,0))</formula>
    </cfRule>
    <cfRule type="expression" priority="2438" dxfId="0">
      <formula>AND(IF($Q26=3,1,IF($Q26=4,1,0)),IF($F26&lt;=85,1,0))</formula>
    </cfRule>
  </conditionalFormatting>
  <conditionalFormatting sqref="AI26">
    <cfRule type="expression" priority="2431" dxfId="3">
      <formula>AND(IF(OR($Q26=1,$Q26=2),1,0),IF($X26&lt;=20,1,0))</formula>
    </cfRule>
    <cfRule type="expression" priority="2432" dxfId="2">
      <formula>AND(IF($Q26=2,1,0),IF($X26&lt;30,1,0))</formula>
    </cfRule>
    <cfRule type="expression" priority="2433" dxfId="1">
      <formula>AND(IF($Q26=3,1,0),IF($X26&lt;30,1,0))</formula>
    </cfRule>
    <cfRule type="expression" priority="2434" dxfId="0">
      <formula>AND(IF($Q26=3,1,IF($Q26=4,1,0)),IF($F26&lt;=85,1,0))</formula>
    </cfRule>
  </conditionalFormatting>
  <conditionalFormatting sqref="AV27">
    <cfRule type="expression" priority="2429" dxfId="17">
      <formula>AV27="X"</formula>
    </cfRule>
    <cfRule type="expression" priority="2430" dxfId="16">
      <formula>AV27="후보"</formula>
    </cfRule>
  </conditionalFormatting>
  <conditionalFormatting sqref="AC27">
    <cfRule type="cellIs" priority="2426" operator="greaterThan" dxfId="13">
      <formula>0.9</formula>
    </cfRule>
    <cfRule type="cellIs" priority="2427" operator="greaterThan" dxfId="12">
      <formula>0.85</formula>
    </cfRule>
  </conditionalFormatting>
  <conditionalFormatting sqref="N27">
    <cfRule type="cellIs" priority="2424" operator="greaterThan" dxfId="13">
      <formula>0.9</formula>
    </cfRule>
    <cfRule type="cellIs" priority="2425" operator="greaterThan" dxfId="12">
      <formula>0.85</formula>
    </cfRule>
  </conditionalFormatting>
  <conditionalFormatting sqref="E27">
    <cfRule type="expression" priority="2420" dxfId="3">
      <formula>AND(IF(OR($Q27=1,$Q27=2),1,0),IF($X27&lt;=20,1,0))</formula>
    </cfRule>
    <cfRule type="expression" priority="2421" dxfId="2">
      <formula>AND(IF($Q27=2,1,0),IF($X27&lt;30,1,0))</formula>
    </cfRule>
    <cfRule type="expression" priority="2422" dxfId="1">
      <formula>AND(IF($Q27=3,1,0),IF($X27&lt;30,1,0))</formula>
    </cfRule>
    <cfRule type="expression" priority="2423" dxfId="0">
      <formula>AND(IF($Q27=3,1,IF($Q27=4,1,0)),IF($F27&lt;=85,1,0))</formula>
    </cfRule>
  </conditionalFormatting>
  <conditionalFormatting sqref="X27">
    <cfRule type="expression" priority="2416" dxfId="3">
      <formula>AND(IF(OR($Q27=1,$Q27=2),1,0),IF($X27&lt;=20,1,0))</formula>
    </cfRule>
    <cfRule type="expression" priority="2417" dxfId="2">
      <formula>AND(IF($Q27=2,1,0),IF($X27&lt;30,1,0))</formula>
    </cfRule>
    <cfRule type="expression" priority="2418" dxfId="1">
      <formula>AND(IF($Q27=3,1,0),IF($X27&lt;30,1,0))</formula>
    </cfRule>
    <cfRule type="expression" priority="2419" dxfId="0">
      <formula>AND(IF($Q27=3,1,IF($Q27=4,1,0)),IF($F27&lt;=85,1,0))</formula>
    </cfRule>
  </conditionalFormatting>
  <conditionalFormatting sqref="AI27">
    <cfRule type="expression" priority="2412" dxfId="3">
      <formula>AND(IF(OR($Q27=1,$Q27=2),1,0),IF($X27&lt;=20,1,0))</formula>
    </cfRule>
    <cfRule type="expression" priority="2413" dxfId="2">
      <formula>AND(IF($Q27=2,1,0),IF($X27&lt;30,1,0))</formula>
    </cfRule>
    <cfRule type="expression" priority="2414" dxfId="1">
      <formula>AND(IF($Q27=3,1,0),IF($X27&lt;30,1,0))</formula>
    </cfRule>
    <cfRule type="expression" priority="2415" dxfId="0">
      <formula>AND(IF($Q27=3,1,IF($Q27=4,1,0)),IF($F27&lt;=85,1,0))</formula>
    </cfRule>
  </conditionalFormatting>
  <conditionalFormatting sqref="AV28">
    <cfRule type="expression" priority="2410" dxfId="17">
      <formula>AV28="X"</formula>
    </cfRule>
    <cfRule type="expression" priority="2411" dxfId="16">
      <formula>AV28="후보"</formula>
    </cfRule>
  </conditionalFormatting>
  <conditionalFormatting sqref="AC28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8">
    <cfRule type="cellIs" priority="2405" operator="greaterThan" dxfId="13">
      <formula>0.9</formula>
    </cfRule>
    <cfRule type="cellIs" priority="2406" operator="greaterThan" dxfId="12">
      <formula>0.85</formula>
    </cfRule>
  </conditionalFormatting>
  <conditionalFormatting sqref="E28">
    <cfRule type="expression" priority="2401" dxfId="3">
      <formula>AND(IF(OR($Q28=1,$Q28=2),1,0),IF($X28&lt;=20,1,0))</formula>
    </cfRule>
    <cfRule type="expression" priority="2402" dxfId="2">
      <formula>AND(IF($Q28=2,1,0),IF($X28&lt;30,1,0))</formula>
    </cfRule>
    <cfRule type="expression" priority="2403" dxfId="1">
      <formula>AND(IF($Q28=3,1,0),IF($X28&lt;30,1,0))</formula>
    </cfRule>
    <cfRule type="expression" priority="2404" dxfId="0">
      <formula>AND(IF($Q28=3,1,IF($Q28=4,1,0)),IF($F28&lt;=85,1,0))</formula>
    </cfRule>
  </conditionalFormatting>
  <conditionalFormatting sqref="X28">
    <cfRule type="expression" priority="2397" dxfId="3">
      <formula>AND(IF(OR($Q28=1,$Q28=2),1,0),IF($X28&lt;=20,1,0))</formula>
    </cfRule>
    <cfRule type="expression" priority="2398" dxfId="2">
      <formula>AND(IF($Q28=2,1,0),IF($X28&lt;30,1,0))</formula>
    </cfRule>
    <cfRule type="expression" priority="2399" dxfId="1">
      <formula>AND(IF($Q28=3,1,0),IF($X28&lt;30,1,0))</formula>
    </cfRule>
    <cfRule type="expression" priority="2400" dxfId="0">
      <formula>AND(IF($Q28=3,1,IF($Q28=4,1,0)),IF($F28&lt;=85,1,0))</formula>
    </cfRule>
  </conditionalFormatting>
  <conditionalFormatting sqref="AI28">
    <cfRule type="expression" priority="2393" dxfId="3">
      <formula>AND(IF(OR($Q28=1,$Q28=2),1,0),IF($X28&lt;=20,1,0))</formula>
    </cfRule>
    <cfRule type="expression" priority="2394" dxfId="2">
      <formula>AND(IF($Q28=2,1,0),IF($X28&lt;30,1,0))</formula>
    </cfRule>
    <cfRule type="expression" priority="2395" dxfId="1">
      <formula>AND(IF($Q28=3,1,0),IF($X28&lt;30,1,0))</formula>
    </cfRule>
    <cfRule type="expression" priority="2396" dxfId="0">
      <formula>AND(IF($Q28=3,1,IF($Q28=4,1,0)),IF($F28&lt;=85,1,0))</formula>
    </cfRule>
  </conditionalFormatting>
  <conditionalFormatting sqref="AV29">
    <cfRule type="expression" priority="2391" dxfId="17">
      <formula>AV29="X"</formula>
    </cfRule>
    <cfRule type="expression" priority="2392" dxfId="16">
      <formula>AV29="후보"</formula>
    </cfRule>
  </conditionalFormatting>
  <conditionalFormatting sqref="AC29">
    <cfRule type="cellIs" priority="2388" operator="greaterThan" dxfId="13">
      <formula>0.9</formula>
    </cfRule>
    <cfRule type="cellIs" priority="2389" operator="greaterThan" dxfId="12">
      <formula>0.85</formula>
    </cfRule>
  </conditionalFormatting>
  <conditionalFormatting sqref="N29">
    <cfRule type="cellIs" priority="2386" operator="greaterThan" dxfId="13">
      <formula>0.9</formula>
    </cfRule>
    <cfRule type="cellIs" priority="2387" operator="greaterThan" dxfId="12">
      <formula>0.85</formula>
    </cfRule>
  </conditionalFormatting>
  <conditionalFormatting sqref="E29">
    <cfRule type="expression" priority="2382" dxfId="3">
      <formula>AND(IF(OR($Q29=1,$Q29=2),1,0),IF($X29&lt;=20,1,0))</formula>
    </cfRule>
    <cfRule type="expression" priority="2383" dxfId="2">
      <formula>AND(IF($Q29=2,1,0),IF($X29&lt;30,1,0))</formula>
    </cfRule>
    <cfRule type="expression" priority="2384" dxfId="1">
      <formula>AND(IF($Q29=3,1,0),IF($X29&lt;30,1,0))</formula>
    </cfRule>
    <cfRule type="expression" priority="2385" dxfId="0">
      <formula>AND(IF($Q29=3,1,IF($Q29=4,1,0)),IF($F29&lt;=85,1,0))</formula>
    </cfRule>
  </conditionalFormatting>
  <conditionalFormatting sqref="X29">
    <cfRule type="expression" priority="2378" dxfId="3">
      <formula>AND(IF(OR($Q29=1,$Q29=2),1,0),IF($X29&lt;=20,1,0))</formula>
    </cfRule>
    <cfRule type="expression" priority="2379" dxfId="2">
      <formula>AND(IF($Q29=2,1,0),IF($X29&lt;30,1,0))</formula>
    </cfRule>
    <cfRule type="expression" priority="2380" dxfId="1">
      <formula>AND(IF($Q29=3,1,0),IF($X29&lt;30,1,0))</formula>
    </cfRule>
    <cfRule type="expression" priority="2381" dxfId="0">
      <formula>AND(IF($Q29=3,1,IF($Q29=4,1,0)),IF($F29&lt;=85,1,0))</formula>
    </cfRule>
  </conditionalFormatting>
  <conditionalFormatting sqref="AI29">
    <cfRule type="expression" priority="2374" dxfId="3">
      <formula>AND(IF(OR($Q29=1,$Q29=2),1,0),IF($X29&lt;=20,1,0))</formula>
    </cfRule>
    <cfRule type="expression" priority="2375" dxfId="2">
      <formula>AND(IF($Q29=2,1,0),IF($X29&lt;30,1,0))</formula>
    </cfRule>
    <cfRule type="expression" priority="2376" dxfId="1">
      <formula>AND(IF($Q29=3,1,0),IF($X29&lt;30,1,0))</formula>
    </cfRule>
    <cfRule type="expression" priority="2377" dxfId="0">
      <formula>AND(IF($Q29=3,1,IF($Q29=4,1,0)),IF($F29&lt;=85,1,0))</formula>
    </cfRule>
  </conditionalFormatting>
  <conditionalFormatting sqref="AV30">
    <cfRule type="expression" priority="2372" dxfId="17">
      <formula>AV30="X"</formula>
    </cfRule>
    <cfRule type="expression" priority="2373" dxfId="16">
      <formula>AV30="후보"</formula>
    </cfRule>
  </conditionalFormatting>
  <conditionalFormatting sqref="AC30">
    <cfRule type="cellIs" priority="2369" operator="greaterThan" dxfId="13">
      <formula>0.9</formula>
    </cfRule>
    <cfRule type="cellIs" priority="2370" operator="greaterThan" dxfId="12">
      <formula>0.85</formula>
    </cfRule>
  </conditionalFormatting>
  <conditionalFormatting sqref="N30">
    <cfRule type="cellIs" priority="2367" operator="greaterThan" dxfId="13">
      <formula>0.9</formula>
    </cfRule>
    <cfRule type="cellIs" priority="2368" operator="greaterThan" dxfId="12">
      <formula>0.85</formula>
    </cfRule>
  </conditionalFormatting>
  <conditionalFormatting sqref="E30">
    <cfRule type="expression" priority="2363" dxfId="3">
      <formula>AND(IF(OR($Q30=1,$Q30=2),1,0),IF($X30&lt;=20,1,0))</formula>
    </cfRule>
    <cfRule type="expression" priority="2364" dxfId="2">
      <formula>AND(IF($Q30=2,1,0),IF($X30&lt;30,1,0))</formula>
    </cfRule>
    <cfRule type="expression" priority="2365" dxfId="1">
      <formula>AND(IF($Q30=3,1,0),IF($X30&lt;30,1,0))</formula>
    </cfRule>
    <cfRule type="expression" priority="2366" dxfId="0">
      <formula>AND(IF($Q30=3,1,IF($Q30=4,1,0)),IF($F30&lt;=85,1,0))</formula>
    </cfRule>
  </conditionalFormatting>
  <conditionalFormatting sqref="X30">
    <cfRule type="expression" priority="2359" dxfId="3">
      <formula>AND(IF(OR($Q30=1,$Q30=2),1,0),IF($X30&lt;=20,1,0))</formula>
    </cfRule>
    <cfRule type="expression" priority="2360" dxfId="2">
      <formula>AND(IF($Q30=2,1,0),IF($X30&lt;30,1,0))</formula>
    </cfRule>
    <cfRule type="expression" priority="2361" dxfId="1">
      <formula>AND(IF($Q30=3,1,0),IF($X30&lt;30,1,0))</formula>
    </cfRule>
    <cfRule type="expression" priority="2362" dxfId="0">
      <formula>AND(IF($Q30=3,1,IF($Q30=4,1,0)),IF($F30&lt;=85,1,0))</formula>
    </cfRule>
  </conditionalFormatting>
  <conditionalFormatting sqref="AI30">
    <cfRule type="expression" priority="2355" dxfId="3">
      <formula>AND(IF(OR($Q30=1,$Q30=2),1,0),IF($X30&lt;=20,1,0))</formula>
    </cfRule>
    <cfRule type="expression" priority="2356" dxfId="2">
      <formula>AND(IF($Q30=2,1,0),IF($X30&lt;30,1,0))</formula>
    </cfRule>
    <cfRule type="expression" priority="2357" dxfId="1">
      <formula>AND(IF($Q30=3,1,0),IF($X30&lt;30,1,0))</formula>
    </cfRule>
    <cfRule type="expression" priority="2358" dxfId="0">
      <formula>AND(IF($Q30=3,1,IF($Q30=4,1,0)),IF($F30&lt;=85,1,0))</formula>
    </cfRule>
  </conditionalFormatting>
  <conditionalFormatting sqref="AV31">
    <cfRule type="expression" priority="2353" dxfId="17">
      <formula>AV31="X"</formula>
    </cfRule>
    <cfRule type="expression" priority="2354" dxfId="16">
      <formula>AV31="후보"</formula>
    </cfRule>
  </conditionalFormatting>
  <conditionalFormatting sqref="AC31">
    <cfRule type="cellIs" priority="2350" operator="greaterThan" dxfId="13">
      <formula>0.9</formula>
    </cfRule>
    <cfRule type="cellIs" priority="2351" operator="greaterThan" dxfId="12">
      <formula>0.85</formula>
    </cfRule>
  </conditionalFormatting>
  <conditionalFormatting sqref="N31">
    <cfRule type="cellIs" priority="2348" operator="greaterThan" dxfId="13">
      <formula>0.9</formula>
    </cfRule>
    <cfRule type="cellIs" priority="2349" operator="greaterThan" dxfId="12">
      <formula>0.85</formula>
    </cfRule>
  </conditionalFormatting>
  <conditionalFormatting sqref="E31">
    <cfRule type="expression" priority="2344" dxfId="3">
      <formula>AND(IF(OR($Q31=1,$Q31=2),1,0),IF($X31&lt;=20,1,0))</formula>
    </cfRule>
    <cfRule type="expression" priority="2345" dxfId="2">
      <formula>AND(IF($Q31=2,1,0),IF($X31&lt;30,1,0))</formula>
    </cfRule>
    <cfRule type="expression" priority="2346" dxfId="1">
      <formula>AND(IF($Q31=3,1,0),IF($X31&lt;30,1,0))</formula>
    </cfRule>
    <cfRule type="expression" priority="2347" dxfId="0">
      <formula>AND(IF($Q31=3,1,IF($Q31=4,1,0)),IF($F31&lt;=85,1,0))</formula>
    </cfRule>
  </conditionalFormatting>
  <conditionalFormatting sqref="X31">
    <cfRule type="expression" priority="2340" dxfId="3">
      <formula>AND(IF(OR($Q31=1,$Q31=2),1,0),IF($X31&lt;=20,1,0))</formula>
    </cfRule>
    <cfRule type="expression" priority="2341" dxfId="2">
      <formula>AND(IF($Q31=2,1,0),IF($X31&lt;30,1,0))</formula>
    </cfRule>
    <cfRule type="expression" priority="2342" dxfId="1">
      <formula>AND(IF($Q31=3,1,0),IF($X31&lt;30,1,0))</formula>
    </cfRule>
    <cfRule type="expression" priority="2343" dxfId="0">
      <formula>AND(IF($Q31=3,1,IF($Q31=4,1,0)),IF($F31&lt;=85,1,0))</formula>
    </cfRule>
  </conditionalFormatting>
  <conditionalFormatting sqref="AI31">
    <cfRule type="expression" priority="2336" dxfId="3">
      <formula>AND(IF(OR($Q31=1,$Q31=2),1,0),IF($X31&lt;=20,1,0))</formula>
    </cfRule>
    <cfRule type="expression" priority="2337" dxfId="2">
      <formula>AND(IF($Q31=2,1,0),IF($X31&lt;30,1,0))</formula>
    </cfRule>
    <cfRule type="expression" priority="2338" dxfId="1">
      <formula>AND(IF($Q31=3,1,0),IF($X31&lt;30,1,0))</formula>
    </cfRule>
    <cfRule type="expression" priority="2339" dxfId="0">
      <formula>AND(IF($Q31=3,1,IF($Q31=4,1,0)),IF($F31&lt;=85,1,0))</formula>
    </cfRule>
  </conditionalFormatting>
  <conditionalFormatting sqref="AV32">
    <cfRule type="expression" priority="2334" dxfId="17">
      <formula>AV32="X"</formula>
    </cfRule>
    <cfRule type="expression" priority="2335" dxfId="16">
      <formula>AV32="후보"</formula>
    </cfRule>
  </conditionalFormatting>
  <conditionalFormatting sqref="AC32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32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32">
    <cfRule type="expression" priority="2325" dxfId="3">
      <formula>AND(IF(OR($Q32=1,$Q32=2),1,0),IF($X32&lt;=20,1,0))</formula>
    </cfRule>
    <cfRule type="expression" priority="2326" dxfId="2">
      <formula>AND(IF($Q32=2,1,0),IF($X32&lt;30,1,0))</formula>
    </cfRule>
    <cfRule type="expression" priority="2327" dxfId="1">
      <formula>AND(IF($Q32=3,1,0),IF($X32&lt;30,1,0))</formula>
    </cfRule>
    <cfRule type="expression" priority="2328" dxfId="0">
      <formula>AND(IF($Q32=3,1,IF($Q32=4,1,0)),IF($F32&lt;=85,1,0))</formula>
    </cfRule>
  </conditionalFormatting>
  <conditionalFormatting sqref="X32">
    <cfRule type="expression" priority="2321" dxfId="3">
      <formula>AND(IF(OR($Q32=1,$Q32=2),1,0),IF($X32&lt;=20,1,0))</formula>
    </cfRule>
    <cfRule type="expression" priority="2322" dxfId="2">
      <formula>AND(IF($Q32=2,1,0),IF($X32&lt;30,1,0))</formula>
    </cfRule>
    <cfRule type="expression" priority="2323" dxfId="1">
      <formula>AND(IF($Q32=3,1,0),IF($X32&lt;30,1,0))</formula>
    </cfRule>
    <cfRule type="expression" priority="2324" dxfId="0">
      <formula>AND(IF($Q32=3,1,IF($Q32=4,1,0)),IF($F32&lt;=85,1,0))</formula>
    </cfRule>
  </conditionalFormatting>
  <conditionalFormatting sqref="AI32">
    <cfRule type="expression" priority="2317" dxfId="3">
      <formula>AND(IF(OR($Q32=1,$Q32=2),1,0),IF($X32&lt;=20,1,0))</formula>
    </cfRule>
    <cfRule type="expression" priority="2318" dxfId="2">
      <formula>AND(IF($Q32=2,1,0),IF($X32&lt;30,1,0))</formula>
    </cfRule>
    <cfRule type="expression" priority="2319" dxfId="1">
      <formula>AND(IF($Q32=3,1,0),IF($X32&lt;30,1,0))</formula>
    </cfRule>
    <cfRule type="expression" priority="2320" dxfId="0">
      <formula>AND(IF($Q32=3,1,IF($Q32=4,1,0)),IF($F32&lt;=85,1,0))</formula>
    </cfRule>
  </conditionalFormatting>
  <conditionalFormatting sqref="AV33">
    <cfRule type="expression" priority="2315" dxfId="17">
      <formula>AV33="X"</formula>
    </cfRule>
    <cfRule type="expression" priority="2316" dxfId="16">
      <formula>AV33="후보"</formula>
    </cfRule>
  </conditionalFormatting>
  <conditionalFormatting sqref="AC33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33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33">
    <cfRule type="expression" priority="2306" dxfId="3">
      <formula>AND(IF(OR($Q33=1,$Q33=2),1,0),IF($X33&lt;=20,1,0))</formula>
    </cfRule>
    <cfRule type="expression" priority="2307" dxfId="2">
      <formula>AND(IF($Q33=2,1,0),IF($X33&lt;30,1,0))</formula>
    </cfRule>
    <cfRule type="expression" priority="2308" dxfId="1">
      <formula>AND(IF($Q33=3,1,0),IF($X33&lt;30,1,0))</formula>
    </cfRule>
    <cfRule type="expression" priority="2309" dxfId="0">
      <formula>AND(IF($Q33=3,1,IF($Q33=4,1,0)),IF($F33&lt;=85,1,0))</formula>
    </cfRule>
  </conditionalFormatting>
  <conditionalFormatting sqref="X33">
    <cfRule type="expression" priority="2302" dxfId="3">
      <formula>AND(IF(OR($Q33=1,$Q33=2),1,0),IF($X33&lt;=20,1,0))</formula>
    </cfRule>
    <cfRule type="expression" priority="2303" dxfId="2">
      <formula>AND(IF($Q33=2,1,0),IF($X33&lt;30,1,0))</formula>
    </cfRule>
    <cfRule type="expression" priority="2304" dxfId="1">
      <formula>AND(IF($Q33=3,1,0),IF($X33&lt;30,1,0))</formula>
    </cfRule>
    <cfRule type="expression" priority="2305" dxfId="0">
      <formula>AND(IF($Q33=3,1,IF($Q33=4,1,0)),IF($F33&lt;=85,1,0))</formula>
    </cfRule>
  </conditionalFormatting>
  <conditionalFormatting sqref="AI33">
    <cfRule type="expression" priority="2298" dxfId="3">
      <formula>AND(IF(OR($Q33=1,$Q33=2),1,0),IF($X33&lt;=20,1,0))</formula>
    </cfRule>
    <cfRule type="expression" priority="2299" dxfId="2">
      <formula>AND(IF($Q33=2,1,0),IF($X33&lt;30,1,0))</formula>
    </cfRule>
    <cfRule type="expression" priority="2300" dxfId="1">
      <formula>AND(IF($Q33=3,1,0),IF($X33&lt;30,1,0))</formula>
    </cfRule>
    <cfRule type="expression" priority="2301" dxfId="0">
      <formula>AND(IF($Q33=3,1,IF($Q33=4,1,0)),IF($F33&lt;=85,1,0))</formula>
    </cfRule>
  </conditionalFormatting>
  <conditionalFormatting sqref="AV34">
    <cfRule type="expression" priority="2296" dxfId="17">
      <formula>AV34="X"</formula>
    </cfRule>
    <cfRule type="expression" priority="2297" dxfId="16">
      <formula>AV34="후보"</formula>
    </cfRule>
  </conditionalFormatting>
  <conditionalFormatting sqref="AC34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N34">
    <cfRule type="cellIs" priority="2291" operator="greaterThan" dxfId="13">
      <formula>0.9</formula>
    </cfRule>
    <cfRule type="cellIs" priority="2292" operator="greaterThan" dxfId="12">
      <formula>0.85</formula>
    </cfRule>
  </conditionalFormatting>
  <conditionalFormatting sqref="E34">
    <cfRule type="expression" priority="2287" dxfId="3">
      <formula>AND(IF(OR($Q34=1,$Q34=2),1,0),IF($X34&lt;=20,1,0))</formula>
    </cfRule>
    <cfRule type="expression" priority="2288" dxfId="2">
      <formula>AND(IF($Q34=2,1,0),IF($X34&lt;30,1,0))</formula>
    </cfRule>
    <cfRule type="expression" priority="2289" dxfId="1">
      <formula>AND(IF($Q34=3,1,0),IF($X34&lt;30,1,0))</formula>
    </cfRule>
    <cfRule type="expression" priority="2290" dxfId="0">
      <formula>AND(IF($Q34=3,1,IF($Q34=4,1,0)),IF($F34&lt;=85,1,0))</formula>
    </cfRule>
  </conditionalFormatting>
  <conditionalFormatting sqref="X34">
    <cfRule type="expression" priority="2283" dxfId="3">
      <formula>AND(IF(OR($Q34=1,$Q34=2),1,0),IF($X34&lt;=20,1,0))</formula>
    </cfRule>
    <cfRule type="expression" priority="2284" dxfId="2">
      <formula>AND(IF($Q34=2,1,0),IF($X34&lt;30,1,0))</formula>
    </cfRule>
    <cfRule type="expression" priority="2285" dxfId="1">
      <formula>AND(IF($Q34=3,1,0),IF($X34&lt;30,1,0))</formula>
    </cfRule>
    <cfRule type="expression" priority="2286" dxfId="0">
      <formula>AND(IF($Q34=3,1,IF($Q34=4,1,0)),IF($F34&lt;=85,1,0))</formula>
    </cfRule>
  </conditionalFormatting>
  <conditionalFormatting sqref="AI34">
    <cfRule type="expression" priority="2279" dxfId="3">
      <formula>AND(IF(OR($Q34=1,$Q34=2),1,0),IF($X34&lt;=20,1,0))</formula>
    </cfRule>
    <cfRule type="expression" priority="2280" dxfId="2">
      <formula>AND(IF($Q34=2,1,0),IF($X34&lt;30,1,0))</formula>
    </cfRule>
    <cfRule type="expression" priority="2281" dxfId="1">
      <formula>AND(IF($Q34=3,1,0),IF($X34&lt;30,1,0))</formula>
    </cfRule>
    <cfRule type="expression" priority="2282" dxfId="0">
      <formula>AND(IF($Q34=3,1,IF($Q34=4,1,0)),IF($F34&lt;=85,1,0))</formula>
    </cfRule>
  </conditionalFormatting>
  <conditionalFormatting sqref="AV35">
    <cfRule type="expression" priority="2277" dxfId="17">
      <formula>AV35="X"</formula>
    </cfRule>
    <cfRule type="expression" priority="2278" dxfId="16">
      <formula>AV35="후보"</formula>
    </cfRule>
  </conditionalFormatting>
  <conditionalFormatting sqref="AC35">
    <cfRule type="cellIs" priority="2274" operator="greaterThan" dxfId="13">
      <formula>0.9</formula>
    </cfRule>
    <cfRule type="cellIs" priority="2275" operator="greaterThan" dxfId="12">
      <formula>0.85</formula>
    </cfRule>
  </conditionalFormatting>
  <conditionalFormatting sqref="N35">
    <cfRule type="cellIs" priority="2272" operator="greaterThan" dxfId="13">
      <formula>0.9</formula>
    </cfRule>
    <cfRule type="cellIs" priority="2273" operator="greaterThan" dxfId="12">
      <formula>0.85</formula>
    </cfRule>
  </conditionalFormatting>
  <conditionalFormatting sqref="E35">
    <cfRule type="expression" priority="2268" dxfId="3">
      <formula>AND(IF(OR($Q35=1,$Q35=2),1,0),IF($X35&lt;=20,1,0))</formula>
    </cfRule>
    <cfRule type="expression" priority="2269" dxfId="2">
      <formula>AND(IF($Q35=2,1,0),IF($X35&lt;30,1,0))</formula>
    </cfRule>
    <cfRule type="expression" priority="2270" dxfId="1">
      <formula>AND(IF($Q35=3,1,0),IF($X35&lt;30,1,0))</formula>
    </cfRule>
    <cfRule type="expression" priority="2271" dxfId="0">
      <formula>AND(IF($Q35=3,1,IF($Q35=4,1,0)),IF($F35&lt;=85,1,0))</formula>
    </cfRule>
  </conditionalFormatting>
  <conditionalFormatting sqref="X35">
    <cfRule type="expression" priority="2264" dxfId="3">
      <formula>AND(IF(OR($Q35=1,$Q35=2),1,0),IF($X35&lt;=20,1,0))</formula>
    </cfRule>
    <cfRule type="expression" priority="2265" dxfId="2">
      <formula>AND(IF($Q35=2,1,0),IF($X35&lt;30,1,0))</formula>
    </cfRule>
    <cfRule type="expression" priority="2266" dxfId="1">
      <formula>AND(IF($Q35=3,1,0),IF($X35&lt;30,1,0))</formula>
    </cfRule>
    <cfRule type="expression" priority="2267" dxfId="0">
      <formula>AND(IF($Q35=3,1,IF($Q35=4,1,0)),IF($F35&lt;=85,1,0))</formula>
    </cfRule>
  </conditionalFormatting>
  <conditionalFormatting sqref="AI35">
    <cfRule type="expression" priority="2260" dxfId="3">
      <formula>AND(IF(OR($Q35=1,$Q35=2),1,0),IF($X35&lt;=20,1,0))</formula>
    </cfRule>
    <cfRule type="expression" priority="2261" dxfId="2">
      <formula>AND(IF($Q35=2,1,0),IF($X35&lt;30,1,0))</formula>
    </cfRule>
    <cfRule type="expression" priority="2262" dxfId="1">
      <formula>AND(IF($Q35=3,1,0),IF($X35&lt;30,1,0))</formula>
    </cfRule>
    <cfRule type="expression" priority="2263" dxfId="0">
      <formula>AND(IF($Q35=3,1,IF($Q35=4,1,0)),IF($F35&lt;=85,1,0))</formula>
    </cfRule>
  </conditionalFormatting>
  <conditionalFormatting sqref="AV36">
    <cfRule type="expression" priority="2258" dxfId="17">
      <formula>AV36="X"</formula>
    </cfRule>
    <cfRule type="expression" priority="2259" dxfId="16">
      <formula>AV36="후보"</formula>
    </cfRule>
  </conditionalFormatting>
  <conditionalFormatting sqref="AC36">
    <cfRule type="cellIs" priority="2255" operator="greaterThan" dxfId="13">
      <formula>0.9</formula>
    </cfRule>
    <cfRule type="cellIs" priority="2256" operator="greaterThan" dxfId="12">
      <formula>0.85</formula>
    </cfRule>
  </conditionalFormatting>
  <conditionalFormatting sqref="N36">
    <cfRule type="cellIs" priority="2253" operator="greaterThan" dxfId="13">
      <formula>0.9</formula>
    </cfRule>
    <cfRule type="cellIs" priority="2254" operator="greaterThan" dxfId="12">
      <formula>0.85</formula>
    </cfRule>
  </conditionalFormatting>
  <conditionalFormatting sqref="E36">
    <cfRule type="expression" priority="2249" dxfId="3">
      <formula>AND(IF(OR($Q36=1,$Q36=2),1,0),IF($X36&lt;=20,1,0))</formula>
    </cfRule>
    <cfRule type="expression" priority="2250" dxfId="2">
      <formula>AND(IF($Q36=2,1,0),IF($X36&lt;30,1,0))</formula>
    </cfRule>
    <cfRule type="expression" priority="2251" dxfId="1">
      <formula>AND(IF($Q36=3,1,0),IF($X36&lt;30,1,0))</formula>
    </cfRule>
    <cfRule type="expression" priority="2252" dxfId="0">
      <formula>AND(IF($Q36=3,1,IF($Q36=4,1,0)),IF($F36&lt;=85,1,0))</formula>
    </cfRule>
  </conditionalFormatting>
  <conditionalFormatting sqref="X36">
    <cfRule type="expression" priority="2245" dxfId="3">
      <formula>AND(IF(OR($Q36=1,$Q36=2),1,0),IF($X36&lt;=20,1,0))</formula>
    </cfRule>
    <cfRule type="expression" priority="2246" dxfId="2">
      <formula>AND(IF($Q36=2,1,0),IF($X36&lt;30,1,0))</formula>
    </cfRule>
    <cfRule type="expression" priority="2247" dxfId="1">
      <formula>AND(IF($Q36=3,1,0),IF($X36&lt;30,1,0))</formula>
    </cfRule>
    <cfRule type="expression" priority="2248" dxfId="0">
      <formula>AND(IF($Q36=3,1,IF($Q36=4,1,0)),IF($F36&lt;=85,1,0))</formula>
    </cfRule>
  </conditionalFormatting>
  <conditionalFormatting sqref="AI36">
    <cfRule type="expression" priority="2241" dxfId="3">
      <formula>AND(IF(OR($Q36=1,$Q36=2),1,0),IF($X36&lt;=20,1,0))</formula>
    </cfRule>
    <cfRule type="expression" priority="2242" dxfId="2">
      <formula>AND(IF($Q36=2,1,0),IF($X36&lt;30,1,0))</formula>
    </cfRule>
    <cfRule type="expression" priority="2243" dxfId="1">
      <formula>AND(IF($Q36=3,1,0),IF($X36&lt;30,1,0))</formula>
    </cfRule>
    <cfRule type="expression" priority="2244" dxfId="0">
      <formula>AND(IF($Q36=3,1,IF($Q36=4,1,0)),IF($F36&lt;=85,1,0))</formula>
    </cfRule>
  </conditionalFormatting>
  <conditionalFormatting sqref="AV37">
    <cfRule type="expression" priority="2239" dxfId="17">
      <formula>AV37="X"</formula>
    </cfRule>
    <cfRule type="expression" priority="2240" dxfId="16">
      <formula>AV37="후보"</formula>
    </cfRule>
  </conditionalFormatting>
  <conditionalFormatting sqref="AC37">
    <cfRule type="cellIs" priority="2236" operator="greaterThan" dxfId="13">
      <formula>0.9</formula>
    </cfRule>
    <cfRule type="cellIs" priority="2237" operator="greaterThan" dxfId="12">
      <formula>0.85</formula>
    </cfRule>
  </conditionalFormatting>
  <conditionalFormatting sqref="N37">
    <cfRule type="cellIs" priority="2234" operator="greaterThan" dxfId="13">
      <formula>0.9</formula>
    </cfRule>
    <cfRule type="cellIs" priority="2235" operator="greaterThan" dxfId="12">
      <formula>0.85</formula>
    </cfRule>
  </conditionalFormatting>
  <conditionalFormatting sqref="E37">
    <cfRule type="expression" priority="2230" dxfId="3">
      <formula>AND(IF(OR($Q37=1,$Q37=2),1,0),IF($X37&lt;=20,1,0))</formula>
    </cfRule>
    <cfRule type="expression" priority="2231" dxfId="2">
      <formula>AND(IF($Q37=2,1,0),IF($X37&lt;30,1,0))</formula>
    </cfRule>
    <cfRule type="expression" priority="2232" dxfId="1">
      <formula>AND(IF($Q37=3,1,0),IF($X37&lt;30,1,0))</formula>
    </cfRule>
    <cfRule type="expression" priority="2233" dxfId="0">
      <formula>AND(IF($Q37=3,1,IF($Q37=4,1,0)),IF($F37&lt;=85,1,0))</formula>
    </cfRule>
  </conditionalFormatting>
  <conditionalFormatting sqref="X37">
    <cfRule type="expression" priority="2226" dxfId="3">
      <formula>AND(IF(OR($Q37=1,$Q37=2),1,0),IF($X37&lt;=20,1,0))</formula>
    </cfRule>
    <cfRule type="expression" priority="2227" dxfId="2">
      <formula>AND(IF($Q37=2,1,0),IF($X37&lt;30,1,0))</formula>
    </cfRule>
    <cfRule type="expression" priority="2228" dxfId="1">
      <formula>AND(IF($Q37=3,1,0),IF($X37&lt;30,1,0))</formula>
    </cfRule>
    <cfRule type="expression" priority="2229" dxfId="0">
      <formula>AND(IF($Q37=3,1,IF($Q37=4,1,0)),IF($F37&lt;=85,1,0))</formula>
    </cfRule>
  </conditionalFormatting>
  <conditionalFormatting sqref="AI37">
    <cfRule type="expression" priority="2222" dxfId="3">
      <formula>AND(IF(OR($Q37=1,$Q37=2),1,0),IF($X37&lt;=20,1,0))</formula>
    </cfRule>
    <cfRule type="expression" priority="2223" dxfId="2">
      <formula>AND(IF($Q37=2,1,0),IF($X37&lt;30,1,0))</formula>
    </cfRule>
    <cfRule type="expression" priority="2224" dxfId="1">
      <formula>AND(IF($Q37=3,1,0),IF($X37&lt;30,1,0))</formula>
    </cfRule>
    <cfRule type="expression" priority="2225" dxfId="0">
      <formula>AND(IF($Q37=3,1,IF($Q37=4,1,0)),IF($F37&lt;=85,1,0))</formula>
    </cfRule>
  </conditionalFormatting>
  <conditionalFormatting sqref="AV38">
    <cfRule type="expression" priority="2220" dxfId="17">
      <formula>AV38="X"</formula>
    </cfRule>
    <cfRule type="expression" priority="2221" dxfId="16">
      <formula>AV38="후보"</formula>
    </cfRule>
  </conditionalFormatting>
  <conditionalFormatting sqref="AC38">
    <cfRule type="cellIs" priority="2217" operator="greaterThan" dxfId="13">
      <formula>0.9</formula>
    </cfRule>
    <cfRule type="cellIs" priority="2218" operator="greaterThan" dxfId="12">
      <formula>0.85</formula>
    </cfRule>
  </conditionalFormatting>
  <conditionalFormatting sqref="N38">
    <cfRule type="cellIs" priority="2215" operator="greaterThan" dxfId="13">
      <formula>0.9</formula>
    </cfRule>
    <cfRule type="cellIs" priority="2216" operator="greaterThan" dxfId="12">
      <formula>0.85</formula>
    </cfRule>
  </conditionalFormatting>
  <conditionalFormatting sqref="E38">
    <cfRule type="expression" priority="2211" dxfId="3">
      <formula>AND(IF(OR($Q38=1,$Q38=2),1,0),IF($X38&lt;=20,1,0))</formula>
    </cfRule>
    <cfRule type="expression" priority="2212" dxfId="2">
      <formula>AND(IF($Q38=2,1,0),IF($X38&lt;30,1,0))</formula>
    </cfRule>
    <cfRule type="expression" priority="2213" dxfId="1">
      <formula>AND(IF($Q38=3,1,0),IF($X38&lt;30,1,0))</formula>
    </cfRule>
    <cfRule type="expression" priority="2214" dxfId="0">
      <formula>AND(IF($Q38=3,1,IF($Q38=4,1,0)),IF($F38&lt;=85,1,0))</formula>
    </cfRule>
  </conditionalFormatting>
  <conditionalFormatting sqref="X38">
    <cfRule type="expression" priority="2207" dxfId="3">
      <formula>AND(IF(OR($Q38=1,$Q38=2),1,0),IF($X38&lt;=20,1,0))</formula>
    </cfRule>
    <cfRule type="expression" priority="2208" dxfId="2">
      <formula>AND(IF($Q38=2,1,0),IF($X38&lt;30,1,0))</formula>
    </cfRule>
    <cfRule type="expression" priority="2209" dxfId="1">
      <formula>AND(IF($Q38=3,1,0),IF($X38&lt;30,1,0))</formula>
    </cfRule>
    <cfRule type="expression" priority="2210" dxfId="0">
      <formula>AND(IF($Q38=3,1,IF($Q38=4,1,0)),IF($F38&lt;=85,1,0))</formula>
    </cfRule>
  </conditionalFormatting>
  <conditionalFormatting sqref="AI38">
    <cfRule type="expression" priority="2203" dxfId="3">
      <formula>AND(IF(OR($Q38=1,$Q38=2),1,0),IF($X38&lt;=20,1,0))</formula>
    </cfRule>
    <cfRule type="expression" priority="2204" dxfId="2">
      <formula>AND(IF($Q38=2,1,0),IF($X38&lt;30,1,0))</formula>
    </cfRule>
    <cfRule type="expression" priority="2205" dxfId="1">
      <formula>AND(IF($Q38=3,1,0),IF($X38&lt;30,1,0))</formula>
    </cfRule>
    <cfRule type="expression" priority="2206" dxfId="0">
      <formula>AND(IF($Q38=3,1,IF($Q38=4,1,0)),IF($F38&lt;=85,1,0))</formula>
    </cfRule>
  </conditionalFormatting>
  <conditionalFormatting sqref="AV39">
    <cfRule type="expression" priority="2201" dxfId="17">
      <formula>AV39="X"</formula>
    </cfRule>
    <cfRule type="expression" priority="2202" dxfId="16">
      <formula>AV39="후보"</formula>
    </cfRule>
  </conditionalFormatting>
  <conditionalFormatting sqref="AC39 N39">
    <cfRule type="cellIs" priority="2198" operator="greaterThan" dxfId="13">
      <formula>0.9</formula>
    </cfRule>
    <cfRule type="cellIs" priority="2199" operator="greaterThan" dxfId="12">
      <formula>0.85</formula>
    </cfRule>
  </conditionalFormatting>
  <conditionalFormatting sqref="AV40">
    <cfRule type="expression" priority="2196" dxfId="17">
      <formula>AV40="X"</formula>
    </cfRule>
    <cfRule type="expression" priority="2197" dxfId="16">
      <formula>AV40="후보"</formula>
    </cfRule>
  </conditionalFormatting>
  <conditionalFormatting sqref="AC40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0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0">
    <cfRule type="expression" priority="2187" dxfId="3">
      <formula>AND(IF(OR($Q40=1,$Q40=2),1,0),IF($X40&lt;=20,1,0))</formula>
    </cfRule>
    <cfRule type="expression" priority="2188" dxfId="2">
      <formula>AND(IF($Q40=2,1,0),IF($X40&lt;30,1,0))</formula>
    </cfRule>
    <cfRule type="expression" priority="2189" dxfId="1">
      <formula>AND(IF($Q40=3,1,0),IF($X40&lt;30,1,0))</formula>
    </cfRule>
    <cfRule type="expression" priority="2190" dxfId="0">
      <formula>AND(IF($Q40=3,1,IF($Q40=4,1,0)),IF($F40&lt;=85,1,0))</formula>
    </cfRule>
  </conditionalFormatting>
  <conditionalFormatting sqref="X40">
    <cfRule type="expression" priority="2183" dxfId="3">
      <formula>AND(IF(OR($Q40=1,$Q40=2),1,0),IF($X40&lt;=20,1,0))</formula>
    </cfRule>
    <cfRule type="expression" priority="2184" dxfId="2">
      <formula>AND(IF($Q40=2,1,0),IF($X40&lt;30,1,0))</formula>
    </cfRule>
    <cfRule type="expression" priority="2185" dxfId="1">
      <formula>AND(IF($Q40=3,1,0),IF($X40&lt;30,1,0))</formula>
    </cfRule>
    <cfRule type="expression" priority="2186" dxfId="0">
      <formula>AND(IF($Q40=3,1,IF($Q40=4,1,0)),IF($F40&lt;=85,1,0))</formula>
    </cfRule>
  </conditionalFormatting>
  <conditionalFormatting sqref="AI40">
    <cfRule type="expression" priority="2179" dxfId="3">
      <formula>AND(IF(OR($Q40=1,$Q40=2),1,0),IF($X40&lt;=20,1,0))</formula>
    </cfRule>
    <cfRule type="expression" priority="2180" dxfId="2">
      <formula>AND(IF($Q40=2,1,0),IF($X40&lt;30,1,0))</formula>
    </cfRule>
    <cfRule type="expression" priority="2181" dxfId="1">
      <formula>AND(IF($Q40=3,1,0),IF($X40&lt;30,1,0))</formula>
    </cfRule>
    <cfRule type="expression" priority="2182" dxfId="0">
      <formula>AND(IF($Q40=3,1,IF($Q40=4,1,0)),IF($F40&lt;=85,1,0))</formula>
    </cfRule>
  </conditionalFormatting>
  <conditionalFormatting sqref="AV41">
    <cfRule type="expression" priority="2177" dxfId="17">
      <formula>AV41="X"</formula>
    </cfRule>
    <cfRule type="expression" priority="2178" dxfId="16">
      <formula>AV41="후보"</formula>
    </cfRule>
  </conditionalFormatting>
  <conditionalFormatting sqref="AC41">
    <cfRule type="cellIs" priority="2174" operator="greaterThan" dxfId="13">
      <formula>0.9</formula>
    </cfRule>
    <cfRule type="cellIs" priority="2175" operator="greaterThan" dxfId="12">
      <formula>0.85</formula>
    </cfRule>
  </conditionalFormatting>
  <conditionalFormatting sqref="N41">
    <cfRule type="cellIs" priority="2172" operator="greaterThan" dxfId="13">
      <formula>0.9</formula>
    </cfRule>
    <cfRule type="cellIs" priority="2173" operator="greaterThan" dxfId="12">
      <formula>0.85</formula>
    </cfRule>
  </conditionalFormatting>
  <conditionalFormatting sqref="E41">
    <cfRule type="expression" priority="2168" dxfId="3">
      <formula>AND(IF(OR($Q41=1,$Q41=2),1,0),IF($X41&lt;=20,1,0))</formula>
    </cfRule>
    <cfRule type="expression" priority="2169" dxfId="2">
      <formula>AND(IF($Q41=2,1,0),IF($X41&lt;30,1,0))</formula>
    </cfRule>
    <cfRule type="expression" priority="2170" dxfId="1">
      <formula>AND(IF($Q41=3,1,0),IF($X41&lt;30,1,0))</formula>
    </cfRule>
    <cfRule type="expression" priority="2171" dxfId="0">
      <formula>AND(IF($Q41=3,1,IF($Q41=4,1,0)),IF($F41&lt;=85,1,0))</formula>
    </cfRule>
  </conditionalFormatting>
  <conditionalFormatting sqref="X41">
    <cfRule type="expression" priority="2164" dxfId="3">
      <formula>AND(IF(OR($Q41=1,$Q41=2),1,0),IF($X41&lt;=20,1,0))</formula>
    </cfRule>
    <cfRule type="expression" priority="2165" dxfId="2">
      <formula>AND(IF($Q41=2,1,0),IF($X41&lt;30,1,0))</formula>
    </cfRule>
    <cfRule type="expression" priority="2166" dxfId="1">
      <formula>AND(IF($Q41=3,1,0),IF($X41&lt;30,1,0))</formula>
    </cfRule>
    <cfRule type="expression" priority="2167" dxfId="0">
      <formula>AND(IF($Q41=3,1,IF($Q41=4,1,0)),IF($F41&lt;=85,1,0))</formula>
    </cfRule>
  </conditionalFormatting>
  <conditionalFormatting sqref="AI41">
    <cfRule type="expression" priority="2160" dxfId="3">
      <formula>AND(IF(OR($Q41=1,$Q41=2),1,0),IF($X41&lt;=20,1,0))</formula>
    </cfRule>
    <cfRule type="expression" priority="2161" dxfId="2">
      <formula>AND(IF($Q41=2,1,0),IF($X41&lt;30,1,0))</formula>
    </cfRule>
    <cfRule type="expression" priority="2162" dxfId="1">
      <formula>AND(IF($Q41=3,1,0),IF($X41&lt;30,1,0))</formula>
    </cfRule>
    <cfRule type="expression" priority="2163" dxfId="0">
      <formula>AND(IF($Q41=3,1,IF($Q41=4,1,0)),IF($F41&lt;=85,1,0))</formula>
    </cfRule>
  </conditionalFormatting>
  <conditionalFormatting sqref="AV42">
    <cfRule type="expression" priority="2158" dxfId="17">
      <formula>AV42="X"</formula>
    </cfRule>
    <cfRule type="expression" priority="2159" dxfId="16">
      <formula>AV42="후보"</formula>
    </cfRule>
  </conditionalFormatting>
  <conditionalFormatting sqref="AC42 N42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AV43">
    <cfRule type="expression" priority="2153" dxfId="17">
      <formula>AV43="X"</formula>
    </cfRule>
    <cfRule type="expression" priority="2154" dxfId="16">
      <formula>AV43="후보"</formula>
    </cfRule>
  </conditionalFormatting>
  <conditionalFormatting sqref="AC43">
    <cfRule type="cellIs" priority="2150" operator="greaterThan" dxfId="13">
      <formula>0.9</formula>
    </cfRule>
    <cfRule type="cellIs" priority="2151" operator="greaterThan" dxfId="12">
      <formula>0.85</formula>
    </cfRule>
  </conditionalFormatting>
  <conditionalFormatting sqref="N43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E43">
    <cfRule type="expression" priority="2144" dxfId="3">
      <formula>AND(IF(OR($Q43=1,$Q43=2),1,0),IF($X43&lt;=20,1,0))</formula>
    </cfRule>
    <cfRule type="expression" priority="2145" dxfId="2">
      <formula>AND(IF($Q43=2,1,0),IF($X43&lt;30,1,0))</formula>
    </cfRule>
    <cfRule type="expression" priority="2146" dxfId="1">
      <formula>AND(IF($Q43=3,1,0),IF($X43&lt;30,1,0))</formula>
    </cfRule>
    <cfRule type="expression" priority="2147" dxfId="0">
      <formula>AND(IF($Q43=3,1,IF($Q43=4,1,0)),IF($F43&lt;=85,1,0))</formula>
    </cfRule>
  </conditionalFormatting>
  <conditionalFormatting sqref="X43">
    <cfRule type="expression" priority="2140" dxfId="3">
      <formula>AND(IF(OR($Q43=1,$Q43=2),1,0),IF($X43&lt;=20,1,0))</formula>
    </cfRule>
    <cfRule type="expression" priority="2141" dxfId="2">
      <formula>AND(IF($Q43=2,1,0),IF($X43&lt;30,1,0))</formula>
    </cfRule>
    <cfRule type="expression" priority="2142" dxfId="1">
      <formula>AND(IF($Q43=3,1,0),IF($X43&lt;30,1,0))</formula>
    </cfRule>
    <cfRule type="expression" priority="2143" dxfId="0">
      <formula>AND(IF($Q43=3,1,IF($Q43=4,1,0)),IF($F43&lt;=85,1,0))</formula>
    </cfRule>
  </conditionalFormatting>
  <conditionalFormatting sqref="AI43">
    <cfRule type="expression" priority="2136" dxfId="3">
      <formula>AND(IF(OR($Q43=1,$Q43=2),1,0),IF($X43&lt;=20,1,0))</formula>
    </cfRule>
    <cfRule type="expression" priority="2137" dxfId="2">
      <formula>AND(IF($Q43=2,1,0),IF($X43&lt;30,1,0))</formula>
    </cfRule>
    <cfRule type="expression" priority="2138" dxfId="1">
      <formula>AND(IF($Q43=3,1,0),IF($X43&lt;30,1,0))</formula>
    </cfRule>
    <cfRule type="expression" priority="2139" dxfId="0">
      <formula>AND(IF($Q43=3,1,IF($Q43=4,1,0)),IF($F43&lt;=85,1,0))</formula>
    </cfRule>
  </conditionalFormatting>
  <conditionalFormatting sqref="AV44">
    <cfRule type="expression" priority="2134" dxfId="17">
      <formula>AV44="X"</formula>
    </cfRule>
    <cfRule type="expression" priority="2135" dxfId="16">
      <formula>AV44="후보"</formula>
    </cfRule>
  </conditionalFormatting>
  <conditionalFormatting sqref="AC44">
    <cfRule type="cellIs" priority="2131" operator="greaterThan" dxfId="13">
      <formula>0.9</formula>
    </cfRule>
    <cfRule type="cellIs" priority="2132" operator="greaterThan" dxfId="12">
      <formula>0.85</formula>
    </cfRule>
  </conditionalFormatting>
  <conditionalFormatting sqref="N44">
    <cfRule type="cellIs" priority="2129" operator="greaterThan" dxfId="13">
      <formula>0.9</formula>
    </cfRule>
    <cfRule type="cellIs" priority="2130" operator="greaterThan" dxfId="12">
      <formula>0.85</formula>
    </cfRule>
  </conditionalFormatting>
  <conditionalFormatting sqref="E44">
    <cfRule type="expression" priority="2125" dxfId="3">
      <formula>AND(IF(OR($Q44=1,$Q44=2),1,0),IF($X44&lt;=20,1,0))</formula>
    </cfRule>
    <cfRule type="expression" priority="2126" dxfId="2">
      <formula>AND(IF($Q44=2,1,0),IF($X44&lt;30,1,0))</formula>
    </cfRule>
    <cfRule type="expression" priority="2127" dxfId="1">
      <formula>AND(IF($Q44=3,1,0),IF($X44&lt;30,1,0))</formula>
    </cfRule>
    <cfRule type="expression" priority="2128" dxfId="0">
      <formula>AND(IF($Q44=3,1,IF($Q44=4,1,0)),IF($F44&lt;=85,1,0))</formula>
    </cfRule>
  </conditionalFormatting>
  <conditionalFormatting sqref="X44">
    <cfRule type="expression" priority="2121" dxfId="3">
      <formula>AND(IF(OR($Q44=1,$Q44=2),1,0),IF($X44&lt;=20,1,0))</formula>
    </cfRule>
    <cfRule type="expression" priority="2122" dxfId="2">
      <formula>AND(IF($Q44=2,1,0),IF($X44&lt;30,1,0))</formula>
    </cfRule>
    <cfRule type="expression" priority="2123" dxfId="1">
      <formula>AND(IF($Q44=3,1,0),IF($X44&lt;30,1,0))</formula>
    </cfRule>
    <cfRule type="expression" priority="2124" dxfId="0">
      <formula>AND(IF($Q44=3,1,IF($Q44=4,1,0)),IF($F44&lt;=85,1,0))</formula>
    </cfRule>
  </conditionalFormatting>
  <conditionalFormatting sqref="AI44">
    <cfRule type="expression" priority="2117" dxfId="3">
      <formula>AND(IF(OR($Q44=1,$Q44=2),1,0),IF($X44&lt;=20,1,0))</formula>
    </cfRule>
    <cfRule type="expression" priority="2118" dxfId="2">
      <formula>AND(IF($Q44=2,1,0),IF($X44&lt;30,1,0))</formula>
    </cfRule>
    <cfRule type="expression" priority="2119" dxfId="1">
      <formula>AND(IF($Q44=3,1,0),IF($X44&lt;30,1,0))</formula>
    </cfRule>
    <cfRule type="expression" priority="2120" dxfId="0">
      <formula>AND(IF($Q44=3,1,IF($Q44=4,1,0)),IF($F44&lt;=85,1,0))</formula>
    </cfRule>
  </conditionalFormatting>
  <conditionalFormatting sqref="AV45">
    <cfRule type="expression" priority="2115" dxfId="17">
      <formula>AV45="X"</formula>
    </cfRule>
    <cfRule type="expression" priority="2116" dxfId="16">
      <formula>AV45="후보"</formula>
    </cfRule>
  </conditionalFormatting>
  <conditionalFormatting sqref="AC45 N45">
    <cfRule type="cellIs" priority="2112" operator="greaterThan" dxfId="13">
      <formula>0.9</formula>
    </cfRule>
    <cfRule type="cellIs" priority="2113" operator="greaterThan" dxfId="12">
      <formula>0.85</formula>
    </cfRule>
  </conditionalFormatting>
  <conditionalFormatting sqref="AV46">
    <cfRule type="expression" priority="2110" dxfId="17">
      <formula>AV46="X"</formula>
    </cfRule>
    <cfRule type="expression" priority="2111" dxfId="16">
      <formula>AV46="후보"</formula>
    </cfRule>
  </conditionalFormatting>
  <conditionalFormatting sqref="AC46">
    <cfRule type="cellIs" priority="2107" operator="greaterThan" dxfId="13">
      <formula>0.9</formula>
    </cfRule>
    <cfRule type="cellIs" priority="2108" operator="greaterThan" dxfId="12">
      <formula>0.85</formula>
    </cfRule>
  </conditionalFormatting>
  <conditionalFormatting sqref="N46">
    <cfRule type="cellIs" priority="2105" operator="greaterThan" dxfId="13">
      <formula>0.9</formula>
    </cfRule>
    <cfRule type="cellIs" priority="2106" operator="greaterThan" dxfId="12">
      <formula>0.85</formula>
    </cfRule>
  </conditionalFormatting>
  <conditionalFormatting sqref="E46">
    <cfRule type="expression" priority="2101" dxfId="3">
      <formula>AND(IF(OR($Q46=1,$Q46=2),1,0),IF($X46&lt;=20,1,0))</formula>
    </cfRule>
    <cfRule type="expression" priority="2102" dxfId="2">
      <formula>AND(IF($Q46=2,1,0),IF($X46&lt;30,1,0))</formula>
    </cfRule>
    <cfRule type="expression" priority="2103" dxfId="1">
      <formula>AND(IF($Q46=3,1,0),IF($X46&lt;30,1,0))</formula>
    </cfRule>
    <cfRule type="expression" priority="2104" dxfId="0">
      <formula>AND(IF($Q46=3,1,IF($Q46=4,1,0)),IF($F46&lt;=85,1,0))</formula>
    </cfRule>
  </conditionalFormatting>
  <conditionalFormatting sqref="X46">
    <cfRule type="expression" priority="2097" dxfId="3">
      <formula>AND(IF(OR($Q46=1,$Q46=2),1,0),IF($X46&lt;=20,1,0))</formula>
    </cfRule>
    <cfRule type="expression" priority="2098" dxfId="2">
      <formula>AND(IF($Q46=2,1,0),IF($X46&lt;30,1,0))</formula>
    </cfRule>
    <cfRule type="expression" priority="2099" dxfId="1">
      <formula>AND(IF($Q46=3,1,0),IF($X46&lt;30,1,0))</formula>
    </cfRule>
    <cfRule type="expression" priority="2100" dxfId="0">
      <formula>AND(IF($Q46=3,1,IF($Q46=4,1,0)),IF($F46&lt;=85,1,0))</formula>
    </cfRule>
  </conditionalFormatting>
  <conditionalFormatting sqref="AI46">
    <cfRule type="expression" priority="2093" dxfId="3">
      <formula>AND(IF(OR($Q46=1,$Q46=2),1,0),IF($X46&lt;=20,1,0))</formula>
    </cfRule>
    <cfRule type="expression" priority="2094" dxfId="2">
      <formula>AND(IF($Q46=2,1,0),IF($X46&lt;30,1,0))</formula>
    </cfRule>
    <cfRule type="expression" priority="2095" dxfId="1">
      <formula>AND(IF($Q46=3,1,0),IF($X46&lt;30,1,0))</formula>
    </cfRule>
    <cfRule type="expression" priority="2096" dxfId="0">
      <formula>AND(IF($Q46=3,1,IF($Q46=4,1,0)),IF($F46&lt;=85,1,0))</formula>
    </cfRule>
  </conditionalFormatting>
  <conditionalFormatting sqref="AV47">
    <cfRule type="expression" priority="2091" dxfId="17">
      <formula>AV47="X"</formula>
    </cfRule>
    <cfRule type="expression" priority="2092" dxfId="16">
      <formula>AV47="후보"</formula>
    </cfRule>
  </conditionalFormatting>
  <conditionalFormatting sqref="AC47">
    <cfRule type="cellIs" priority="2088" operator="greaterThan" dxfId="13">
      <formula>0.9</formula>
    </cfRule>
    <cfRule type="cellIs" priority="2089" operator="greaterThan" dxfId="12">
      <formula>0.85</formula>
    </cfRule>
  </conditionalFormatting>
  <conditionalFormatting sqref="N47">
    <cfRule type="cellIs" priority="2086" operator="greaterThan" dxfId="13">
      <formula>0.9</formula>
    </cfRule>
    <cfRule type="cellIs" priority="2087" operator="greaterThan" dxfId="12">
      <formula>0.85</formula>
    </cfRule>
  </conditionalFormatting>
  <conditionalFormatting sqref="E47">
    <cfRule type="expression" priority="2082" dxfId="3">
      <formula>AND(IF(OR($Q47=1,$Q47=2),1,0),IF($X47&lt;=20,1,0))</formula>
    </cfRule>
    <cfRule type="expression" priority="2083" dxfId="2">
      <formula>AND(IF($Q47=2,1,0),IF($X47&lt;30,1,0))</formula>
    </cfRule>
    <cfRule type="expression" priority="2084" dxfId="1">
      <formula>AND(IF($Q47=3,1,0),IF($X47&lt;30,1,0))</formula>
    </cfRule>
    <cfRule type="expression" priority="2085" dxfId="0">
      <formula>AND(IF($Q47=3,1,IF($Q47=4,1,0)),IF($F47&lt;=85,1,0))</formula>
    </cfRule>
  </conditionalFormatting>
  <conditionalFormatting sqref="X47">
    <cfRule type="expression" priority="2078" dxfId="3">
      <formula>AND(IF(OR($Q47=1,$Q47=2),1,0),IF($X47&lt;=20,1,0))</formula>
    </cfRule>
    <cfRule type="expression" priority="2079" dxfId="2">
      <formula>AND(IF($Q47=2,1,0),IF($X47&lt;30,1,0))</formula>
    </cfRule>
    <cfRule type="expression" priority="2080" dxfId="1">
      <formula>AND(IF($Q47=3,1,0),IF($X47&lt;30,1,0))</formula>
    </cfRule>
    <cfRule type="expression" priority="2081" dxfId="0">
      <formula>AND(IF($Q47=3,1,IF($Q47=4,1,0)),IF($F47&lt;=85,1,0))</formula>
    </cfRule>
  </conditionalFormatting>
  <conditionalFormatting sqref="AI47">
    <cfRule type="expression" priority="2074" dxfId="3">
      <formula>AND(IF(OR($Q47=1,$Q47=2),1,0),IF($X47&lt;=20,1,0))</formula>
    </cfRule>
    <cfRule type="expression" priority="2075" dxfId="2">
      <formula>AND(IF($Q47=2,1,0),IF($X47&lt;30,1,0))</formula>
    </cfRule>
    <cfRule type="expression" priority="2076" dxfId="1">
      <formula>AND(IF($Q47=3,1,0),IF($X47&lt;30,1,0))</formula>
    </cfRule>
    <cfRule type="expression" priority="2077" dxfId="0">
      <formula>AND(IF($Q47=3,1,IF($Q47=4,1,0)),IF($F47&lt;=85,1,0))</formula>
    </cfRule>
  </conditionalFormatting>
  <conditionalFormatting sqref="AV48">
    <cfRule type="expression" priority="2072" dxfId="17">
      <formula>AV48="X"</formula>
    </cfRule>
    <cfRule type="expression" priority="2073" dxfId="16">
      <formula>AV48="후보"</formula>
    </cfRule>
  </conditionalFormatting>
  <conditionalFormatting sqref="AC48">
    <cfRule type="cellIs" priority="2069" operator="greaterThan" dxfId="13">
      <formula>0.9</formula>
    </cfRule>
    <cfRule type="cellIs" priority="2070" operator="greaterThan" dxfId="12">
      <formula>0.85</formula>
    </cfRule>
  </conditionalFormatting>
  <conditionalFormatting sqref="N48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E48">
    <cfRule type="expression" priority="2063" dxfId="3">
      <formula>AND(IF(OR($Q48=1,$Q48=2),1,0),IF($X48&lt;=20,1,0))</formula>
    </cfRule>
    <cfRule type="expression" priority="2064" dxfId="2">
      <formula>AND(IF($Q48=2,1,0),IF($X48&lt;30,1,0))</formula>
    </cfRule>
    <cfRule type="expression" priority="2065" dxfId="1">
      <formula>AND(IF($Q48=3,1,0),IF($X48&lt;30,1,0))</formula>
    </cfRule>
    <cfRule type="expression" priority="2066" dxfId="0">
      <formula>AND(IF($Q48=3,1,IF($Q48=4,1,0)),IF($F48&lt;=85,1,0))</formula>
    </cfRule>
  </conditionalFormatting>
  <conditionalFormatting sqref="X48">
    <cfRule type="expression" priority="2059" dxfId="3">
      <formula>AND(IF(OR($Q48=1,$Q48=2),1,0),IF($X48&lt;=20,1,0))</formula>
    </cfRule>
    <cfRule type="expression" priority="2060" dxfId="2">
      <formula>AND(IF($Q48=2,1,0),IF($X48&lt;30,1,0))</formula>
    </cfRule>
    <cfRule type="expression" priority="2061" dxfId="1">
      <formula>AND(IF($Q48=3,1,0),IF($X48&lt;30,1,0))</formula>
    </cfRule>
    <cfRule type="expression" priority="2062" dxfId="0">
      <formula>AND(IF($Q48=3,1,IF($Q48=4,1,0)),IF($F48&lt;=85,1,0))</formula>
    </cfRule>
  </conditionalFormatting>
  <conditionalFormatting sqref="AI48">
    <cfRule type="expression" priority="2055" dxfId="3">
      <formula>AND(IF(OR($Q48=1,$Q48=2),1,0),IF($X48&lt;=20,1,0))</formula>
    </cfRule>
    <cfRule type="expression" priority="2056" dxfId="2">
      <formula>AND(IF($Q48=2,1,0),IF($X48&lt;30,1,0))</formula>
    </cfRule>
    <cfRule type="expression" priority="2057" dxfId="1">
      <formula>AND(IF($Q48=3,1,0),IF($X48&lt;30,1,0))</formula>
    </cfRule>
    <cfRule type="expression" priority="2058" dxfId="0">
      <formula>AND(IF($Q48=3,1,IF($Q48=4,1,0)),IF($F48&lt;=85,1,0))</formula>
    </cfRule>
  </conditionalFormatting>
  <conditionalFormatting sqref="AV49">
    <cfRule type="expression" priority="2053" dxfId="17">
      <formula>AV49="X"</formula>
    </cfRule>
    <cfRule type="expression" priority="2054" dxfId="16">
      <formula>AV49="후보"</formula>
    </cfRule>
  </conditionalFormatting>
  <conditionalFormatting sqref="AC49 N49">
    <cfRule type="cellIs" priority="2050" operator="greaterThan" dxfId="13">
      <formula>0.9</formula>
    </cfRule>
    <cfRule type="cellIs" priority="2051" operator="greaterThan" dxfId="12">
      <formula>0.85</formula>
    </cfRule>
  </conditionalFormatting>
  <conditionalFormatting sqref="AV50">
    <cfRule type="expression" priority="2048" dxfId="17">
      <formula>AV50="X"</formula>
    </cfRule>
    <cfRule type="expression" priority="2049" dxfId="16">
      <formula>AV50="후보"</formula>
    </cfRule>
  </conditionalFormatting>
  <conditionalFormatting sqref="AC50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N50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E50">
    <cfRule type="expression" priority="2039" dxfId="3">
      <formula>AND(IF(OR($Q50=1,$Q50=2),1,0),IF($X50&lt;=20,1,0))</formula>
    </cfRule>
    <cfRule type="expression" priority="2040" dxfId="2">
      <formula>AND(IF($Q50=2,1,0),IF($X50&lt;30,1,0))</formula>
    </cfRule>
    <cfRule type="expression" priority="2041" dxfId="1">
      <formula>AND(IF($Q50=3,1,0),IF($X50&lt;30,1,0))</formula>
    </cfRule>
    <cfRule type="expression" priority="2042" dxfId="0">
      <formula>AND(IF($Q50=3,1,IF($Q50=4,1,0)),IF($F50&lt;=85,1,0))</formula>
    </cfRule>
  </conditionalFormatting>
  <conditionalFormatting sqref="X50">
    <cfRule type="expression" priority="2035" dxfId="3">
      <formula>AND(IF(OR($Q50=1,$Q50=2),1,0),IF($X50&lt;=20,1,0))</formula>
    </cfRule>
    <cfRule type="expression" priority="2036" dxfId="2">
      <formula>AND(IF($Q50=2,1,0),IF($X50&lt;30,1,0))</formula>
    </cfRule>
    <cfRule type="expression" priority="2037" dxfId="1">
      <formula>AND(IF($Q50=3,1,0),IF($X50&lt;30,1,0))</formula>
    </cfRule>
    <cfRule type="expression" priority="2038" dxfId="0">
      <formula>AND(IF($Q50=3,1,IF($Q50=4,1,0)),IF($F50&lt;=85,1,0))</formula>
    </cfRule>
  </conditionalFormatting>
  <conditionalFormatting sqref="AI50">
    <cfRule type="expression" priority="2031" dxfId="3">
      <formula>AND(IF(OR($Q50=1,$Q50=2),1,0),IF($X50&lt;=20,1,0))</formula>
    </cfRule>
    <cfRule type="expression" priority="2032" dxfId="2">
      <formula>AND(IF($Q50=2,1,0),IF($X50&lt;30,1,0))</formula>
    </cfRule>
    <cfRule type="expression" priority="2033" dxfId="1">
      <formula>AND(IF($Q50=3,1,0),IF($X50&lt;30,1,0))</formula>
    </cfRule>
    <cfRule type="expression" priority="2034" dxfId="0">
      <formula>AND(IF($Q50=3,1,IF($Q50=4,1,0)),IF($F50&lt;=85,1,0))</formula>
    </cfRule>
  </conditionalFormatting>
  <conditionalFormatting sqref="AV51">
    <cfRule type="expression" priority="2029" dxfId="17">
      <formula>AV51="X"</formula>
    </cfRule>
    <cfRule type="expression" priority="2030" dxfId="16">
      <formula>AV51="후보"</formula>
    </cfRule>
  </conditionalFormatting>
  <conditionalFormatting sqref="AC51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N51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E51">
    <cfRule type="expression" priority="2020" dxfId="3">
      <formula>AND(IF(OR($Q51=1,$Q51=2),1,0),IF($X51&lt;=20,1,0))</formula>
    </cfRule>
    <cfRule type="expression" priority="2021" dxfId="2">
      <formula>AND(IF($Q51=2,1,0),IF($X51&lt;30,1,0))</formula>
    </cfRule>
    <cfRule type="expression" priority="2022" dxfId="1">
      <formula>AND(IF($Q51=3,1,0),IF($X51&lt;30,1,0))</formula>
    </cfRule>
    <cfRule type="expression" priority="2023" dxfId="0">
      <formula>AND(IF($Q51=3,1,IF($Q51=4,1,0)),IF($F51&lt;=85,1,0))</formula>
    </cfRule>
  </conditionalFormatting>
  <conditionalFormatting sqref="X51">
    <cfRule type="expression" priority="2016" dxfId="3">
      <formula>AND(IF(OR($Q51=1,$Q51=2),1,0),IF($X51&lt;=20,1,0))</formula>
    </cfRule>
    <cfRule type="expression" priority="2017" dxfId="2">
      <formula>AND(IF($Q51=2,1,0),IF($X51&lt;30,1,0))</formula>
    </cfRule>
    <cfRule type="expression" priority="2018" dxfId="1">
      <formula>AND(IF($Q51=3,1,0),IF($X51&lt;30,1,0))</formula>
    </cfRule>
    <cfRule type="expression" priority="2019" dxfId="0">
      <formula>AND(IF($Q51=3,1,IF($Q51=4,1,0)),IF($F51&lt;=85,1,0))</formula>
    </cfRule>
  </conditionalFormatting>
  <conditionalFormatting sqref="AI51">
    <cfRule type="expression" priority="2012" dxfId="3">
      <formula>AND(IF(OR($Q51=1,$Q51=2),1,0),IF($X51&lt;=20,1,0))</formula>
    </cfRule>
    <cfRule type="expression" priority="2013" dxfId="2">
      <formula>AND(IF($Q51=2,1,0),IF($X51&lt;30,1,0))</formula>
    </cfRule>
    <cfRule type="expression" priority="2014" dxfId="1">
      <formula>AND(IF($Q51=3,1,0),IF($X51&lt;30,1,0))</formula>
    </cfRule>
    <cfRule type="expression" priority="2015" dxfId="0">
      <formula>AND(IF($Q51=3,1,IF($Q51=4,1,0)),IF($F51&lt;=85,1,0))</formula>
    </cfRule>
  </conditionalFormatting>
  <conditionalFormatting sqref="AV52">
    <cfRule type="expression" priority="2010" dxfId="17">
      <formula>AV52="X"</formula>
    </cfRule>
    <cfRule type="expression" priority="2011" dxfId="16">
      <formula>AV52="후보"</formula>
    </cfRule>
  </conditionalFormatting>
  <conditionalFormatting sqref="AC52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N52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E52">
    <cfRule type="expression" priority="2001" dxfId="3">
      <formula>AND(IF(OR($Q52=1,$Q52=2),1,0),IF($X52&lt;=20,1,0))</formula>
    </cfRule>
    <cfRule type="expression" priority="2002" dxfId="2">
      <formula>AND(IF($Q52=2,1,0),IF($X52&lt;30,1,0))</formula>
    </cfRule>
    <cfRule type="expression" priority="2003" dxfId="1">
      <formula>AND(IF($Q52=3,1,0),IF($X52&lt;30,1,0))</formula>
    </cfRule>
    <cfRule type="expression" priority="2004" dxfId="0">
      <formula>AND(IF($Q52=3,1,IF($Q52=4,1,0)),IF($F52&lt;=85,1,0))</formula>
    </cfRule>
  </conditionalFormatting>
  <conditionalFormatting sqref="X52">
    <cfRule type="expression" priority="1997" dxfId="3">
      <formula>AND(IF(OR($Q52=1,$Q52=2),1,0),IF($X52&lt;=20,1,0))</formula>
    </cfRule>
    <cfRule type="expression" priority="1998" dxfId="2">
      <formula>AND(IF($Q52=2,1,0),IF($X52&lt;30,1,0))</formula>
    </cfRule>
    <cfRule type="expression" priority="1999" dxfId="1">
      <formula>AND(IF($Q52=3,1,0),IF($X52&lt;30,1,0))</formula>
    </cfRule>
    <cfRule type="expression" priority="2000" dxfId="0">
      <formula>AND(IF($Q52=3,1,IF($Q52=4,1,0)),IF($F52&lt;=85,1,0))</formula>
    </cfRule>
  </conditionalFormatting>
  <conditionalFormatting sqref="AI52">
    <cfRule type="expression" priority="1993" dxfId="3">
      <formula>AND(IF(OR($Q52=1,$Q52=2),1,0),IF($X52&lt;=20,1,0))</formula>
    </cfRule>
    <cfRule type="expression" priority="1994" dxfId="2">
      <formula>AND(IF($Q52=2,1,0),IF($X52&lt;30,1,0))</formula>
    </cfRule>
    <cfRule type="expression" priority="1995" dxfId="1">
      <formula>AND(IF($Q52=3,1,0),IF($X52&lt;30,1,0))</formula>
    </cfRule>
    <cfRule type="expression" priority="1996" dxfId="0">
      <formula>AND(IF($Q52=3,1,IF($Q52=4,1,0)),IF($F52&lt;=85,1,0))</formula>
    </cfRule>
  </conditionalFormatting>
  <conditionalFormatting sqref="AV53">
    <cfRule type="expression" priority="1991" dxfId="17">
      <formula>AV53="X"</formula>
    </cfRule>
    <cfRule type="expression" priority="1992" dxfId="16">
      <formula>AV53="후보"</formula>
    </cfRule>
  </conditionalFormatting>
  <conditionalFormatting sqref="AC53 N53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AV54">
    <cfRule type="expression" priority="1986" dxfId="17">
      <formula>AV54="X"</formula>
    </cfRule>
    <cfRule type="expression" priority="1987" dxfId="16">
      <formula>AV54="후보"</formula>
    </cfRule>
  </conditionalFormatting>
  <conditionalFormatting sqref="AC54">
    <cfRule type="cellIs" priority="1983" operator="greaterThan" dxfId="13">
      <formula>0.9</formula>
    </cfRule>
    <cfRule type="cellIs" priority="1984" operator="greaterThan" dxfId="12">
      <formula>0.85</formula>
    </cfRule>
  </conditionalFormatting>
  <conditionalFormatting sqref="N54">
    <cfRule type="cellIs" priority="1981" operator="greaterThan" dxfId="13">
      <formula>0.9</formula>
    </cfRule>
    <cfRule type="cellIs" priority="1982" operator="greaterThan" dxfId="12">
      <formula>0.85</formula>
    </cfRule>
  </conditionalFormatting>
  <conditionalFormatting sqref="E54">
    <cfRule type="expression" priority="1977" dxfId="3">
      <formula>AND(IF(OR($Q54=1,$Q54=2),1,0),IF($X54&lt;=20,1,0))</formula>
    </cfRule>
    <cfRule type="expression" priority="1978" dxfId="2">
      <formula>AND(IF($Q54=2,1,0),IF($X54&lt;30,1,0))</formula>
    </cfRule>
    <cfRule type="expression" priority="1979" dxfId="1">
      <formula>AND(IF($Q54=3,1,0),IF($X54&lt;30,1,0))</formula>
    </cfRule>
    <cfRule type="expression" priority="1980" dxfId="0">
      <formula>AND(IF($Q54=3,1,IF($Q54=4,1,0)),IF($F54&lt;=85,1,0))</formula>
    </cfRule>
  </conditionalFormatting>
  <conditionalFormatting sqref="X54">
    <cfRule type="expression" priority="1973" dxfId="3">
      <formula>AND(IF(OR($Q54=1,$Q54=2),1,0),IF($X54&lt;=20,1,0))</formula>
    </cfRule>
    <cfRule type="expression" priority="1974" dxfId="2">
      <formula>AND(IF($Q54=2,1,0),IF($X54&lt;30,1,0))</formula>
    </cfRule>
    <cfRule type="expression" priority="1975" dxfId="1">
      <formula>AND(IF($Q54=3,1,0),IF($X54&lt;30,1,0))</formula>
    </cfRule>
    <cfRule type="expression" priority="1976" dxfId="0">
      <formula>AND(IF($Q54=3,1,IF($Q54=4,1,0)),IF($F54&lt;=85,1,0))</formula>
    </cfRule>
  </conditionalFormatting>
  <conditionalFormatting sqref="AI54">
    <cfRule type="expression" priority="1969" dxfId="3">
      <formula>AND(IF(OR($Q54=1,$Q54=2),1,0),IF($X54&lt;=20,1,0))</formula>
    </cfRule>
    <cfRule type="expression" priority="1970" dxfId="2">
      <formula>AND(IF($Q54=2,1,0),IF($X54&lt;30,1,0))</formula>
    </cfRule>
    <cfRule type="expression" priority="1971" dxfId="1">
      <formula>AND(IF($Q54=3,1,0),IF($X54&lt;30,1,0))</formula>
    </cfRule>
    <cfRule type="expression" priority="1972" dxfId="0">
      <formula>AND(IF($Q54=3,1,IF($Q54=4,1,0)),IF($F54&lt;=85,1,0))</formula>
    </cfRule>
  </conditionalFormatting>
  <conditionalFormatting sqref="AV55">
    <cfRule type="expression" priority="1967" dxfId="17">
      <formula>AV55="X"</formula>
    </cfRule>
    <cfRule type="expression" priority="1968" dxfId="16">
      <formula>AV55="후보"</formula>
    </cfRule>
  </conditionalFormatting>
  <conditionalFormatting sqref="AC55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N55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E55">
    <cfRule type="expression" priority="1958" dxfId="3">
      <formula>AND(IF(OR($Q55=1,$Q55=2),1,0),IF($X55&lt;=20,1,0))</formula>
    </cfRule>
    <cfRule type="expression" priority="1959" dxfId="2">
      <formula>AND(IF($Q55=2,1,0),IF($X55&lt;30,1,0))</formula>
    </cfRule>
    <cfRule type="expression" priority="1960" dxfId="1">
      <formula>AND(IF($Q55=3,1,0),IF($X55&lt;30,1,0))</formula>
    </cfRule>
    <cfRule type="expression" priority="1961" dxfId="0">
      <formula>AND(IF($Q55=3,1,IF($Q55=4,1,0)),IF($F55&lt;=85,1,0))</formula>
    </cfRule>
  </conditionalFormatting>
  <conditionalFormatting sqref="X55">
    <cfRule type="expression" priority="1954" dxfId="3">
      <formula>AND(IF(OR($Q55=1,$Q55=2),1,0),IF($X55&lt;=20,1,0))</formula>
    </cfRule>
    <cfRule type="expression" priority="1955" dxfId="2">
      <formula>AND(IF($Q55=2,1,0),IF($X55&lt;30,1,0))</formula>
    </cfRule>
    <cfRule type="expression" priority="1956" dxfId="1">
      <formula>AND(IF($Q55=3,1,0),IF($X55&lt;30,1,0))</formula>
    </cfRule>
    <cfRule type="expression" priority="1957" dxfId="0">
      <formula>AND(IF($Q55=3,1,IF($Q55=4,1,0)),IF($F55&lt;=85,1,0))</formula>
    </cfRule>
  </conditionalFormatting>
  <conditionalFormatting sqref="AI55">
    <cfRule type="expression" priority="1950" dxfId="3">
      <formula>AND(IF(OR($Q55=1,$Q55=2),1,0),IF($X55&lt;=20,1,0))</formula>
    </cfRule>
    <cfRule type="expression" priority="1951" dxfId="2">
      <formula>AND(IF($Q55=2,1,0),IF($X55&lt;30,1,0))</formula>
    </cfRule>
    <cfRule type="expression" priority="1952" dxfId="1">
      <formula>AND(IF($Q55=3,1,0),IF($X55&lt;30,1,0))</formula>
    </cfRule>
    <cfRule type="expression" priority="1953" dxfId="0">
      <formula>AND(IF($Q55=3,1,IF($Q55=4,1,0)),IF($F55&lt;=85,1,0))</formula>
    </cfRule>
  </conditionalFormatting>
  <conditionalFormatting sqref="AV56">
    <cfRule type="expression" priority="1948" dxfId="17">
      <formula>AV56="X"</formula>
    </cfRule>
    <cfRule type="expression" priority="1949" dxfId="16">
      <formula>AV56="후보"</formula>
    </cfRule>
  </conditionalFormatting>
  <conditionalFormatting sqref="AC56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N56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E56">
    <cfRule type="expression" priority="1939" dxfId="3">
      <formula>AND(IF(OR($Q56=1,$Q56=2),1,0),IF($X56&lt;=20,1,0))</formula>
    </cfRule>
    <cfRule type="expression" priority="1940" dxfId="2">
      <formula>AND(IF($Q56=2,1,0),IF($X56&lt;30,1,0))</formula>
    </cfRule>
    <cfRule type="expression" priority="1941" dxfId="1">
      <formula>AND(IF($Q56=3,1,0),IF($X56&lt;30,1,0))</formula>
    </cfRule>
    <cfRule type="expression" priority="1942" dxfId="0">
      <formula>AND(IF($Q56=3,1,IF($Q56=4,1,0)),IF($F56&lt;=85,1,0))</formula>
    </cfRule>
  </conditionalFormatting>
  <conditionalFormatting sqref="X56">
    <cfRule type="expression" priority="1935" dxfId="3">
      <formula>AND(IF(OR($Q56=1,$Q56=2),1,0),IF($X56&lt;=20,1,0))</formula>
    </cfRule>
    <cfRule type="expression" priority="1936" dxfId="2">
      <formula>AND(IF($Q56=2,1,0),IF($X56&lt;30,1,0))</formula>
    </cfRule>
    <cfRule type="expression" priority="1937" dxfId="1">
      <formula>AND(IF($Q56=3,1,0),IF($X56&lt;30,1,0))</formula>
    </cfRule>
    <cfRule type="expression" priority="1938" dxfId="0">
      <formula>AND(IF($Q56=3,1,IF($Q56=4,1,0)),IF($F56&lt;=85,1,0))</formula>
    </cfRule>
  </conditionalFormatting>
  <conditionalFormatting sqref="AI56">
    <cfRule type="expression" priority="1931" dxfId="3">
      <formula>AND(IF(OR($Q56=1,$Q56=2),1,0),IF($X56&lt;=20,1,0))</formula>
    </cfRule>
    <cfRule type="expression" priority="1932" dxfId="2">
      <formula>AND(IF($Q56=2,1,0),IF($X56&lt;30,1,0))</formula>
    </cfRule>
    <cfRule type="expression" priority="1933" dxfId="1">
      <formula>AND(IF($Q56=3,1,0),IF($X56&lt;30,1,0))</formula>
    </cfRule>
    <cfRule type="expression" priority="1934" dxfId="0">
      <formula>AND(IF($Q56=3,1,IF($Q56=4,1,0)),IF($F56&lt;=85,1,0))</formula>
    </cfRule>
  </conditionalFormatting>
  <conditionalFormatting sqref="AV57">
    <cfRule type="expression" priority="1929" dxfId="17">
      <formula>AV57="X"</formula>
    </cfRule>
    <cfRule type="expression" priority="1930" dxfId="16">
      <formula>AV57="후보"</formula>
    </cfRule>
  </conditionalFormatting>
  <conditionalFormatting sqref="AC57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N57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E57">
    <cfRule type="expression" priority="1920" dxfId="3">
      <formula>AND(IF(OR($Q57=1,$Q57=2),1,0),IF($X57&lt;=20,1,0))</formula>
    </cfRule>
    <cfRule type="expression" priority="1921" dxfId="2">
      <formula>AND(IF($Q57=2,1,0),IF($X57&lt;30,1,0))</formula>
    </cfRule>
    <cfRule type="expression" priority="1922" dxfId="1">
      <formula>AND(IF($Q57=3,1,0),IF($X57&lt;30,1,0))</formula>
    </cfRule>
    <cfRule type="expression" priority="1923" dxfId="0">
      <formula>AND(IF($Q57=3,1,IF($Q57=4,1,0)),IF($F57&lt;=85,1,0))</formula>
    </cfRule>
  </conditionalFormatting>
  <conditionalFormatting sqref="X57">
    <cfRule type="expression" priority="1916" dxfId="3">
      <formula>AND(IF(OR($Q57=1,$Q57=2),1,0),IF($X57&lt;=20,1,0))</formula>
    </cfRule>
    <cfRule type="expression" priority="1917" dxfId="2">
      <formula>AND(IF($Q57=2,1,0),IF($X57&lt;30,1,0))</formula>
    </cfRule>
    <cfRule type="expression" priority="1918" dxfId="1">
      <formula>AND(IF($Q57=3,1,0),IF($X57&lt;30,1,0))</formula>
    </cfRule>
    <cfRule type="expression" priority="1919" dxfId="0">
      <formula>AND(IF($Q57=3,1,IF($Q57=4,1,0)),IF($F57&lt;=85,1,0))</formula>
    </cfRule>
  </conditionalFormatting>
  <conditionalFormatting sqref="AI57">
    <cfRule type="expression" priority="1912" dxfId="3">
      <formula>AND(IF(OR($Q57=1,$Q57=2),1,0),IF($X57&lt;=20,1,0))</formula>
    </cfRule>
    <cfRule type="expression" priority="1913" dxfId="2">
      <formula>AND(IF($Q57=2,1,0),IF($X57&lt;30,1,0))</formula>
    </cfRule>
    <cfRule type="expression" priority="1914" dxfId="1">
      <formula>AND(IF($Q57=3,1,0),IF($X57&lt;30,1,0))</formula>
    </cfRule>
    <cfRule type="expression" priority="1915" dxfId="0">
      <formula>AND(IF($Q57=3,1,IF($Q57=4,1,0)),IF($F57&lt;=85,1,0))</formula>
    </cfRule>
  </conditionalFormatting>
  <conditionalFormatting sqref="AV58">
    <cfRule type="expression" priority="1910" dxfId="17">
      <formula>AV58="X"</formula>
    </cfRule>
    <cfRule type="expression" priority="1911" dxfId="16">
      <formula>AV58="후보"</formula>
    </cfRule>
  </conditionalFormatting>
  <conditionalFormatting sqref="AC58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N58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E58">
    <cfRule type="expression" priority="1901" dxfId="3">
      <formula>AND(IF(OR($Q58=1,$Q58=2),1,0),IF($X58&lt;=20,1,0))</formula>
    </cfRule>
    <cfRule type="expression" priority="1902" dxfId="2">
      <formula>AND(IF($Q58=2,1,0),IF($X58&lt;30,1,0))</formula>
    </cfRule>
    <cfRule type="expression" priority="1903" dxfId="1">
      <formula>AND(IF($Q58=3,1,0),IF($X58&lt;30,1,0))</formula>
    </cfRule>
    <cfRule type="expression" priority="1904" dxfId="0">
      <formula>AND(IF($Q58=3,1,IF($Q58=4,1,0)),IF($F58&lt;=85,1,0))</formula>
    </cfRule>
  </conditionalFormatting>
  <conditionalFormatting sqref="X58">
    <cfRule type="expression" priority="1897" dxfId="3">
      <formula>AND(IF(OR($Q58=1,$Q58=2),1,0),IF($X58&lt;=20,1,0))</formula>
    </cfRule>
    <cfRule type="expression" priority="1898" dxfId="2">
      <formula>AND(IF($Q58=2,1,0),IF($X58&lt;30,1,0))</formula>
    </cfRule>
    <cfRule type="expression" priority="1899" dxfId="1">
      <formula>AND(IF($Q58=3,1,0),IF($X58&lt;30,1,0))</formula>
    </cfRule>
    <cfRule type="expression" priority="1900" dxfId="0">
      <formula>AND(IF($Q58=3,1,IF($Q58=4,1,0)),IF($F58&lt;=85,1,0))</formula>
    </cfRule>
  </conditionalFormatting>
  <conditionalFormatting sqref="AI58">
    <cfRule type="expression" priority="1893" dxfId="3">
      <formula>AND(IF(OR($Q58=1,$Q58=2),1,0),IF($X58&lt;=20,1,0))</formula>
    </cfRule>
    <cfRule type="expression" priority="1894" dxfId="2">
      <formula>AND(IF($Q58=2,1,0),IF($X58&lt;30,1,0))</formula>
    </cfRule>
    <cfRule type="expression" priority="1895" dxfId="1">
      <formula>AND(IF($Q58=3,1,0),IF($X58&lt;30,1,0))</formula>
    </cfRule>
    <cfRule type="expression" priority="1896" dxfId="0">
      <formula>AND(IF($Q58=3,1,IF($Q58=4,1,0)),IF($F58&lt;=85,1,0))</formula>
    </cfRule>
  </conditionalFormatting>
  <conditionalFormatting sqref="AV59">
    <cfRule type="expression" priority="1891" dxfId="17">
      <formula>AV59="X"</formula>
    </cfRule>
    <cfRule type="expression" priority="1892" dxfId="16">
      <formula>AV59="후보"</formula>
    </cfRule>
  </conditionalFormatting>
  <conditionalFormatting sqref="AC59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N59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E59">
    <cfRule type="expression" priority="1882" dxfId="3">
      <formula>AND(IF(OR($Q59=1,$Q59=2),1,0),IF($X59&lt;=20,1,0))</formula>
    </cfRule>
    <cfRule type="expression" priority="1883" dxfId="2">
      <formula>AND(IF($Q59=2,1,0),IF($X59&lt;30,1,0))</formula>
    </cfRule>
    <cfRule type="expression" priority="1884" dxfId="1">
      <formula>AND(IF($Q59=3,1,0),IF($X59&lt;30,1,0))</formula>
    </cfRule>
    <cfRule type="expression" priority="1885" dxfId="0">
      <formula>AND(IF($Q59=3,1,IF($Q59=4,1,0)),IF($F59&lt;=85,1,0))</formula>
    </cfRule>
  </conditionalFormatting>
  <conditionalFormatting sqref="X59">
    <cfRule type="expression" priority="1878" dxfId="3">
      <formula>AND(IF(OR($Q59=1,$Q59=2),1,0),IF($X59&lt;=20,1,0))</formula>
    </cfRule>
    <cfRule type="expression" priority="1879" dxfId="2">
      <formula>AND(IF($Q59=2,1,0),IF($X59&lt;30,1,0))</formula>
    </cfRule>
    <cfRule type="expression" priority="1880" dxfId="1">
      <formula>AND(IF($Q59=3,1,0),IF($X59&lt;30,1,0))</formula>
    </cfRule>
    <cfRule type="expression" priority="1881" dxfId="0">
      <formula>AND(IF($Q59=3,1,IF($Q59=4,1,0)),IF($F59&lt;=85,1,0))</formula>
    </cfRule>
  </conditionalFormatting>
  <conditionalFormatting sqref="AI59">
    <cfRule type="expression" priority="1874" dxfId="3">
      <formula>AND(IF(OR($Q59=1,$Q59=2),1,0),IF($X59&lt;=20,1,0))</formula>
    </cfRule>
    <cfRule type="expression" priority="1875" dxfId="2">
      <formula>AND(IF($Q59=2,1,0),IF($X59&lt;30,1,0))</formula>
    </cfRule>
    <cfRule type="expression" priority="1876" dxfId="1">
      <formula>AND(IF($Q59=3,1,0),IF($X59&lt;30,1,0))</formula>
    </cfRule>
    <cfRule type="expression" priority="1877" dxfId="0">
      <formula>AND(IF($Q59=3,1,IF($Q59=4,1,0)),IF($F59&lt;=85,1,0))</formula>
    </cfRule>
  </conditionalFormatting>
  <conditionalFormatting sqref="AV60">
    <cfRule type="expression" priority="1872" dxfId="17">
      <formula>AV60="X"</formula>
    </cfRule>
    <cfRule type="expression" priority="1873" dxfId="16">
      <formula>AV60="후보"</formula>
    </cfRule>
  </conditionalFormatting>
  <conditionalFormatting sqref="AC60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60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60">
    <cfRule type="expression" priority="1863" dxfId="3">
      <formula>AND(IF(OR($Q60=1,$Q60=2),1,0),IF($X60&lt;=20,1,0))</formula>
    </cfRule>
    <cfRule type="expression" priority="1864" dxfId="2">
      <formula>AND(IF($Q60=2,1,0),IF($X60&lt;30,1,0))</formula>
    </cfRule>
    <cfRule type="expression" priority="1865" dxfId="1">
      <formula>AND(IF($Q60=3,1,0),IF($X60&lt;30,1,0))</formula>
    </cfRule>
    <cfRule type="expression" priority="1866" dxfId="0">
      <formula>AND(IF($Q60=3,1,IF($Q60=4,1,0)),IF($F60&lt;=85,1,0))</formula>
    </cfRule>
  </conditionalFormatting>
  <conditionalFormatting sqref="X60">
    <cfRule type="expression" priority="1859" dxfId="3">
      <formula>AND(IF(OR($Q60=1,$Q60=2),1,0),IF($X60&lt;=20,1,0))</formula>
    </cfRule>
    <cfRule type="expression" priority="1860" dxfId="2">
      <formula>AND(IF($Q60=2,1,0),IF($X60&lt;30,1,0))</formula>
    </cfRule>
    <cfRule type="expression" priority="1861" dxfId="1">
      <formula>AND(IF($Q60=3,1,0),IF($X60&lt;30,1,0))</formula>
    </cfRule>
    <cfRule type="expression" priority="1862" dxfId="0">
      <formula>AND(IF($Q60=3,1,IF($Q60=4,1,0)),IF($F60&lt;=85,1,0))</formula>
    </cfRule>
  </conditionalFormatting>
  <conditionalFormatting sqref="AI60">
    <cfRule type="expression" priority="1855" dxfId="3">
      <formula>AND(IF(OR($Q60=1,$Q60=2),1,0),IF($X60&lt;=20,1,0))</formula>
    </cfRule>
    <cfRule type="expression" priority="1856" dxfId="2">
      <formula>AND(IF($Q60=2,1,0),IF($X60&lt;30,1,0))</formula>
    </cfRule>
    <cfRule type="expression" priority="1857" dxfId="1">
      <formula>AND(IF($Q60=3,1,0),IF($X60&lt;30,1,0))</formula>
    </cfRule>
    <cfRule type="expression" priority="1858" dxfId="0">
      <formula>AND(IF($Q60=3,1,IF($Q60=4,1,0)),IF($F60&lt;=85,1,0))</formula>
    </cfRule>
  </conditionalFormatting>
  <conditionalFormatting sqref="AV61">
    <cfRule type="expression" priority="1853" dxfId="17">
      <formula>AV61="X"</formula>
    </cfRule>
    <cfRule type="expression" priority="1854" dxfId="16">
      <formula>AV61="후보"</formula>
    </cfRule>
  </conditionalFormatting>
  <conditionalFormatting sqref="AC61">
    <cfRule type="cellIs" priority="1850" operator="greaterThan" dxfId="13">
      <formula>0.9</formula>
    </cfRule>
    <cfRule type="cellIs" priority="1851" operator="greaterThan" dxfId="12">
      <formula>0.85</formula>
    </cfRule>
  </conditionalFormatting>
  <conditionalFormatting sqref="N61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E61">
    <cfRule type="expression" priority="1844" dxfId="3">
      <formula>AND(IF(OR($Q61=1,$Q61=2),1,0),IF($X61&lt;=20,1,0))</formula>
    </cfRule>
    <cfRule type="expression" priority="1845" dxfId="2">
      <formula>AND(IF($Q61=2,1,0),IF($X61&lt;30,1,0))</formula>
    </cfRule>
    <cfRule type="expression" priority="1846" dxfId="1">
      <formula>AND(IF($Q61=3,1,0),IF($X61&lt;30,1,0))</formula>
    </cfRule>
    <cfRule type="expression" priority="1847" dxfId="0">
      <formula>AND(IF($Q61=3,1,IF($Q61=4,1,0)),IF($F61&lt;=85,1,0))</formula>
    </cfRule>
  </conditionalFormatting>
  <conditionalFormatting sqref="X61">
    <cfRule type="expression" priority="1840" dxfId="3">
      <formula>AND(IF(OR($Q61=1,$Q61=2),1,0),IF($X61&lt;=20,1,0))</formula>
    </cfRule>
    <cfRule type="expression" priority="1841" dxfId="2">
      <formula>AND(IF($Q61=2,1,0),IF($X61&lt;30,1,0))</formula>
    </cfRule>
    <cfRule type="expression" priority="1842" dxfId="1">
      <formula>AND(IF($Q61=3,1,0),IF($X61&lt;30,1,0))</formula>
    </cfRule>
    <cfRule type="expression" priority="1843" dxfId="0">
      <formula>AND(IF($Q61=3,1,IF($Q61=4,1,0)),IF($F61&lt;=85,1,0))</formula>
    </cfRule>
  </conditionalFormatting>
  <conditionalFormatting sqref="AI61">
    <cfRule type="expression" priority="1836" dxfId="3">
      <formula>AND(IF(OR($Q61=1,$Q61=2),1,0),IF($X61&lt;=20,1,0))</formula>
    </cfRule>
    <cfRule type="expression" priority="1837" dxfId="2">
      <formula>AND(IF($Q61=2,1,0),IF($X61&lt;30,1,0))</formula>
    </cfRule>
    <cfRule type="expression" priority="1838" dxfId="1">
      <formula>AND(IF($Q61=3,1,0),IF($X61&lt;30,1,0))</formula>
    </cfRule>
    <cfRule type="expression" priority="1839" dxfId="0">
      <formula>AND(IF($Q61=3,1,IF($Q61=4,1,0)),IF($F61&lt;=85,1,0))</formula>
    </cfRule>
  </conditionalFormatting>
  <conditionalFormatting sqref="AV62">
    <cfRule type="expression" priority="1834" dxfId="17">
      <formula>AV62="X"</formula>
    </cfRule>
    <cfRule type="expression" priority="1835" dxfId="16">
      <formula>AV62="후보"</formula>
    </cfRule>
  </conditionalFormatting>
  <conditionalFormatting sqref="AC62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62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E62">
    <cfRule type="expression" priority="1825" dxfId="3">
      <formula>AND(IF(OR($Q62=1,$Q62=2),1,0),IF($X62&lt;=20,1,0))</formula>
    </cfRule>
    <cfRule type="expression" priority="1826" dxfId="2">
      <formula>AND(IF($Q62=2,1,0),IF($X62&lt;30,1,0))</formula>
    </cfRule>
    <cfRule type="expression" priority="1827" dxfId="1">
      <formula>AND(IF($Q62=3,1,0),IF($X62&lt;30,1,0))</formula>
    </cfRule>
    <cfRule type="expression" priority="1828" dxfId="0">
      <formula>AND(IF($Q62=3,1,IF($Q62=4,1,0)),IF($F62&lt;=85,1,0))</formula>
    </cfRule>
  </conditionalFormatting>
  <conditionalFormatting sqref="X62">
    <cfRule type="expression" priority="1821" dxfId="3">
      <formula>AND(IF(OR($Q62=1,$Q62=2),1,0),IF($X62&lt;=20,1,0))</formula>
    </cfRule>
    <cfRule type="expression" priority="1822" dxfId="2">
      <formula>AND(IF($Q62=2,1,0),IF($X62&lt;30,1,0))</formula>
    </cfRule>
    <cfRule type="expression" priority="1823" dxfId="1">
      <formula>AND(IF($Q62=3,1,0),IF($X62&lt;30,1,0))</formula>
    </cfRule>
    <cfRule type="expression" priority="1824" dxfId="0">
      <formula>AND(IF($Q62=3,1,IF($Q62=4,1,0)),IF($F62&lt;=85,1,0))</formula>
    </cfRule>
  </conditionalFormatting>
  <conditionalFormatting sqref="AI62">
    <cfRule type="expression" priority="1817" dxfId="3">
      <formula>AND(IF(OR($Q62=1,$Q62=2),1,0),IF($X62&lt;=20,1,0))</formula>
    </cfRule>
    <cfRule type="expression" priority="1818" dxfId="2">
      <formula>AND(IF($Q62=2,1,0),IF($X62&lt;30,1,0))</formula>
    </cfRule>
    <cfRule type="expression" priority="1819" dxfId="1">
      <formula>AND(IF($Q62=3,1,0),IF($X62&lt;30,1,0))</formula>
    </cfRule>
    <cfRule type="expression" priority="1820" dxfId="0">
      <formula>AND(IF($Q62=3,1,IF($Q62=4,1,0)),IF($F62&lt;=85,1,0))</formula>
    </cfRule>
  </conditionalFormatting>
  <conditionalFormatting sqref="AV63">
    <cfRule type="expression" priority="1815" dxfId="17">
      <formula>AV63="X"</formula>
    </cfRule>
    <cfRule type="expression" priority="1816" dxfId="16">
      <formula>AV63="후보"</formula>
    </cfRule>
  </conditionalFormatting>
  <conditionalFormatting sqref="AC63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N63">
    <cfRule type="cellIs" priority="1810" operator="greaterThan" dxfId="13">
      <formula>0.9</formula>
    </cfRule>
    <cfRule type="cellIs" priority="1811" operator="greaterThan" dxfId="12">
      <formula>0.85</formula>
    </cfRule>
  </conditionalFormatting>
  <conditionalFormatting sqref="E63">
    <cfRule type="expression" priority="1806" dxfId="3">
      <formula>AND(IF(OR($Q63=1,$Q63=2),1,0),IF($X63&lt;=20,1,0))</formula>
    </cfRule>
    <cfRule type="expression" priority="1807" dxfId="2">
      <formula>AND(IF($Q63=2,1,0),IF($X63&lt;30,1,0))</formula>
    </cfRule>
    <cfRule type="expression" priority="1808" dxfId="1">
      <formula>AND(IF($Q63=3,1,0),IF($X63&lt;30,1,0))</formula>
    </cfRule>
    <cfRule type="expression" priority="1809" dxfId="0">
      <formula>AND(IF($Q63=3,1,IF($Q63=4,1,0)),IF($F63&lt;=85,1,0))</formula>
    </cfRule>
  </conditionalFormatting>
  <conditionalFormatting sqref="X63">
    <cfRule type="expression" priority="1802" dxfId="3">
      <formula>AND(IF(OR($Q63=1,$Q63=2),1,0),IF($X63&lt;=20,1,0))</formula>
    </cfRule>
    <cfRule type="expression" priority="1803" dxfId="2">
      <formula>AND(IF($Q63=2,1,0),IF($X63&lt;30,1,0))</formula>
    </cfRule>
    <cfRule type="expression" priority="1804" dxfId="1">
      <formula>AND(IF($Q63=3,1,0),IF($X63&lt;30,1,0))</formula>
    </cfRule>
    <cfRule type="expression" priority="1805" dxfId="0">
      <formula>AND(IF($Q63=3,1,IF($Q63=4,1,0)),IF($F63&lt;=85,1,0))</formula>
    </cfRule>
  </conditionalFormatting>
  <conditionalFormatting sqref="AI63">
    <cfRule type="expression" priority="1798" dxfId="3">
      <formula>AND(IF(OR($Q63=1,$Q63=2),1,0),IF($X63&lt;=20,1,0))</formula>
    </cfRule>
    <cfRule type="expression" priority="1799" dxfId="2">
      <formula>AND(IF($Q63=2,1,0),IF($X63&lt;30,1,0))</formula>
    </cfRule>
    <cfRule type="expression" priority="1800" dxfId="1">
      <formula>AND(IF($Q63=3,1,0),IF($X63&lt;30,1,0))</formula>
    </cfRule>
    <cfRule type="expression" priority="1801" dxfId="0">
      <formula>AND(IF($Q63=3,1,IF($Q63=4,1,0)),IF($F63&lt;=85,1,0))</formula>
    </cfRule>
  </conditionalFormatting>
  <conditionalFormatting sqref="AV64">
    <cfRule type="expression" priority="1796" dxfId="17">
      <formula>AV64="X"</formula>
    </cfRule>
    <cfRule type="expression" priority="1797" dxfId="16">
      <formula>AV64="후보"</formula>
    </cfRule>
  </conditionalFormatting>
  <conditionalFormatting sqref="AC64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64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64">
    <cfRule type="expression" priority="1787" dxfId="3">
      <formula>AND(IF(OR($Q64=1,$Q64=2),1,0),IF($X64&lt;=20,1,0))</formula>
    </cfRule>
    <cfRule type="expression" priority="1788" dxfId="2">
      <formula>AND(IF($Q64=2,1,0),IF($X64&lt;30,1,0))</formula>
    </cfRule>
    <cfRule type="expression" priority="1789" dxfId="1">
      <formula>AND(IF($Q64=3,1,0),IF($X64&lt;30,1,0))</formula>
    </cfRule>
    <cfRule type="expression" priority="1790" dxfId="0">
      <formula>AND(IF($Q64=3,1,IF($Q64=4,1,0)),IF($F64&lt;=85,1,0))</formula>
    </cfRule>
  </conditionalFormatting>
  <conditionalFormatting sqref="X64">
    <cfRule type="expression" priority="1783" dxfId="3">
      <formula>AND(IF(OR($Q64=1,$Q64=2),1,0),IF($X64&lt;=20,1,0))</formula>
    </cfRule>
    <cfRule type="expression" priority="1784" dxfId="2">
      <formula>AND(IF($Q64=2,1,0),IF($X64&lt;30,1,0))</formula>
    </cfRule>
    <cfRule type="expression" priority="1785" dxfId="1">
      <formula>AND(IF($Q64=3,1,0),IF($X64&lt;30,1,0))</formula>
    </cfRule>
    <cfRule type="expression" priority="1786" dxfId="0">
      <formula>AND(IF($Q64=3,1,IF($Q64=4,1,0)),IF($F64&lt;=85,1,0))</formula>
    </cfRule>
  </conditionalFormatting>
  <conditionalFormatting sqref="AI64">
    <cfRule type="expression" priority="1779" dxfId="3">
      <formula>AND(IF(OR($Q64=1,$Q64=2),1,0),IF($X64&lt;=20,1,0))</formula>
    </cfRule>
    <cfRule type="expression" priority="1780" dxfId="2">
      <formula>AND(IF($Q64=2,1,0),IF($X64&lt;30,1,0))</formula>
    </cfRule>
    <cfRule type="expression" priority="1781" dxfId="1">
      <formula>AND(IF($Q64=3,1,0),IF($X64&lt;30,1,0))</formula>
    </cfRule>
    <cfRule type="expression" priority="1782" dxfId="0">
      <formula>AND(IF($Q64=3,1,IF($Q64=4,1,0)),IF($F64&lt;=85,1,0))</formula>
    </cfRule>
  </conditionalFormatting>
  <conditionalFormatting sqref="AV65">
    <cfRule type="expression" priority="1777" dxfId="17">
      <formula>AV65="X"</formula>
    </cfRule>
    <cfRule type="expression" priority="1778" dxfId="16">
      <formula>AV65="후보"</formula>
    </cfRule>
  </conditionalFormatting>
  <conditionalFormatting sqref="AC65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65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65">
    <cfRule type="expression" priority="1768" dxfId="3">
      <formula>AND(IF(OR($Q65=1,$Q65=2),1,0),IF($X65&lt;=20,1,0))</formula>
    </cfRule>
    <cfRule type="expression" priority="1769" dxfId="2">
      <formula>AND(IF($Q65=2,1,0),IF($X65&lt;30,1,0))</formula>
    </cfRule>
    <cfRule type="expression" priority="1770" dxfId="1">
      <formula>AND(IF($Q65=3,1,0),IF($X65&lt;30,1,0))</formula>
    </cfRule>
    <cfRule type="expression" priority="1771" dxfId="0">
      <formula>AND(IF($Q65=3,1,IF($Q65=4,1,0)),IF($F65&lt;=85,1,0))</formula>
    </cfRule>
  </conditionalFormatting>
  <conditionalFormatting sqref="X65">
    <cfRule type="expression" priority="1764" dxfId="3">
      <formula>AND(IF(OR($Q65=1,$Q65=2),1,0),IF($X65&lt;=20,1,0))</formula>
    </cfRule>
    <cfRule type="expression" priority="1765" dxfId="2">
      <formula>AND(IF($Q65=2,1,0),IF($X65&lt;30,1,0))</formula>
    </cfRule>
    <cfRule type="expression" priority="1766" dxfId="1">
      <formula>AND(IF($Q65=3,1,0),IF($X65&lt;30,1,0))</formula>
    </cfRule>
    <cfRule type="expression" priority="1767" dxfId="0">
      <formula>AND(IF($Q65=3,1,IF($Q65=4,1,0)),IF($F65&lt;=85,1,0))</formula>
    </cfRule>
  </conditionalFormatting>
  <conditionalFormatting sqref="AI65">
    <cfRule type="expression" priority="1760" dxfId="3">
      <formula>AND(IF(OR($Q65=1,$Q65=2),1,0),IF($X65&lt;=20,1,0))</formula>
    </cfRule>
    <cfRule type="expression" priority="1761" dxfId="2">
      <formula>AND(IF($Q65=2,1,0),IF($X65&lt;30,1,0))</formula>
    </cfRule>
    <cfRule type="expression" priority="1762" dxfId="1">
      <formula>AND(IF($Q65=3,1,0),IF($X65&lt;30,1,0))</formula>
    </cfRule>
    <cfRule type="expression" priority="1763" dxfId="0">
      <formula>AND(IF($Q65=3,1,IF($Q65=4,1,0)),IF($F65&lt;=85,1,0))</formula>
    </cfRule>
  </conditionalFormatting>
  <conditionalFormatting sqref="AV66">
    <cfRule type="expression" priority="1758" dxfId="17">
      <formula>AV66="X"</formula>
    </cfRule>
    <cfRule type="expression" priority="1759" dxfId="16">
      <formula>AV66="후보"</formula>
    </cfRule>
  </conditionalFormatting>
  <conditionalFormatting sqref="AC66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66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66">
    <cfRule type="expression" priority="1749" dxfId="3">
      <formula>AND(IF(OR($Q66=1,$Q66=2),1,0),IF($X66&lt;=20,1,0))</formula>
    </cfRule>
    <cfRule type="expression" priority="1750" dxfId="2">
      <formula>AND(IF($Q66=2,1,0),IF($X66&lt;30,1,0))</formula>
    </cfRule>
    <cfRule type="expression" priority="1751" dxfId="1">
      <formula>AND(IF($Q66=3,1,0),IF($X66&lt;30,1,0))</formula>
    </cfRule>
    <cfRule type="expression" priority="1752" dxfId="0">
      <formula>AND(IF($Q66=3,1,IF($Q66=4,1,0)),IF($F66&lt;=85,1,0))</formula>
    </cfRule>
  </conditionalFormatting>
  <conditionalFormatting sqref="X66">
    <cfRule type="expression" priority="1745" dxfId="3">
      <formula>AND(IF(OR($Q66=1,$Q66=2),1,0),IF($X66&lt;=20,1,0))</formula>
    </cfRule>
    <cfRule type="expression" priority="1746" dxfId="2">
      <formula>AND(IF($Q66=2,1,0),IF($X66&lt;30,1,0))</formula>
    </cfRule>
    <cfRule type="expression" priority="1747" dxfId="1">
      <formula>AND(IF($Q66=3,1,0),IF($X66&lt;30,1,0))</formula>
    </cfRule>
    <cfRule type="expression" priority="1748" dxfId="0">
      <formula>AND(IF($Q66=3,1,IF($Q66=4,1,0)),IF($F66&lt;=85,1,0))</formula>
    </cfRule>
  </conditionalFormatting>
  <conditionalFormatting sqref="AI66">
    <cfRule type="expression" priority="1741" dxfId="3">
      <formula>AND(IF(OR($Q66=1,$Q66=2),1,0),IF($X66&lt;=20,1,0))</formula>
    </cfRule>
    <cfRule type="expression" priority="1742" dxfId="2">
      <formula>AND(IF($Q66=2,1,0),IF($X66&lt;30,1,0))</formula>
    </cfRule>
    <cfRule type="expression" priority="1743" dxfId="1">
      <formula>AND(IF($Q66=3,1,0),IF($X66&lt;30,1,0))</formula>
    </cfRule>
    <cfRule type="expression" priority="1744" dxfId="0">
      <formula>AND(IF($Q66=3,1,IF($Q66=4,1,0)),IF($F66&lt;=85,1,0))</formula>
    </cfRule>
  </conditionalFormatting>
  <conditionalFormatting sqref="AV67">
    <cfRule type="expression" priority="1739" dxfId="17">
      <formula>AV67="X"</formula>
    </cfRule>
    <cfRule type="expression" priority="1740" dxfId="16">
      <formula>AV67="후보"</formula>
    </cfRule>
  </conditionalFormatting>
  <conditionalFormatting sqref="AC67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67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67">
    <cfRule type="expression" priority="1730" dxfId="3">
      <formula>AND(IF(OR($Q67=1,$Q67=2),1,0),IF($X67&lt;=20,1,0))</formula>
    </cfRule>
    <cfRule type="expression" priority="1731" dxfId="2">
      <formula>AND(IF($Q67=2,1,0),IF($X67&lt;30,1,0))</formula>
    </cfRule>
    <cfRule type="expression" priority="1732" dxfId="1">
      <formula>AND(IF($Q67=3,1,0),IF($X67&lt;30,1,0))</formula>
    </cfRule>
    <cfRule type="expression" priority="1733" dxfId="0">
      <formula>AND(IF($Q67=3,1,IF($Q67=4,1,0)),IF($F67&lt;=85,1,0))</formula>
    </cfRule>
  </conditionalFormatting>
  <conditionalFormatting sqref="X67">
    <cfRule type="expression" priority="1726" dxfId="3">
      <formula>AND(IF(OR($Q67=1,$Q67=2),1,0),IF($X67&lt;=20,1,0))</formula>
    </cfRule>
    <cfRule type="expression" priority="1727" dxfId="2">
      <formula>AND(IF($Q67=2,1,0),IF($X67&lt;30,1,0))</formula>
    </cfRule>
    <cfRule type="expression" priority="1728" dxfId="1">
      <formula>AND(IF($Q67=3,1,0),IF($X67&lt;30,1,0))</formula>
    </cfRule>
    <cfRule type="expression" priority="1729" dxfId="0">
      <formula>AND(IF($Q67=3,1,IF($Q67=4,1,0)),IF($F67&lt;=85,1,0))</formula>
    </cfRule>
  </conditionalFormatting>
  <conditionalFormatting sqref="AI67">
    <cfRule type="expression" priority="1722" dxfId="3">
      <formula>AND(IF(OR($Q67=1,$Q67=2),1,0),IF($X67&lt;=20,1,0))</formula>
    </cfRule>
    <cfRule type="expression" priority="1723" dxfId="2">
      <formula>AND(IF($Q67=2,1,0),IF($X67&lt;30,1,0))</formula>
    </cfRule>
    <cfRule type="expression" priority="1724" dxfId="1">
      <formula>AND(IF($Q67=3,1,0),IF($X67&lt;30,1,0))</formula>
    </cfRule>
    <cfRule type="expression" priority="1725" dxfId="0">
      <formula>AND(IF($Q67=3,1,IF($Q67=4,1,0)),IF($F67&lt;=85,1,0))</formula>
    </cfRule>
  </conditionalFormatting>
  <conditionalFormatting sqref="AV68">
    <cfRule type="expression" priority="1720" dxfId="17">
      <formula>AV68="X"</formula>
    </cfRule>
    <cfRule type="expression" priority="1721" dxfId="16">
      <formula>AV68="후보"</formula>
    </cfRule>
  </conditionalFormatting>
  <conditionalFormatting sqref="AC68 N68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AV69">
    <cfRule type="expression" priority="1715" dxfId="17">
      <formula>AV69="X"</formula>
    </cfRule>
    <cfRule type="expression" priority="1716" dxfId="16">
      <formula>AV69="후보"</formula>
    </cfRule>
  </conditionalFormatting>
  <conditionalFormatting sqref="AC69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69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69">
    <cfRule type="expression" priority="1706" dxfId="3">
      <formula>AND(IF(OR($Q69=1,$Q69=2),1,0),IF($X69&lt;=20,1,0))</formula>
    </cfRule>
    <cfRule type="expression" priority="1707" dxfId="2">
      <formula>AND(IF($Q69=2,1,0),IF($X69&lt;30,1,0))</formula>
    </cfRule>
    <cfRule type="expression" priority="1708" dxfId="1">
      <formula>AND(IF($Q69=3,1,0),IF($X69&lt;30,1,0))</formula>
    </cfRule>
    <cfRule type="expression" priority="1709" dxfId="0">
      <formula>AND(IF($Q69=3,1,IF($Q69=4,1,0)),IF($F69&lt;=85,1,0))</formula>
    </cfRule>
  </conditionalFormatting>
  <conditionalFormatting sqref="X69">
    <cfRule type="expression" priority="1702" dxfId="3">
      <formula>AND(IF(OR($Q69=1,$Q69=2),1,0),IF($X69&lt;=20,1,0))</formula>
    </cfRule>
    <cfRule type="expression" priority="1703" dxfId="2">
      <formula>AND(IF($Q69=2,1,0),IF($X69&lt;30,1,0))</formula>
    </cfRule>
    <cfRule type="expression" priority="1704" dxfId="1">
      <formula>AND(IF($Q69=3,1,0),IF($X69&lt;30,1,0))</formula>
    </cfRule>
    <cfRule type="expression" priority="1705" dxfId="0">
      <formula>AND(IF($Q69=3,1,IF($Q69=4,1,0)),IF($F69&lt;=85,1,0))</formula>
    </cfRule>
  </conditionalFormatting>
  <conditionalFormatting sqref="AI69">
    <cfRule type="expression" priority="1698" dxfId="3">
      <formula>AND(IF(OR($Q69=1,$Q69=2),1,0),IF($X69&lt;=20,1,0))</formula>
    </cfRule>
    <cfRule type="expression" priority="1699" dxfId="2">
      <formula>AND(IF($Q69=2,1,0),IF($X69&lt;30,1,0))</formula>
    </cfRule>
    <cfRule type="expression" priority="1700" dxfId="1">
      <formula>AND(IF($Q69=3,1,0),IF($X69&lt;30,1,0))</formula>
    </cfRule>
    <cfRule type="expression" priority="1701" dxfId="0">
      <formula>AND(IF($Q69=3,1,IF($Q69=4,1,0)),IF($F69&lt;=85,1,0))</formula>
    </cfRule>
  </conditionalFormatting>
  <conditionalFormatting sqref="AV70">
    <cfRule type="expression" priority="1696" dxfId="17">
      <formula>AV70="X"</formula>
    </cfRule>
    <cfRule type="expression" priority="1697" dxfId="16">
      <formula>AV70="후보"</formula>
    </cfRule>
  </conditionalFormatting>
  <conditionalFormatting sqref="AC70 N70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AV71">
    <cfRule type="expression" priority="1691" dxfId="17">
      <formula>AV71="X"</formula>
    </cfRule>
    <cfRule type="expression" priority="1692" dxfId="16">
      <formula>AV71="후보"</formula>
    </cfRule>
  </conditionalFormatting>
  <conditionalFormatting sqref="AC71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N71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E71">
    <cfRule type="expression" priority="1682" dxfId="3">
      <formula>AND(IF(OR($Q71=1,$Q71=2),1,0),IF($X71&lt;=20,1,0))</formula>
    </cfRule>
    <cfRule type="expression" priority="1683" dxfId="2">
      <formula>AND(IF($Q71=2,1,0),IF($X71&lt;30,1,0))</formula>
    </cfRule>
    <cfRule type="expression" priority="1684" dxfId="1">
      <formula>AND(IF($Q71=3,1,0),IF($X71&lt;30,1,0))</formula>
    </cfRule>
    <cfRule type="expression" priority="1685" dxfId="0">
      <formula>AND(IF($Q71=3,1,IF($Q71=4,1,0)),IF($F71&lt;=85,1,0))</formula>
    </cfRule>
  </conditionalFormatting>
  <conditionalFormatting sqref="X71">
    <cfRule type="expression" priority="1678" dxfId="3">
      <formula>AND(IF(OR($Q71=1,$Q71=2),1,0),IF($X71&lt;=20,1,0))</formula>
    </cfRule>
    <cfRule type="expression" priority="1679" dxfId="2">
      <formula>AND(IF($Q71=2,1,0),IF($X71&lt;30,1,0))</formula>
    </cfRule>
    <cfRule type="expression" priority="1680" dxfId="1">
      <formula>AND(IF($Q71=3,1,0),IF($X71&lt;30,1,0))</formula>
    </cfRule>
    <cfRule type="expression" priority="1681" dxfId="0">
      <formula>AND(IF($Q71=3,1,IF($Q71=4,1,0)),IF($F71&lt;=85,1,0))</formula>
    </cfRule>
  </conditionalFormatting>
  <conditionalFormatting sqref="AI71">
    <cfRule type="expression" priority="1674" dxfId="3">
      <formula>AND(IF(OR($Q71=1,$Q71=2),1,0),IF($X71&lt;=20,1,0))</formula>
    </cfRule>
    <cfRule type="expression" priority="1675" dxfId="2">
      <formula>AND(IF($Q71=2,1,0),IF($X71&lt;30,1,0))</formula>
    </cfRule>
    <cfRule type="expression" priority="1676" dxfId="1">
      <formula>AND(IF($Q71=3,1,0),IF($X71&lt;30,1,0))</formula>
    </cfRule>
    <cfRule type="expression" priority="1677" dxfId="0">
      <formula>AND(IF($Q71=3,1,IF($Q71=4,1,0)),IF($F71&lt;=85,1,0))</formula>
    </cfRule>
  </conditionalFormatting>
  <conditionalFormatting sqref="AV72">
    <cfRule type="expression" priority="1672" dxfId="17">
      <formula>AV72="X"</formula>
    </cfRule>
    <cfRule type="expression" priority="1673" dxfId="16">
      <formula>AV72="후보"</formula>
    </cfRule>
  </conditionalFormatting>
  <conditionalFormatting sqref="AC7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7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E72">
    <cfRule type="expression" priority="1663" dxfId="3">
      <formula>AND(IF(OR($Q72=1,$Q72=2),1,0),IF($X72&lt;=20,1,0))</formula>
    </cfRule>
    <cfRule type="expression" priority="1664" dxfId="2">
      <formula>AND(IF($Q72=2,1,0),IF($X72&lt;30,1,0))</formula>
    </cfRule>
    <cfRule type="expression" priority="1665" dxfId="1">
      <formula>AND(IF($Q72=3,1,0),IF($X72&lt;30,1,0))</formula>
    </cfRule>
    <cfRule type="expression" priority="1666" dxfId="0">
      <formula>AND(IF($Q72=3,1,IF($Q72=4,1,0)),IF($F72&lt;=85,1,0))</formula>
    </cfRule>
  </conditionalFormatting>
  <conditionalFormatting sqref="X72">
    <cfRule type="expression" priority="1659" dxfId="3">
      <formula>AND(IF(OR($Q72=1,$Q72=2),1,0),IF($X72&lt;=20,1,0))</formula>
    </cfRule>
    <cfRule type="expression" priority="1660" dxfId="2">
      <formula>AND(IF($Q72=2,1,0),IF($X72&lt;30,1,0))</formula>
    </cfRule>
    <cfRule type="expression" priority="1661" dxfId="1">
      <formula>AND(IF($Q72=3,1,0),IF($X72&lt;30,1,0))</formula>
    </cfRule>
    <cfRule type="expression" priority="1662" dxfId="0">
      <formula>AND(IF($Q72=3,1,IF($Q72=4,1,0)),IF($F72&lt;=85,1,0))</formula>
    </cfRule>
  </conditionalFormatting>
  <conditionalFormatting sqref="AI72">
    <cfRule type="expression" priority="1655" dxfId="3">
      <formula>AND(IF(OR($Q72=1,$Q72=2),1,0),IF($X72&lt;=20,1,0))</formula>
    </cfRule>
    <cfRule type="expression" priority="1656" dxfId="2">
      <formula>AND(IF($Q72=2,1,0),IF($X72&lt;30,1,0))</formula>
    </cfRule>
    <cfRule type="expression" priority="1657" dxfId="1">
      <formula>AND(IF($Q72=3,1,0),IF($X72&lt;30,1,0))</formula>
    </cfRule>
    <cfRule type="expression" priority="1658" dxfId="0">
      <formula>AND(IF($Q72=3,1,IF($Q72=4,1,0)),IF($F72&lt;=85,1,0))</formula>
    </cfRule>
  </conditionalFormatting>
  <conditionalFormatting sqref="AV73">
    <cfRule type="expression" priority="1653" dxfId="17">
      <formula>AV73="X"</formula>
    </cfRule>
    <cfRule type="expression" priority="1654" dxfId="16">
      <formula>AV73="후보"</formula>
    </cfRule>
  </conditionalFormatting>
  <conditionalFormatting sqref="AC73">
    <cfRule type="cellIs" priority="1650" operator="greaterThan" dxfId="13">
      <formula>0.9</formula>
    </cfRule>
    <cfRule type="cellIs" priority="1651" operator="greaterThan" dxfId="12">
      <formula>0.85</formula>
    </cfRule>
  </conditionalFormatting>
  <conditionalFormatting sqref="N73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E73">
    <cfRule type="expression" priority="1644" dxfId="3">
      <formula>AND(IF(OR($Q73=1,$Q73=2),1,0),IF($X73&lt;=20,1,0))</formula>
    </cfRule>
    <cfRule type="expression" priority="1645" dxfId="2">
      <formula>AND(IF($Q73=2,1,0),IF($X73&lt;30,1,0))</formula>
    </cfRule>
    <cfRule type="expression" priority="1646" dxfId="1">
      <formula>AND(IF($Q73=3,1,0),IF($X73&lt;30,1,0))</formula>
    </cfRule>
    <cfRule type="expression" priority="1647" dxfId="0">
      <formula>AND(IF($Q73=3,1,IF($Q73=4,1,0)),IF($F73&lt;=85,1,0))</formula>
    </cfRule>
  </conditionalFormatting>
  <conditionalFormatting sqref="X73">
    <cfRule type="expression" priority="1640" dxfId="3">
      <formula>AND(IF(OR($Q73=1,$Q73=2),1,0),IF($X73&lt;=20,1,0))</formula>
    </cfRule>
    <cfRule type="expression" priority="1641" dxfId="2">
      <formula>AND(IF($Q73=2,1,0),IF($X73&lt;30,1,0))</formula>
    </cfRule>
    <cfRule type="expression" priority="1642" dxfId="1">
      <formula>AND(IF($Q73=3,1,0),IF($X73&lt;30,1,0))</formula>
    </cfRule>
    <cfRule type="expression" priority="1643" dxfId="0">
      <formula>AND(IF($Q73=3,1,IF($Q73=4,1,0)),IF($F73&lt;=85,1,0))</formula>
    </cfRule>
  </conditionalFormatting>
  <conditionalFormatting sqref="AI73">
    <cfRule type="expression" priority="1636" dxfId="3">
      <formula>AND(IF(OR($Q73=1,$Q73=2),1,0),IF($X73&lt;=20,1,0))</formula>
    </cfRule>
    <cfRule type="expression" priority="1637" dxfId="2">
      <formula>AND(IF($Q73=2,1,0),IF($X73&lt;30,1,0))</formula>
    </cfRule>
    <cfRule type="expression" priority="1638" dxfId="1">
      <formula>AND(IF($Q73=3,1,0),IF($X73&lt;30,1,0))</formula>
    </cfRule>
    <cfRule type="expression" priority="1639" dxfId="0">
      <formula>AND(IF($Q73=3,1,IF($Q73=4,1,0)),IF($F73&lt;=85,1,0))</formula>
    </cfRule>
  </conditionalFormatting>
  <conditionalFormatting sqref="AV74">
    <cfRule type="expression" priority="1634" dxfId="17">
      <formula>AV74="X"</formula>
    </cfRule>
    <cfRule type="expression" priority="1635" dxfId="16">
      <formula>AV74="후보"</formula>
    </cfRule>
  </conditionalFormatting>
  <conditionalFormatting sqref="AC74 N7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AV75">
    <cfRule type="expression" priority="1629" dxfId="17">
      <formula>AV75="X"</formula>
    </cfRule>
    <cfRule type="expression" priority="1630" dxfId="16">
      <formula>AV75="후보"</formula>
    </cfRule>
  </conditionalFormatting>
  <conditionalFormatting sqref="AC75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75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75">
    <cfRule type="expression" priority="1620" dxfId="3">
      <formula>AND(IF(OR($Q75=1,$Q75=2),1,0),IF($X75&lt;=20,1,0))</formula>
    </cfRule>
    <cfRule type="expression" priority="1621" dxfId="2">
      <formula>AND(IF($Q75=2,1,0),IF($X75&lt;30,1,0))</formula>
    </cfRule>
    <cfRule type="expression" priority="1622" dxfId="1">
      <formula>AND(IF($Q75=3,1,0),IF($X75&lt;30,1,0))</formula>
    </cfRule>
    <cfRule type="expression" priority="1623" dxfId="0">
      <formula>AND(IF($Q75=3,1,IF($Q75=4,1,0)),IF($F75&lt;=85,1,0))</formula>
    </cfRule>
  </conditionalFormatting>
  <conditionalFormatting sqref="X75">
    <cfRule type="expression" priority="1616" dxfId="3">
      <formula>AND(IF(OR($Q75=1,$Q75=2),1,0),IF($X75&lt;=20,1,0))</formula>
    </cfRule>
    <cfRule type="expression" priority="1617" dxfId="2">
      <formula>AND(IF($Q75=2,1,0),IF($X75&lt;30,1,0))</formula>
    </cfRule>
    <cfRule type="expression" priority="1618" dxfId="1">
      <formula>AND(IF($Q75=3,1,0),IF($X75&lt;30,1,0))</formula>
    </cfRule>
    <cfRule type="expression" priority="1619" dxfId="0">
      <formula>AND(IF($Q75=3,1,IF($Q75=4,1,0)),IF($F75&lt;=85,1,0))</formula>
    </cfRule>
  </conditionalFormatting>
  <conditionalFormatting sqref="AI75">
    <cfRule type="expression" priority="1612" dxfId="3">
      <formula>AND(IF(OR($Q75=1,$Q75=2),1,0),IF($X75&lt;=20,1,0))</formula>
    </cfRule>
    <cfRule type="expression" priority="1613" dxfId="2">
      <formula>AND(IF($Q75=2,1,0),IF($X75&lt;30,1,0))</formula>
    </cfRule>
    <cfRule type="expression" priority="1614" dxfId="1">
      <formula>AND(IF($Q75=3,1,0),IF($X75&lt;30,1,0))</formula>
    </cfRule>
    <cfRule type="expression" priority="1615" dxfId="0">
      <formula>AND(IF($Q75=3,1,IF($Q75=4,1,0)),IF($F75&lt;=85,1,0))</formula>
    </cfRule>
  </conditionalFormatting>
  <conditionalFormatting sqref="AV76">
    <cfRule type="expression" priority="1610" dxfId="17">
      <formula>AV76="X"</formula>
    </cfRule>
    <cfRule type="expression" priority="1611" dxfId="16">
      <formula>AV76="후보"</formula>
    </cfRule>
  </conditionalFormatting>
  <conditionalFormatting sqref="AC76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N76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E76">
    <cfRule type="expression" priority="1601" dxfId="3">
      <formula>AND(IF(OR($Q76=1,$Q76=2),1,0),IF($X76&lt;=20,1,0))</formula>
    </cfRule>
    <cfRule type="expression" priority="1602" dxfId="2">
      <formula>AND(IF($Q76=2,1,0),IF($X76&lt;30,1,0))</formula>
    </cfRule>
    <cfRule type="expression" priority="1603" dxfId="1">
      <formula>AND(IF($Q76=3,1,0),IF($X76&lt;30,1,0))</formula>
    </cfRule>
    <cfRule type="expression" priority="1604" dxfId="0">
      <formula>AND(IF($Q76=3,1,IF($Q76=4,1,0)),IF($F76&lt;=85,1,0))</formula>
    </cfRule>
  </conditionalFormatting>
  <conditionalFormatting sqref="X76">
    <cfRule type="expression" priority="1597" dxfId="3">
      <formula>AND(IF(OR($Q76=1,$Q76=2),1,0),IF($X76&lt;=20,1,0))</formula>
    </cfRule>
    <cfRule type="expression" priority="1598" dxfId="2">
      <formula>AND(IF($Q76=2,1,0),IF($X76&lt;30,1,0))</formula>
    </cfRule>
    <cfRule type="expression" priority="1599" dxfId="1">
      <formula>AND(IF($Q76=3,1,0),IF($X76&lt;30,1,0))</formula>
    </cfRule>
    <cfRule type="expression" priority="1600" dxfId="0">
      <formula>AND(IF($Q76=3,1,IF($Q76=4,1,0)),IF($F76&lt;=85,1,0))</formula>
    </cfRule>
  </conditionalFormatting>
  <conditionalFormatting sqref="AI76">
    <cfRule type="expression" priority="1593" dxfId="3">
      <formula>AND(IF(OR($Q76=1,$Q76=2),1,0),IF($X76&lt;=20,1,0))</formula>
    </cfRule>
    <cfRule type="expression" priority="1594" dxfId="2">
      <formula>AND(IF($Q76=2,1,0),IF($X76&lt;30,1,0))</formula>
    </cfRule>
    <cfRule type="expression" priority="1595" dxfId="1">
      <formula>AND(IF($Q76=3,1,0),IF($X76&lt;30,1,0))</formula>
    </cfRule>
    <cfRule type="expression" priority="1596" dxfId="0">
      <formula>AND(IF($Q76=3,1,IF($Q76=4,1,0)),IF($F76&lt;=85,1,0))</formula>
    </cfRule>
  </conditionalFormatting>
  <conditionalFormatting sqref="AV77">
    <cfRule type="expression" priority="1591" dxfId="17">
      <formula>AV77="X"</formula>
    </cfRule>
    <cfRule type="expression" priority="1592" dxfId="16">
      <formula>AV77="후보"</formula>
    </cfRule>
  </conditionalFormatting>
  <conditionalFormatting sqref="AC77 N77">
    <cfRule type="cellIs" priority="1588" operator="greaterThan" dxfId="13">
      <formula>0.9</formula>
    </cfRule>
    <cfRule type="cellIs" priority="1589" operator="greaterThan" dxfId="12">
      <formula>0.85</formula>
    </cfRule>
  </conditionalFormatting>
  <conditionalFormatting sqref="AV78">
    <cfRule type="expression" priority="1586" dxfId="17">
      <formula>AV78="X"</formula>
    </cfRule>
    <cfRule type="expression" priority="1587" dxfId="16">
      <formula>AV78="후보"</formula>
    </cfRule>
  </conditionalFormatting>
  <conditionalFormatting sqref="AC78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78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78">
    <cfRule type="expression" priority="1577" dxfId="3">
      <formula>AND(IF(OR($Q78=1,$Q78=2),1,0),IF($X78&lt;=20,1,0))</formula>
    </cfRule>
    <cfRule type="expression" priority="1578" dxfId="2">
      <formula>AND(IF($Q78=2,1,0),IF($X78&lt;30,1,0))</formula>
    </cfRule>
    <cfRule type="expression" priority="1579" dxfId="1">
      <formula>AND(IF($Q78=3,1,0),IF($X78&lt;30,1,0))</formula>
    </cfRule>
    <cfRule type="expression" priority="1580" dxfId="0">
      <formula>AND(IF($Q78=3,1,IF($Q78=4,1,0)),IF($F78&lt;=85,1,0))</formula>
    </cfRule>
  </conditionalFormatting>
  <conditionalFormatting sqref="X78">
    <cfRule type="expression" priority="1573" dxfId="3">
      <formula>AND(IF(OR($Q78=1,$Q78=2),1,0),IF($X78&lt;=20,1,0))</formula>
    </cfRule>
    <cfRule type="expression" priority="1574" dxfId="2">
      <formula>AND(IF($Q78=2,1,0),IF($X78&lt;30,1,0))</formula>
    </cfRule>
    <cfRule type="expression" priority="1575" dxfId="1">
      <formula>AND(IF($Q78=3,1,0),IF($X78&lt;30,1,0))</formula>
    </cfRule>
    <cfRule type="expression" priority="1576" dxfId="0">
      <formula>AND(IF($Q78=3,1,IF($Q78=4,1,0)),IF($F78&lt;=85,1,0))</formula>
    </cfRule>
  </conditionalFormatting>
  <conditionalFormatting sqref="AI78">
    <cfRule type="expression" priority="1569" dxfId="3">
      <formula>AND(IF(OR($Q78=1,$Q78=2),1,0),IF($X78&lt;=20,1,0))</formula>
    </cfRule>
    <cfRule type="expression" priority="1570" dxfId="2">
      <formula>AND(IF($Q78=2,1,0),IF($X78&lt;30,1,0))</formula>
    </cfRule>
    <cfRule type="expression" priority="1571" dxfId="1">
      <formula>AND(IF($Q78=3,1,0),IF($X78&lt;30,1,0))</formula>
    </cfRule>
    <cfRule type="expression" priority="1572" dxfId="0">
      <formula>AND(IF($Q78=3,1,IF($Q78=4,1,0)),IF($F78&lt;=85,1,0))</formula>
    </cfRule>
  </conditionalFormatting>
  <conditionalFormatting sqref="AV79">
    <cfRule type="expression" priority="1567" dxfId="17">
      <formula>AV79="X"</formula>
    </cfRule>
    <cfRule type="expression" priority="1568" dxfId="16">
      <formula>AV79="후보"</formula>
    </cfRule>
  </conditionalFormatting>
  <conditionalFormatting sqref="AC79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79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79">
    <cfRule type="expression" priority="1558" dxfId="3">
      <formula>AND(IF(OR($Q79=1,$Q79=2),1,0),IF($X79&lt;=20,1,0))</formula>
    </cfRule>
    <cfRule type="expression" priority="1559" dxfId="2">
      <formula>AND(IF($Q79=2,1,0),IF($X79&lt;30,1,0))</formula>
    </cfRule>
    <cfRule type="expression" priority="1560" dxfId="1">
      <formula>AND(IF($Q79=3,1,0),IF($X79&lt;30,1,0))</formula>
    </cfRule>
    <cfRule type="expression" priority="1561" dxfId="0">
      <formula>AND(IF($Q79=3,1,IF($Q79=4,1,0)),IF($F79&lt;=85,1,0))</formula>
    </cfRule>
  </conditionalFormatting>
  <conditionalFormatting sqref="X79">
    <cfRule type="expression" priority="1554" dxfId="3">
      <formula>AND(IF(OR($Q79=1,$Q79=2),1,0),IF($X79&lt;=20,1,0))</formula>
    </cfRule>
    <cfRule type="expression" priority="1555" dxfId="2">
      <formula>AND(IF($Q79=2,1,0),IF($X79&lt;30,1,0))</formula>
    </cfRule>
    <cfRule type="expression" priority="1556" dxfId="1">
      <formula>AND(IF($Q79=3,1,0),IF($X79&lt;30,1,0))</formula>
    </cfRule>
    <cfRule type="expression" priority="1557" dxfId="0">
      <formula>AND(IF($Q79=3,1,IF($Q79=4,1,0)),IF($F79&lt;=85,1,0))</formula>
    </cfRule>
  </conditionalFormatting>
  <conditionalFormatting sqref="AI79">
    <cfRule type="expression" priority="1550" dxfId="3">
      <formula>AND(IF(OR($Q79=1,$Q79=2),1,0),IF($X79&lt;=20,1,0))</formula>
    </cfRule>
    <cfRule type="expression" priority="1551" dxfId="2">
      <formula>AND(IF($Q79=2,1,0),IF($X79&lt;30,1,0))</formula>
    </cfRule>
    <cfRule type="expression" priority="1552" dxfId="1">
      <formula>AND(IF($Q79=3,1,0),IF($X79&lt;30,1,0))</formula>
    </cfRule>
    <cfRule type="expression" priority="1553" dxfId="0">
      <formula>AND(IF($Q79=3,1,IF($Q79=4,1,0)),IF($F79&lt;=85,1,0))</formula>
    </cfRule>
  </conditionalFormatting>
  <conditionalFormatting sqref="AV80">
    <cfRule type="expression" priority="1548" dxfId="17">
      <formula>AV80="X"</formula>
    </cfRule>
    <cfRule type="expression" priority="1549" dxfId="16">
      <formula>AV80="후보"</formula>
    </cfRule>
  </conditionalFormatting>
  <conditionalFormatting sqref="AC80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80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80">
    <cfRule type="expression" priority="1539" dxfId="3">
      <formula>AND(IF(OR($Q80=1,$Q80=2),1,0),IF($X80&lt;=20,1,0))</formula>
    </cfRule>
    <cfRule type="expression" priority="1540" dxfId="2">
      <formula>AND(IF($Q80=2,1,0),IF($X80&lt;30,1,0))</formula>
    </cfRule>
    <cfRule type="expression" priority="1541" dxfId="1">
      <formula>AND(IF($Q80=3,1,0),IF($X80&lt;30,1,0))</formula>
    </cfRule>
    <cfRule type="expression" priority="1542" dxfId="0">
      <formula>AND(IF($Q80=3,1,IF($Q80=4,1,0)),IF($F80&lt;=85,1,0))</formula>
    </cfRule>
  </conditionalFormatting>
  <conditionalFormatting sqref="X80">
    <cfRule type="expression" priority="1535" dxfId="3">
      <formula>AND(IF(OR($Q80=1,$Q80=2),1,0),IF($X80&lt;=20,1,0))</formula>
    </cfRule>
    <cfRule type="expression" priority="1536" dxfId="2">
      <formula>AND(IF($Q80=2,1,0),IF($X80&lt;30,1,0))</formula>
    </cfRule>
    <cfRule type="expression" priority="1537" dxfId="1">
      <formula>AND(IF($Q80=3,1,0),IF($X80&lt;30,1,0))</formula>
    </cfRule>
    <cfRule type="expression" priority="1538" dxfId="0">
      <formula>AND(IF($Q80=3,1,IF($Q80=4,1,0)),IF($F80&lt;=85,1,0))</formula>
    </cfRule>
  </conditionalFormatting>
  <conditionalFormatting sqref="AI80">
    <cfRule type="expression" priority="1531" dxfId="3">
      <formula>AND(IF(OR($Q80=1,$Q80=2),1,0),IF($X80&lt;=20,1,0))</formula>
    </cfRule>
    <cfRule type="expression" priority="1532" dxfId="2">
      <formula>AND(IF($Q80=2,1,0),IF($X80&lt;30,1,0))</formula>
    </cfRule>
    <cfRule type="expression" priority="1533" dxfId="1">
      <formula>AND(IF($Q80=3,1,0),IF($X80&lt;30,1,0))</formula>
    </cfRule>
    <cfRule type="expression" priority="1534" dxfId="0">
      <formula>AND(IF($Q80=3,1,IF($Q80=4,1,0)),IF($F80&lt;=85,1,0))</formula>
    </cfRule>
  </conditionalFormatting>
  <conditionalFormatting sqref="AV81">
    <cfRule type="expression" priority="1529" dxfId="17">
      <formula>AV81="X"</formula>
    </cfRule>
    <cfRule type="expression" priority="1530" dxfId="16">
      <formula>AV81="후보"</formula>
    </cfRule>
  </conditionalFormatting>
  <conditionalFormatting sqref="AC81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N81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E81">
    <cfRule type="expression" priority="1520" dxfId="3">
      <formula>AND(IF(OR($Q81=1,$Q81=2),1,0),IF($X81&lt;=20,1,0))</formula>
    </cfRule>
    <cfRule type="expression" priority="1521" dxfId="2">
      <formula>AND(IF($Q81=2,1,0),IF($X81&lt;30,1,0))</formula>
    </cfRule>
    <cfRule type="expression" priority="1522" dxfId="1">
      <formula>AND(IF($Q81=3,1,0),IF($X81&lt;30,1,0))</formula>
    </cfRule>
    <cfRule type="expression" priority="1523" dxfId="0">
      <formula>AND(IF($Q81=3,1,IF($Q81=4,1,0)),IF($F81&lt;=85,1,0))</formula>
    </cfRule>
  </conditionalFormatting>
  <conditionalFormatting sqref="X81">
    <cfRule type="expression" priority="1516" dxfId="3">
      <formula>AND(IF(OR($Q81=1,$Q81=2),1,0),IF($X81&lt;=20,1,0))</formula>
    </cfRule>
    <cfRule type="expression" priority="1517" dxfId="2">
      <formula>AND(IF($Q81=2,1,0),IF($X81&lt;30,1,0))</formula>
    </cfRule>
    <cfRule type="expression" priority="1518" dxfId="1">
      <formula>AND(IF($Q81=3,1,0),IF($X81&lt;30,1,0))</formula>
    </cfRule>
    <cfRule type="expression" priority="1519" dxfId="0">
      <formula>AND(IF($Q81=3,1,IF($Q81=4,1,0)),IF($F81&lt;=85,1,0))</formula>
    </cfRule>
  </conditionalFormatting>
  <conditionalFormatting sqref="AI81">
    <cfRule type="expression" priority="1512" dxfId="3">
      <formula>AND(IF(OR($Q81=1,$Q81=2),1,0),IF($X81&lt;=20,1,0))</formula>
    </cfRule>
    <cfRule type="expression" priority="1513" dxfId="2">
      <formula>AND(IF($Q81=2,1,0),IF($X81&lt;30,1,0))</formula>
    </cfRule>
    <cfRule type="expression" priority="1514" dxfId="1">
      <formula>AND(IF($Q81=3,1,0),IF($X81&lt;30,1,0))</formula>
    </cfRule>
    <cfRule type="expression" priority="1515" dxfId="0">
      <formula>AND(IF($Q81=3,1,IF($Q81=4,1,0)),IF($F81&lt;=85,1,0))</formula>
    </cfRule>
  </conditionalFormatting>
  <conditionalFormatting sqref="AV82">
    <cfRule type="expression" priority="1510" dxfId="17">
      <formula>AV82="X"</formula>
    </cfRule>
    <cfRule type="expression" priority="1511" dxfId="16">
      <formula>AV82="후보"</formula>
    </cfRule>
  </conditionalFormatting>
  <conditionalFormatting sqref="AC82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82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82">
    <cfRule type="expression" priority="1501" dxfId="3">
      <formula>AND(IF(OR($Q82=1,$Q82=2),1,0),IF($X82&lt;=20,1,0))</formula>
    </cfRule>
    <cfRule type="expression" priority="1502" dxfId="2">
      <formula>AND(IF($Q82=2,1,0),IF($X82&lt;30,1,0))</formula>
    </cfRule>
    <cfRule type="expression" priority="1503" dxfId="1">
      <formula>AND(IF($Q82=3,1,0),IF($X82&lt;30,1,0))</formula>
    </cfRule>
    <cfRule type="expression" priority="1504" dxfId="0">
      <formula>AND(IF($Q82=3,1,IF($Q82=4,1,0)),IF($F82&lt;=85,1,0))</formula>
    </cfRule>
  </conditionalFormatting>
  <conditionalFormatting sqref="X82">
    <cfRule type="expression" priority="1497" dxfId="3">
      <formula>AND(IF(OR($Q82=1,$Q82=2),1,0),IF($X82&lt;=20,1,0))</formula>
    </cfRule>
    <cfRule type="expression" priority="1498" dxfId="2">
      <formula>AND(IF($Q82=2,1,0),IF($X82&lt;30,1,0))</formula>
    </cfRule>
    <cfRule type="expression" priority="1499" dxfId="1">
      <formula>AND(IF($Q82=3,1,0),IF($X82&lt;30,1,0))</formula>
    </cfRule>
    <cfRule type="expression" priority="1500" dxfId="0">
      <formula>AND(IF($Q82=3,1,IF($Q82=4,1,0)),IF($F82&lt;=85,1,0))</formula>
    </cfRule>
  </conditionalFormatting>
  <conditionalFormatting sqref="AI82">
    <cfRule type="expression" priority="1493" dxfId="3">
      <formula>AND(IF(OR($Q82=1,$Q82=2),1,0),IF($X82&lt;=20,1,0))</formula>
    </cfRule>
    <cfRule type="expression" priority="1494" dxfId="2">
      <formula>AND(IF($Q82=2,1,0),IF($X82&lt;30,1,0))</formula>
    </cfRule>
    <cfRule type="expression" priority="1495" dxfId="1">
      <formula>AND(IF($Q82=3,1,0),IF($X82&lt;30,1,0))</formula>
    </cfRule>
    <cfRule type="expression" priority="1496" dxfId="0">
      <formula>AND(IF($Q82=3,1,IF($Q82=4,1,0)),IF($F82&lt;=85,1,0))</formula>
    </cfRule>
  </conditionalFormatting>
  <conditionalFormatting sqref="AV83">
    <cfRule type="expression" priority="1491" dxfId="17">
      <formula>AV83="X"</formula>
    </cfRule>
    <cfRule type="expression" priority="1492" dxfId="16">
      <formula>AV83="후보"</formula>
    </cfRule>
  </conditionalFormatting>
  <conditionalFormatting sqref="AC83 N83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AV84">
    <cfRule type="expression" priority="1486" dxfId="17">
      <formula>AV84="X"</formula>
    </cfRule>
    <cfRule type="expression" priority="1487" dxfId="16">
      <formula>AV84="후보"</formula>
    </cfRule>
  </conditionalFormatting>
  <conditionalFormatting sqref="AC84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N84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E84">
    <cfRule type="expression" priority="1477" dxfId="3">
      <formula>AND(IF(OR($Q84=1,$Q84=2),1,0),IF($X84&lt;=20,1,0))</formula>
    </cfRule>
    <cfRule type="expression" priority="1478" dxfId="2">
      <formula>AND(IF($Q84=2,1,0),IF($X84&lt;30,1,0))</formula>
    </cfRule>
    <cfRule type="expression" priority="1479" dxfId="1">
      <formula>AND(IF($Q84=3,1,0),IF($X84&lt;30,1,0))</formula>
    </cfRule>
    <cfRule type="expression" priority="1480" dxfId="0">
      <formula>AND(IF($Q84=3,1,IF($Q84=4,1,0)),IF($F84&lt;=85,1,0))</formula>
    </cfRule>
  </conditionalFormatting>
  <conditionalFormatting sqref="X84">
    <cfRule type="expression" priority="1473" dxfId="3">
      <formula>AND(IF(OR($Q84=1,$Q84=2),1,0),IF($X84&lt;=20,1,0))</formula>
    </cfRule>
    <cfRule type="expression" priority="1474" dxfId="2">
      <formula>AND(IF($Q84=2,1,0),IF($X84&lt;30,1,0))</formula>
    </cfRule>
    <cfRule type="expression" priority="1475" dxfId="1">
      <formula>AND(IF($Q84=3,1,0),IF($X84&lt;30,1,0))</formula>
    </cfRule>
    <cfRule type="expression" priority="1476" dxfId="0">
      <formula>AND(IF($Q84=3,1,IF($Q84=4,1,0)),IF($F84&lt;=85,1,0))</formula>
    </cfRule>
  </conditionalFormatting>
  <conditionalFormatting sqref="AI84">
    <cfRule type="expression" priority="1469" dxfId="3">
      <formula>AND(IF(OR($Q84=1,$Q84=2),1,0),IF($X84&lt;=20,1,0))</formula>
    </cfRule>
    <cfRule type="expression" priority="1470" dxfId="2">
      <formula>AND(IF($Q84=2,1,0),IF($X84&lt;30,1,0))</formula>
    </cfRule>
    <cfRule type="expression" priority="1471" dxfId="1">
      <formula>AND(IF($Q84=3,1,0),IF($X84&lt;30,1,0))</formula>
    </cfRule>
    <cfRule type="expression" priority="1472" dxfId="0">
      <formula>AND(IF($Q84=3,1,IF($Q84=4,1,0)),IF($F84&lt;=85,1,0))</formula>
    </cfRule>
  </conditionalFormatting>
  <conditionalFormatting sqref="AV85">
    <cfRule type="expression" priority="1467" dxfId="17">
      <formula>AV85="X"</formula>
    </cfRule>
    <cfRule type="expression" priority="1468" dxfId="16">
      <formula>AV85="후보"</formula>
    </cfRule>
  </conditionalFormatting>
  <conditionalFormatting sqref="AC85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N85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E85">
    <cfRule type="expression" priority="1458" dxfId="3">
      <formula>AND(IF(OR($Q85=1,$Q85=2),1,0),IF($X85&lt;=20,1,0))</formula>
    </cfRule>
    <cfRule type="expression" priority="1459" dxfId="2">
      <formula>AND(IF($Q85=2,1,0),IF($X85&lt;30,1,0))</formula>
    </cfRule>
    <cfRule type="expression" priority="1460" dxfId="1">
      <formula>AND(IF($Q85=3,1,0),IF($X85&lt;30,1,0))</formula>
    </cfRule>
    <cfRule type="expression" priority="1461" dxfId="0">
      <formula>AND(IF($Q85=3,1,IF($Q85=4,1,0)),IF($F85&lt;=85,1,0))</formula>
    </cfRule>
  </conditionalFormatting>
  <conditionalFormatting sqref="X85">
    <cfRule type="expression" priority="1454" dxfId="3">
      <formula>AND(IF(OR($Q85=1,$Q85=2),1,0),IF($X85&lt;=20,1,0))</formula>
    </cfRule>
    <cfRule type="expression" priority="1455" dxfId="2">
      <formula>AND(IF($Q85=2,1,0),IF($X85&lt;30,1,0))</formula>
    </cfRule>
    <cfRule type="expression" priority="1456" dxfId="1">
      <formula>AND(IF($Q85=3,1,0),IF($X85&lt;30,1,0))</formula>
    </cfRule>
    <cfRule type="expression" priority="1457" dxfId="0">
      <formula>AND(IF($Q85=3,1,IF($Q85=4,1,0)),IF($F85&lt;=85,1,0))</formula>
    </cfRule>
  </conditionalFormatting>
  <conditionalFormatting sqref="AI85">
    <cfRule type="expression" priority="1450" dxfId="3">
      <formula>AND(IF(OR($Q85=1,$Q85=2),1,0),IF($X85&lt;=20,1,0))</formula>
    </cfRule>
    <cfRule type="expression" priority="1451" dxfId="2">
      <formula>AND(IF($Q85=2,1,0),IF($X85&lt;30,1,0))</formula>
    </cfRule>
    <cfRule type="expression" priority="1452" dxfId="1">
      <formula>AND(IF($Q85=3,1,0),IF($X85&lt;30,1,0))</formula>
    </cfRule>
    <cfRule type="expression" priority="1453" dxfId="0">
      <formula>AND(IF($Q85=3,1,IF($Q85=4,1,0)),IF($F85&lt;=85,1,0))</formula>
    </cfRule>
  </conditionalFormatting>
  <conditionalFormatting sqref="AV86">
    <cfRule type="expression" priority="1448" dxfId="17">
      <formula>AV86="X"</formula>
    </cfRule>
    <cfRule type="expression" priority="1449" dxfId="16">
      <formula>AV86="후보"</formula>
    </cfRule>
  </conditionalFormatting>
  <conditionalFormatting sqref="AC86 N86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AV87">
    <cfRule type="expression" priority="1443" dxfId="17">
      <formula>AV87="X"</formula>
    </cfRule>
    <cfRule type="expression" priority="1444" dxfId="16">
      <formula>AV87="후보"</formula>
    </cfRule>
  </conditionalFormatting>
  <conditionalFormatting sqref="AC87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87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87">
    <cfRule type="expression" priority="1434" dxfId="3">
      <formula>AND(IF(OR($Q87=1,$Q87=2),1,0),IF($X87&lt;=20,1,0))</formula>
    </cfRule>
    <cfRule type="expression" priority="1435" dxfId="2">
      <formula>AND(IF($Q87=2,1,0),IF($X87&lt;30,1,0))</formula>
    </cfRule>
    <cfRule type="expression" priority="1436" dxfId="1">
      <formula>AND(IF($Q87=3,1,0),IF($X87&lt;30,1,0))</formula>
    </cfRule>
    <cfRule type="expression" priority="1437" dxfId="0">
      <formula>AND(IF($Q87=3,1,IF($Q87=4,1,0)),IF($F87&lt;=85,1,0))</formula>
    </cfRule>
  </conditionalFormatting>
  <conditionalFormatting sqref="X87">
    <cfRule type="expression" priority="1430" dxfId="3">
      <formula>AND(IF(OR($Q87=1,$Q87=2),1,0),IF($X87&lt;=20,1,0))</formula>
    </cfRule>
    <cfRule type="expression" priority="1431" dxfId="2">
      <formula>AND(IF($Q87=2,1,0),IF($X87&lt;30,1,0))</formula>
    </cfRule>
    <cfRule type="expression" priority="1432" dxfId="1">
      <formula>AND(IF($Q87=3,1,0),IF($X87&lt;30,1,0))</formula>
    </cfRule>
    <cfRule type="expression" priority="1433" dxfId="0">
      <formula>AND(IF($Q87=3,1,IF($Q87=4,1,0)),IF($F87&lt;=85,1,0))</formula>
    </cfRule>
  </conditionalFormatting>
  <conditionalFormatting sqref="AI87">
    <cfRule type="expression" priority="1426" dxfId="3">
      <formula>AND(IF(OR($Q87=1,$Q87=2),1,0),IF($X87&lt;=20,1,0))</formula>
    </cfRule>
    <cfRule type="expression" priority="1427" dxfId="2">
      <formula>AND(IF($Q87=2,1,0),IF($X87&lt;30,1,0))</formula>
    </cfRule>
    <cfRule type="expression" priority="1428" dxfId="1">
      <formula>AND(IF($Q87=3,1,0),IF($X87&lt;30,1,0))</formula>
    </cfRule>
    <cfRule type="expression" priority="1429" dxfId="0">
      <formula>AND(IF($Q87=3,1,IF($Q87=4,1,0)),IF($F87&lt;=85,1,0))</formula>
    </cfRule>
  </conditionalFormatting>
  <conditionalFormatting sqref="AV88">
    <cfRule type="expression" priority="1424" dxfId="17">
      <formula>AV88="X"</formula>
    </cfRule>
    <cfRule type="expression" priority="1425" dxfId="16">
      <formula>AV88="후보"</formula>
    </cfRule>
  </conditionalFormatting>
  <conditionalFormatting sqref="AC88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N8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E88">
    <cfRule type="expression" priority="1415" dxfId="3">
      <formula>AND(IF(OR($Q88=1,$Q88=2),1,0),IF($X88&lt;=20,1,0))</formula>
    </cfRule>
    <cfRule type="expression" priority="1416" dxfId="2">
      <formula>AND(IF($Q88=2,1,0),IF($X88&lt;30,1,0))</formula>
    </cfRule>
    <cfRule type="expression" priority="1417" dxfId="1">
      <formula>AND(IF($Q88=3,1,0),IF($X88&lt;30,1,0))</formula>
    </cfRule>
    <cfRule type="expression" priority="1418" dxfId="0">
      <formula>AND(IF($Q88=3,1,IF($Q88=4,1,0)),IF($F88&lt;=85,1,0))</formula>
    </cfRule>
  </conditionalFormatting>
  <conditionalFormatting sqref="X88">
    <cfRule type="expression" priority="1411" dxfId="3">
      <formula>AND(IF(OR($Q88=1,$Q88=2),1,0),IF($X88&lt;=20,1,0))</formula>
    </cfRule>
    <cfRule type="expression" priority="1412" dxfId="2">
      <formula>AND(IF($Q88=2,1,0),IF($X88&lt;30,1,0))</formula>
    </cfRule>
    <cfRule type="expression" priority="1413" dxfId="1">
      <formula>AND(IF($Q88=3,1,0),IF($X88&lt;30,1,0))</formula>
    </cfRule>
    <cfRule type="expression" priority="1414" dxfId="0">
      <formula>AND(IF($Q88=3,1,IF($Q88=4,1,0)),IF($F88&lt;=85,1,0))</formula>
    </cfRule>
  </conditionalFormatting>
  <conditionalFormatting sqref="AI88">
    <cfRule type="expression" priority="1407" dxfId="3">
      <formula>AND(IF(OR($Q88=1,$Q88=2),1,0),IF($X88&lt;=20,1,0))</formula>
    </cfRule>
    <cfRule type="expression" priority="1408" dxfId="2">
      <formula>AND(IF($Q88=2,1,0),IF($X88&lt;30,1,0))</formula>
    </cfRule>
    <cfRule type="expression" priority="1409" dxfId="1">
      <formula>AND(IF($Q88=3,1,0),IF($X88&lt;30,1,0))</formula>
    </cfRule>
    <cfRule type="expression" priority="1410" dxfId="0">
      <formula>AND(IF($Q88=3,1,IF($Q88=4,1,0)),IF($F88&lt;=85,1,0))</formula>
    </cfRule>
  </conditionalFormatting>
  <conditionalFormatting sqref="AV89">
    <cfRule type="expression" priority="1405" dxfId="17">
      <formula>AV89="X"</formula>
    </cfRule>
    <cfRule type="expression" priority="1406" dxfId="16">
      <formula>AV89="후보"</formula>
    </cfRule>
  </conditionalFormatting>
  <conditionalFormatting sqref="AC89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N89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E89">
    <cfRule type="expression" priority="1396" dxfId="3">
      <formula>AND(IF(OR($Q89=1,$Q89=2),1,0),IF($X89&lt;=20,1,0))</formula>
    </cfRule>
    <cfRule type="expression" priority="1397" dxfId="2">
      <formula>AND(IF($Q89=2,1,0),IF($X89&lt;30,1,0))</formula>
    </cfRule>
    <cfRule type="expression" priority="1398" dxfId="1">
      <formula>AND(IF($Q89=3,1,0),IF($X89&lt;30,1,0))</formula>
    </cfRule>
    <cfRule type="expression" priority="1399" dxfId="0">
      <formula>AND(IF($Q89=3,1,IF($Q89=4,1,0)),IF($F89&lt;=85,1,0))</formula>
    </cfRule>
  </conditionalFormatting>
  <conditionalFormatting sqref="X89">
    <cfRule type="expression" priority="1392" dxfId="3">
      <formula>AND(IF(OR($Q89=1,$Q89=2),1,0),IF($X89&lt;=20,1,0))</formula>
    </cfRule>
    <cfRule type="expression" priority="1393" dxfId="2">
      <formula>AND(IF($Q89=2,1,0),IF($X89&lt;30,1,0))</formula>
    </cfRule>
    <cfRule type="expression" priority="1394" dxfId="1">
      <formula>AND(IF($Q89=3,1,0),IF($X89&lt;30,1,0))</formula>
    </cfRule>
    <cfRule type="expression" priority="1395" dxfId="0">
      <formula>AND(IF($Q89=3,1,IF($Q89=4,1,0)),IF($F89&lt;=85,1,0))</formula>
    </cfRule>
  </conditionalFormatting>
  <conditionalFormatting sqref="AI89">
    <cfRule type="expression" priority="1388" dxfId="3">
      <formula>AND(IF(OR($Q89=1,$Q89=2),1,0),IF($X89&lt;=20,1,0))</formula>
    </cfRule>
    <cfRule type="expression" priority="1389" dxfId="2">
      <formula>AND(IF($Q89=2,1,0),IF($X89&lt;30,1,0))</formula>
    </cfRule>
    <cfRule type="expression" priority="1390" dxfId="1">
      <formula>AND(IF($Q89=3,1,0),IF($X89&lt;30,1,0))</formula>
    </cfRule>
    <cfRule type="expression" priority="1391" dxfId="0">
      <formula>AND(IF($Q89=3,1,IF($Q89=4,1,0)),IF($F89&lt;=85,1,0))</formula>
    </cfRule>
  </conditionalFormatting>
  <conditionalFormatting sqref="AV90">
    <cfRule type="expression" priority="1386" dxfId="17">
      <formula>AV90="X"</formula>
    </cfRule>
    <cfRule type="expression" priority="1387" dxfId="16">
      <formula>AV90="후보"</formula>
    </cfRule>
  </conditionalFormatting>
  <conditionalFormatting sqref="AC90 N9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AV91">
    <cfRule type="expression" priority="1381" dxfId="17">
      <formula>AV91="X"</formula>
    </cfRule>
    <cfRule type="expression" priority="1382" dxfId="16">
      <formula>AV91="후보"</formula>
    </cfRule>
  </conditionalFormatting>
  <conditionalFormatting sqref="AC91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91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91">
    <cfRule type="expression" priority="1372" dxfId="3">
      <formula>AND(IF(OR($Q91=1,$Q91=2),1,0),IF($X91&lt;=20,1,0))</formula>
    </cfRule>
    <cfRule type="expression" priority="1373" dxfId="2">
      <formula>AND(IF($Q91=2,1,0),IF($X91&lt;30,1,0))</formula>
    </cfRule>
    <cfRule type="expression" priority="1374" dxfId="1">
      <formula>AND(IF($Q91=3,1,0),IF($X91&lt;30,1,0))</formula>
    </cfRule>
    <cfRule type="expression" priority="1375" dxfId="0">
      <formula>AND(IF($Q91=3,1,IF($Q91=4,1,0)),IF($F91&lt;=85,1,0))</formula>
    </cfRule>
  </conditionalFormatting>
  <conditionalFormatting sqref="X91">
    <cfRule type="expression" priority="1368" dxfId="3">
      <formula>AND(IF(OR($Q91=1,$Q91=2),1,0),IF($X91&lt;=20,1,0))</formula>
    </cfRule>
    <cfRule type="expression" priority="1369" dxfId="2">
      <formula>AND(IF($Q91=2,1,0),IF($X91&lt;30,1,0))</formula>
    </cfRule>
    <cfRule type="expression" priority="1370" dxfId="1">
      <formula>AND(IF($Q91=3,1,0),IF($X91&lt;30,1,0))</formula>
    </cfRule>
    <cfRule type="expression" priority="1371" dxfId="0">
      <formula>AND(IF($Q91=3,1,IF($Q91=4,1,0)),IF($F91&lt;=85,1,0))</formula>
    </cfRule>
  </conditionalFormatting>
  <conditionalFormatting sqref="AI91">
    <cfRule type="expression" priority="1364" dxfId="3">
      <formula>AND(IF(OR($Q91=1,$Q91=2),1,0),IF($X91&lt;=20,1,0))</formula>
    </cfRule>
    <cfRule type="expression" priority="1365" dxfId="2">
      <formula>AND(IF($Q91=2,1,0),IF($X91&lt;30,1,0))</formula>
    </cfRule>
    <cfRule type="expression" priority="1366" dxfId="1">
      <formula>AND(IF($Q91=3,1,0),IF($X91&lt;30,1,0))</formula>
    </cfRule>
    <cfRule type="expression" priority="1367" dxfId="0">
      <formula>AND(IF($Q91=3,1,IF($Q91=4,1,0)),IF($F91&lt;=85,1,0))</formula>
    </cfRule>
  </conditionalFormatting>
  <conditionalFormatting sqref="AV92">
    <cfRule type="expression" priority="1362" dxfId="17">
      <formula>AV92="X"</formula>
    </cfRule>
    <cfRule type="expression" priority="1363" dxfId="16">
      <formula>AV92="후보"</formula>
    </cfRule>
  </conditionalFormatting>
  <conditionalFormatting sqref="AC92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N92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E92">
    <cfRule type="expression" priority="1353" dxfId="3">
      <formula>AND(IF(OR($Q92=1,$Q92=2),1,0),IF($X92&lt;=20,1,0))</formula>
    </cfRule>
    <cfRule type="expression" priority="1354" dxfId="2">
      <formula>AND(IF($Q92=2,1,0),IF($X92&lt;30,1,0))</formula>
    </cfRule>
    <cfRule type="expression" priority="1355" dxfId="1">
      <formula>AND(IF($Q92=3,1,0),IF($X92&lt;30,1,0))</formula>
    </cfRule>
    <cfRule type="expression" priority="1356" dxfId="0">
      <formula>AND(IF($Q92=3,1,IF($Q92=4,1,0)),IF($F92&lt;=85,1,0))</formula>
    </cfRule>
  </conditionalFormatting>
  <conditionalFormatting sqref="X92">
    <cfRule type="expression" priority="1349" dxfId="3">
      <formula>AND(IF(OR($Q92=1,$Q92=2),1,0),IF($X92&lt;=20,1,0))</formula>
    </cfRule>
    <cfRule type="expression" priority="1350" dxfId="2">
      <formula>AND(IF($Q92=2,1,0),IF($X92&lt;30,1,0))</formula>
    </cfRule>
    <cfRule type="expression" priority="1351" dxfId="1">
      <formula>AND(IF($Q92=3,1,0),IF($X92&lt;30,1,0))</formula>
    </cfRule>
    <cfRule type="expression" priority="1352" dxfId="0">
      <formula>AND(IF($Q92=3,1,IF($Q92=4,1,0)),IF($F92&lt;=85,1,0))</formula>
    </cfRule>
  </conditionalFormatting>
  <conditionalFormatting sqref="AI92">
    <cfRule type="expression" priority="1345" dxfId="3">
      <formula>AND(IF(OR($Q92=1,$Q92=2),1,0),IF($X92&lt;=20,1,0))</formula>
    </cfRule>
    <cfRule type="expression" priority="1346" dxfId="2">
      <formula>AND(IF($Q92=2,1,0),IF($X92&lt;30,1,0))</formula>
    </cfRule>
    <cfRule type="expression" priority="1347" dxfId="1">
      <formula>AND(IF($Q92=3,1,0),IF($X92&lt;30,1,0))</formula>
    </cfRule>
    <cfRule type="expression" priority="1348" dxfId="0">
      <formula>AND(IF($Q92=3,1,IF($Q92=4,1,0)),IF($F92&lt;=85,1,0))</formula>
    </cfRule>
  </conditionalFormatting>
  <conditionalFormatting sqref="AV93">
    <cfRule type="expression" priority="1343" dxfId="17">
      <formula>AV93="X"</formula>
    </cfRule>
    <cfRule type="expression" priority="1344" dxfId="16">
      <formula>AV93="후보"</formula>
    </cfRule>
  </conditionalFormatting>
  <conditionalFormatting sqref="AC93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N93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E93">
    <cfRule type="expression" priority="1334" dxfId="3">
      <formula>AND(IF(OR($Q93=1,$Q93=2),1,0),IF($X93&lt;=20,1,0))</formula>
    </cfRule>
    <cfRule type="expression" priority="1335" dxfId="2">
      <formula>AND(IF($Q93=2,1,0),IF($X93&lt;30,1,0))</formula>
    </cfRule>
    <cfRule type="expression" priority="1336" dxfId="1">
      <formula>AND(IF($Q93=3,1,0),IF($X93&lt;30,1,0))</formula>
    </cfRule>
    <cfRule type="expression" priority="1337" dxfId="0">
      <formula>AND(IF($Q93=3,1,IF($Q93=4,1,0)),IF($F93&lt;=85,1,0))</formula>
    </cfRule>
  </conditionalFormatting>
  <conditionalFormatting sqref="X93">
    <cfRule type="expression" priority="1330" dxfId="3">
      <formula>AND(IF(OR($Q93=1,$Q93=2),1,0),IF($X93&lt;=20,1,0))</formula>
    </cfRule>
    <cfRule type="expression" priority="1331" dxfId="2">
      <formula>AND(IF($Q93=2,1,0),IF($X93&lt;30,1,0))</formula>
    </cfRule>
    <cfRule type="expression" priority="1332" dxfId="1">
      <formula>AND(IF($Q93=3,1,0),IF($X93&lt;30,1,0))</formula>
    </cfRule>
    <cfRule type="expression" priority="1333" dxfId="0">
      <formula>AND(IF($Q93=3,1,IF($Q93=4,1,0)),IF($F93&lt;=85,1,0))</formula>
    </cfRule>
  </conditionalFormatting>
  <conditionalFormatting sqref="AI93">
    <cfRule type="expression" priority="1326" dxfId="3">
      <formula>AND(IF(OR($Q93=1,$Q93=2),1,0),IF($X93&lt;=20,1,0))</formula>
    </cfRule>
    <cfRule type="expression" priority="1327" dxfId="2">
      <formula>AND(IF($Q93=2,1,0),IF($X93&lt;30,1,0))</formula>
    </cfRule>
    <cfRule type="expression" priority="1328" dxfId="1">
      <formula>AND(IF($Q93=3,1,0),IF($X93&lt;30,1,0))</formula>
    </cfRule>
    <cfRule type="expression" priority="1329" dxfId="0">
      <formula>AND(IF($Q93=3,1,IF($Q93=4,1,0)),IF($F93&lt;=85,1,0))</formula>
    </cfRule>
  </conditionalFormatting>
  <conditionalFormatting sqref="AV94">
    <cfRule type="expression" priority="1324" dxfId="17">
      <formula>AV94="X"</formula>
    </cfRule>
    <cfRule type="expression" priority="1325" dxfId="16">
      <formula>AV94="후보"</formula>
    </cfRule>
  </conditionalFormatting>
  <conditionalFormatting sqref="AC94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N94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E94">
    <cfRule type="expression" priority="1315" dxfId="3">
      <formula>AND(IF(OR($Q94=1,$Q94=2),1,0),IF($X94&lt;=20,1,0))</formula>
    </cfRule>
    <cfRule type="expression" priority="1316" dxfId="2">
      <formula>AND(IF($Q94=2,1,0),IF($X94&lt;30,1,0))</formula>
    </cfRule>
    <cfRule type="expression" priority="1317" dxfId="1">
      <formula>AND(IF($Q94=3,1,0),IF($X94&lt;30,1,0))</formula>
    </cfRule>
    <cfRule type="expression" priority="1318" dxfId="0">
      <formula>AND(IF($Q94=3,1,IF($Q94=4,1,0)),IF($F94&lt;=85,1,0))</formula>
    </cfRule>
  </conditionalFormatting>
  <conditionalFormatting sqref="X94">
    <cfRule type="expression" priority="1311" dxfId="3">
      <formula>AND(IF(OR($Q94=1,$Q94=2),1,0),IF($X94&lt;=20,1,0))</formula>
    </cfRule>
    <cfRule type="expression" priority="1312" dxfId="2">
      <formula>AND(IF($Q94=2,1,0),IF($X94&lt;30,1,0))</formula>
    </cfRule>
    <cfRule type="expression" priority="1313" dxfId="1">
      <formula>AND(IF($Q94=3,1,0),IF($X94&lt;30,1,0))</formula>
    </cfRule>
    <cfRule type="expression" priority="1314" dxfId="0">
      <formula>AND(IF($Q94=3,1,IF($Q94=4,1,0)),IF($F94&lt;=85,1,0))</formula>
    </cfRule>
  </conditionalFormatting>
  <conditionalFormatting sqref="AI94">
    <cfRule type="expression" priority="1307" dxfId="3">
      <formula>AND(IF(OR($Q94=1,$Q94=2),1,0),IF($X94&lt;=20,1,0))</formula>
    </cfRule>
    <cfRule type="expression" priority="1308" dxfId="2">
      <formula>AND(IF($Q94=2,1,0),IF($X94&lt;30,1,0))</formula>
    </cfRule>
    <cfRule type="expression" priority="1309" dxfId="1">
      <formula>AND(IF($Q94=3,1,0),IF($X94&lt;30,1,0))</formula>
    </cfRule>
    <cfRule type="expression" priority="1310" dxfId="0">
      <formula>AND(IF($Q94=3,1,IF($Q94=4,1,0)),IF($F94&lt;=85,1,0))</formula>
    </cfRule>
  </conditionalFormatting>
  <conditionalFormatting sqref="AV95">
    <cfRule type="expression" priority="1305" dxfId="17">
      <formula>AV95="X"</formula>
    </cfRule>
    <cfRule type="expression" priority="1306" dxfId="16">
      <formula>AV95="후보"</formula>
    </cfRule>
  </conditionalFormatting>
  <conditionalFormatting sqref="AC95 N95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AV96">
    <cfRule type="expression" priority="1300" dxfId="17">
      <formula>AV96="X"</formula>
    </cfRule>
    <cfRule type="expression" priority="1301" dxfId="16">
      <formula>AV96="후보"</formula>
    </cfRule>
  </conditionalFormatting>
  <conditionalFormatting sqref="AC96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96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96">
    <cfRule type="expression" priority="1291" dxfId="3">
      <formula>AND(IF(OR($Q96=1,$Q96=2),1,0),IF($X96&lt;=20,1,0))</formula>
    </cfRule>
    <cfRule type="expression" priority="1292" dxfId="2">
      <formula>AND(IF($Q96=2,1,0),IF($X96&lt;30,1,0))</formula>
    </cfRule>
    <cfRule type="expression" priority="1293" dxfId="1">
      <formula>AND(IF($Q96=3,1,0),IF($X96&lt;30,1,0))</formula>
    </cfRule>
    <cfRule type="expression" priority="1294" dxfId="0">
      <formula>AND(IF($Q96=3,1,IF($Q96=4,1,0)),IF($F96&lt;=85,1,0))</formula>
    </cfRule>
  </conditionalFormatting>
  <conditionalFormatting sqref="X96">
    <cfRule type="expression" priority="1287" dxfId="3">
      <formula>AND(IF(OR($Q96=1,$Q96=2),1,0),IF($X96&lt;=20,1,0))</formula>
    </cfRule>
    <cfRule type="expression" priority="1288" dxfId="2">
      <formula>AND(IF($Q96=2,1,0),IF($X96&lt;30,1,0))</formula>
    </cfRule>
    <cfRule type="expression" priority="1289" dxfId="1">
      <formula>AND(IF($Q96=3,1,0),IF($X96&lt;30,1,0))</formula>
    </cfRule>
    <cfRule type="expression" priority="1290" dxfId="0">
      <formula>AND(IF($Q96=3,1,IF($Q96=4,1,0)),IF($F96&lt;=85,1,0))</formula>
    </cfRule>
  </conditionalFormatting>
  <conditionalFormatting sqref="AI96">
    <cfRule type="expression" priority="1283" dxfId="3">
      <formula>AND(IF(OR($Q96=1,$Q96=2),1,0),IF($X96&lt;=20,1,0))</formula>
    </cfRule>
    <cfRule type="expression" priority="1284" dxfId="2">
      <formula>AND(IF($Q96=2,1,0),IF($X96&lt;30,1,0))</formula>
    </cfRule>
    <cfRule type="expression" priority="1285" dxfId="1">
      <formula>AND(IF($Q96=3,1,0),IF($X96&lt;30,1,0))</formula>
    </cfRule>
    <cfRule type="expression" priority="1286" dxfId="0">
      <formula>AND(IF($Q96=3,1,IF($Q96=4,1,0)),IF($F96&lt;=85,1,0))</formula>
    </cfRule>
  </conditionalFormatting>
  <conditionalFormatting sqref="AV97">
    <cfRule type="expression" priority="1281" dxfId="17">
      <formula>AV97="X"</formula>
    </cfRule>
    <cfRule type="expression" priority="1282" dxfId="16">
      <formula>AV97="후보"</formula>
    </cfRule>
  </conditionalFormatting>
  <conditionalFormatting sqref="AC97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97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97">
    <cfRule type="expression" priority="1272" dxfId="3">
      <formula>AND(IF(OR($Q97=1,$Q97=2),1,0),IF($X97&lt;=20,1,0))</formula>
    </cfRule>
    <cfRule type="expression" priority="1273" dxfId="2">
      <formula>AND(IF($Q97=2,1,0),IF($X97&lt;30,1,0))</formula>
    </cfRule>
    <cfRule type="expression" priority="1274" dxfId="1">
      <formula>AND(IF($Q97=3,1,0),IF($X97&lt;30,1,0))</formula>
    </cfRule>
    <cfRule type="expression" priority="1275" dxfId="0">
      <formula>AND(IF($Q97=3,1,IF($Q97=4,1,0)),IF($F97&lt;=85,1,0))</formula>
    </cfRule>
  </conditionalFormatting>
  <conditionalFormatting sqref="X97">
    <cfRule type="expression" priority="1268" dxfId="3">
      <formula>AND(IF(OR($Q97=1,$Q97=2),1,0),IF($X97&lt;=20,1,0))</formula>
    </cfRule>
    <cfRule type="expression" priority="1269" dxfId="2">
      <formula>AND(IF($Q97=2,1,0),IF($X97&lt;30,1,0))</formula>
    </cfRule>
    <cfRule type="expression" priority="1270" dxfId="1">
      <formula>AND(IF($Q97=3,1,0),IF($X97&lt;30,1,0))</formula>
    </cfRule>
    <cfRule type="expression" priority="1271" dxfId="0">
      <formula>AND(IF($Q97=3,1,IF($Q97=4,1,0)),IF($F97&lt;=85,1,0))</formula>
    </cfRule>
  </conditionalFormatting>
  <conditionalFormatting sqref="AI97">
    <cfRule type="expression" priority="1264" dxfId="3">
      <formula>AND(IF(OR($Q97=1,$Q97=2),1,0),IF($X97&lt;=20,1,0))</formula>
    </cfRule>
    <cfRule type="expression" priority="1265" dxfId="2">
      <formula>AND(IF($Q97=2,1,0),IF($X97&lt;30,1,0))</formula>
    </cfRule>
    <cfRule type="expression" priority="1266" dxfId="1">
      <formula>AND(IF($Q97=3,1,0),IF($X97&lt;30,1,0))</formula>
    </cfRule>
    <cfRule type="expression" priority="1267" dxfId="0">
      <formula>AND(IF($Q97=3,1,IF($Q97=4,1,0)),IF($F97&lt;=85,1,0))</formula>
    </cfRule>
  </conditionalFormatting>
  <conditionalFormatting sqref="AV98">
    <cfRule type="expression" priority="1262" dxfId="17">
      <formula>AV98="X"</formula>
    </cfRule>
    <cfRule type="expression" priority="1263" dxfId="16">
      <formula>AV98="후보"</formula>
    </cfRule>
  </conditionalFormatting>
  <conditionalFormatting sqref="AC98 N98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AV99">
    <cfRule type="expression" priority="1257" dxfId="17">
      <formula>AV99="X"</formula>
    </cfRule>
    <cfRule type="expression" priority="1258" dxfId="16">
      <formula>AV99="후보"</formula>
    </cfRule>
  </conditionalFormatting>
  <conditionalFormatting sqref="AC99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99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99">
    <cfRule type="expression" priority="1248" dxfId="3">
      <formula>AND(IF(OR($Q99=1,$Q99=2),1,0),IF($X99&lt;=20,1,0))</formula>
    </cfRule>
    <cfRule type="expression" priority="1249" dxfId="2">
      <formula>AND(IF($Q99=2,1,0),IF($X99&lt;30,1,0))</formula>
    </cfRule>
    <cfRule type="expression" priority="1250" dxfId="1">
      <formula>AND(IF($Q99=3,1,0),IF($X99&lt;30,1,0))</formula>
    </cfRule>
    <cfRule type="expression" priority="1251" dxfId="0">
      <formula>AND(IF($Q99=3,1,IF($Q99=4,1,0)),IF($F99&lt;=85,1,0))</formula>
    </cfRule>
  </conditionalFormatting>
  <conditionalFormatting sqref="X99">
    <cfRule type="expression" priority="1244" dxfId="3">
      <formula>AND(IF(OR($Q99=1,$Q99=2),1,0),IF($X99&lt;=20,1,0))</formula>
    </cfRule>
    <cfRule type="expression" priority="1245" dxfId="2">
      <formula>AND(IF($Q99=2,1,0),IF($X99&lt;30,1,0))</formula>
    </cfRule>
    <cfRule type="expression" priority="1246" dxfId="1">
      <formula>AND(IF($Q99=3,1,0),IF($X99&lt;30,1,0))</formula>
    </cfRule>
    <cfRule type="expression" priority="1247" dxfId="0">
      <formula>AND(IF($Q99=3,1,IF($Q99=4,1,0)),IF($F99&lt;=85,1,0))</formula>
    </cfRule>
  </conditionalFormatting>
  <conditionalFormatting sqref="AI99">
    <cfRule type="expression" priority="1240" dxfId="3">
      <formula>AND(IF(OR($Q99=1,$Q99=2),1,0),IF($X99&lt;=20,1,0))</formula>
    </cfRule>
    <cfRule type="expression" priority="1241" dxfId="2">
      <formula>AND(IF($Q99=2,1,0),IF($X99&lt;30,1,0))</formula>
    </cfRule>
    <cfRule type="expression" priority="1242" dxfId="1">
      <formula>AND(IF($Q99=3,1,0),IF($X99&lt;30,1,0))</formula>
    </cfRule>
    <cfRule type="expression" priority="1243" dxfId="0">
      <formula>AND(IF($Q99=3,1,IF($Q99=4,1,0)),IF($F99&lt;=85,1,0))</formula>
    </cfRule>
  </conditionalFormatting>
  <conditionalFormatting sqref="AV100">
    <cfRule type="expression" priority="1238" dxfId="17">
      <formula>AV100="X"</formula>
    </cfRule>
    <cfRule type="expression" priority="1239" dxfId="16">
      <formula>AV100="후보"</formula>
    </cfRule>
  </conditionalFormatting>
  <conditionalFormatting sqref="AC100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100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100">
    <cfRule type="expression" priority="1229" dxfId="3">
      <formula>AND(IF(OR($Q100=1,$Q100=2),1,0),IF($X100&lt;=20,1,0))</formula>
    </cfRule>
    <cfRule type="expression" priority="1230" dxfId="2">
      <formula>AND(IF($Q100=2,1,0),IF($X100&lt;30,1,0))</formula>
    </cfRule>
    <cfRule type="expression" priority="1231" dxfId="1">
      <formula>AND(IF($Q100=3,1,0),IF($X100&lt;30,1,0))</formula>
    </cfRule>
    <cfRule type="expression" priority="1232" dxfId="0">
      <formula>AND(IF($Q100=3,1,IF($Q100=4,1,0)),IF($F100&lt;=85,1,0))</formula>
    </cfRule>
  </conditionalFormatting>
  <conditionalFormatting sqref="X100">
    <cfRule type="expression" priority="1225" dxfId="3">
      <formula>AND(IF(OR($Q100=1,$Q100=2),1,0),IF($X100&lt;=20,1,0))</formula>
    </cfRule>
    <cfRule type="expression" priority="1226" dxfId="2">
      <formula>AND(IF($Q100=2,1,0),IF($X100&lt;30,1,0))</formula>
    </cfRule>
    <cfRule type="expression" priority="1227" dxfId="1">
      <formula>AND(IF($Q100=3,1,0),IF($X100&lt;30,1,0))</formula>
    </cfRule>
    <cfRule type="expression" priority="1228" dxfId="0">
      <formula>AND(IF($Q100=3,1,IF($Q100=4,1,0)),IF($F100&lt;=85,1,0))</formula>
    </cfRule>
  </conditionalFormatting>
  <conditionalFormatting sqref="AI100">
    <cfRule type="expression" priority="1221" dxfId="3">
      <formula>AND(IF(OR($Q100=1,$Q100=2),1,0),IF($X100&lt;=20,1,0))</formula>
    </cfRule>
    <cfRule type="expression" priority="1222" dxfId="2">
      <formula>AND(IF($Q100=2,1,0),IF($X100&lt;30,1,0))</formula>
    </cfRule>
    <cfRule type="expression" priority="1223" dxfId="1">
      <formula>AND(IF($Q100=3,1,0),IF($X100&lt;30,1,0))</formula>
    </cfRule>
    <cfRule type="expression" priority="1224" dxfId="0">
      <formula>AND(IF($Q100=3,1,IF($Q100=4,1,0)),IF($F100&lt;=85,1,0))</formula>
    </cfRule>
  </conditionalFormatting>
  <conditionalFormatting sqref="AV101">
    <cfRule type="expression" priority="1219" dxfId="17">
      <formula>AV101="X"</formula>
    </cfRule>
    <cfRule type="expression" priority="1220" dxfId="16">
      <formula>AV101="후보"</formula>
    </cfRule>
  </conditionalFormatting>
  <conditionalFormatting sqref="AC101 N101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AV102">
    <cfRule type="expression" priority="1214" dxfId="17">
      <formula>AV102="X"</formula>
    </cfRule>
    <cfRule type="expression" priority="1215" dxfId="16">
      <formula>AV102="후보"</formula>
    </cfRule>
  </conditionalFormatting>
  <conditionalFormatting sqref="AC102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102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102">
    <cfRule type="expression" priority="1205" dxfId="3">
      <formula>AND(IF(OR($Q102=1,$Q102=2),1,0),IF($X102&lt;=20,1,0))</formula>
    </cfRule>
    <cfRule type="expression" priority="1206" dxfId="2">
      <formula>AND(IF($Q102=2,1,0),IF($X102&lt;30,1,0))</formula>
    </cfRule>
    <cfRule type="expression" priority="1207" dxfId="1">
      <formula>AND(IF($Q102=3,1,0),IF($X102&lt;30,1,0))</formula>
    </cfRule>
    <cfRule type="expression" priority="1208" dxfId="0">
      <formula>AND(IF($Q102=3,1,IF($Q102=4,1,0)),IF($F102&lt;=85,1,0))</formula>
    </cfRule>
  </conditionalFormatting>
  <conditionalFormatting sqref="X102">
    <cfRule type="expression" priority="1201" dxfId="3">
      <formula>AND(IF(OR($Q102=1,$Q102=2),1,0),IF($X102&lt;=20,1,0))</formula>
    </cfRule>
    <cfRule type="expression" priority="1202" dxfId="2">
      <formula>AND(IF($Q102=2,1,0),IF($X102&lt;30,1,0))</formula>
    </cfRule>
    <cfRule type="expression" priority="1203" dxfId="1">
      <formula>AND(IF($Q102=3,1,0),IF($X102&lt;30,1,0))</formula>
    </cfRule>
    <cfRule type="expression" priority="1204" dxfId="0">
      <formula>AND(IF($Q102=3,1,IF($Q102=4,1,0)),IF($F102&lt;=85,1,0))</formula>
    </cfRule>
  </conditionalFormatting>
  <conditionalFormatting sqref="AI102">
    <cfRule type="expression" priority="1197" dxfId="3">
      <formula>AND(IF(OR($Q102=1,$Q102=2),1,0),IF($X102&lt;=20,1,0))</formula>
    </cfRule>
    <cfRule type="expression" priority="1198" dxfId="2">
      <formula>AND(IF($Q102=2,1,0),IF($X102&lt;30,1,0))</formula>
    </cfRule>
    <cfRule type="expression" priority="1199" dxfId="1">
      <formula>AND(IF($Q102=3,1,0),IF($X102&lt;30,1,0))</formula>
    </cfRule>
    <cfRule type="expression" priority="1200" dxfId="0">
      <formula>AND(IF($Q102=3,1,IF($Q102=4,1,0)),IF($F102&lt;=85,1,0))</formula>
    </cfRule>
  </conditionalFormatting>
  <conditionalFormatting sqref="AV103">
    <cfRule type="expression" priority="1195" dxfId="17">
      <formula>AV103="X"</formula>
    </cfRule>
    <cfRule type="expression" priority="1196" dxfId="16">
      <formula>AV103="후보"</formula>
    </cfRule>
  </conditionalFormatting>
  <conditionalFormatting sqref="AC103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103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103">
    <cfRule type="expression" priority="1186" dxfId="3">
      <formula>AND(IF(OR($Q103=1,$Q103=2),1,0),IF($X103&lt;=20,1,0))</formula>
    </cfRule>
    <cfRule type="expression" priority="1187" dxfId="2">
      <formula>AND(IF($Q103=2,1,0),IF($X103&lt;30,1,0))</formula>
    </cfRule>
    <cfRule type="expression" priority="1188" dxfId="1">
      <formula>AND(IF($Q103=3,1,0),IF($X103&lt;30,1,0))</formula>
    </cfRule>
    <cfRule type="expression" priority="1189" dxfId="0">
      <formula>AND(IF($Q103=3,1,IF($Q103=4,1,0)),IF($F103&lt;=85,1,0))</formula>
    </cfRule>
  </conditionalFormatting>
  <conditionalFormatting sqref="X103">
    <cfRule type="expression" priority="1182" dxfId="3">
      <formula>AND(IF(OR($Q103=1,$Q103=2),1,0),IF($X103&lt;=20,1,0))</formula>
    </cfRule>
    <cfRule type="expression" priority="1183" dxfId="2">
      <formula>AND(IF($Q103=2,1,0),IF($X103&lt;30,1,0))</formula>
    </cfRule>
    <cfRule type="expression" priority="1184" dxfId="1">
      <formula>AND(IF($Q103=3,1,0),IF($X103&lt;30,1,0))</formula>
    </cfRule>
    <cfRule type="expression" priority="1185" dxfId="0">
      <formula>AND(IF($Q103=3,1,IF($Q103=4,1,0)),IF($F103&lt;=85,1,0))</formula>
    </cfRule>
  </conditionalFormatting>
  <conditionalFormatting sqref="AI103">
    <cfRule type="expression" priority="1178" dxfId="3">
      <formula>AND(IF(OR($Q103=1,$Q103=2),1,0),IF($X103&lt;=20,1,0))</formula>
    </cfRule>
    <cfRule type="expression" priority="1179" dxfId="2">
      <formula>AND(IF($Q103=2,1,0),IF($X103&lt;30,1,0))</formula>
    </cfRule>
    <cfRule type="expression" priority="1180" dxfId="1">
      <formula>AND(IF($Q103=3,1,0),IF($X103&lt;30,1,0))</formula>
    </cfRule>
    <cfRule type="expression" priority="1181" dxfId="0">
      <formula>AND(IF($Q103=3,1,IF($Q103=4,1,0)),IF($F103&lt;=85,1,0))</formula>
    </cfRule>
  </conditionalFormatting>
  <conditionalFormatting sqref="AV104">
    <cfRule type="expression" priority="1176" dxfId="17">
      <formula>AV104="X"</formula>
    </cfRule>
    <cfRule type="expression" priority="1177" dxfId="16">
      <formula>AV104="후보"</formula>
    </cfRule>
  </conditionalFormatting>
  <conditionalFormatting sqref="AC104 N104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AV105">
    <cfRule type="expression" priority="1171" dxfId="17">
      <formula>AV105="X"</formula>
    </cfRule>
    <cfRule type="expression" priority="1172" dxfId="16">
      <formula>AV105="후보"</formula>
    </cfRule>
  </conditionalFormatting>
  <conditionalFormatting sqref="AC105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105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105">
    <cfRule type="expression" priority="1162" dxfId="3">
      <formula>AND(IF(OR($Q105=1,$Q105=2),1,0),IF($X105&lt;=20,1,0))</formula>
    </cfRule>
    <cfRule type="expression" priority="1163" dxfId="2">
      <formula>AND(IF($Q105=2,1,0),IF($X105&lt;30,1,0))</formula>
    </cfRule>
    <cfRule type="expression" priority="1164" dxfId="1">
      <formula>AND(IF($Q105=3,1,0),IF($X105&lt;30,1,0))</formula>
    </cfRule>
    <cfRule type="expression" priority="1165" dxfId="0">
      <formula>AND(IF($Q105=3,1,IF($Q105=4,1,0)),IF($F105&lt;=85,1,0))</formula>
    </cfRule>
  </conditionalFormatting>
  <conditionalFormatting sqref="X105">
    <cfRule type="expression" priority="1158" dxfId="3">
      <formula>AND(IF(OR($Q105=1,$Q105=2),1,0),IF($X105&lt;=20,1,0))</formula>
    </cfRule>
    <cfRule type="expression" priority="1159" dxfId="2">
      <formula>AND(IF($Q105=2,1,0),IF($X105&lt;30,1,0))</formula>
    </cfRule>
    <cfRule type="expression" priority="1160" dxfId="1">
      <formula>AND(IF($Q105=3,1,0),IF($X105&lt;30,1,0))</formula>
    </cfRule>
    <cfRule type="expression" priority="1161" dxfId="0">
      <formula>AND(IF($Q105=3,1,IF($Q105=4,1,0)),IF($F105&lt;=85,1,0))</formula>
    </cfRule>
  </conditionalFormatting>
  <conditionalFormatting sqref="AI105">
    <cfRule type="expression" priority="1154" dxfId="3">
      <formula>AND(IF(OR($Q105=1,$Q105=2),1,0),IF($X105&lt;=20,1,0))</formula>
    </cfRule>
    <cfRule type="expression" priority="1155" dxfId="2">
      <formula>AND(IF($Q105=2,1,0),IF($X105&lt;30,1,0))</formula>
    </cfRule>
    <cfRule type="expression" priority="1156" dxfId="1">
      <formula>AND(IF($Q105=3,1,0),IF($X105&lt;30,1,0))</formula>
    </cfRule>
    <cfRule type="expression" priority="1157" dxfId="0">
      <formula>AND(IF($Q105=3,1,IF($Q105=4,1,0)),IF($F105&lt;=85,1,0))</formula>
    </cfRule>
  </conditionalFormatting>
  <conditionalFormatting sqref="AV106">
    <cfRule type="expression" priority="1152" dxfId="17">
      <formula>AV106="X"</formula>
    </cfRule>
    <cfRule type="expression" priority="1153" dxfId="16">
      <formula>AV106="후보"</formula>
    </cfRule>
  </conditionalFormatting>
  <conditionalFormatting sqref="AC10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10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106">
    <cfRule type="expression" priority="1143" dxfId="3">
      <formula>AND(IF(OR($Q106=1,$Q106=2),1,0),IF($X106&lt;=20,1,0))</formula>
    </cfRule>
    <cfRule type="expression" priority="1144" dxfId="2">
      <formula>AND(IF($Q106=2,1,0),IF($X106&lt;30,1,0))</formula>
    </cfRule>
    <cfRule type="expression" priority="1145" dxfId="1">
      <formula>AND(IF($Q106=3,1,0),IF($X106&lt;30,1,0))</formula>
    </cfRule>
    <cfRule type="expression" priority="1146" dxfId="0">
      <formula>AND(IF($Q106=3,1,IF($Q106=4,1,0)),IF($F106&lt;=85,1,0))</formula>
    </cfRule>
  </conditionalFormatting>
  <conditionalFormatting sqref="X106">
    <cfRule type="expression" priority="1139" dxfId="3">
      <formula>AND(IF(OR($Q106=1,$Q106=2),1,0),IF($X106&lt;=20,1,0))</formula>
    </cfRule>
    <cfRule type="expression" priority="1140" dxfId="2">
      <formula>AND(IF($Q106=2,1,0),IF($X106&lt;30,1,0))</formula>
    </cfRule>
    <cfRule type="expression" priority="1141" dxfId="1">
      <formula>AND(IF($Q106=3,1,0),IF($X106&lt;30,1,0))</formula>
    </cfRule>
    <cfRule type="expression" priority="1142" dxfId="0">
      <formula>AND(IF($Q106=3,1,IF($Q106=4,1,0)),IF($F106&lt;=85,1,0))</formula>
    </cfRule>
  </conditionalFormatting>
  <conditionalFormatting sqref="AI106">
    <cfRule type="expression" priority="1135" dxfId="3">
      <formula>AND(IF(OR($Q106=1,$Q106=2),1,0),IF($X106&lt;=20,1,0))</formula>
    </cfRule>
    <cfRule type="expression" priority="1136" dxfId="2">
      <formula>AND(IF($Q106=2,1,0),IF($X106&lt;30,1,0))</formula>
    </cfRule>
    <cfRule type="expression" priority="1137" dxfId="1">
      <formula>AND(IF($Q106=3,1,0),IF($X106&lt;30,1,0))</formula>
    </cfRule>
    <cfRule type="expression" priority="1138" dxfId="0">
      <formula>AND(IF($Q106=3,1,IF($Q106=4,1,0)),IF($F106&lt;=85,1,0))</formula>
    </cfRule>
  </conditionalFormatting>
  <conditionalFormatting sqref="AV107">
    <cfRule type="expression" priority="1133" dxfId="17">
      <formula>AV107="X"</formula>
    </cfRule>
    <cfRule type="expression" priority="1134" dxfId="16">
      <formula>AV107="후보"</formula>
    </cfRule>
  </conditionalFormatting>
  <conditionalFormatting sqref="AC107 N107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AV108">
    <cfRule type="expression" priority="1128" dxfId="17">
      <formula>AV108="X"</formula>
    </cfRule>
    <cfRule type="expression" priority="1129" dxfId="16">
      <formula>AV108="후보"</formula>
    </cfRule>
  </conditionalFormatting>
  <conditionalFormatting sqref="AC108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108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108">
    <cfRule type="expression" priority="1119" dxfId="3">
      <formula>AND(IF(OR($Q108=1,$Q108=2),1,0),IF($X108&lt;=20,1,0))</formula>
    </cfRule>
    <cfRule type="expression" priority="1120" dxfId="2">
      <formula>AND(IF($Q108=2,1,0),IF($X108&lt;30,1,0))</formula>
    </cfRule>
    <cfRule type="expression" priority="1121" dxfId="1">
      <formula>AND(IF($Q108=3,1,0),IF($X108&lt;30,1,0))</formula>
    </cfRule>
    <cfRule type="expression" priority="1122" dxfId="0">
      <formula>AND(IF($Q108=3,1,IF($Q108=4,1,0)),IF($F108&lt;=85,1,0))</formula>
    </cfRule>
  </conditionalFormatting>
  <conditionalFormatting sqref="X108">
    <cfRule type="expression" priority="1115" dxfId="3">
      <formula>AND(IF(OR($Q108=1,$Q108=2),1,0),IF($X108&lt;=20,1,0))</formula>
    </cfRule>
    <cfRule type="expression" priority="1116" dxfId="2">
      <formula>AND(IF($Q108=2,1,0),IF($X108&lt;30,1,0))</formula>
    </cfRule>
    <cfRule type="expression" priority="1117" dxfId="1">
      <formula>AND(IF($Q108=3,1,0),IF($X108&lt;30,1,0))</formula>
    </cfRule>
    <cfRule type="expression" priority="1118" dxfId="0">
      <formula>AND(IF($Q108=3,1,IF($Q108=4,1,0)),IF($F108&lt;=85,1,0))</formula>
    </cfRule>
  </conditionalFormatting>
  <conditionalFormatting sqref="AI108">
    <cfRule type="expression" priority="1111" dxfId="3">
      <formula>AND(IF(OR($Q108=1,$Q108=2),1,0),IF($X108&lt;=20,1,0))</formula>
    </cfRule>
    <cfRule type="expression" priority="1112" dxfId="2">
      <formula>AND(IF($Q108=2,1,0),IF($X108&lt;30,1,0))</formula>
    </cfRule>
    <cfRule type="expression" priority="1113" dxfId="1">
      <formula>AND(IF($Q108=3,1,0),IF($X108&lt;30,1,0))</formula>
    </cfRule>
    <cfRule type="expression" priority="1114" dxfId="0">
      <formula>AND(IF($Q108=3,1,IF($Q108=4,1,0)),IF($F108&lt;=85,1,0))</formula>
    </cfRule>
  </conditionalFormatting>
  <conditionalFormatting sqref="AV109">
    <cfRule type="expression" priority="1109" dxfId="17">
      <formula>AV109="X"</formula>
    </cfRule>
    <cfRule type="expression" priority="1110" dxfId="16">
      <formula>AV109="후보"</formula>
    </cfRule>
  </conditionalFormatting>
  <conditionalFormatting sqref="AC109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109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109">
    <cfRule type="expression" priority="1100" dxfId="3">
      <formula>AND(IF(OR($Q109=1,$Q109=2),1,0),IF($X109&lt;=20,1,0))</formula>
    </cfRule>
    <cfRule type="expression" priority="1101" dxfId="2">
      <formula>AND(IF($Q109=2,1,0),IF($X109&lt;30,1,0))</formula>
    </cfRule>
    <cfRule type="expression" priority="1102" dxfId="1">
      <formula>AND(IF($Q109=3,1,0),IF($X109&lt;30,1,0))</formula>
    </cfRule>
    <cfRule type="expression" priority="1103" dxfId="0">
      <formula>AND(IF($Q109=3,1,IF($Q109=4,1,0)),IF($F109&lt;=85,1,0))</formula>
    </cfRule>
  </conditionalFormatting>
  <conditionalFormatting sqref="X109">
    <cfRule type="expression" priority="1096" dxfId="3">
      <formula>AND(IF(OR($Q109=1,$Q109=2),1,0),IF($X109&lt;=20,1,0))</formula>
    </cfRule>
    <cfRule type="expression" priority="1097" dxfId="2">
      <formula>AND(IF($Q109=2,1,0),IF($X109&lt;30,1,0))</formula>
    </cfRule>
    <cfRule type="expression" priority="1098" dxfId="1">
      <formula>AND(IF($Q109=3,1,0),IF($X109&lt;30,1,0))</formula>
    </cfRule>
    <cfRule type="expression" priority="1099" dxfId="0">
      <formula>AND(IF($Q109=3,1,IF($Q109=4,1,0)),IF($F109&lt;=85,1,0))</formula>
    </cfRule>
  </conditionalFormatting>
  <conditionalFormatting sqref="AI109">
    <cfRule type="expression" priority="1092" dxfId="3">
      <formula>AND(IF(OR($Q109=1,$Q109=2),1,0),IF($X109&lt;=20,1,0))</formula>
    </cfRule>
    <cfRule type="expression" priority="1093" dxfId="2">
      <formula>AND(IF($Q109=2,1,0),IF($X109&lt;30,1,0))</formula>
    </cfRule>
    <cfRule type="expression" priority="1094" dxfId="1">
      <formula>AND(IF($Q109=3,1,0),IF($X109&lt;30,1,0))</formula>
    </cfRule>
    <cfRule type="expression" priority="1095" dxfId="0">
      <formula>AND(IF($Q109=3,1,IF($Q109=4,1,0)),IF($F109&lt;=85,1,0))</formula>
    </cfRule>
  </conditionalFormatting>
  <conditionalFormatting sqref="AV110">
    <cfRule type="expression" priority="1090" dxfId="17">
      <formula>AV110="X"</formula>
    </cfRule>
    <cfRule type="expression" priority="1091" dxfId="16">
      <formula>AV110="후보"</formula>
    </cfRule>
  </conditionalFormatting>
  <conditionalFormatting sqref="AC110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110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110">
    <cfRule type="expression" priority="1081" dxfId="3">
      <formula>AND(IF(OR($Q110=1,$Q110=2),1,0),IF($X110&lt;=20,1,0))</formula>
    </cfRule>
    <cfRule type="expression" priority="1082" dxfId="2">
      <formula>AND(IF($Q110=2,1,0),IF($X110&lt;30,1,0))</formula>
    </cfRule>
    <cfRule type="expression" priority="1083" dxfId="1">
      <formula>AND(IF($Q110=3,1,0),IF($X110&lt;30,1,0))</formula>
    </cfRule>
    <cfRule type="expression" priority="1084" dxfId="0">
      <formula>AND(IF($Q110=3,1,IF($Q110=4,1,0)),IF($F110&lt;=85,1,0))</formula>
    </cfRule>
  </conditionalFormatting>
  <conditionalFormatting sqref="X110">
    <cfRule type="expression" priority="1077" dxfId="3">
      <formula>AND(IF(OR($Q110=1,$Q110=2),1,0),IF($X110&lt;=20,1,0))</formula>
    </cfRule>
    <cfRule type="expression" priority="1078" dxfId="2">
      <formula>AND(IF($Q110=2,1,0),IF($X110&lt;30,1,0))</formula>
    </cfRule>
    <cfRule type="expression" priority="1079" dxfId="1">
      <formula>AND(IF($Q110=3,1,0),IF($X110&lt;30,1,0))</formula>
    </cfRule>
    <cfRule type="expression" priority="1080" dxfId="0">
      <formula>AND(IF($Q110=3,1,IF($Q110=4,1,0)),IF($F110&lt;=85,1,0))</formula>
    </cfRule>
  </conditionalFormatting>
  <conditionalFormatting sqref="AI110">
    <cfRule type="expression" priority="1073" dxfId="3">
      <formula>AND(IF(OR($Q110=1,$Q110=2),1,0),IF($X110&lt;=20,1,0))</formula>
    </cfRule>
    <cfRule type="expression" priority="1074" dxfId="2">
      <formula>AND(IF($Q110=2,1,0),IF($X110&lt;30,1,0))</formula>
    </cfRule>
    <cfRule type="expression" priority="1075" dxfId="1">
      <formula>AND(IF($Q110=3,1,0),IF($X110&lt;30,1,0))</formula>
    </cfRule>
    <cfRule type="expression" priority="1076" dxfId="0">
      <formula>AND(IF($Q110=3,1,IF($Q110=4,1,0)),IF($F110&lt;=85,1,0))</formula>
    </cfRule>
  </conditionalFormatting>
  <conditionalFormatting sqref="AV111">
    <cfRule type="expression" priority="1071" dxfId="17">
      <formula>AV111="X"</formula>
    </cfRule>
    <cfRule type="expression" priority="1072" dxfId="16">
      <formula>AV111="후보"</formula>
    </cfRule>
  </conditionalFormatting>
  <conditionalFormatting sqref="AC111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111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111">
    <cfRule type="expression" priority="1062" dxfId="3">
      <formula>AND(IF(OR($Q111=1,$Q111=2),1,0),IF($X111&lt;=20,1,0))</formula>
    </cfRule>
    <cfRule type="expression" priority="1063" dxfId="2">
      <formula>AND(IF($Q111=2,1,0),IF($X111&lt;30,1,0))</formula>
    </cfRule>
    <cfRule type="expression" priority="1064" dxfId="1">
      <formula>AND(IF($Q111=3,1,0),IF($X111&lt;30,1,0))</formula>
    </cfRule>
    <cfRule type="expression" priority="1065" dxfId="0">
      <formula>AND(IF($Q111=3,1,IF($Q111=4,1,0)),IF($F111&lt;=85,1,0))</formula>
    </cfRule>
  </conditionalFormatting>
  <conditionalFormatting sqref="X111">
    <cfRule type="expression" priority="1058" dxfId="3">
      <formula>AND(IF(OR($Q111=1,$Q111=2),1,0),IF($X111&lt;=20,1,0))</formula>
    </cfRule>
    <cfRule type="expression" priority="1059" dxfId="2">
      <formula>AND(IF($Q111=2,1,0),IF($X111&lt;30,1,0))</formula>
    </cfRule>
    <cfRule type="expression" priority="1060" dxfId="1">
      <formula>AND(IF($Q111=3,1,0),IF($X111&lt;30,1,0))</formula>
    </cfRule>
    <cfRule type="expression" priority="1061" dxfId="0">
      <formula>AND(IF($Q111=3,1,IF($Q111=4,1,0)),IF($F111&lt;=85,1,0))</formula>
    </cfRule>
  </conditionalFormatting>
  <conditionalFormatting sqref="AI111">
    <cfRule type="expression" priority="1054" dxfId="3">
      <formula>AND(IF(OR($Q111=1,$Q111=2),1,0),IF($X111&lt;=20,1,0))</formula>
    </cfRule>
    <cfRule type="expression" priority="1055" dxfId="2">
      <formula>AND(IF($Q111=2,1,0),IF($X111&lt;30,1,0))</formula>
    </cfRule>
    <cfRule type="expression" priority="1056" dxfId="1">
      <formula>AND(IF($Q111=3,1,0),IF($X111&lt;30,1,0))</formula>
    </cfRule>
    <cfRule type="expression" priority="1057" dxfId="0">
      <formula>AND(IF($Q111=3,1,IF($Q111=4,1,0)),IF($F111&lt;=85,1,0))</formula>
    </cfRule>
  </conditionalFormatting>
  <conditionalFormatting sqref="AV112">
    <cfRule type="expression" priority="1052" dxfId="17">
      <formula>AV112="X"</formula>
    </cfRule>
    <cfRule type="expression" priority="1053" dxfId="16">
      <formula>AV112="후보"</formula>
    </cfRule>
  </conditionalFormatting>
  <conditionalFormatting sqref="AC112 N112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113">
    <cfRule type="expression" priority="1047" dxfId="17">
      <formula>AV113="X"</formula>
    </cfRule>
    <cfRule type="expression" priority="1048" dxfId="16">
      <formula>AV113="후보"</formula>
    </cfRule>
  </conditionalFormatting>
  <conditionalFormatting sqref="AC113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113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113">
    <cfRule type="expression" priority="1038" dxfId="3">
      <formula>AND(IF(OR($Q113=1,$Q113=2),1,0),IF($X113&lt;=20,1,0))</formula>
    </cfRule>
    <cfRule type="expression" priority="1039" dxfId="2">
      <formula>AND(IF($Q113=2,1,0),IF($X113&lt;30,1,0))</formula>
    </cfRule>
    <cfRule type="expression" priority="1040" dxfId="1">
      <formula>AND(IF($Q113=3,1,0),IF($X113&lt;30,1,0))</formula>
    </cfRule>
    <cfRule type="expression" priority="1041" dxfId="0">
      <formula>AND(IF($Q113=3,1,IF($Q113=4,1,0)),IF($F113&lt;=85,1,0))</formula>
    </cfRule>
  </conditionalFormatting>
  <conditionalFormatting sqref="X113">
    <cfRule type="expression" priority="1034" dxfId="3">
      <formula>AND(IF(OR($Q113=1,$Q113=2),1,0),IF($X113&lt;=20,1,0))</formula>
    </cfRule>
    <cfRule type="expression" priority="1035" dxfId="2">
      <formula>AND(IF($Q113=2,1,0),IF($X113&lt;30,1,0))</formula>
    </cfRule>
    <cfRule type="expression" priority="1036" dxfId="1">
      <formula>AND(IF($Q113=3,1,0),IF($X113&lt;30,1,0))</formula>
    </cfRule>
    <cfRule type="expression" priority="1037" dxfId="0">
      <formula>AND(IF($Q113=3,1,IF($Q113=4,1,0)),IF($F113&lt;=85,1,0))</formula>
    </cfRule>
  </conditionalFormatting>
  <conditionalFormatting sqref="AI113">
    <cfRule type="expression" priority="1030" dxfId="3">
      <formula>AND(IF(OR($Q113=1,$Q113=2),1,0),IF($X113&lt;=20,1,0))</formula>
    </cfRule>
    <cfRule type="expression" priority="1031" dxfId="2">
      <formula>AND(IF($Q113=2,1,0),IF($X113&lt;30,1,0))</formula>
    </cfRule>
    <cfRule type="expression" priority="1032" dxfId="1">
      <formula>AND(IF($Q113=3,1,0),IF($X113&lt;30,1,0))</formula>
    </cfRule>
    <cfRule type="expression" priority="1033" dxfId="0">
      <formula>AND(IF($Q113=3,1,IF($Q113=4,1,0)),IF($F113&lt;=85,1,0))</formula>
    </cfRule>
  </conditionalFormatting>
  <conditionalFormatting sqref="AV114">
    <cfRule type="expression" priority="1028" dxfId="17">
      <formula>AV114="X"</formula>
    </cfRule>
    <cfRule type="expression" priority="1029" dxfId="16">
      <formula>AV114="후보"</formula>
    </cfRule>
  </conditionalFormatting>
  <conditionalFormatting sqref="AC114 N114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AV115">
    <cfRule type="expression" priority="1023" dxfId="17">
      <formula>AV115="X"</formula>
    </cfRule>
    <cfRule type="expression" priority="1024" dxfId="16">
      <formula>AV115="후보"</formula>
    </cfRule>
  </conditionalFormatting>
  <conditionalFormatting sqref="AC11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15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15">
    <cfRule type="expression" priority="1014" dxfId="3">
      <formula>AND(IF(OR($Q115=1,$Q115=2),1,0),IF($X115&lt;=20,1,0))</formula>
    </cfRule>
    <cfRule type="expression" priority="1015" dxfId="2">
      <formula>AND(IF($Q115=2,1,0),IF($X115&lt;30,1,0))</formula>
    </cfRule>
    <cfRule type="expression" priority="1016" dxfId="1">
      <formula>AND(IF($Q115=3,1,0),IF($X115&lt;30,1,0))</formula>
    </cfRule>
    <cfRule type="expression" priority="1017" dxfId="0">
      <formula>AND(IF($Q115=3,1,IF($Q115=4,1,0)),IF($F115&lt;=85,1,0))</formula>
    </cfRule>
  </conditionalFormatting>
  <conditionalFormatting sqref="X115">
    <cfRule type="expression" priority="1010" dxfId="3">
      <formula>AND(IF(OR($Q115=1,$Q115=2),1,0),IF($X115&lt;=20,1,0))</formula>
    </cfRule>
    <cfRule type="expression" priority="1011" dxfId="2">
      <formula>AND(IF($Q115=2,1,0),IF($X115&lt;30,1,0))</formula>
    </cfRule>
    <cfRule type="expression" priority="1012" dxfId="1">
      <formula>AND(IF($Q115=3,1,0),IF($X115&lt;30,1,0))</formula>
    </cfRule>
    <cfRule type="expression" priority="1013" dxfId="0">
      <formula>AND(IF($Q115=3,1,IF($Q115=4,1,0)),IF($F115&lt;=85,1,0))</formula>
    </cfRule>
  </conditionalFormatting>
  <conditionalFormatting sqref="AI115">
    <cfRule type="expression" priority="1006" dxfId="3">
      <formula>AND(IF(OR($Q115=1,$Q115=2),1,0),IF($X115&lt;=20,1,0))</formula>
    </cfRule>
    <cfRule type="expression" priority="1007" dxfId="2">
      <formula>AND(IF($Q115=2,1,0),IF($X115&lt;30,1,0))</formula>
    </cfRule>
    <cfRule type="expression" priority="1008" dxfId="1">
      <formula>AND(IF($Q115=3,1,0),IF($X115&lt;30,1,0))</formula>
    </cfRule>
    <cfRule type="expression" priority="1009" dxfId="0">
      <formula>AND(IF($Q115=3,1,IF($Q115=4,1,0)),IF($F115&lt;=85,1,0))</formula>
    </cfRule>
  </conditionalFormatting>
  <conditionalFormatting sqref="AV116">
    <cfRule type="expression" priority="1004" dxfId="17">
      <formula>AV116="X"</formula>
    </cfRule>
    <cfRule type="expression" priority="1005" dxfId="16">
      <formula>AV116="후보"</formula>
    </cfRule>
  </conditionalFormatting>
  <conditionalFormatting sqref="AC116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6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6">
    <cfRule type="expression" priority="995" dxfId="3">
      <formula>AND(IF(OR($Q116=1,$Q116=2),1,0),IF($X116&lt;=20,1,0))</formula>
    </cfRule>
    <cfRule type="expression" priority="996" dxfId="2">
      <formula>AND(IF($Q116=2,1,0),IF($X116&lt;30,1,0))</formula>
    </cfRule>
    <cfRule type="expression" priority="997" dxfId="1">
      <formula>AND(IF($Q116=3,1,0),IF($X116&lt;30,1,0))</formula>
    </cfRule>
    <cfRule type="expression" priority="998" dxfId="0">
      <formula>AND(IF($Q116=3,1,IF($Q116=4,1,0)),IF($F116&lt;=85,1,0))</formula>
    </cfRule>
  </conditionalFormatting>
  <conditionalFormatting sqref="X116">
    <cfRule type="expression" priority="991" dxfId="3">
      <formula>AND(IF(OR($Q116=1,$Q116=2),1,0),IF($X116&lt;=20,1,0))</formula>
    </cfRule>
    <cfRule type="expression" priority="992" dxfId="2">
      <formula>AND(IF($Q116=2,1,0),IF($X116&lt;30,1,0))</formula>
    </cfRule>
    <cfRule type="expression" priority="993" dxfId="1">
      <formula>AND(IF($Q116=3,1,0),IF($X116&lt;30,1,0))</formula>
    </cfRule>
    <cfRule type="expression" priority="994" dxfId="0">
      <formula>AND(IF($Q116=3,1,IF($Q116=4,1,0)),IF($F116&lt;=85,1,0))</formula>
    </cfRule>
  </conditionalFormatting>
  <conditionalFormatting sqref="AI116">
    <cfRule type="expression" priority="987" dxfId="3">
      <formula>AND(IF(OR($Q116=1,$Q116=2),1,0),IF($X116&lt;=20,1,0))</formula>
    </cfRule>
    <cfRule type="expression" priority="988" dxfId="2">
      <formula>AND(IF($Q116=2,1,0),IF($X116&lt;30,1,0))</formula>
    </cfRule>
    <cfRule type="expression" priority="989" dxfId="1">
      <formula>AND(IF($Q116=3,1,0),IF($X116&lt;30,1,0))</formula>
    </cfRule>
    <cfRule type="expression" priority="990" dxfId="0">
      <formula>AND(IF($Q116=3,1,IF($Q116=4,1,0)),IF($F116&lt;=85,1,0))</formula>
    </cfRule>
  </conditionalFormatting>
  <conditionalFormatting sqref="AV117">
    <cfRule type="expression" priority="985" dxfId="17">
      <formula>AV117="X"</formula>
    </cfRule>
    <cfRule type="expression" priority="986" dxfId="16">
      <formula>AV117="후보"</formula>
    </cfRule>
  </conditionalFormatting>
  <conditionalFormatting sqref="AC117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17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17">
    <cfRule type="expression" priority="976" dxfId="3">
      <formula>AND(IF(OR($Q117=1,$Q117=2),1,0),IF($X117&lt;=20,1,0))</formula>
    </cfRule>
    <cfRule type="expression" priority="977" dxfId="2">
      <formula>AND(IF($Q117=2,1,0),IF($X117&lt;30,1,0))</formula>
    </cfRule>
    <cfRule type="expression" priority="978" dxfId="1">
      <formula>AND(IF($Q117=3,1,0),IF($X117&lt;30,1,0))</formula>
    </cfRule>
    <cfRule type="expression" priority="979" dxfId="0">
      <formula>AND(IF($Q117=3,1,IF($Q117=4,1,0)),IF($F117&lt;=85,1,0))</formula>
    </cfRule>
  </conditionalFormatting>
  <conditionalFormatting sqref="X117">
    <cfRule type="expression" priority="972" dxfId="3">
      <formula>AND(IF(OR($Q117=1,$Q117=2),1,0),IF($X117&lt;=20,1,0))</formula>
    </cfRule>
    <cfRule type="expression" priority="973" dxfId="2">
      <formula>AND(IF($Q117=2,1,0),IF($X117&lt;30,1,0))</formula>
    </cfRule>
    <cfRule type="expression" priority="974" dxfId="1">
      <formula>AND(IF($Q117=3,1,0),IF($X117&lt;30,1,0))</formula>
    </cfRule>
    <cfRule type="expression" priority="975" dxfId="0">
      <formula>AND(IF($Q117=3,1,IF($Q117=4,1,0)),IF($F117&lt;=85,1,0))</formula>
    </cfRule>
  </conditionalFormatting>
  <conditionalFormatting sqref="AI117">
    <cfRule type="expression" priority="968" dxfId="3">
      <formula>AND(IF(OR($Q117=1,$Q117=2),1,0),IF($X117&lt;=20,1,0))</formula>
    </cfRule>
    <cfRule type="expression" priority="969" dxfId="2">
      <formula>AND(IF($Q117=2,1,0),IF($X117&lt;30,1,0))</formula>
    </cfRule>
    <cfRule type="expression" priority="970" dxfId="1">
      <formula>AND(IF($Q117=3,1,0),IF($X117&lt;30,1,0))</formula>
    </cfRule>
    <cfRule type="expression" priority="971" dxfId="0">
      <formula>AND(IF($Q117=3,1,IF($Q117=4,1,0)),IF($F117&lt;=85,1,0))</formula>
    </cfRule>
  </conditionalFormatting>
  <conditionalFormatting sqref="AV118">
    <cfRule type="expression" priority="966" dxfId="17">
      <formula>AV118="X"</formula>
    </cfRule>
    <cfRule type="expression" priority="967" dxfId="16">
      <formula>AV118="후보"</formula>
    </cfRule>
  </conditionalFormatting>
  <conditionalFormatting sqref="AC118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118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118">
    <cfRule type="expression" priority="957" dxfId="3">
      <formula>AND(IF(OR($Q118=1,$Q118=2),1,0),IF($X118&lt;=20,1,0))</formula>
    </cfRule>
    <cfRule type="expression" priority="958" dxfId="2">
      <formula>AND(IF($Q118=2,1,0),IF($X118&lt;30,1,0))</formula>
    </cfRule>
    <cfRule type="expression" priority="959" dxfId="1">
      <formula>AND(IF($Q118=3,1,0),IF($X118&lt;30,1,0))</formula>
    </cfRule>
    <cfRule type="expression" priority="960" dxfId="0">
      <formula>AND(IF($Q118=3,1,IF($Q118=4,1,0)),IF($F118&lt;=85,1,0))</formula>
    </cfRule>
  </conditionalFormatting>
  <conditionalFormatting sqref="X118">
    <cfRule type="expression" priority="953" dxfId="3">
      <formula>AND(IF(OR($Q118=1,$Q118=2),1,0),IF($X118&lt;=20,1,0))</formula>
    </cfRule>
    <cfRule type="expression" priority="954" dxfId="2">
      <formula>AND(IF($Q118=2,1,0),IF($X118&lt;30,1,0))</formula>
    </cfRule>
    <cfRule type="expression" priority="955" dxfId="1">
      <formula>AND(IF($Q118=3,1,0),IF($X118&lt;30,1,0))</formula>
    </cfRule>
    <cfRule type="expression" priority="956" dxfId="0">
      <formula>AND(IF($Q118=3,1,IF($Q118=4,1,0)),IF($F118&lt;=85,1,0))</formula>
    </cfRule>
  </conditionalFormatting>
  <conditionalFormatting sqref="AI118">
    <cfRule type="expression" priority="949" dxfId="3">
      <formula>AND(IF(OR($Q118=1,$Q118=2),1,0),IF($X118&lt;=20,1,0))</formula>
    </cfRule>
    <cfRule type="expression" priority="950" dxfId="2">
      <formula>AND(IF($Q118=2,1,0),IF($X118&lt;30,1,0))</formula>
    </cfRule>
    <cfRule type="expression" priority="951" dxfId="1">
      <formula>AND(IF($Q118=3,1,0),IF($X118&lt;30,1,0))</formula>
    </cfRule>
    <cfRule type="expression" priority="952" dxfId="0">
      <formula>AND(IF($Q118=3,1,IF($Q118=4,1,0)),IF($F118&lt;=85,1,0))</formula>
    </cfRule>
  </conditionalFormatting>
  <conditionalFormatting sqref="AV119">
    <cfRule type="expression" priority="947" dxfId="17">
      <formula>AV119="X"</formula>
    </cfRule>
    <cfRule type="expression" priority="948" dxfId="16">
      <formula>AV119="후보"</formula>
    </cfRule>
  </conditionalFormatting>
  <conditionalFormatting sqref="AC119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119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119">
    <cfRule type="expression" priority="938" dxfId="3">
      <formula>AND(IF(OR($Q119=1,$Q119=2),1,0),IF($X119&lt;=20,1,0))</formula>
    </cfRule>
    <cfRule type="expression" priority="939" dxfId="2">
      <formula>AND(IF($Q119=2,1,0),IF($X119&lt;30,1,0))</formula>
    </cfRule>
    <cfRule type="expression" priority="940" dxfId="1">
      <formula>AND(IF($Q119=3,1,0),IF($X119&lt;30,1,0))</formula>
    </cfRule>
    <cfRule type="expression" priority="941" dxfId="0">
      <formula>AND(IF($Q119=3,1,IF($Q119=4,1,0)),IF($F119&lt;=85,1,0))</formula>
    </cfRule>
  </conditionalFormatting>
  <conditionalFormatting sqref="X119">
    <cfRule type="expression" priority="934" dxfId="3">
      <formula>AND(IF(OR($Q119=1,$Q119=2),1,0),IF($X119&lt;=20,1,0))</formula>
    </cfRule>
    <cfRule type="expression" priority="935" dxfId="2">
      <formula>AND(IF($Q119=2,1,0),IF($X119&lt;30,1,0))</formula>
    </cfRule>
    <cfRule type="expression" priority="936" dxfId="1">
      <formula>AND(IF($Q119=3,1,0),IF($X119&lt;30,1,0))</formula>
    </cfRule>
    <cfRule type="expression" priority="937" dxfId="0">
      <formula>AND(IF($Q119=3,1,IF($Q119=4,1,0)),IF($F119&lt;=85,1,0))</formula>
    </cfRule>
  </conditionalFormatting>
  <conditionalFormatting sqref="AI119">
    <cfRule type="expression" priority="930" dxfId="3">
      <formula>AND(IF(OR($Q119=1,$Q119=2),1,0),IF($X119&lt;=20,1,0))</formula>
    </cfRule>
    <cfRule type="expression" priority="931" dxfId="2">
      <formula>AND(IF($Q119=2,1,0),IF($X119&lt;30,1,0))</formula>
    </cfRule>
    <cfRule type="expression" priority="932" dxfId="1">
      <formula>AND(IF($Q119=3,1,0),IF($X119&lt;30,1,0))</formula>
    </cfRule>
    <cfRule type="expression" priority="933" dxfId="0">
      <formula>AND(IF($Q119=3,1,IF($Q119=4,1,0)),IF($F119&lt;=85,1,0))</formula>
    </cfRule>
  </conditionalFormatting>
  <conditionalFormatting sqref="AV120">
    <cfRule type="expression" priority="928" dxfId="17">
      <formula>AV120="X"</formula>
    </cfRule>
    <cfRule type="expression" priority="929" dxfId="16">
      <formula>AV120="후보"</formula>
    </cfRule>
  </conditionalFormatting>
  <conditionalFormatting sqref="AC120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20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120">
    <cfRule type="expression" priority="919" dxfId="3">
      <formula>AND(IF(OR($Q120=1,$Q120=2),1,0),IF($X120&lt;=20,1,0))</formula>
    </cfRule>
    <cfRule type="expression" priority="920" dxfId="2">
      <formula>AND(IF($Q120=2,1,0),IF($X120&lt;30,1,0))</formula>
    </cfRule>
    <cfRule type="expression" priority="921" dxfId="1">
      <formula>AND(IF($Q120=3,1,0),IF($X120&lt;30,1,0))</formula>
    </cfRule>
    <cfRule type="expression" priority="922" dxfId="0">
      <formula>AND(IF($Q120=3,1,IF($Q120=4,1,0)),IF($F120&lt;=85,1,0))</formula>
    </cfRule>
  </conditionalFormatting>
  <conditionalFormatting sqref="X120">
    <cfRule type="expression" priority="915" dxfId="3">
      <formula>AND(IF(OR($Q120=1,$Q120=2),1,0),IF($X120&lt;=20,1,0))</formula>
    </cfRule>
    <cfRule type="expression" priority="916" dxfId="2">
      <formula>AND(IF($Q120=2,1,0),IF($X120&lt;30,1,0))</formula>
    </cfRule>
    <cfRule type="expression" priority="917" dxfId="1">
      <formula>AND(IF($Q120=3,1,0),IF($X120&lt;30,1,0))</formula>
    </cfRule>
    <cfRule type="expression" priority="918" dxfId="0">
      <formula>AND(IF($Q120=3,1,IF($Q120=4,1,0)),IF($F120&lt;=85,1,0))</formula>
    </cfRule>
  </conditionalFormatting>
  <conditionalFormatting sqref="AI120">
    <cfRule type="expression" priority="911" dxfId="3">
      <formula>AND(IF(OR($Q120=1,$Q120=2),1,0),IF($X120&lt;=20,1,0))</formula>
    </cfRule>
    <cfRule type="expression" priority="912" dxfId="2">
      <formula>AND(IF($Q120=2,1,0),IF($X120&lt;30,1,0))</formula>
    </cfRule>
    <cfRule type="expression" priority="913" dxfId="1">
      <formula>AND(IF($Q120=3,1,0),IF($X120&lt;30,1,0))</formula>
    </cfRule>
    <cfRule type="expression" priority="914" dxfId="0">
      <formula>AND(IF($Q120=3,1,IF($Q120=4,1,0)),IF($F120&lt;=85,1,0))</formula>
    </cfRule>
  </conditionalFormatting>
  <conditionalFormatting sqref="AV121">
    <cfRule type="expression" priority="909" dxfId="17">
      <formula>AV121="X"</formula>
    </cfRule>
    <cfRule type="expression" priority="910" dxfId="16">
      <formula>AV121="후보"</formula>
    </cfRule>
  </conditionalFormatting>
  <conditionalFormatting sqref="AC121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21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21">
    <cfRule type="expression" priority="900" dxfId="3">
      <formula>AND(IF(OR($Q121=1,$Q121=2),1,0),IF($X121&lt;=20,1,0))</formula>
    </cfRule>
    <cfRule type="expression" priority="901" dxfId="2">
      <formula>AND(IF($Q121=2,1,0),IF($X121&lt;30,1,0))</formula>
    </cfRule>
    <cfRule type="expression" priority="902" dxfId="1">
      <formula>AND(IF($Q121=3,1,0),IF($X121&lt;30,1,0))</formula>
    </cfRule>
    <cfRule type="expression" priority="903" dxfId="0">
      <formula>AND(IF($Q121=3,1,IF($Q121=4,1,0)),IF($F121&lt;=85,1,0))</formula>
    </cfRule>
  </conditionalFormatting>
  <conditionalFormatting sqref="X121">
    <cfRule type="expression" priority="896" dxfId="3">
      <formula>AND(IF(OR($Q121=1,$Q121=2),1,0),IF($X121&lt;=20,1,0))</formula>
    </cfRule>
    <cfRule type="expression" priority="897" dxfId="2">
      <formula>AND(IF($Q121=2,1,0),IF($X121&lt;30,1,0))</formula>
    </cfRule>
    <cfRule type="expression" priority="898" dxfId="1">
      <formula>AND(IF($Q121=3,1,0),IF($X121&lt;30,1,0))</formula>
    </cfRule>
    <cfRule type="expression" priority="899" dxfId="0">
      <formula>AND(IF($Q121=3,1,IF($Q121=4,1,0)),IF($F121&lt;=85,1,0))</formula>
    </cfRule>
  </conditionalFormatting>
  <conditionalFormatting sqref="AI121">
    <cfRule type="expression" priority="892" dxfId="3">
      <formula>AND(IF(OR($Q121=1,$Q121=2),1,0),IF($X121&lt;=20,1,0))</formula>
    </cfRule>
    <cfRule type="expression" priority="893" dxfId="2">
      <formula>AND(IF($Q121=2,1,0),IF($X121&lt;30,1,0))</formula>
    </cfRule>
    <cfRule type="expression" priority="894" dxfId="1">
      <formula>AND(IF($Q121=3,1,0),IF($X121&lt;30,1,0))</formula>
    </cfRule>
    <cfRule type="expression" priority="895" dxfId="0">
      <formula>AND(IF($Q121=3,1,IF($Q121=4,1,0)),IF($F121&lt;=85,1,0))</formula>
    </cfRule>
  </conditionalFormatting>
  <conditionalFormatting sqref="AV122">
    <cfRule type="expression" priority="890" dxfId="17">
      <formula>AV122="X"</formula>
    </cfRule>
    <cfRule type="expression" priority="891" dxfId="16">
      <formula>AV122="후보"</formula>
    </cfRule>
  </conditionalFormatting>
  <conditionalFormatting sqref="AC122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122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122">
    <cfRule type="expression" priority="881" dxfId="3">
      <formula>AND(IF(OR($Q122=1,$Q122=2),1,0),IF($X122&lt;=20,1,0))</formula>
    </cfRule>
    <cfRule type="expression" priority="882" dxfId="2">
      <formula>AND(IF($Q122=2,1,0),IF($X122&lt;30,1,0))</formula>
    </cfRule>
    <cfRule type="expression" priority="883" dxfId="1">
      <formula>AND(IF($Q122=3,1,0),IF($X122&lt;30,1,0))</formula>
    </cfRule>
    <cfRule type="expression" priority="884" dxfId="0">
      <formula>AND(IF($Q122=3,1,IF($Q122=4,1,0)),IF($F122&lt;=85,1,0))</formula>
    </cfRule>
  </conditionalFormatting>
  <conditionalFormatting sqref="X122">
    <cfRule type="expression" priority="877" dxfId="3">
      <formula>AND(IF(OR($Q122=1,$Q122=2),1,0),IF($X122&lt;=20,1,0))</formula>
    </cfRule>
    <cfRule type="expression" priority="878" dxfId="2">
      <formula>AND(IF($Q122=2,1,0),IF($X122&lt;30,1,0))</formula>
    </cfRule>
    <cfRule type="expression" priority="879" dxfId="1">
      <formula>AND(IF($Q122=3,1,0),IF($X122&lt;30,1,0))</formula>
    </cfRule>
    <cfRule type="expression" priority="880" dxfId="0">
      <formula>AND(IF($Q122=3,1,IF($Q122=4,1,0)),IF($F122&lt;=85,1,0))</formula>
    </cfRule>
  </conditionalFormatting>
  <conditionalFormatting sqref="AI122">
    <cfRule type="expression" priority="873" dxfId="3">
      <formula>AND(IF(OR($Q122=1,$Q122=2),1,0),IF($X122&lt;=20,1,0))</formula>
    </cfRule>
    <cfRule type="expression" priority="874" dxfId="2">
      <formula>AND(IF($Q122=2,1,0),IF($X122&lt;30,1,0))</formula>
    </cfRule>
    <cfRule type="expression" priority="875" dxfId="1">
      <formula>AND(IF($Q122=3,1,0),IF($X122&lt;30,1,0))</formula>
    </cfRule>
    <cfRule type="expression" priority="876" dxfId="0">
      <formula>AND(IF($Q122=3,1,IF($Q122=4,1,0)),IF($F122&lt;=85,1,0))</formula>
    </cfRule>
  </conditionalFormatting>
  <conditionalFormatting sqref="AV123">
    <cfRule type="expression" priority="871" dxfId="17">
      <formula>AV123="X"</formula>
    </cfRule>
    <cfRule type="expression" priority="872" dxfId="16">
      <formula>AV123="후보"</formula>
    </cfRule>
  </conditionalFormatting>
  <conditionalFormatting sqref="AC123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123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123">
    <cfRule type="expression" priority="862" dxfId="3">
      <formula>AND(IF(OR($Q123=1,$Q123=2),1,0),IF($X123&lt;=20,1,0))</formula>
    </cfRule>
    <cfRule type="expression" priority="863" dxfId="2">
      <formula>AND(IF($Q123=2,1,0),IF($X123&lt;30,1,0))</formula>
    </cfRule>
    <cfRule type="expression" priority="864" dxfId="1">
      <formula>AND(IF($Q123=3,1,0),IF($X123&lt;30,1,0))</formula>
    </cfRule>
    <cfRule type="expression" priority="865" dxfId="0">
      <formula>AND(IF($Q123=3,1,IF($Q123=4,1,0)),IF($F123&lt;=85,1,0))</formula>
    </cfRule>
  </conditionalFormatting>
  <conditionalFormatting sqref="X123">
    <cfRule type="expression" priority="858" dxfId="3">
      <formula>AND(IF(OR($Q123=1,$Q123=2),1,0),IF($X123&lt;=20,1,0))</formula>
    </cfRule>
    <cfRule type="expression" priority="859" dxfId="2">
      <formula>AND(IF($Q123=2,1,0),IF($X123&lt;30,1,0))</formula>
    </cfRule>
    <cfRule type="expression" priority="860" dxfId="1">
      <formula>AND(IF($Q123=3,1,0),IF($X123&lt;30,1,0))</formula>
    </cfRule>
    <cfRule type="expression" priority="861" dxfId="0">
      <formula>AND(IF($Q123=3,1,IF($Q123=4,1,0)),IF($F123&lt;=85,1,0))</formula>
    </cfRule>
  </conditionalFormatting>
  <conditionalFormatting sqref="AI123">
    <cfRule type="expression" priority="854" dxfId="3">
      <formula>AND(IF(OR($Q123=1,$Q123=2),1,0),IF($X123&lt;=20,1,0))</formula>
    </cfRule>
    <cfRule type="expression" priority="855" dxfId="2">
      <formula>AND(IF($Q123=2,1,0),IF($X123&lt;30,1,0))</formula>
    </cfRule>
    <cfRule type="expression" priority="856" dxfId="1">
      <formula>AND(IF($Q123=3,1,0),IF($X123&lt;30,1,0))</formula>
    </cfRule>
    <cfRule type="expression" priority="857" dxfId="0">
      <formula>AND(IF($Q123=3,1,IF($Q123=4,1,0)),IF($F123&lt;=85,1,0))</formula>
    </cfRule>
  </conditionalFormatting>
  <conditionalFormatting sqref="AV124">
    <cfRule type="expression" priority="852" dxfId="17">
      <formula>AV124="X"</formula>
    </cfRule>
    <cfRule type="expression" priority="853" dxfId="16">
      <formula>AV124="후보"</formula>
    </cfRule>
  </conditionalFormatting>
  <conditionalFormatting sqref="AC124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124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124">
    <cfRule type="expression" priority="843" dxfId="3">
      <formula>AND(IF(OR($Q124=1,$Q124=2),1,0),IF($X124&lt;=20,1,0))</formula>
    </cfRule>
    <cfRule type="expression" priority="844" dxfId="2">
      <formula>AND(IF($Q124=2,1,0),IF($X124&lt;30,1,0))</formula>
    </cfRule>
    <cfRule type="expression" priority="845" dxfId="1">
      <formula>AND(IF($Q124=3,1,0),IF($X124&lt;30,1,0))</formula>
    </cfRule>
    <cfRule type="expression" priority="846" dxfId="0">
      <formula>AND(IF($Q124=3,1,IF($Q124=4,1,0)),IF($F124&lt;=85,1,0))</formula>
    </cfRule>
  </conditionalFormatting>
  <conditionalFormatting sqref="X124">
    <cfRule type="expression" priority="839" dxfId="3">
      <formula>AND(IF(OR($Q124=1,$Q124=2),1,0),IF($X124&lt;=20,1,0))</formula>
    </cfRule>
    <cfRule type="expression" priority="840" dxfId="2">
      <formula>AND(IF($Q124=2,1,0),IF($X124&lt;30,1,0))</formula>
    </cfRule>
    <cfRule type="expression" priority="841" dxfId="1">
      <formula>AND(IF($Q124=3,1,0),IF($X124&lt;30,1,0))</formula>
    </cfRule>
    <cfRule type="expression" priority="842" dxfId="0">
      <formula>AND(IF($Q124=3,1,IF($Q124=4,1,0)),IF($F124&lt;=85,1,0))</formula>
    </cfRule>
  </conditionalFormatting>
  <conditionalFormatting sqref="AI124">
    <cfRule type="expression" priority="835" dxfId="3">
      <formula>AND(IF(OR($Q124=1,$Q124=2),1,0),IF($X124&lt;=20,1,0))</formula>
    </cfRule>
    <cfRule type="expression" priority="836" dxfId="2">
      <formula>AND(IF($Q124=2,1,0),IF($X124&lt;30,1,0))</formula>
    </cfRule>
    <cfRule type="expression" priority="837" dxfId="1">
      <formula>AND(IF($Q124=3,1,0),IF($X124&lt;30,1,0))</formula>
    </cfRule>
    <cfRule type="expression" priority="838" dxfId="0">
      <formula>AND(IF($Q124=3,1,IF($Q124=4,1,0)),IF($F124&lt;=85,1,0))</formula>
    </cfRule>
  </conditionalFormatting>
  <conditionalFormatting sqref="AV125">
    <cfRule type="expression" priority="833" dxfId="17">
      <formula>AV125="X"</formula>
    </cfRule>
    <cfRule type="expression" priority="834" dxfId="16">
      <formula>AV125="후보"</formula>
    </cfRule>
  </conditionalFormatting>
  <conditionalFormatting sqref="AC125 N125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AV126">
    <cfRule type="expression" priority="828" dxfId="17">
      <formula>AV126="X"</formula>
    </cfRule>
    <cfRule type="expression" priority="829" dxfId="16">
      <formula>AV126="후보"</formula>
    </cfRule>
  </conditionalFormatting>
  <conditionalFormatting sqref="AC126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2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26">
    <cfRule type="expression" priority="819" dxfId="3">
      <formula>AND(IF(OR($Q126=1,$Q126=2),1,0),IF($X126&lt;=20,1,0))</formula>
    </cfRule>
    <cfRule type="expression" priority="820" dxfId="2">
      <formula>AND(IF($Q126=2,1,0),IF($X126&lt;30,1,0))</formula>
    </cfRule>
    <cfRule type="expression" priority="821" dxfId="1">
      <formula>AND(IF($Q126=3,1,0),IF($X126&lt;30,1,0))</formula>
    </cfRule>
    <cfRule type="expression" priority="822" dxfId="0">
      <formula>AND(IF($Q126=3,1,IF($Q126=4,1,0)),IF($F126&lt;=85,1,0))</formula>
    </cfRule>
  </conditionalFormatting>
  <conditionalFormatting sqref="X126">
    <cfRule type="expression" priority="815" dxfId="3">
      <formula>AND(IF(OR($Q126=1,$Q126=2),1,0),IF($X126&lt;=20,1,0))</formula>
    </cfRule>
    <cfRule type="expression" priority="816" dxfId="2">
      <formula>AND(IF($Q126=2,1,0),IF($X126&lt;30,1,0))</formula>
    </cfRule>
    <cfRule type="expression" priority="817" dxfId="1">
      <formula>AND(IF($Q126=3,1,0),IF($X126&lt;30,1,0))</formula>
    </cfRule>
    <cfRule type="expression" priority="818" dxfId="0">
      <formula>AND(IF($Q126=3,1,IF($Q126=4,1,0)),IF($F126&lt;=85,1,0))</formula>
    </cfRule>
  </conditionalFormatting>
  <conditionalFormatting sqref="AI126">
    <cfRule type="expression" priority="811" dxfId="3">
      <formula>AND(IF(OR($Q126=1,$Q126=2),1,0),IF($X126&lt;=20,1,0))</formula>
    </cfRule>
    <cfRule type="expression" priority="812" dxfId="2">
      <formula>AND(IF($Q126=2,1,0),IF($X126&lt;30,1,0))</formula>
    </cfRule>
    <cfRule type="expression" priority="813" dxfId="1">
      <formula>AND(IF($Q126=3,1,0),IF($X126&lt;30,1,0))</formula>
    </cfRule>
    <cfRule type="expression" priority="814" dxfId="0">
      <formula>AND(IF($Q126=3,1,IF($Q126=4,1,0)),IF($F126&lt;=85,1,0))</formula>
    </cfRule>
  </conditionalFormatting>
  <conditionalFormatting sqref="AV127">
    <cfRule type="expression" priority="809" dxfId="17">
      <formula>AV127="X"</formula>
    </cfRule>
    <cfRule type="expression" priority="810" dxfId="16">
      <formula>AV127="후보"</formula>
    </cfRule>
  </conditionalFormatting>
  <conditionalFormatting sqref="AC127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127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127">
    <cfRule type="expression" priority="800" dxfId="3">
      <formula>AND(IF(OR($Q127=1,$Q127=2),1,0),IF($X127&lt;=20,1,0))</formula>
    </cfRule>
    <cfRule type="expression" priority="801" dxfId="2">
      <formula>AND(IF($Q127=2,1,0),IF($X127&lt;30,1,0))</formula>
    </cfRule>
    <cfRule type="expression" priority="802" dxfId="1">
      <formula>AND(IF($Q127=3,1,0),IF($X127&lt;30,1,0))</formula>
    </cfRule>
    <cfRule type="expression" priority="803" dxfId="0">
      <formula>AND(IF($Q127=3,1,IF($Q127=4,1,0)),IF($F127&lt;=85,1,0))</formula>
    </cfRule>
  </conditionalFormatting>
  <conditionalFormatting sqref="X127">
    <cfRule type="expression" priority="796" dxfId="3">
      <formula>AND(IF(OR($Q127=1,$Q127=2),1,0),IF($X127&lt;=20,1,0))</formula>
    </cfRule>
    <cfRule type="expression" priority="797" dxfId="2">
      <formula>AND(IF($Q127=2,1,0),IF($X127&lt;30,1,0))</formula>
    </cfRule>
    <cfRule type="expression" priority="798" dxfId="1">
      <formula>AND(IF($Q127=3,1,0),IF($X127&lt;30,1,0))</formula>
    </cfRule>
    <cfRule type="expression" priority="799" dxfId="0">
      <formula>AND(IF($Q127=3,1,IF($Q127=4,1,0)),IF($F127&lt;=85,1,0))</formula>
    </cfRule>
  </conditionalFormatting>
  <conditionalFormatting sqref="AI127">
    <cfRule type="expression" priority="792" dxfId="3">
      <formula>AND(IF(OR($Q127=1,$Q127=2),1,0),IF($X127&lt;=20,1,0))</formula>
    </cfRule>
    <cfRule type="expression" priority="793" dxfId="2">
      <formula>AND(IF($Q127=2,1,0),IF($X127&lt;30,1,0))</formula>
    </cfRule>
    <cfRule type="expression" priority="794" dxfId="1">
      <formula>AND(IF($Q127=3,1,0),IF($X127&lt;30,1,0))</formula>
    </cfRule>
    <cfRule type="expression" priority="795" dxfId="0">
      <formula>AND(IF($Q127=3,1,IF($Q127=4,1,0)),IF($F127&lt;=85,1,0))</formula>
    </cfRule>
  </conditionalFormatting>
  <conditionalFormatting sqref="AV128">
    <cfRule type="expression" priority="790" dxfId="17">
      <formula>AV128="X"</formula>
    </cfRule>
    <cfRule type="expression" priority="791" dxfId="16">
      <formula>AV128="후보"</formula>
    </cfRule>
  </conditionalFormatting>
  <conditionalFormatting sqref="AC128 N12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AV129">
    <cfRule type="expression" priority="785" dxfId="17">
      <formula>AV129="X"</formula>
    </cfRule>
    <cfRule type="expression" priority="786" dxfId="16">
      <formula>AV129="후보"</formula>
    </cfRule>
  </conditionalFormatting>
  <conditionalFormatting sqref="AC129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29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29">
    <cfRule type="expression" priority="776" dxfId="3">
      <formula>AND(IF(OR($Q129=1,$Q129=2),1,0),IF($X129&lt;=20,1,0))</formula>
    </cfRule>
    <cfRule type="expression" priority="777" dxfId="2">
      <formula>AND(IF($Q129=2,1,0),IF($X129&lt;30,1,0))</formula>
    </cfRule>
    <cfRule type="expression" priority="778" dxfId="1">
      <formula>AND(IF($Q129=3,1,0),IF($X129&lt;30,1,0))</formula>
    </cfRule>
    <cfRule type="expression" priority="779" dxfId="0">
      <formula>AND(IF($Q129=3,1,IF($Q129=4,1,0)),IF($F129&lt;=85,1,0))</formula>
    </cfRule>
  </conditionalFormatting>
  <conditionalFormatting sqref="X129">
    <cfRule type="expression" priority="772" dxfId="3">
      <formula>AND(IF(OR($Q129=1,$Q129=2),1,0),IF($X129&lt;=20,1,0))</formula>
    </cfRule>
    <cfRule type="expression" priority="773" dxfId="2">
      <formula>AND(IF($Q129=2,1,0),IF($X129&lt;30,1,0))</formula>
    </cfRule>
    <cfRule type="expression" priority="774" dxfId="1">
      <formula>AND(IF($Q129=3,1,0),IF($X129&lt;30,1,0))</formula>
    </cfRule>
    <cfRule type="expression" priority="775" dxfId="0">
      <formula>AND(IF($Q129=3,1,IF($Q129=4,1,0)),IF($F129&lt;=85,1,0))</formula>
    </cfRule>
  </conditionalFormatting>
  <conditionalFormatting sqref="AI129">
    <cfRule type="expression" priority="768" dxfId="3">
      <formula>AND(IF(OR($Q129=1,$Q129=2),1,0),IF($X129&lt;=20,1,0))</formula>
    </cfRule>
    <cfRule type="expression" priority="769" dxfId="2">
      <formula>AND(IF($Q129=2,1,0),IF($X129&lt;30,1,0))</formula>
    </cfRule>
    <cfRule type="expression" priority="770" dxfId="1">
      <formula>AND(IF($Q129=3,1,0),IF($X129&lt;30,1,0))</formula>
    </cfRule>
    <cfRule type="expression" priority="771" dxfId="0">
      <formula>AND(IF($Q129=3,1,IF($Q129=4,1,0)),IF($F129&lt;=85,1,0))</formula>
    </cfRule>
  </conditionalFormatting>
  <conditionalFormatting sqref="AV130">
    <cfRule type="expression" priority="766" dxfId="17">
      <formula>AV130="X"</formula>
    </cfRule>
    <cfRule type="expression" priority="767" dxfId="16">
      <formula>AV130="후보"</formula>
    </cfRule>
  </conditionalFormatting>
  <conditionalFormatting sqref="AC130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30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30">
    <cfRule type="expression" priority="757" dxfId="3">
      <formula>AND(IF(OR($Q130=1,$Q130=2),1,0),IF($X130&lt;=20,1,0))</formula>
    </cfRule>
    <cfRule type="expression" priority="758" dxfId="2">
      <formula>AND(IF($Q130=2,1,0),IF($X130&lt;30,1,0))</formula>
    </cfRule>
    <cfRule type="expression" priority="759" dxfId="1">
      <formula>AND(IF($Q130=3,1,0),IF($X130&lt;30,1,0))</formula>
    </cfRule>
    <cfRule type="expression" priority="760" dxfId="0">
      <formula>AND(IF($Q130=3,1,IF($Q130=4,1,0)),IF($F130&lt;=85,1,0))</formula>
    </cfRule>
  </conditionalFormatting>
  <conditionalFormatting sqref="X130">
    <cfRule type="expression" priority="753" dxfId="3">
      <formula>AND(IF(OR($Q130=1,$Q130=2),1,0),IF($X130&lt;=20,1,0))</formula>
    </cfRule>
    <cfRule type="expression" priority="754" dxfId="2">
      <formula>AND(IF($Q130=2,1,0),IF($X130&lt;30,1,0))</formula>
    </cfRule>
    <cfRule type="expression" priority="755" dxfId="1">
      <formula>AND(IF($Q130=3,1,0),IF($X130&lt;30,1,0))</formula>
    </cfRule>
    <cfRule type="expression" priority="756" dxfId="0">
      <formula>AND(IF($Q130=3,1,IF($Q130=4,1,0)),IF($F130&lt;=85,1,0))</formula>
    </cfRule>
  </conditionalFormatting>
  <conditionalFormatting sqref="AI130">
    <cfRule type="expression" priority="749" dxfId="3">
      <formula>AND(IF(OR($Q130=1,$Q130=2),1,0),IF($X130&lt;=20,1,0))</formula>
    </cfRule>
    <cfRule type="expression" priority="750" dxfId="2">
      <formula>AND(IF($Q130=2,1,0),IF($X130&lt;30,1,0))</formula>
    </cfRule>
    <cfRule type="expression" priority="751" dxfId="1">
      <formula>AND(IF($Q130=3,1,0),IF($X130&lt;30,1,0))</formula>
    </cfRule>
    <cfRule type="expression" priority="752" dxfId="0">
      <formula>AND(IF($Q130=3,1,IF($Q130=4,1,0)),IF($F130&lt;=85,1,0))</formula>
    </cfRule>
  </conditionalFormatting>
  <conditionalFormatting sqref="AV131">
    <cfRule type="expression" priority="747" dxfId="17">
      <formula>AV131="X"</formula>
    </cfRule>
    <cfRule type="expression" priority="748" dxfId="16">
      <formula>AV131="후보"</formula>
    </cfRule>
  </conditionalFormatting>
  <conditionalFormatting sqref="AC131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3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31">
    <cfRule type="expression" priority="738" dxfId="3">
      <formula>AND(IF(OR($Q131=1,$Q131=2),1,0),IF($X131&lt;=20,1,0))</formula>
    </cfRule>
    <cfRule type="expression" priority="739" dxfId="2">
      <formula>AND(IF($Q131=2,1,0),IF($X131&lt;30,1,0))</formula>
    </cfRule>
    <cfRule type="expression" priority="740" dxfId="1">
      <formula>AND(IF($Q131=3,1,0),IF($X131&lt;30,1,0))</formula>
    </cfRule>
    <cfRule type="expression" priority="741" dxfId="0">
      <formula>AND(IF($Q131=3,1,IF($Q131=4,1,0)),IF($F131&lt;=85,1,0))</formula>
    </cfRule>
  </conditionalFormatting>
  <conditionalFormatting sqref="X131">
    <cfRule type="expression" priority="734" dxfId="3">
      <formula>AND(IF(OR($Q131=1,$Q131=2),1,0),IF($X131&lt;=20,1,0))</formula>
    </cfRule>
    <cfRule type="expression" priority="735" dxfId="2">
      <formula>AND(IF($Q131=2,1,0),IF($X131&lt;30,1,0))</formula>
    </cfRule>
    <cfRule type="expression" priority="736" dxfId="1">
      <formula>AND(IF($Q131=3,1,0),IF($X131&lt;30,1,0))</formula>
    </cfRule>
    <cfRule type="expression" priority="737" dxfId="0">
      <formula>AND(IF($Q131=3,1,IF($Q131=4,1,0)),IF($F131&lt;=85,1,0))</formula>
    </cfRule>
  </conditionalFormatting>
  <conditionalFormatting sqref="AI131">
    <cfRule type="expression" priority="730" dxfId="3">
      <formula>AND(IF(OR($Q131=1,$Q131=2),1,0),IF($X131&lt;=20,1,0))</formula>
    </cfRule>
    <cfRule type="expression" priority="731" dxfId="2">
      <formula>AND(IF($Q131=2,1,0),IF($X131&lt;30,1,0))</formula>
    </cfRule>
    <cfRule type="expression" priority="732" dxfId="1">
      <formula>AND(IF($Q131=3,1,0),IF($X131&lt;30,1,0))</formula>
    </cfRule>
    <cfRule type="expression" priority="733" dxfId="0">
      <formula>AND(IF($Q131=3,1,IF($Q131=4,1,0)),IF($F131&lt;=85,1,0))</formula>
    </cfRule>
  </conditionalFormatting>
  <conditionalFormatting sqref="AV132">
    <cfRule type="expression" priority="728" dxfId="17">
      <formula>AV132="X"</formula>
    </cfRule>
    <cfRule type="expression" priority="729" dxfId="16">
      <formula>AV132="후보"</formula>
    </cfRule>
  </conditionalFormatting>
  <conditionalFormatting sqref="AC132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13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132">
    <cfRule type="expression" priority="719" dxfId="3">
      <formula>AND(IF(OR($Q132=1,$Q132=2),1,0),IF($X132&lt;=20,1,0))</formula>
    </cfRule>
    <cfRule type="expression" priority="720" dxfId="2">
      <formula>AND(IF($Q132=2,1,0),IF($X132&lt;30,1,0))</formula>
    </cfRule>
    <cfRule type="expression" priority="721" dxfId="1">
      <formula>AND(IF($Q132=3,1,0),IF($X132&lt;30,1,0))</formula>
    </cfRule>
    <cfRule type="expression" priority="722" dxfId="0">
      <formula>AND(IF($Q132=3,1,IF($Q132=4,1,0)),IF($F132&lt;=85,1,0))</formula>
    </cfRule>
  </conditionalFormatting>
  <conditionalFormatting sqref="X132">
    <cfRule type="expression" priority="715" dxfId="3">
      <formula>AND(IF(OR($Q132=1,$Q132=2),1,0),IF($X132&lt;=20,1,0))</formula>
    </cfRule>
    <cfRule type="expression" priority="716" dxfId="2">
      <formula>AND(IF($Q132=2,1,0),IF($X132&lt;30,1,0))</formula>
    </cfRule>
    <cfRule type="expression" priority="717" dxfId="1">
      <formula>AND(IF($Q132=3,1,0),IF($X132&lt;30,1,0))</formula>
    </cfRule>
    <cfRule type="expression" priority="718" dxfId="0">
      <formula>AND(IF($Q132=3,1,IF($Q132=4,1,0)),IF($F132&lt;=85,1,0))</formula>
    </cfRule>
  </conditionalFormatting>
  <conditionalFormatting sqref="AI132">
    <cfRule type="expression" priority="711" dxfId="3">
      <formula>AND(IF(OR($Q132=1,$Q132=2),1,0),IF($X132&lt;=20,1,0))</formula>
    </cfRule>
    <cfRule type="expression" priority="712" dxfId="2">
      <formula>AND(IF($Q132=2,1,0),IF($X132&lt;30,1,0))</formula>
    </cfRule>
    <cfRule type="expression" priority="713" dxfId="1">
      <formula>AND(IF($Q132=3,1,0),IF($X132&lt;30,1,0))</formula>
    </cfRule>
    <cfRule type="expression" priority="714" dxfId="0">
      <formula>AND(IF($Q132=3,1,IF($Q132=4,1,0)),IF($F132&lt;=85,1,0))</formula>
    </cfRule>
  </conditionalFormatting>
  <conditionalFormatting sqref="AV133">
    <cfRule type="expression" priority="709" dxfId="17">
      <formula>AV133="X"</formula>
    </cfRule>
    <cfRule type="expression" priority="710" dxfId="16">
      <formula>AV133="후보"</formula>
    </cfRule>
  </conditionalFormatting>
  <conditionalFormatting sqref="AC133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33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33">
    <cfRule type="expression" priority="700" dxfId="3">
      <formula>AND(IF(OR($Q133=1,$Q133=2),1,0),IF($X133&lt;=20,1,0))</formula>
    </cfRule>
    <cfRule type="expression" priority="701" dxfId="2">
      <formula>AND(IF($Q133=2,1,0),IF($X133&lt;30,1,0))</formula>
    </cfRule>
    <cfRule type="expression" priority="702" dxfId="1">
      <formula>AND(IF($Q133=3,1,0),IF($X133&lt;30,1,0))</formula>
    </cfRule>
    <cfRule type="expression" priority="703" dxfId="0">
      <formula>AND(IF($Q133=3,1,IF($Q133=4,1,0)),IF($F133&lt;=85,1,0))</formula>
    </cfRule>
  </conditionalFormatting>
  <conditionalFormatting sqref="X133">
    <cfRule type="expression" priority="696" dxfId="3">
      <formula>AND(IF(OR($Q133=1,$Q133=2),1,0),IF($X133&lt;=20,1,0))</formula>
    </cfRule>
    <cfRule type="expression" priority="697" dxfId="2">
      <formula>AND(IF($Q133=2,1,0),IF($X133&lt;30,1,0))</formula>
    </cfRule>
    <cfRule type="expression" priority="698" dxfId="1">
      <formula>AND(IF($Q133=3,1,0),IF($X133&lt;30,1,0))</formula>
    </cfRule>
    <cfRule type="expression" priority="699" dxfId="0">
      <formula>AND(IF($Q133=3,1,IF($Q133=4,1,0)),IF($F133&lt;=85,1,0))</formula>
    </cfRule>
  </conditionalFormatting>
  <conditionalFormatting sqref="AI133">
    <cfRule type="expression" priority="692" dxfId="3">
      <formula>AND(IF(OR($Q133=1,$Q133=2),1,0),IF($X133&lt;=20,1,0))</formula>
    </cfRule>
    <cfRule type="expression" priority="693" dxfId="2">
      <formula>AND(IF($Q133=2,1,0),IF($X133&lt;30,1,0))</formula>
    </cfRule>
    <cfRule type="expression" priority="694" dxfId="1">
      <formula>AND(IF($Q133=3,1,0),IF($X133&lt;30,1,0))</formula>
    </cfRule>
    <cfRule type="expression" priority="695" dxfId="0">
      <formula>AND(IF($Q133=3,1,IF($Q133=4,1,0)),IF($F133&lt;=85,1,0))</formula>
    </cfRule>
  </conditionalFormatting>
  <conditionalFormatting sqref="AV134">
    <cfRule type="expression" priority="690" dxfId="17">
      <formula>AV134="X"</formula>
    </cfRule>
    <cfRule type="expression" priority="691" dxfId="16">
      <formula>AV134="후보"</formula>
    </cfRule>
  </conditionalFormatting>
  <conditionalFormatting sqref="AC134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34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34">
    <cfRule type="expression" priority="681" dxfId="3">
      <formula>AND(IF(OR($Q134=1,$Q134=2),1,0),IF($X134&lt;=20,1,0))</formula>
    </cfRule>
    <cfRule type="expression" priority="682" dxfId="2">
      <formula>AND(IF($Q134=2,1,0),IF($X134&lt;30,1,0))</formula>
    </cfRule>
    <cfRule type="expression" priority="683" dxfId="1">
      <formula>AND(IF($Q134=3,1,0),IF($X134&lt;30,1,0))</formula>
    </cfRule>
    <cfRule type="expression" priority="684" dxfId="0">
      <formula>AND(IF($Q134=3,1,IF($Q134=4,1,0)),IF($F134&lt;=85,1,0))</formula>
    </cfRule>
  </conditionalFormatting>
  <conditionalFormatting sqref="X134">
    <cfRule type="expression" priority="677" dxfId="3">
      <formula>AND(IF(OR($Q134=1,$Q134=2),1,0),IF($X134&lt;=20,1,0))</formula>
    </cfRule>
    <cfRule type="expression" priority="678" dxfId="2">
      <formula>AND(IF($Q134=2,1,0),IF($X134&lt;30,1,0))</formula>
    </cfRule>
    <cfRule type="expression" priority="679" dxfId="1">
      <formula>AND(IF($Q134=3,1,0),IF($X134&lt;30,1,0))</formula>
    </cfRule>
    <cfRule type="expression" priority="680" dxfId="0">
      <formula>AND(IF($Q134=3,1,IF($Q134=4,1,0)),IF($F134&lt;=85,1,0))</formula>
    </cfRule>
  </conditionalFormatting>
  <conditionalFormatting sqref="AI134">
    <cfRule type="expression" priority="673" dxfId="3">
      <formula>AND(IF(OR($Q134=1,$Q134=2),1,0),IF($X134&lt;=20,1,0))</formula>
    </cfRule>
    <cfRule type="expression" priority="674" dxfId="2">
      <formula>AND(IF($Q134=2,1,0),IF($X134&lt;30,1,0))</formula>
    </cfRule>
    <cfRule type="expression" priority="675" dxfId="1">
      <formula>AND(IF($Q134=3,1,0),IF($X134&lt;30,1,0))</formula>
    </cfRule>
    <cfRule type="expression" priority="676" dxfId="0">
      <formula>AND(IF($Q134=3,1,IF($Q134=4,1,0)),IF($F134&lt;=85,1,0))</formula>
    </cfRule>
  </conditionalFormatting>
  <conditionalFormatting sqref="AV135">
    <cfRule type="expression" priority="671" dxfId="17">
      <formula>AV135="X"</formula>
    </cfRule>
    <cfRule type="expression" priority="672" dxfId="16">
      <formula>AV135="후보"</formula>
    </cfRule>
  </conditionalFormatting>
  <conditionalFormatting sqref="AC135 N135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AV136">
    <cfRule type="expression" priority="666" dxfId="17">
      <formula>AV136="X"</formula>
    </cfRule>
    <cfRule type="expression" priority="667" dxfId="16">
      <formula>AV136="후보"</formula>
    </cfRule>
  </conditionalFormatting>
  <conditionalFormatting sqref="AC13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3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36">
    <cfRule type="expression" priority="657" dxfId="3">
      <formula>AND(IF(OR($Q136=1,$Q136=2),1,0),IF($X136&lt;=20,1,0))</formula>
    </cfRule>
    <cfRule type="expression" priority="658" dxfId="2">
      <formula>AND(IF($Q136=2,1,0),IF($X136&lt;30,1,0))</formula>
    </cfRule>
    <cfRule type="expression" priority="659" dxfId="1">
      <formula>AND(IF($Q136=3,1,0),IF($X136&lt;30,1,0))</formula>
    </cfRule>
    <cfRule type="expression" priority="660" dxfId="0">
      <formula>AND(IF($Q136=3,1,IF($Q136=4,1,0)),IF($F136&lt;=85,1,0))</formula>
    </cfRule>
  </conditionalFormatting>
  <conditionalFormatting sqref="X136">
    <cfRule type="expression" priority="653" dxfId="3">
      <formula>AND(IF(OR($Q136=1,$Q136=2),1,0),IF($X136&lt;=20,1,0))</formula>
    </cfRule>
    <cfRule type="expression" priority="654" dxfId="2">
      <formula>AND(IF($Q136=2,1,0),IF($X136&lt;30,1,0))</formula>
    </cfRule>
    <cfRule type="expression" priority="655" dxfId="1">
      <formula>AND(IF($Q136=3,1,0),IF($X136&lt;30,1,0))</formula>
    </cfRule>
    <cfRule type="expression" priority="656" dxfId="0">
      <formula>AND(IF($Q136=3,1,IF($Q136=4,1,0)),IF($F136&lt;=85,1,0))</formula>
    </cfRule>
  </conditionalFormatting>
  <conditionalFormatting sqref="AI136">
    <cfRule type="expression" priority="649" dxfId="3">
      <formula>AND(IF(OR($Q136=1,$Q136=2),1,0),IF($X136&lt;=20,1,0))</formula>
    </cfRule>
    <cfRule type="expression" priority="650" dxfId="2">
      <formula>AND(IF($Q136=2,1,0),IF($X136&lt;30,1,0))</formula>
    </cfRule>
    <cfRule type="expression" priority="651" dxfId="1">
      <formula>AND(IF($Q136=3,1,0),IF($X136&lt;30,1,0))</formula>
    </cfRule>
    <cfRule type="expression" priority="652" dxfId="0">
      <formula>AND(IF($Q136=3,1,IF($Q136=4,1,0)),IF($F136&lt;=85,1,0))</formula>
    </cfRule>
  </conditionalFormatting>
  <conditionalFormatting sqref="AV137">
    <cfRule type="expression" priority="647" dxfId="17">
      <formula>AV137="X"</formula>
    </cfRule>
    <cfRule type="expression" priority="648" dxfId="16">
      <formula>AV137="후보"</formula>
    </cfRule>
  </conditionalFormatting>
  <conditionalFormatting sqref="AC13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3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37">
    <cfRule type="expression" priority="638" dxfId="3">
      <formula>AND(IF(OR($Q137=1,$Q137=2),1,0),IF($X137&lt;=20,1,0))</formula>
    </cfRule>
    <cfRule type="expression" priority="639" dxfId="2">
      <formula>AND(IF($Q137=2,1,0),IF($X137&lt;30,1,0))</formula>
    </cfRule>
    <cfRule type="expression" priority="640" dxfId="1">
      <formula>AND(IF($Q137=3,1,0),IF($X137&lt;30,1,0))</formula>
    </cfRule>
    <cfRule type="expression" priority="641" dxfId="0">
      <formula>AND(IF($Q137=3,1,IF($Q137=4,1,0)),IF($F137&lt;=85,1,0))</formula>
    </cfRule>
  </conditionalFormatting>
  <conditionalFormatting sqref="X137">
    <cfRule type="expression" priority="634" dxfId="3">
      <formula>AND(IF(OR($Q137=1,$Q137=2),1,0),IF($X137&lt;=20,1,0))</formula>
    </cfRule>
    <cfRule type="expression" priority="635" dxfId="2">
      <formula>AND(IF($Q137=2,1,0),IF($X137&lt;30,1,0))</formula>
    </cfRule>
    <cfRule type="expression" priority="636" dxfId="1">
      <formula>AND(IF($Q137=3,1,0),IF($X137&lt;30,1,0))</formula>
    </cfRule>
    <cfRule type="expression" priority="637" dxfId="0">
      <formula>AND(IF($Q137=3,1,IF($Q137=4,1,0)),IF($F137&lt;=85,1,0))</formula>
    </cfRule>
  </conditionalFormatting>
  <conditionalFormatting sqref="AI137">
    <cfRule type="expression" priority="630" dxfId="3">
      <formula>AND(IF(OR($Q137=1,$Q137=2),1,0),IF($X137&lt;=20,1,0))</formula>
    </cfRule>
    <cfRule type="expression" priority="631" dxfId="2">
      <formula>AND(IF($Q137=2,1,0),IF($X137&lt;30,1,0))</formula>
    </cfRule>
    <cfRule type="expression" priority="632" dxfId="1">
      <formula>AND(IF($Q137=3,1,0),IF($X137&lt;30,1,0))</formula>
    </cfRule>
    <cfRule type="expression" priority="633" dxfId="0">
      <formula>AND(IF($Q137=3,1,IF($Q137=4,1,0)),IF($F137&lt;=85,1,0))</formula>
    </cfRule>
  </conditionalFormatting>
  <conditionalFormatting sqref="AV138">
    <cfRule type="expression" priority="628" dxfId="17">
      <formula>AV138="X"</formula>
    </cfRule>
    <cfRule type="expression" priority="629" dxfId="16">
      <formula>AV138="후보"</formula>
    </cfRule>
  </conditionalFormatting>
  <conditionalFormatting sqref="AC13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3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38">
    <cfRule type="expression" priority="619" dxfId="3">
      <formula>AND(IF(OR($Q138=1,$Q138=2),1,0),IF($X138&lt;=20,1,0))</formula>
    </cfRule>
    <cfRule type="expression" priority="620" dxfId="2">
      <formula>AND(IF($Q138=2,1,0),IF($X138&lt;30,1,0))</formula>
    </cfRule>
    <cfRule type="expression" priority="621" dxfId="1">
      <formula>AND(IF($Q138=3,1,0),IF($X138&lt;30,1,0))</formula>
    </cfRule>
    <cfRule type="expression" priority="622" dxfId="0">
      <formula>AND(IF($Q138=3,1,IF($Q138=4,1,0)),IF($F138&lt;=85,1,0))</formula>
    </cfRule>
  </conditionalFormatting>
  <conditionalFormatting sqref="X138">
    <cfRule type="expression" priority="615" dxfId="3">
      <formula>AND(IF(OR($Q138=1,$Q138=2),1,0),IF($X138&lt;=20,1,0))</formula>
    </cfRule>
    <cfRule type="expression" priority="616" dxfId="2">
      <formula>AND(IF($Q138=2,1,0),IF($X138&lt;30,1,0))</formula>
    </cfRule>
    <cfRule type="expression" priority="617" dxfId="1">
      <formula>AND(IF($Q138=3,1,0),IF($X138&lt;30,1,0))</formula>
    </cfRule>
    <cfRule type="expression" priority="618" dxfId="0">
      <formula>AND(IF($Q138=3,1,IF($Q138=4,1,0)),IF($F138&lt;=85,1,0))</formula>
    </cfRule>
  </conditionalFormatting>
  <conditionalFormatting sqref="AI138">
    <cfRule type="expression" priority="611" dxfId="3">
      <formula>AND(IF(OR($Q138=1,$Q138=2),1,0),IF($X138&lt;=20,1,0))</formula>
    </cfRule>
    <cfRule type="expression" priority="612" dxfId="2">
      <formula>AND(IF($Q138=2,1,0),IF($X138&lt;30,1,0))</formula>
    </cfRule>
    <cfRule type="expression" priority="613" dxfId="1">
      <formula>AND(IF($Q138=3,1,0),IF($X138&lt;30,1,0))</formula>
    </cfRule>
    <cfRule type="expression" priority="614" dxfId="0">
      <formula>AND(IF($Q138=3,1,IF($Q138=4,1,0)),IF($F138&lt;=85,1,0))</formula>
    </cfRule>
  </conditionalFormatting>
  <conditionalFormatting sqref="AV139">
    <cfRule type="expression" priority="609" dxfId="17">
      <formula>AV139="X"</formula>
    </cfRule>
    <cfRule type="expression" priority="610" dxfId="16">
      <formula>AV139="후보"</formula>
    </cfRule>
  </conditionalFormatting>
  <conditionalFormatting sqref="AC13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3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39">
    <cfRule type="expression" priority="600" dxfId="3">
      <formula>AND(IF(OR($Q139=1,$Q139=2),1,0),IF($X139&lt;=20,1,0))</formula>
    </cfRule>
    <cfRule type="expression" priority="601" dxfId="2">
      <formula>AND(IF($Q139=2,1,0),IF($X139&lt;30,1,0))</formula>
    </cfRule>
    <cfRule type="expression" priority="602" dxfId="1">
      <formula>AND(IF($Q139=3,1,0),IF($X139&lt;30,1,0))</formula>
    </cfRule>
    <cfRule type="expression" priority="603" dxfId="0">
      <formula>AND(IF($Q139=3,1,IF($Q139=4,1,0)),IF($F139&lt;=85,1,0))</formula>
    </cfRule>
  </conditionalFormatting>
  <conditionalFormatting sqref="X139">
    <cfRule type="expression" priority="596" dxfId="3">
      <formula>AND(IF(OR($Q139=1,$Q139=2),1,0),IF($X139&lt;=20,1,0))</formula>
    </cfRule>
    <cfRule type="expression" priority="597" dxfId="2">
      <formula>AND(IF($Q139=2,1,0),IF($X139&lt;30,1,0))</formula>
    </cfRule>
    <cfRule type="expression" priority="598" dxfId="1">
      <formula>AND(IF($Q139=3,1,0),IF($X139&lt;30,1,0))</formula>
    </cfRule>
    <cfRule type="expression" priority="599" dxfId="0">
      <formula>AND(IF($Q139=3,1,IF($Q139=4,1,0)),IF($F139&lt;=85,1,0))</formula>
    </cfRule>
  </conditionalFormatting>
  <conditionalFormatting sqref="AI139">
    <cfRule type="expression" priority="592" dxfId="3">
      <formula>AND(IF(OR($Q139=1,$Q139=2),1,0),IF($X139&lt;=20,1,0))</formula>
    </cfRule>
    <cfRule type="expression" priority="593" dxfId="2">
      <formula>AND(IF($Q139=2,1,0),IF($X139&lt;30,1,0))</formula>
    </cfRule>
    <cfRule type="expression" priority="594" dxfId="1">
      <formula>AND(IF($Q139=3,1,0),IF($X139&lt;30,1,0))</formula>
    </cfRule>
    <cfRule type="expression" priority="595" dxfId="0">
      <formula>AND(IF($Q139=3,1,IF($Q139=4,1,0)),IF($F139&lt;=85,1,0))</formula>
    </cfRule>
  </conditionalFormatting>
  <conditionalFormatting sqref="AV140">
    <cfRule type="expression" priority="590" dxfId="17">
      <formula>AV140="X"</formula>
    </cfRule>
    <cfRule type="expression" priority="591" dxfId="16">
      <formula>AV140="후보"</formula>
    </cfRule>
  </conditionalFormatting>
  <conditionalFormatting sqref="AC140 N14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AV141">
    <cfRule type="expression" priority="585" dxfId="17">
      <formula>AV141="X"</formula>
    </cfRule>
    <cfRule type="expression" priority="586" dxfId="16">
      <formula>AV141="후보"</formula>
    </cfRule>
  </conditionalFormatting>
  <conditionalFormatting sqref="AC14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41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41">
    <cfRule type="expression" priority="576" dxfId="3">
      <formula>AND(IF(OR($Q141=1,$Q141=2),1,0),IF($X141&lt;=20,1,0))</formula>
    </cfRule>
    <cfRule type="expression" priority="577" dxfId="2">
      <formula>AND(IF($Q141=2,1,0),IF($X141&lt;30,1,0))</formula>
    </cfRule>
    <cfRule type="expression" priority="578" dxfId="1">
      <formula>AND(IF($Q141=3,1,0),IF($X141&lt;30,1,0))</formula>
    </cfRule>
    <cfRule type="expression" priority="579" dxfId="0">
      <formula>AND(IF($Q141=3,1,IF($Q141=4,1,0)),IF($F141&lt;=85,1,0))</formula>
    </cfRule>
  </conditionalFormatting>
  <conditionalFormatting sqref="X141">
    <cfRule type="expression" priority="572" dxfId="3">
      <formula>AND(IF(OR($Q141=1,$Q141=2),1,0),IF($X141&lt;=20,1,0))</formula>
    </cfRule>
    <cfRule type="expression" priority="573" dxfId="2">
      <formula>AND(IF($Q141=2,1,0),IF($X141&lt;30,1,0))</formula>
    </cfRule>
    <cfRule type="expression" priority="574" dxfId="1">
      <formula>AND(IF($Q141=3,1,0),IF($X141&lt;30,1,0))</formula>
    </cfRule>
    <cfRule type="expression" priority="575" dxfId="0">
      <formula>AND(IF($Q141=3,1,IF($Q141=4,1,0)),IF($F141&lt;=85,1,0))</formula>
    </cfRule>
  </conditionalFormatting>
  <conditionalFormatting sqref="AI141">
    <cfRule type="expression" priority="568" dxfId="3">
      <formula>AND(IF(OR($Q141=1,$Q141=2),1,0),IF($X141&lt;=20,1,0))</formula>
    </cfRule>
    <cfRule type="expression" priority="569" dxfId="2">
      <formula>AND(IF($Q141=2,1,0),IF($X141&lt;30,1,0))</formula>
    </cfRule>
    <cfRule type="expression" priority="570" dxfId="1">
      <formula>AND(IF($Q141=3,1,0),IF($X141&lt;30,1,0))</formula>
    </cfRule>
    <cfRule type="expression" priority="571" dxfId="0">
      <formula>AND(IF($Q141=3,1,IF($Q141=4,1,0)),IF($F141&lt;=85,1,0))</formula>
    </cfRule>
  </conditionalFormatting>
  <conditionalFormatting sqref="AV142">
    <cfRule type="expression" priority="566" dxfId="17">
      <formula>AV142="X"</formula>
    </cfRule>
    <cfRule type="expression" priority="567" dxfId="16">
      <formula>AV142="후보"</formula>
    </cfRule>
  </conditionalFormatting>
  <conditionalFormatting sqref="AC142 N14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AV143">
    <cfRule type="expression" priority="561" dxfId="17">
      <formula>AV143="X"</formula>
    </cfRule>
    <cfRule type="expression" priority="562" dxfId="16">
      <formula>AV143="후보"</formula>
    </cfRule>
  </conditionalFormatting>
  <conditionalFormatting sqref="AC14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4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43">
    <cfRule type="expression" priority="552" dxfId="3">
      <formula>AND(IF(OR($Q143=1,$Q143=2),1,0),IF($X143&lt;=20,1,0))</formula>
    </cfRule>
    <cfRule type="expression" priority="553" dxfId="2">
      <formula>AND(IF($Q143=2,1,0),IF($X143&lt;30,1,0))</formula>
    </cfRule>
    <cfRule type="expression" priority="554" dxfId="1">
      <formula>AND(IF($Q143=3,1,0),IF($X143&lt;30,1,0))</formula>
    </cfRule>
    <cfRule type="expression" priority="555" dxfId="0">
      <formula>AND(IF($Q143=3,1,IF($Q143=4,1,0)),IF($F143&lt;=85,1,0))</formula>
    </cfRule>
  </conditionalFormatting>
  <conditionalFormatting sqref="X143">
    <cfRule type="expression" priority="548" dxfId="3">
      <formula>AND(IF(OR($Q143=1,$Q143=2),1,0),IF($X143&lt;=20,1,0))</formula>
    </cfRule>
    <cfRule type="expression" priority="549" dxfId="2">
      <formula>AND(IF($Q143=2,1,0),IF($X143&lt;30,1,0))</formula>
    </cfRule>
    <cfRule type="expression" priority="550" dxfId="1">
      <formula>AND(IF($Q143=3,1,0),IF($X143&lt;30,1,0))</formula>
    </cfRule>
    <cfRule type="expression" priority="551" dxfId="0">
      <formula>AND(IF($Q143=3,1,IF($Q143=4,1,0)),IF($F143&lt;=85,1,0))</formula>
    </cfRule>
  </conditionalFormatting>
  <conditionalFormatting sqref="AI143">
    <cfRule type="expression" priority="544" dxfId="3">
      <formula>AND(IF(OR($Q143=1,$Q143=2),1,0),IF($X143&lt;=20,1,0))</formula>
    </cfRule>
    <cfRule type="expression" priority="545" dxfId="2">
      <formula>AND(IF($Q143=2,1,0),IF($X143&lt;30,1,0))</formula>
    </cfRule>
    <cfRule type="expression" priority="546" dxfId="1">
      <formula>AND(IF($Q143=3,1,0),IF($X143&lt;30,1,0))</formula>
    </cfRule>
    <cfRule type="expression" priority="547" dxfId="0">
      <formula>AND(IF($Q143=3,1,IF($Q143=4,1,0)),IF($F143&lt;=85,1,0))</formula>
    </cfRule>
  </conditionalFormatting>
  <conditionalFormatting sqref="AV144">
    <cfRule type="expression" priority="542" dxfId="17">
      <formula>AV144="X"</formula>
    </cfRule>
    <cfRule type="expression" priority="543" dxfId="16">
      <formula>AV144="후보"</formula>
    </cfRule>
  </conditionalFormatting>
  <conditionalFormatting sqref="AC14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44">
    <cfRule type="expression" priority="533" dxfId="3">
      <formula>AND(IF(OR($Q144=1,$Q144=2),1,0),IF($X144&lt;=20,1,0))</formula>
    </cfRule>
    <cfRule type="expression" priority="534" dxfId="2">
      <formula>AND(IF($Q144=2,1,0),IF($X144&lt;30,1,0))</formula>
    </cfRule>
    <cfRule type="expression" priority="535" dxfId="1">
      <formula>AND(IF($Q144=3,1,0),IF($X144&lt;30,1,0))</formula>
    </cfRule>
    <cfRule type="expression" priority="536" dxfId="0">
      <formula>AND(IF($Q144=3,1,IF($Q144=4,1,0)),IF($F144&lt;=85,1,0))</formula>
    </cfRule>
  </conditionalFormatting>
  <conditionalFormatting sqref="X144">
    <cfRule type="expression" priority="529" dxfId="3">
      <formula>AND(IF(OR($Q144=1,$Q144=2),1,0),IF($X144&lt;=20,1,0))</formula>
    </cfRule>
    <cfRule type="expression" priority="530" dxfId="2">
      <formula>AND(IF($Q144=2,1,0),IF($X144&lt;30,1,0))</formula>
    </cfRule>
    <cfRule type="expression" priority="531" dxfId="1">
      <formula>AND(IF($Q144=3,1,0),IF($X144&lt;30,1,0))</formula>
    </cfRule>
    <cfRule type="expression" priority="532" dxfId="0">
      <formula>AND(IF($Q144=3,1,IF($Q144=4,1,0)),IF($F144&lt;=85,1,0))</formula>
    </cfRule>
  </conditionalFormatting>
  <conditionalFormatting sqref="AI144">
    <cfRule type="expression" priority="525" dxfId="3">
      <formula>AND(IF(OR($Q144=1,$Q144=2),1,0),IF($X144&lt;=20,1,0))</formula>
    </cfRule>
    <cfRule type="expression" priority="526" dxfId="2">
      <formula>AND(IF($Q144=2,1,0),IF($X144&lt;30,1,0))</formula>
    </cfRule>
    <cfRule type="expression" priority="527" dxfId="1">
      <formula>AND(IF($Q144=3,1,0),IF($X144&lt;30,1,0))</formula>
    </cfRule>
    <cfRule type="expression" priority="528" dxfId="0">
      <formula>AND(IF($Q144=3,1,IF($Q144=4,1,0)),IF($F144&lt;=85,1,0))</formula>
    </cfRule>
  </conditionalFormatting>
  <conditionalFormatting sqref="AV145">
    <cfRule type="expression" priority="523" dxfId="17">
      <formula>AV145="X"</formula>
    </cfRule>
    <cfRule type="expression" priority="524" dxfId="16">
      <formula>AV145="후보"</formula>
    </cfRule>
  </conditionalFormatting>
  <conditionalFormatting sqref="AC14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4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45">
    <cfRule type="expression" priority="514" dxfId="3">
      <formula>AND(IF(OR($Q145=1,$Q145=2),1,0),IF($X145&lt;=20,1,0))</formula>
    </cfRule>
    <cfRule type="expression" priority="515" dxfId="2">
      <formula>AND(IF($Q145=2,1,0),IF($X145&lt;30,1,0))</formula>
    </cfRule>
    <cfRule type="expression" priority="516" dxfId="1">
      <formula>AND(IF($Q145=3,1,0),IF($X145&lt;30,1,0))</formula>
    </cfRule>
    <cfRule type="expression" priority="517" dxfId="0">
      <formula>AND(IF($Q145=3,1,IF($Q145=4,1,0)),IF($F145&lt;=85,1,0))</formula>
    </cfRule>
  </conditionalFormatting>
  <conditionalFormatting sqref="X145">
    <cfRule type="expression" priority="510" dxfId="3">
      <formula>AND(IF(OR($Q145=1,$Q145=2),1,0),IF($X145&lt;=20,1,0))</formula>
    </cfRule>
    <cfRule type="expression" priority="511" dxfId="2">
      <formula>AND(IF($Q145=2,1,0),IF($X145&lt;30,1,0))</formula>
    </cfRule>
    <cfRule type="expression" priority="512" dxfId="1">
      <formula>AND(IF($Q145=3,1,0),IF($X145&lt;30,1,0))</formula>
    </cfRule>
    <cfRule type="expression" priority="513" dxfId="0">
      <formula>AND(IF($Q145=3,1,IF($Q145=4,1,0)),IF($F145&lt;=85,1,0))</formula>
    </cfRule>
  </conditionalFormatting>
  <conditionalFormatting sqref="AI145">
    <cfRule type="expression" priority="506" dxfId="3">
      <formula>AND(IF(OR($Q145=1,$Q145=2),1,0),IF($X145&lt;=20,1,0))</formula>
    </cfRule>
    <cfRule type="expression" priority="507" dxfId="2">
      <formula>AND(IF($Q145=2,1,0),IF($X145&lt;30,1,0))</formula>
    </cfRule>
    <cfRule type="expression" priority="508" dxfId="1">
      <formula>AND(IF($Q145=3,1,0),IF($X145&lt;30,1,0))</formula>
    </cfRule>
    <cfRule type="expression" priority="509" dxfId="0">
      <formula>AND(IF($Q145=3,1,IF($Q145=4,1,0)),IF($F145&lt;=85,1,0))</formula>
    </cfRule>
  </conditionalFormatting>
  <conditionalFormatting sqref="AV146">
    <cfRule type="expression" priority="504" dxfId="17">
      <formula>AV146="X"</formula>
    </cfRule>
    <cfRule type="expression" priority="505" dxfId="16">
      <formula>AV146="후보"</formula>
    </cfRule>
  </conditionalFormatting>
  <conditionalFormatting sqref="AC146 N14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47">
    <cfRule type="expression" priority="499" dxfId="17">
      <formula>AV147="X"</formula>
    </cfRule>
    <cfRule type="expression" priority="500" dxfId="16">
      <formula>AV147="후보"</formula>
    </cfRule>
  </conditionalFormatting>
  <conditionalFormatting sqref="AC14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4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47">
    <cfRule type="expression" priority="490" dxfId="3">
      <formula>AND(IF(OR($Q147=1,$Q147=2),1,0),IF($X147&lt;=20,1,0))</formula>
    </cfRule>
    <cfRule type="expression" priority="491" dxfId="2">
      <formula>AND(IF($Q147=2,1,0),IF($X147&lt;30,1,0))</formula>
    </cfRule>
    <cfRule type="expression" priority="492" dxfId="1">
      <formula>AND(IF($Q147=3,1,0),IF($X147&lt;30,1,0))</formula>
    </cfRule>
    <cfRule type="expression" priority="493" dxfId="0">
      <formula>AND(IF($Q147=3,1,IF($Q147=4,1,0)),IF($F147&lt;=85,1,0))</formula>
    </cfRule>
  </conditionalFormatting>
  <conditionalFormatting sqref="X147">
    <cfRule type="expression" priority="486" dxfId="3">
      <formula>AND(IF(OR($Q147=1,$Q147=2),1,0),IF($X147&lt;=20,1,0))</formula>
    </cfRule>
    <cfRule type="expression" priority="487" dxfId="2">
      <formula>AND(IF($Q147=2,1,0),IF($X147&lt;30,1,0))</formula>
    </cfRule>
    <cfRule type="expression" priority="488" dxfId="1">
      <formula>AND(IF($Q147=3,1,0),IF($X147&lt;30,1,0))</formula>
    </cfRule>
    <cfRule type="expression" priority="489" dxfId="0">
      <formula>AND(IF($Q147=3,1,IF($Q147=4,1,0)),IF($F147&lt;=85,1,0))</formula>
    </cfRule>
  </conditionalFormatting>
  <conditionalFormatting sqref="AI147">
    <cfRule type="expression" priority="482" dxfId="3">
      <formula>AND(IF(OR($Q147=1,$Q147=2),1,0),IF($X147&lt;=20,1,0))</formula>
    </cfRule>
    <cfRule type="expression" priority="483" dxfId="2">
      <formula>AND(IF($Q147=2,1,0),IF($X147&lt;30,1,0))</formula>
    </cfRule>
    <cfRule type="expression" priority="484" dxfId="1">
      <formula>AND(IF($Q147=3,1,0),IF($X147&lt;30,1,0))</formula>
    </cfRule>
    <cfRule type="expression" priority="485" dxfId="0">
      <formula>AND(IF($Q147=3,1,IF($Q147=4,1,0)),IF($F147&lt;=85,1,0))</formula>
    </cfRule>
  </conditionalFormatting>
  <conditionalFormatting sqref="AV148">
    <cfRule type="expression" priority="480" dxfId="17">
      <formula>AV148="X"</formula>
    </cfRule>
    <cfRule type="expression" priority="481" dxfId="16">
      <formula>AV148="후보"</formula>
    </cfRule>
  </conditionalFormatting>
  <conditionalFormatting sqref="AC14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4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48">
    <cfRule type="expression" priority="471" dxfId="3">
      <formula>AND(IF(OR($Q148=1,$Q148=2),1,0),IF($X148&lt;=20,1,0))</formula>
    </cfRule>
    <cfRule type="expression" priority="472" dxfId="2">
      <formula>AND(IF($Q148=2,1,0),IF($X148&lt;30,1,0))</formula>
    </cfRule>
    <cfRule type="expression" priority="473" dxfId="1">
      <formula>AND(IF($Q148=3,1,0),IF($X148&lt;30,1,0))</formula>
    </cfRule>
    <cfRule type="expression" priority="474" dxfId="0">
      <formula>AND(IF($Q148=3,1,IF($Q148=4,1,0)),IF($F148&lt;=85,1,0))</formula>
    </cfRule>
  </conditionalFormatting>
  <conditionalFormatting sqref="X148">
    <cfRule type="expression" priority="467" dxfId="3">
      <formula>AND(IF(OR($Q148=1,$Q148=2),1,0),IF($X148&lt;=20,1,0))</formula>
    </cfRule>
    <cfRule type="expression" priority="468" dxfId="2">
      <formula>AND(IF($Q148=2,1,0),IF($X148&lt;30,1,0))</formula>
    </cfRule>
    <cfRule type="expression" priority="469" dxfId="1">
      <formula>AND(IF($Q148=3,1,0),IF($X148&lt;30,1,0))</formula>
    </cfRule>
    <cfRule type="expression" priority="470" dxfId="0">
      <formula>AND(IF($Q148=3,1,IF($Q148=4,1,0)),IF($F148&lt;=85,1,0))</formula>
    </cfRule>
  </conditionalFormatting>
  <conditionalFormatting sqref="AI148">
    <cfRule type="expression" priority="463" dxfId="3">
      <formula>AND(IF(OR($Q148=1,$Q148=2),1,0),IF($X148&lt;=20,1,0))</formula>
    </cfRule>
    <cfRule type="expression" priority="464" dxfId="2">
      <formula>AND(IF($Q148=2,1,0),IF($X148&lt;30,1,0))</formula>
    </cfRule>
    <cfRule type="expression" priority="465" dxfId="1">
      <formula>AND(IF($Q148=3,1,0),IF($X148&lt;30,1,0))</formula>
    </cfRule>
    <cfRule type="expression" priority="466" dxfId="0">
      <formula>AND(IF($Q148=3,1,IF($Q148=4,1,0)),IF($F148&lt;=85,1,0))</formula>
    </cfRule>
  </conditionalFormatting>
  <conditionalFormatting sqref="AV149">
    <cfRule type="expression" priority="461" dxfId="17">
      <formula>AV149="X"</formula>
    </cfRule>
    <cfRule type="expression" priority="462" dxfId="16">
      <formula>AV149="후보"</formula>
    </cfRule>
  </conditionalFormatting>
  <conditionalFormatting sqref="AC14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4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49">
    <cfRule type="expression" priority="452" dxfId="3">
      <formula>AND(IF(OR($Q149=1,$Q149=2),1,0),IF($X149&lt;=20,1,0))</formula>
    </cfRule>
    <cfRule type="expression" priority="453" dxfId="2">
      <formula>AND(IF($Q149=2,1,0),IF($X149&lt;30,1,0))</formula>
    </cfRule>
    <cfRule type="expression" priority="454" dxfId="1">
      <formula>AND(IF($Q149=3,1,0),IF($X149&lt;30,1,0))</formula>
    </cfRule>
    <cfRule type="expression" priority="455" dxfId="0">
      <formula>AND(IF($Q149=3,1,IF($Q149=4,1,0)),IF($F149&lt;=85,1,0))</formula>
    </cfRule>
  </conditionalFormatting>
  <conditionalFormatting sqref="X149">
    <cfRule type="expression" priority="448" dxfId="3">
      <formula>AND(IF(OR($Q149=1,$Q149=2),1,0),IF($X149&lt;=20,1,0))</formula>
    </cfRule>
    <cfRule type="expression" priority="449" dxfId="2">
      <formula>AND(IF($Q149=2,1,0),IF($X149&lt;30,1,0))</formula>
    </cfRule>
    <cfRule type="expression" priority="450" dxfId="1">
      <formula>AND(IF($Q149=3,1,0),IF($X149&lt;30,1,0))</formula>
    </cfRule>
    <cfRule type="expression" priority="451" dxfId="0">
      <formula>AND(IF($Q149=3,1,IF($Q149=4,1,0)),IF($F149&lt;=85,1,0))</formula>
    </cfRule>
  </conditionalFormatting>
  <conditionalFormatting sqref="AI149">
    <cfRule type="expression" priority="444" dxfId="3">
      <formula>AND(IF(OR($Q149=1,$Q149=2),1,0),IF($X149&lt;=20,1,0))</formula>
    </cfRule>
    <cfRule type="expression" priority="445" dxfId="2">
      <formula>AND(IF($Q149=2,1,0),IF($X149&lt;30,1,0))</formula>
    </cfRule>
    <cfRule type="expression" priority="446" dxfId="1">
      <formula>AND(IF($Q149=3,1,0),IF($X149&lt;30,1,0))</formula>
    </cfRule>
    <cfRule type="expression" priority="447" dxfId="0">
      <formula>AND(IF($Q149=3,1,IF($Q149=4,1,0)),IF($F149&lt;=85,1,0))</formula>
    </cfRule>
  </conditionalFormatting>
  <conditionalFormatting sqref="AV150">
    <cfRule type="expression" priority="442" dxfId="17">
      <formula>AV150="X"</formula>
    </cfRule>
    <cfRule type="expression" priority="443" dxfId="16">
      <formula>AV150="후보"</formula>
    </cfRule>
  </conditionalFormatting>
  <conditionalFormatting sqref="AC15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5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50">
    <cfRule type="expression" priority="433" dxfId="3">
      <formula>AND(IF(OR($Q150=1,$Q150=2),1,0),IF($X150&lt;=20,1,0))</formula>
    </cfRule>
    <cfRule type="expression" priority="434" dxfId="2">
      <formula>AND(IF($Q150=2,1,0),IF($X150&lt;30,1,0))</formula>
    </cfRule>
    <cfRule type="expression" priority="435" dxfId="1">
      <formula>AND(IF($Q150=3,1,0),IF($X150&lt;30,1,0))</formula>
    </cfRule>
    <cfRule type="expression" priority="436" dxfId="0">
      <formula>AND(IF($Q150=3,1,IF($Q150=4,1,0)),IF($F150&lt;=85,1,0))</formula>
    </cfRule>
  </conditionalFormatting>
  <conditionalFormatting sqref="X150">
    <cfRule type="expression" priority="429" dxfId="3">
      <formula>AND(IF(OR($Q150=1,$Q150=2),1,0),IF($X150&lt;=20,1,0))</formula>
    </cfRule>
    <cfRule type="expression" priority="430" dxfId="2">
      <formula>AND(IF($Q150=2,1,0),IF($X150&lt;30,1,0))</formula>
    </cfRule>
    <cfRule type="expression" priority="431" dxfId="1">
      <formula>AND(IF($Q150=3,1,0),IF($X150&lt;30,1,0))</formula>
    </cfRule>
    <cfRule type="expression" priority="432" dxfId="0">
      <formula>AND(IF($Q150=3,1,IF($Q150=4,1,0)),IF($F150&lt;=85,1,0))</formula>
    </cfRule>
  </conditionalFormatting>
  <conditionalFormatting sqref="AI150">
    <cfRule type="expression" priority="425" dxfId="3">
      <formula>AND(IF(OR($Q150=1,$Q150=2),1,0),IF($X150&lt;=20,1,0))</formula>
    </cfRule>
    <cfRule type="expression" priority="426" dxfId="2">
      <formula>AND(IF($Q150=2,1,0),IF($X150&lt;30,1,0))</formula>
    </cfRule>
    <cfRule type="expression" priority="427" dxfId="1">
      <formula>AND(IF($Q150=3,1,0),IF($X150&lt;30,1,0))</formula>
    </cfRule>
    <cfRule type="expression" priority="428" dxfId="0">
      <formula>AND(IF($Q150=3,1,IF($Q150=4,1,0)),IF($F150&lt;=85,1,0))</formula>
    </cfRule>
  </conditionalFormatting>
  <conditionalFormatting sqref="AV151">
    <cfRule type="expression" priority="423" dxfId="17">
      <formula>AV151="X"</formula>
    </cfRule>
    <cfRule type="expression" priority="424" dxfId="16">
      <formula>AV151="후보"</formula>
    </cfRule>
  </conditionalFormatting>
  <conditionalFormatting sqref="AC15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5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51">
    <cfRule type="expression" priority="414" dxfId="3">
      <formula>AND(IF(OR($Q151=1,$Q151=2),1,0),IF($X151&lt;=20,1,0))</formula>
    </cfRule>
    <cfRule type="expression" priority="415" dxfId="2">
      <formula>AND(IF($Q151=2,1,0),IF($X151&lt;30,1,0))</formula>
    </cfRule>
    <cfRule type="expression" priority="416" dxfId="1">
      <formula>AND(IF($Q151=3,1,0),IF($X151&lt;30,1,0))</formula>
    </cfRule>
    <cfRule type="expression" priority="417" dxfId="0">
      <formula>AND(IF($Q151=3,1,IF($Q151=4,1,0)),IF($F151&lt;=85,1,0))</formula>
    </cfRule>
  </conditionalFormatting>
  <conditionalFormatting sqref="X151">
    <cfRule type="expression" priority="410" dxfId="3">
      <formula>AND(IF(OR($Q151=1,$Q151=2),1,0),IF($X151&lt;=20,1,0))</formula>
    </cfRule>
    <cfRule type="expression" priority="411" dxfId="2">
      <formula>AND(IF($Q151=2,1,0),IF($X151&lt;30,1,0))</formula>
    </cfRule>
    <cfRule type="expression" priority="412" dxfId="1">
      <formula>AND(IF($Q151=3,1,0),IF($X151&lt;30,1,0))</formula>
    </cfRule>
    <cfRule type="expression" priority="413" dxfId="0">
      <formula>AND(IF($Q151=3,1,IF($Q151=4,1,0)),IF($F151&lt;=85,1,0))</formula>
    </cfRule>
  </conditionalFormatting>
  <conditionalFormatting sqref="AI151">
    <cfRule type="expression" priority="406" dxfId="3">
      <formula>AND(IF(OR($Q151=1,$Q151=2),1,0),IF($X151&lt;=20,1,0))</formula>
    </cfRule>
    <cfRule type="expression" priority="407" dxfId="2">
      <formula>AND(IF($Q151=2,1,0),IF($X151&lt;30,1,0))</formula>
    </cfRule>
    <cfRule type="expression" priority="408" dxfId="1">
      <formula>AND(IF($Q151=3,1,0),IF($X151&lt;30,1,0))</formula>
    </cfRule>
    <cfRule type="expression" priority="409" dxfId="0">
      <formula>AND(IF($Q151=3,1,IF($Q151=4,1,0)),IF($F151&lt;=85,1,0))</formula>
    </cfRule>
  </conditionalFormatting>
  <conditionalFormatting sqref="AV152">
    <cfRule type="expression" priority="404" dxfId="17">
      <formula>AV152="X"</formula>
    </cfRule>
    <cfRule type="expression" priority="405" dxfId="16">
      <formula>AV152="후보"</formula>
    </cfRule>
  </conditionalFormatting>
  <conditionalFormatting sqref="AC15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5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52">
    <cfRule type="expression" priority="395" dxfId="3">
      <formula>AND(IF(OR($Q152=1,$Q152=2),1,0),IF($X152&lt;=20,1,0))</formula>
    </cfRule>
    <cfRule type="expression" priority="396" dxfId="2">
      <formula>AND(IF($Q152=2,1,0),IF($X152&lt;30,1,0))</formula>
    </cfRule>
    <cfRule type="expression" priority="397" dxfId="1">
      <formula>AND(IF($Q152=3,1,0),IF($X152&lt;30,1,0))</formula>
    </cfRule>
    <cfRule type="expression" priority="398" dxfId="0">
      <formula>AND(IF($Q152=3,1,IF($Q152=4,1,0)),IF($F152&lt;=85,1,0))</formula>
    </cfRule>
  </conditionalFormatting>
  <conditionalFormatting sqref="X152">
    <cfRule type="expression" priority="391" dxfId="3">
      <formula>AND(IF(OR($Q152=1,$Q152=2),1,0),IF($X152&lt;=20,1,0))</formula>
    </cfRule>
    <cfRule type="expression" priority="392" dxfId="2">
      <formula>AND(IF($Q152=2,1,0),IF($X152&lt;30,1,0))</formula>
    </cfRule>
    <cfRule type="expression" priority="393" dxfId="1">
      <formula>AND(IF($Q152=3,1,0),IF($X152&lt;30,1,0))</formula>
    </cfRule>
    <cfRule type="expression" priority="394" dxfId="0">
      <formula>AND(IF($Q152=3,1,IF($Q152=4,1,0)),IF($F152&lt;=85,1,0))</formula>
    </cfRule>
  </conditionalFormatting>
  <conditionalFormatting sqref="AI152">
    <cfRule type="expression" priority="387" dxfId="3">
      <formula>AND(IF(OR($Q152=1,$Q152=2),1,0),IF($X152&lt;=20,1,0))</formula>
    </cfRule>
    <cfRule type="expression" priority="388" dxfId="2">
      <formula>AND(IF($Q152=2,1,0),IF($X152&lt;30,1,0))</formula>
    </cfRule>
    <cfRule type="expression" priority="389" dxfId="1">
      <formula>AND(IF($Q152=3,1,0),IF($X152&lt;30,1,0))</formula>
    </cfRule>
    <cfRule type="expression" priority="390" dxfId="0">
      <formula>AND(IF($Q152=3,1,IF($Q152=4,1,0)),IF($F152&lt;=85,1,0))</formula>
    </cfRule>
  </conditionalFormatting>
  <conditionalFormatting sqref="AV153">
    <cfRule type="expression" priority="385" dxfId="17">
      <formula>AV153="X"</formula>
    </cfRule>
    <cfRule type="expression" priority="386" dxfId="16">
      <formula>AV153="후보"</formula>
    </cfRule>
  </conditionalFormatting>
  <conditionalFormatting sqref="AC15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5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53">
    <cfRule type="expression" priority="376" dxfId="3">
      <formula>AND(IF(OR($Q153=1,$Q153=2),1,0),IF($X153&lt;=20,1,0))</formula>
    </cfRule>
    <cfRule type="expression" priority="377" dxfId="2">
      <formula>AND(IF($Q153=2,1,0),IF($X153&lt;30,1,0))</formula>
    </cfRule>
    <cfRule type="expression" priority="378" dxfId="1">
      <formula>AND(IF($Q153=3,1,0),IF($X153&lt;30,1,0))</formula>
    </cfRule>
    <cfRule type="expression" priority="379" dxfId="0">
      <formula>AND(IF($Q153=3,1,IF($Q153=4,1,0)),IF($F153&lt;=85,1,0))</formula>
    </cfRule>
  </conditionalFormatting>
  <conditionalFormatting sqref="X153">
    <cfRule type="expression" priority="372" dxfId="3">
      <formula>AND(IF(OR($Q153=1,$Q153=2),1,0),IF($X153&lt;=20,1,0))</formula>
    </cfRule>
    <cfRule type="expression" priority="373" dxfId="2">
      <formula>AND(IF($Q153=2,1,0),IF($X153&lt;30,1,0))</formula>
    </cfRule>
    <cfRule type="expression" priority="374" dxfId="1">
      <formula>AND(IF($Q153=3,1,0),IF($X153&lt;30,1,0))</formula>
    </cfRule>
    <cfRule type="expression" priority="375" dxfId="0">
      <formula>AND(IF($Q153=3,1,IF($Q153=4,1,0)),IF($F153&lt;=85,1,0))</formula>
    </cfRule>
  </conditionalFormatting>
  <conditionalFormatting sqref="AI153">
    <cfRule type="expression" priority="368" dxfId="3">
      <formula>AND(IF(OR($Q153=1,$Q153=2),1,0),IF($X153&lt;=20,1,0))</formula>
    </cfRule>
    <cfRule type="expression" priority="369" dxfId="2">
      <formula>AND(IF($Q153=2,1,0),IF($X153&lt;30,1,0))</formula>
    </cfRule>
    <cfRule type="expression" priority="370" dxfId="1">
      <formula>AND(IF($Q153=3,1,0),IF($X153&lt;30,1,0))</formula>
    </cfRule>
    <cfRule type="expression" priority="371" dxfId="0">
      <formula>AND(IF($Q153=3,1,IF($Q153=4,1,0)),IF($F153&lt;=85,1,0))</formula>
    </cfRule>
  </conditionalFormatting>
  <conditionalFormatting sqref="AV154">
    <cfRule type="expression" priority="366" dxfId="17">
      <formula>AV154="X"</formula>
    </cfRule>
    <cfRule type="expression" priority="367" dxfId="16">
      <formula>AV154="후보"</formula>
    </cfRule>
  </conditionalFormatting>
  <conditionalFormatting sqref="AC15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5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54">
    <cfRule type="expression" priority="357" dxfId="3">
      <formula>AND(IF(OR($Q154=1,$Q154=2),1,0),IF($X154&lt;=20,1,0))</formula>
    </cfRule>
    <cfRule type="expression" priority="358" dxfId="2">
      <formula>AND(IF($Q154=2,1,0),IF($X154&lt;30,1,0))</formula>
    </cfRule>
    <cfRule type="expression" priority="359" dxfId="1">
      <formula>AND(IF($Q154=3,1,0),IF($X154&lt;30,1,0))</formula>
    </cfRule>
    <cfRule type="expression" priority="360" dxfId="0">
      <formula>AND(IF($Q154=3,1,IF($Q154=4,1,0)),IF($F154&lt;=85,1,0))</formula>
    </cfRule>
  </conditionalFormatting>
  <conditionalFormatting sqref="X154">
    <cfRule type="expression" priority="353" dxfId="3">
      <formula>AND(IF(OR($Q154=1,$Q154=2),1,0),IF($X154&lt;=20,1,0))</formula>
    </cfRule>
    <cfRule type="expression" priority="354" dxfId="2">
      <formula>AND(IF($Q154=2,1,0),IF($X154&lt;30,1,0))</formula>
    </cfRule>
    <cfRule type="expression" priority="355" dxfId="1">
      <formula>AND(IF($Q154=3,1,0),IF($X154&lt;30,1,0))</formula>
    </cfRule>
    <cfRule type="expression" priority="356" dxfId="0">
      <formula>AND(IF($Q154=3,1,IF($Q154=4,1,0)),IF($F154&lt;=85,1,0))</formula>
    </cfRule>
  </conditionalFormatting>
  <conditionalFormatting sqref="AI154">
    <cfRule type="expression" priority="349" dxfId="3">
      <formula>AND(IF(OR($Q154=1,$Q154=2),1,0),IF($X154&lt;=20,1,0))</formula>
    </cfRule>
    <cfRule type="expression" priority="350" dxfId="2">
      <formula>AND(IF($Q154=2,1,0),IF($X154&lt;30,1,0))</formula>
    </cfRule>
    <cfRule type="expression" priority="351" dxfId="1">
      <formula>AND(IF($Q154=3,1,0),IF($X154&lt;30,1,0))</formula>
    </cfRule>
    <cfRule type="expression" priority="352" dxfId="0">
      <formula>AND(IF($Q154=3,1,IF($Q154=4,1,0)),IF($F154&lt;=85,1,0))</formula>
    </cfRule>
  </conditionalFormatting>
  <conditionalFormatting sqref="AV155">
    <cfRule type="expression" priority="347" dxfId="17">
      <formula>AV155="X"</formula>
    </cfRule>
    <cfRule type="expression" priority="348" dxfId="16">
      <formula>AV155="후보"</formula>
    </cfRule>
  </conditionalFormatting>
  <conditionalFormatting sqref="AC15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5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55">
    <cfRule type="expression" priority="338" dxfId="3">
      <formula>AND(IF(OR($Q155=1,$Q155=2),1,0),IF($X155&lt;=20,1,0))</formula>
    </cfRule>
    <cfRule type="expression" priority="339" dxfId="2">
      <formula>AND(IF($Q155=2,1,0),IF($X155&lt;30,1,0))</formula>
    </cfRule>
    <cfRule type="expression" priority="340" dxfId="1">
      <formula>AND(IF($Q155=3,1,0),IF($X155&lt;30,1,0))</formula>
    </cfRule>
    <cfRule type="expression" priority="341" dxfId="0">
      <formula>AND(IF($Q155=3,1,IF($Q155=4,1,0)),IF($F155&lt;=85,1,0))</formula>
    </cfRule>
  </conditionalFormatting>
  <conditionalFormatting sqref="X155">
    <cfRule type="expression" priority="334" dxfId="3">
      <formula>AND(IF(OR($Q155=1,$Q155=2),1,0),IF($X155&lt;=20,1,0))</formula>
    </cfRule>
    <cfRule type="expression" priority="335" dxfId="2">
      <formula>AND(IF($Q155=2,1,0),IF($X155&lt;30,1,0))</formula>
    </cfRule>
    <cfRule type="expression" priority="336" dxfId="1">
      <formula>AND(IF($Q155=3,1,0),IF($X155&lt;30,1,0))</formula>
    </cfRule>
    <cfRule type="expression" priority="337" dxfId="0">
      <formula>AND(IF($Q155=3,1,IF($Q155=4,1,0)),IF($F155&lt;=85,1,0))</formula>
    </cfRule>
  </conditionalFormatting>
  <conditionalFormatting sqref="AI155">
    <cfRule type="expression" priority="330" dxfId="3">
      <formula>AND(IF(OR($Q155=1,$Q155=2),1,0),IF($X155&lt;=20,1,0))</formula>
    </cfRule>
    <cfRule type="expression" priority="331" dxfId="2">
      <formula>AND(IF($Q155=2,1,0),IF($X155&lt;30,1,0))</formula>
    </cfRule>
    <cfRule type="expression" priority="332" dxfId="1">
      <formula>AND(IF($Q155=3,1,0),IF($X155&lt;30,1,0))</formula>
    </cfRule>
    <cfRule type="expression" priority="333" dxfId="0">
      <formula>AND(IF($Q155=3,1,IF($Q155=4,1,0)),IF($F155&lt;=85,1,0))</formula>
    </cfRule>
  </conditionalFormatting>
  <conditionalFormatting sqref="AV156">
    <cfRule type="expression" priority="328" dxfId="17">
      <formula>AV156="X"</formula>
    </cfRule>
    <cfRule type="expression" priority="329" dxfId="16">
      <formula>AV156="후보"</formula>
    </cfRule>
  </conditionalFormatting>
  <conditionalFormatting sqref="AC15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5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56">
    <cfRule type="expression" priority="319" dxfId="3">
      <formula>AND(IF(OR($Q156=1,$Q156=2),1,0),IF($X156&lt;=20,1,0))</formula>
    </cfRule>
    <cfRule type="expression" priority="320" dxfId="2">
      <formula>AND(IF($Q156=2,1,0),IF($X156&lt;30,1,0))</formula>
    </cfRule>
    <cfRule type="expression" priority="321" dxfId="1">
      <formula>AND(IF($Q156=3,1,0),IF($X156&lt;30,1,0))</formula>
    </cfRule>
    <cfRule type="expression" priority="322" dxfId="0">
      <formula>AND(IF($Q156=3,1,IF($Q156=4,1,0)),IF($F156&lt;=85,1,0))</formula>
    </cfRule>
  </conditionalFormatting>
  <conditionalFormatting sqref="X156">
    <cfRule type="expression" priority="315" dxfId="3">
      <formula>AND(IF(OR($Q156=1,$Q156=2),1,0),IF($X156&lt;=20,1,0))</formula>
    </cfRule>
    <cfRule type="expression" priority="316" dxfId="2">
      <formula>AND(IF($Q156=2,1,0),IF($X156&lt;30,1,0))</formula>
    </cfRule>
    <cfRule type="expression" priority="317" dxfId="1">
      <formula>AND(IF($Q156=3,1,0),IF($X156&lt;30,1,0))</formula>
    </cfRule>
    <cfRule type="expression" priority="318" dxfId="0">
      <formula>AND(IF($Q156=3,1,IF($Q156=4,1,0)),IF($F156&lt;=85,1,0))</formula>
    </cfRule>
  </conditionalFormatting>
  <conditionalFormatting sqref="AI156">
    <cfRule type="expression" priority="311" dxfId="3">
      <formula>AND(IF(OR($Q156=1,$Q156=2),1,0),IF($X156&lt;=20,1,0))</formula>
    </cfRule>
    <cfRule type="expression" priority="312" dxfId="2">
      <formula>AND(IF($Q156=2,1,0),IF($X156&lt;30,1,0))</formula>
    </cfRule>
    <cfRule type="expression" priority="313" dxfId="1">
      <formula>AND(IF($Q156=3,1,0),IF($X156&lt;30,1,0))</formula>
    </cfRule>
    <cfRule type="expression" priority="314" dxfId="0">
      <formula>AND(IF($Q156=3,1,IF($Q156=4,1,0)),IF($F156&lt;=85,1,0))</formula>
    </cfRule>
  </conditionalFormatting>
  <conditionalFormatting sqref="AV157">
    <cfRule type="expression" priority="309" dxfId="17">
      <formula>AV157="X"</formula>
    </cfRule>
    <cfRule type="expression" priority="310" dxfId="16">
      <formula>AV157="후보"</formula>
    </cfRule>
  </conditionalFormatting>
  <conditionalFormatting sqref="AC15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5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57">
    <cfRule type="expression" priority="300" dxfId="3">
      <formula>AND(IF(OR($Q157=1,$Q157=2),1,0),IF($X157&lt;=20,1,0))</formula>
    </cfRule>
    <cfRule type="expression" priority="301" dxfId="2">
      <formula>AND(IF($Q157=2,1,0),IF($X157&lt;30,1,0))</formula>
    </cfRule>
    <cfRule type="expression" priority="302" dxfId="1">
      <formula>AND(IF($Q157=3,1,0),IF($X157&lt;30,1,0))</formula>
    </cfRule>
    <cfRule type="expression" priority="303" dxfId="0">
      <formula>AND(IF($Q157=3,1,IF($Q157=4,1,0)),IF($F157&lt;=85,1,0))</formula>
    </cfRule>
  </conditionalFormatting>
  <conditionalFormatting sqref="X157">
    <cfRule type="expression" priority="296" dxfId="3">
      <formula>AND(IF(OR($Q157=1,$Q157=2),1,0),IF($X157&lt;=20,1,0))</formula>
    </cfRule>
    <cfRule type="expression" priority="297" dxfId="2">
      <formula>AND(IF($Q157=2,1,0),IF($X157&lt;30,1,0))</formula>
    </cfRule>
    <cfRule type="expression" priority="298" dxfId="1">
      <formula>AND(IF($Q157=3,1,0),IF($X157&lt;30,1,0))</formula>
    </cfRule>
    <cfRule type="expression" priority="299" dxfId="0">
      <formula>AND(IF($Q157=3,1,IF($Q157=4,1,0)),IF($F157&lt;=85,1,0))</formula>
    </cfRule>
  </conditionalFormatting>
  <conditionalFormatting sqref="AI157">
    <cfRule type="expression" priority="292" dxfId="3">
      <formula>AND(IF(OR($Q157=1,$Q157=2),1,0),IF($X157&lt;=20,1,0))</formula>
    </cfRule>
    <cfRule type="expression" priority="293" dxfId="2">
      <formula>AND(IF($Q157=2,1,0),IF($X157&lt;30,1,0))</formula>
    </cfRule>
    <cfRule type="expression" priority="294" dxfId="1">
      <formula>AND(IF($Q157=3,1,0),IF($X157&lt;30,1,0))</formula>
    </cfRule>
    <cfRule type="expression" priority="295" dxfId="0">
      <formula>AND(IF($Q157=3,1,IF($Q157=4,1,0)),IF($F157&lt;=85,1,0))</formula>
    </cfRule>
  </conditionalFormatting>
  <conditionalFormatting sqref="AV158">
    <cfRule type="expression" priority="290" dxfId="17">
      <formula>AV158="X"</formula>
    </cfRule>
    <cfRule type="expression" priority="291" dxfId="16">
      <formula>AV158="후보"</formula>
    </cfRule>
  </conditionalFormatting>
  <conditionalFormatting sqref="AC15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5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58">
    <cfRule type="expression" priority="281" dxfId="3">
      <formula>AND(IF(OR($Q158=1,$Q158=2),1,0),IF($X158&lt;=20,1,0))</formula>
    </cfRule>
    <cfRule type="expression" priority="282" dxfId="2">
      <formula>AND(IF($Q158=2,1,0),IF($X158&lt;30,1,0))</formula>
    </cfRule>
    <cfRule type="expression" priority="283" dxfId="1">
      <formula>AND(IF($Q158=3,1,0),IF($X158&lt;30,1,0))</formula>
    </cfRule>
    <cfRule type="expression" priority="284" dxfId="0">
      <formula>AND(IF($Q158=3,1,IF($Q158=4,1,0)),IF($F158&lt;=85,1,0))</formula>
    </cfRule>
  </conditionalFormatting>
  <conditionalFormatting sqref="X158">
    <cfRule type="expression" priority="277" dxfId="3">
      <formula>AND(IF(OR($Q158=1,$Q158=2),1,0),IF($X158&lt;=20,1,0))</formula>
    </cfRule>
    <cfRule type="expression" priority="278" dxfId="2">
      <formula>AND(IF($Q158=2,1,0),IF($X158&lt;30,1,0))</formula>
    </cfRule>
    <cfRule type="expression" priority="279" dxfId="1">
      <formula>AND(IF($Q158=3,1,0),IF($X158&lt;30,1,0))</formula>
    </cfRule>
    <cfRule type="expression" priority="280" dxfId="0">
      <formula>AND(IF($Q158=3,1,IF($Q158=4,1,0)),IF($F158&lt;=85,1,0))</formula>
    </cfRule>
  </conditionalFormatting>
  <conditionalFormatting sqref="AI158">
    <cfRule type="expression" priority="273" dxfId="3">
      <formula>AND(IF(OR($Q158=1,$Q158=2),1,0),IF($X158&lt;=20,1,0))</formula>
    </cfRule>
    <cfRule type="expression" priority="274" dxfId="2">
      <formula>AND(IF($Q158=2,1,0),IF($X158&lt;30,1,0))</formula>
    </cfRule>
    <cfRule type="expression" priority="275" dxfId="1">
      <formula>AND(IF($Q158=3,1,0),IF($X158&lt;30,1,0))</formula>
    </cfRule>
    <cfRule type="expression" priority="276" dxfId="0">
      <formula>AND(IF($Q158=3,1,IF($Q158=4,1,0)),IF($F158&lt;=85,1,0))</formula>
    </cfRule>
  </conditionalFormatting>
  <conditionalFormatting sqref="AV159">
    <cfRule type="expression" priority="271" dxfId="17">
      <formula>AV159="X"</formula>
    </cfRule>
    <cfRule type="expression" priority="272" dxfId="16">
      <formula>AV159="후보"</formula>
    </cfRule>
  </conditionalFormatting>
  <conditionalFormatting sqref="AC15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59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59">
    <cfRule type="expression" priority="262" dxfId="3">
      <formula>AND(IF(OR($Q159=1,$Q159=2),1,0),IF($X159&lt;=20,1,0))</formula>
    </cfRule>
    <cfRule type="expression" priority="263" dxfId="2">
      <formula>AND(IF($Q159=2,1,0),IF($X159&lt;30,1,0))</formula>
    </cfRule>
    <cfRule type="expression" priority="264" dxfId="1">
      <formula>AND(IF($Q159=3,1,0),IF($X159&lt;30,1,0))</formula>
    </cfRule>
    <cfRule type="expression" priority="265" dxfId="0">
      <formula>AND(IF($Q159=3,1,IF($Q159=4,1,0)),IF($F159&lt;=85,1,0))</formula>
    </cfRule>
  </conditionalFormatting>
  <conditionalFormatting sqref="X159">
    <cfRule type="expression" priority="258" dxfId="3">
      <formula>AND(IF(OR($Q159=1,$Q159=2),1,0),IF($X159&lt;=20,1,0))</formula>
    </cfRule>
    <cfRule type="expression" priority="259" dxfId="2">
      <formula>AND(IF($Q159=2,1,0),IF($X159&lt;30,1,0))</formula>
    </cfRule>
    <cfRule type="expression" priority="260" dxfId="1">
      <formula>AND(IF($Q159=3,1,0),IF($X159&lt;30,1,0))</formula>
    </cfRule>
    <cfRule type="expression" priority="261" dxfId="0">
      <formula>AND(IF($Q159=3,1,IF($Q159=4,1,0)),IF($F159&lt;=85,1,0))</formula>
    </cfRule>
  </conditionalFormatting>
  <conditionalFormatting sqref="AI159">
    <cfRule type="expression" priority="254" dxfId="3">
      <formula>AND(IF(OR($Q159=1,$Q159=2),1,0),IF($X159&lt;=20,1,0))</formula>
    </cfRule>
    <cfRule type="expression" priority="255" dxfId="2">
      <formula>AND(IF($Q159=2,1,0),IF($X159&lt;30,1,0))</formula>
    </cfRule>
    <cfRule type="expression" priority="256" dxfId="1">
      <formula>AND(IF($Q159=3,1,0),IF($X159&lt;30,1,0))</formula>
    </cfRule>
    <cfRule type="expression" priority="257" dxfId="0">
      <formula>AND(IF($Q159=3,1,IF($Q159=4,1,0)),IF($F159&lt;=85,1,0))</formula>
    </cfRule>
  </conditionalFormatting>
  <conditionalFormatting sqref="AV160">
    <cfRule type="expression" priority="252" dxfId="17">
      <formula>AV160="X"</formula>
    </cfRule>
    <cfRule type="expression" priority="253" dxfId="16">
      <formula>AV160="후보"</formula>
    </cfRule>
  </conditionalFormatting>
  <conditionalFormatting sqref="AC160 N16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161">
    <cfRule type="expression" priority="247" dxfId="17">
      <formula>AV161="X"</formula>
    </cfRule>
    <cfRule type="expression" priority="248" dxfId="16">
      <formula>AV161="후보"</formula>
    </cfRule>
  </conditionalFormatting>
  <conditionalFormatting sqref="AC16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6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61">
    <cfRule type="expression" priority="238" dxfId="3">
      <formula>AND(IF(OR($Q161=1,$Q161=2),1,0),IF($X161&lt;=20,1,0))</formula>
    </cfRule>
    <cfRule type="expression" priority="239" dxfId="2">
      <formula>AND(IF($Q161=2,1,0),IF($X161&lt;30,1,0))</formula>
    </cfRule>
    <cfRule type="expression" priority="240" dxfId="1">
      <formula>AND(IF($Q161=3,1,0),IF($X161&lt;30,1,0))</formula>
    </cfRule>
    <cfRule type="expression" priority="241" dxfId="0">
      <formula>AND(IF($Q161=3,1,IF($Q161=4,1,0)),IF($F161&lt;=85,1,0))</formula>
    </cfRule>
  </conditionalFormatting>
  <conditionalFormatting sqref="X161">
    <cfRule type="expression" priority="234" dxfId="3">
      <formula>AND(IF(OR($Q161=1,$Q161=2),1,0),IF($X161&lt;=20,1,0))</formula>
    </cfRule>
    <cfRule type="expression" priority="235" dxfId="2">
      <formula>AND(IF($Q161=2,1,0),IF($X161&lt;30,1,0))</formula>
    </cfRule>
    <cfRule type="expression" priority="236" dxfId="1">
      <formula>AND(IF($Q161=3,1,0),IF($X161&lt;30,1,0))</formula>
    </cfRule>
    <cfRule type="expression" priority="237" dxfId="0">
      <formula>AND(IF($Q161=3,1,IF($Q161=4,1,0)),IF($F161&lt;=85,1,0))</formula>
    </cfRule>
  </conditionalFormatting>
  <conditionalFormatting sqref="AI161">
    <cfRule type="expression" priority="230" dxfId="3">
      <formula>AND(IF(OR($Q161=1,$Q161=2),1,0),IF($X161&lt;=20,1,0))</formula>
    </cfRule>
    <cfRule type="expression" priority="231" dxfId="2">
      <formula>AND(IF($Q161=2,1,0),IF($X161&lt;30,1,0))</formula>
    </cfRule>
    <cfRule type="expression" priority="232" dxfId="1">
      <formula>AND(IF($Q161=3,1,0),IF($X161&lt;30,1,0))</formula>
    </cfRule>
    <cfRule type="expression" priority="233" dxfId="0">
      <formula>AND(IF($Q161=3,1,IF($Q161=4,1,0)),IF($F161&lt;=85,1,0))</formula>
    </cfRule>
  </conditionalFormatting>
  <conditionalFormatting sqref="AV162">
    <cfRule type="expression" priority="228" dxfId="17">
      <formula>AV162="X"</formula>
    </cfRule>
    <cfRule type="expression" priority="229" dxfId="16">
      <formula>AV162="후보"</formula>
    </cfRule>
  </conditionalFormatting>
  <conditionalFormatting sqref="AC16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6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62">
    <cfRule type="expression" priority="219" dxfId="3">
      <formula>AND(IF(OR($Q162=1,$Q162=2),1,0),IF($X162&lt;=20,1,0))</formula>
    </cfRule>
    <cfRule type="expression" priority="220" dxfId="2">
      <formula>AND(IF($Q162=2,1,0),IF($X162&lt;30,1,0))</formula>
    </cfRule>
    <cfRule type="expression" priority="221" dxfId="1">
      <formula>AND(IF($Q162=3,1,0),IF($X162&lt;30,1,0))</formula>
    </cfRule>
    <cfRule type="expression" priority="222" dxfId="0">
      <formula>AND(IF($Q162=3,1,IF($Q162=4,1,0)),IF($F162&lt;=85,1,0))</formula>
    </cfRule>
  </conditionalFormatting>
  <conditionalFormatting sqref="X162">
    <cfRule type="expression" priority="215" dxfId="3">
      <formula>AND(IF(OR($Q162=1,$Q162=2),1,0),IF($X162&lt;=20,1,0))</formula>
    </cfRule>
    <cfRule type="expression" priority="216" dxfId="2">
      <formula>AND(IF($Q162=2,1,0),IF($X162&lt;30,1,0))</formula>
    </cfRule>
    <cfRule type="expression" priority="217" dxfId="1">
      <formula>AND(IF($Q162=3,1,0),IF($X162&lt;30,1,0))</formula>
    </cfRule>
    <cfRule type="expression" priority="218" dxfId="0">
      <formula>AND(IF($Q162=3,1,IF($Q162=4,1,0)),IF($F162&lt;=85,1,0))</formula>
    </cfRule>
  </conditionalFormatting>
  <conditionalFormatting sqref="AI162">
    <cfRule type="expression" priority="211" dxfId="3">
      <formula>AND(IF(OR($Q162=1,$Q162=2),1,0),IF($X162&lt;=20,1,0))</formula>
    </cfRule>
    <cfRule type="expression" priority="212" dxfId="2">
      <formula>AND(IF($Q162=2,1,0),IF($X162&lt;30,1,0))</formula>
    </cfRule>
    <cfRule type="expression" priority="213" dxfId="1">
      <formula>AND(IF($Q162=3,1,0),IF($X162&lt;30,1,0))</formula>
    </cfRule>
    <cfRule type="expression" priority="214" dxfId="0">
      <formula>AND(IF($Q162=3,1,IF($Q162=4,1,0)),IF($F162&lt;=85,1,0))</formula>
    </cfRule>
  </conditionalFormatting>
  <conditionalFormatting sqref="AV163">
    <cfRule type="expression" priority="209" dxfId="17">
      <formula>AV163="X"</formula>
    </cfRule>
    <cfRule type="expression" priority="210" dxfId="16">
      <formula>AV163="후보"</formula>
    </cfRule>
  </conditionalFormatting>
  <conditionalFormatting sqref="AC16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6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63">
    <cfRule type="expression" priority="200" dxfId="3">
      <formula>AND(IF(OR($Q163=1,$Q163=2),1,0),IF($X163&lt;=20,1,0))</formula>
    </cfRule>
    <cfRule type="expression" priority="201" dxfId="2">
      <formula>AND(IF($Q163=2,1,0),IF($X163&lt;30,1,0))</formula>
    </cfRule>
    <cfRule type="expression" priority="202" dxfId="1">
      <formula>AND(IF($Q163=3,1,0),IF($X163&lt;30,1,0))</formula>
    </cfRule>
    <cfRule type="expression" priority="203" dxfId="0">
      <formula>AND(IF($Q163=3,1,IF($Q163=4,1,0)),IF($F163&lt;=85,1,0))</formula>
    </cfRule>
  </conditionalFormatting>
  <conditionalFormatting sqref="X163">
    <cfRule type="expression" priority="196" dxfId="3">
      <formula>AND(IF(OR($Q163=1,$Q163=2),1,0),IF($X163&lt;=20,1,0))</formula>
    </cfRule>
    <cfRule type="expression" priority="197" dxfId="2">
      <formula>AND(IF($Q163=2,1,0),IF($X163&lt;30,1,0))</formula>
    </cfRule>
    <cfRule type="expression" priority="198" dxfId="1">
      <formula>AND(IF($Q163=3,1,0),IF($X163&lt;30,1,0))</formula>
    </cfRule>
    <cfRule type="expression" priority="199" dxfId="0">
      <formula>AND(IF($Q163=3,1,IF($Q163=4,1,0)),IF($F163&lt;=85,1,0))</formula>
    </cfRule>
  </conditionalFormatting>
  <conditionalFormatting sqref="AI163">
    <cfRule type="expression" priority="192" dxfId="3">
      <formula>AND(IF(OR($Q163=1,$Q163=2),1,0),IF($X163&lt;=20,1,0))</formula>
    </cfRule>
    <cfRule type="expression" priority="193" dxfId="2">
      <formula>AND(IF($Q163=2,1,0),IF($X163&lt;30,1,0))</formula>
    </cfRule>
    <cfRule type="expression" priority="194" dxfId="1">
      <formula>AND(IF($Q163=3,1,0),IF($X163&lt;30,1,0))</formula>
    </cfRule>
    <cfRule type="expression" priority="195" dxfId="0">
      <formula>AND(IF($Q163=3,1,IF($Q163=4,1,0)),IF($F163&lt;=85,1,0))</formula>
    </cfRule>
  </conditionalFormatting>
  <conditionalFormatting sqref="AV164">
    <cfRule type="expression" priority="190" dxfId="17">
      <formula>AV164="X"</formula>
    </cfRule>
    <cfRule type="expression" priority="191" dxfId="16">
      <formula>AV164="후보"</formula>
    </cfRule>
  </conditionalFormatting>
  <conditionalFormatting sqref="AC16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164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164">
    <cfRule type="expression" priority="181" dxfId="3">
      <formula>AND(IF(OR($Q164=1,$Q164=2),1,0),IF($X164&lt;=20,1,0))</formula>
    </cfRule>
    <cfRule type="expression" priority="182" dxfId="2">
      <formula>AND(IF($Q164=2,1,0),IF($X164&lt;30,1,0))</formula>
    </cfRule>
    <cfRule type="expression" priority="183" dxfId="1">
      <formula>AND(IF($Q164=3,1,0),IF($X164&lt;30,1,0))</formula>
    </cfRule>
    <cfRule type="expression" priority="184" dxfId="0">
      <formula>AND(IF($Q164=3,1,IF($Q164=4,1,0)),IF($F164&lt;=85,1,0))</formula>
    </cfRule>
  </conditionalFormatting>
  <conditionalFormatting sqref="X164">
    <cfRule type="expression" priority="177" dxfId="3">
      <formula>AND(IF(OR($Q164=1,$Q164=2),1,0),IF($X164&lt;=20,1,0))</formula>
    </cfRule>
    <cfRule type="expression" priority="178" dxfId="2">
      <formula>AND(IF($Q164=2,1,0),IF($X164&lt;30,1,0))</formula>
    </cfRule>
    <cfRule type="expression" priority="179" dxfId="1">
      <formula>AND(IF($Q164=3,1,0),IF($X164&lt;30,1,0))</formula>
    </cfRule>
    <cfRule type="expression" priority="180" dxfId="0">
      <formula>AND(IF($Q164=3,1,IF($Q164=4,1,0)),IF($F164&lt;=85,1,0))</formula>
    </cfRule>
  </conditionalFormatting>
  <conditionalFormatting sqref="AI164">
    <cfRule type="expression" priority="173" dxfId="3">
      <formula>AND(IF(OR($Q164=1,$Q164=2),1,0),IF($X164&lt;=20,1,0))</formula>
    </cfRule>
    <cfRule type="expression" priority="174" dxfId="2">
      <formula>AND(IF($Q164=2,1,0),IF($X164&lt;30,1,0))</formula>
    </cfRule>
    <cfRule type="expression" priority="175" dxfId="1">
      <formula>AND(IF($Q164=3,1,0),IF($X164&lt;30,1,0))</formula>
    </cfRule>
    <cfRule type="expression" priority="176" dxfId="0">
      <formula>AND(IF($Q164=3,1,IF($Q164=4,1,0)),IF($F164&lt;=85,1,0))</formula>
    </cfRule>
  </conditionalFormatting>
  <conditionalFormatting sqref="AV165">
    <cfRule type="expression" priority="171" dxfId="17">
      <formula>AV165="X"</formula>
    </cfRule>
    <cfRule type="expression" priority="172" dxfId="16">
      <formula>AV165="후보"</formula>
    </cfRule>
  </conditionalFormatting>
  <conditionalFormatting sqref="AC165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165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165">
    <cfRule type="expression" priority="162" dxfId="3">
      <formula>AND(IF(OR($Q165=1,$Q165=2),1,0),IF($X165&lt;=20,1,0))</formula>
    </cfRule>
    <cfRule type="expression" priority="163" dxfId="2">
      <formula>AND(IF($Q165=2,1,0),IF($X165&lt;30,1,0))</formula>
    </cfRule>
    <cfRule type="expression" priority="164" dxfId="1">
      <formula>AND(IF($Q165=3,1,0),IF($X165&lt;30,1,0))</formula>
    </cfRule>
    <cfRule type="expression" priority="165" dxfId="0">
      <formula>AND(IF($Q165=3,1,IF($Q165=4,1,0)),IF($F165&lt;=85,1,0))</formula>
    </cfRule>
  </conditionalFormatting>
  <conditionalFormatting sqref="X165">
    <cfRule type="expression" priority="158" dxfId="3">
      <formula>AND(IF(OR($Q165=1,$Q165=2),1,0),IF($X165&lt;=20,1,0))</formula>
    </cfRule>
    <cfRule type="expression" priority="159" dxfId="2">
      <formula>AND(IF($Q165=2,1,0),IF($X165&lt;30,1,0))</formula>
    </cfRule>
    <cfRule type="expression" priority="160" dxfId="1">
      <formula>AND(IF($Q165=3,1,0),IF($X165&lt;30,1,0))</formula>
    </cfRule>
    <cfRule type="expression" priority="161" dxfId="0">
      <formula>AND(IF($Q165=3,1,IF($Q165=4,1,0)),IF($F165&lt;=85,1,0))</formula>
    </cfRule>
  </conditionalFormatting>
  <conditionalFormatting sqref="AI165">
    <cfRule type="expression" priority="154" dxfId="3">
      <formula>AND(IF(OR($Q165=1,$Q165=2),1,0),IF($X165&lt;=20,1,0))</formula>
    </cfRule>
    <cfRule type="expression" priority="155" dxfId="2">
      <formula>AND(IF($Q165=2,1,0),IF($X165&lt;30,1,0))</formula>
    </cfRule>
    <cfRule type="expression" priority="156" dxfId="1">
      <formula>AND(IF($Q165=3,1,0),IF($X165&lt;30,1,0))</formula>
    </cfRule>
    <cfRule type="expression" priority="157" dxfId="0">
      <formula>AND(IF($Q165=3,1,IF($Q165=4,1,0)),IF($F165&lt;=85,1,0))</formula>
    </cfRule>
  </conditionalFormatting>
  <conditionalFormatting sqref="AV166">
    <cfRule type="expression" priority="152" dxfId="17">
      <formula>AV166="X"</formula>
    </cfRule>
    <cfRule type="expression" priority="153" dxfId="16">
      <formula>AV166="후보"</formula>
    </cfRule>
  </conditionalFormatting>
  <conditionalFormatting sqref="AC166 N166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167">
    <cfRule type="expression" priority="147" dxfId="17">
      <formula>AV167="X"</formula>
    </cfRule>
    <cfRule type="expression" priority="148" dxfId="16">
      <formula>AV167="후보"</formula>
    </cfRule>
  </conditionalFormatting>
  <conditionalFormatting sqref="AC16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67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67">
    <cfRule type="expression" priority="138" dxfId="3">
      <formula>AND(IF(OR($Q167=1,$Q167=2),1,0),IF($X167&lt;=20,1,0))</formula>
    </cfRule>
    <cfRule type="expression" priority="139" dxfId="2">
      <formula>AND(IF($Q167=2,1,0),IF($X167&lt;30,1,0))</formula>
    </cfRule>
    <cfRule type="expression" priority="140" dxfId="1">
      <formula>AND(IF($Q167=3,1,0),IF($X167&lt;30,1,0))</formula>
    </cfRule>
    <cfRule type="expression" priority="141" dxfId="0">
      <formula>AND(IF($Q167=3,1,IF($Q167=4,1,0)),IF($F167&lt;=85,1,0))</formula>
    </cfRule>
  </conditionalFormatting>
  <conditionalFormatting sqref="X167">
    <cfRule type="expression" priority="134" dxfId="3">
      <formula>AND(IF(OR($Q167=1,$Q167=2),1,0),IF($X167&lt;=20,1,0))</formula>
    </cfRule>
    <cfRule type="expression" priority="135" dxfId="2">
      <formula>AND(IF($Q167=2,1,0),IF($X167&lt;30,1,0))</formula>
    </cfRule>
    <cfRule type="expression" priority="136" dxfId="1">
      <formula>AND(IF($Q167=3,1,0),IF($X167&lt;30,1,0))</formula>
    </cfRule>
    <cfRule type="expression" priority="137" dxfId="0">
      <formula>AND(IF($Q167=3,1,IF($Q167=4,1,0)),IF($F167&lt;=85,1,0))</formula>
    </cfRule>
  </conditionalFormatting>
  <conditionalFormatting sqref="AI167">
    <cfRule type="expression" priority="130" dxfId="3">
      <formula>AND(IF(OR($Q167=1,$Q167=2),1,0),IF($X167&lt;=20,1,0))</formula>
    </cfRule>
    <cfRule type="expression" priority="131" dxfId="2">
      <formula>AND(IF($Q167=2,1,0),IF($X167&lt;30,1,0))</formula>
    </cfRule>
    <cfRule type="expression" priority="132" dxfId="1">
      <formula>AND(IF($Q167=3,1,0),IF($X167&lt;30,1,0))</formula>
    </cfRule>
    <cfRule type="expression" priority="133" dxfId="0">
      <formula>AND(IF($Q167=3,1,IF($Q167=4,1,0)),IF($F167&lt;=85,1,0))</formula>
    </cfRule>
  </conditionalFormatting>
  <conditionalFormatting sqref="AV168">
    <cfRule type="expression" priority="128" dxfId="17">
      <formula>AV168="X"</formula>
    </cfRule>
    <cfRule type="expression" priority="129" dxfId="16">
      <formula>AV168="후보"</formula>
    </cfRule>
  </conditionalFormatting>
  <conditionalFormatting sqref="AC16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168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168">
    <cfRule type="expression" priority="119" dxfId="3">
      <formula>AND(IF(OR($Q168=1,$Q168=2),1,0),IF($X168&lt;=20,1,0))</formula>
    </cfRule>
    <cfRule type="expression" priority="120" dxfId="2">
      <formula>AND(IF($Q168=2,1,0),IF($X168&lt;30,1,0))</formula>
    </cfRule>
    <cfRule type="expression" priority="121" dxfId="1">
      <formula>AND(IF($Q168=3,1,0),IF($X168&lt;30,1,0))</formula>
    </cfRule>
    <cfRule type="expression" priority="122" dxfId="0">
      <formula>AND(IF($Q168=3,1,IF($Q168=4,1,0)),IF($F168&lt;=85,1,0))</formula>
    </cfRule>
  </conditionalFormatting>
  <conditionalFormatting sqref="X168">
    <cfRule type="expression" priority="115" dxfId="3">
      <formula>AND(IF(OR($Q168=1,$Q168=2),1,0),IF($X168&lt;=20,1,0))</formula>
    </cfRule>
    <cfRule type="expression" priority="116" dxfId="2">
      <formula>AND(IF($Q168=2,1,0),IF($X168&lt;30,1,0))</formula>
    </cfRule>
    <cfRule type="expression" priority="117" dxfId="1">
      <formula>AND(IF($Q168=3,1,0),IF($X168&lt;30,1,0))</formula>
    </cfRule>
    <cfRule type="expression" priority="118" dxfId="0">
      <formula>AND(IF($Q168=3,1,IF($Q168=4,1,0)),IF($F168&lt;=85,1,0))</formula>
    </cfRule>
  </conditionalFormatting>
  <conditionalFormatting sqref="AI168">
    <cfRule type="expression" priority="111" dxfId="3">
      <formula>AND(IF(OR($Q168=1,$Q168=2),1,0),IF($X168&lt;=20,1,0))</formula>
    </cfRule>
    <cfRule type="expression" priority="112" dxfId="2">
      <formula>AND(IF($Q168=2,1,0),IF($X168&lt;30,1,0))</formula>
    </cfRule>
    <cfRule type="expression" priority="113" dxfId="1">
      <formula>AND(IF($Q168=3,1,0),IF($X168&lt;30,1,0))</formula>
    </cfRule>
    <cfRule type="expression" priority="114" dxfId="0">
      <formula>AND(IF($Q168=3,1,IF($Q168=4,1,0)),IF($F168&lt;=85,1,0))</formula>
    </cfRule>
  </conditionalFormatting>
  <conditionalFormatting sqref="AV169">
    <cfRule type="expression" priority="109" dxfId="17">
      <formula>AV169="X"</formula>
    </cfRule>
    <cfRule type="expression" priority="110" dxfId="16">
      <formula>AV169="후보"</formula>
    </cfRule>
  </conditionalFormatting>
  <conditionalFormatting sqref="AC169 N169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170">
    <cfRule type="expression" priority="104" dxfId="17">
      <formula>AV170="X"</formula>
    </cfRule>
    <cfRule type="expression" priority="105" dxfId="16">
      <formula>AV170="후보"</formula>
    </cfRule>
  </conditionalFormatting>
  <conditionalFormatting sqref="AC17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70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70">
    <cfRule type="expression" priority="95" dxfId="3">
      <formula>AND(IF(OR($Q170=1,$Q170=2),1,0),IF($X170&lt;=20,1,0))</formula>
    </cfRule>
    <cfRule type="expression" priority="96" dxfId="2">
      <formula>AND(IF($Q170=2,1,0),IF($X170&lt;30,1,0))</formula>
    </cfRule>
    <cfRule type="expression" priority="97" dxfId="1">
      <formula>AND(IF($Q170=3,1,0),IF($X170&lt;30,1,0))</formula>
    </cfRule>
    <cfRule type="expression" priority="98" dxfId="0">
      <formula>AND(IF($Q170=3,1,IF($Q170=4,1,0)),IF($F170&lt;=85,1,0))</formula>
    </cfRule>
  </conditionalFormatting>
  <conditionalFormatting sqref="X170">
    <cfRule type="expression" priority="91" dxfId="3">
      <formula>AND(IF(OR($Q170=1,$Q170=2),1,0),IF($X170&lt;=20,1,0))</formula>
    </cfRule>
    <cfRule type="expression" priority="92" dxfId="2">
      <formula>AND(IF($Q170=2,1,0),IF($X170&lt;30,1,0))</formula>
    </cfRule>
    <cfRule type="expression" priority="93" dxfId="1">
      <formula>AND(IF($Q170=3,1,0),IF($X170&lt;30,1,0))</formula>
    </cfRule>
    <cfRule type="expression" priority="94" dxfId="0">
      <formula>AND(IF($Q170=3,1,IF($Q170=4,1,0)),IF($F170&lt;=85,1,0))</formula>
    </cfRule>
  </conditionalFormatting>
  <conditionalFormatting sqref="AI170">
    <cfRule type="expression" priority="87" dxfId="3">
      <formula>AND(IF(OR($Q170=1,$Q170=2),1,0),IF($X170&lt;=20,1,0))</formula>
    </cfRule>
    <cfRule type="expression" priority="88" dxfId="2">
      <formula>AND(IF($Q170=2,1,0),IF($X170&lt;30,1,0))</formula>
    </cfRule>
    <cfRule type="expression" priority="89" dxfId="1">
      <formula>AND(IF($Q170=3,1,0),IF($X170&lt;30,1,0))</formula>
    </cfRule>
    <cfRule type="expression" priority="90" dxfId="0">
      <formula>AND(IF($Q170=3,1,IF($Q170=4,1,0)),IF($F170&lt;=85,1,0))</formula>
    </cfRule>
  </conditionalFormatting>
  <conditionalFormatting sqref="AV171">
    <cfRule type="expression" priority="85" dxfId="17">
      <formula>AV171="X"</formula>
    </cfRule>
    <cfRule type="expression" priority="86" dxfId="16">
      <formula>AV171="후보"</formula>
    </cfRule>
  </conditionalFormatting>
  <conditionalFormatting sqref="AC171 N171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72">
    <cfRule type="expression" priority="80" dxfId="17">
      <formula>AV172="X"</formula>
    </cfRule>
    <cfRule type="expression" priority="81" dxfId="16">
      <formula>AV172="후보"</formula>
    </cfRule>
  </conditionalFormatting>
  <conditionalFormatting sqref="AC1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2">
    <cfRule type="expression" priority="71" dxfId="3">
      <formula>AND(IF(OR($Q172=1,$Q172=2),1,0),IF($X172&lt;=20,1,0))</formula>
    </cfRule>
    <cfRule type="expression" priority="72" dxfId="2">
      <formula>AND(IF($Q172=2,1,0),IF($X172&lt;30,1,0))</formula>
    </cfRule>
    <cfRule type="expression" priority="73" dxfId="1">
      <formula>AND(IF($Q172=3,1,0),IF($X172&lt;30,1,0))</formula>
    </cfRule>
    <cfRule type="expression" priority="74" dxfId="0">
      <formula>AND(IF($Q172=3,1,IF($Q172=4,1,0)),IF($F172&lt;=85,1,0))</formula>
    </cfRule>
  </conditionalFormatting>
  <conditionalFormatting sqref="X172">
    <cfRule type="expression" priority="67" dxfId="3">
      <formula>AND(IF(OR($Q172=1,$Q172=2),1,0),IF($X172&lt;=20,1,0))</formula>
    </cfRule>
    <cfRule type="expression" priority="68" dxfId="2">
      <formula>AND(IF($Q172=2,1,0),IF($X172&lt;30,1,0))</formula>
    </cfRule>
    <cfRule type="expression" priority="69" dxfId="1">
      <formula>AND(IF($Q172=3,1,0),IF($X172&lt;30,1,0))</formula>
    </cfRule>
    <cfRule type="expression" priority="70" dxfId="0">
      <formula>AND(IF($Q172=3,1,IF($Q172=4,1,0)),IF($F172&lt;=85,1,0))</formula>
    </cfRule>
  </conditionalFormatting>
  <conditionalFormatting sqref="AI172">
    <cfRule type="expression" priority="63" dxfId="3">
      <formula>AND(IF(OR($Q172=1,$Q172=2),1,0),IF($X172&lt;=20,1,0))</formula>
    </cfRule>
    <cfRule type="expression" priority="64" dxfId="2">
      <formula>AND(IF($Q172=2,1,0),IF($X172&lt;30,1,0))</formula>
    </cfRule>
    <cfRule type="expression" priority="65" dxfId="1">
      <formula>AND(IF($Q172=3,1,0),IF($X172&lt;30,1,0))</formula>
    </cfRule>
    <cfRule type="expression" priority="66" dxfId="0">
      <formula>AND(IF($Q172=3,1,IF($Q172=4,1,0)),IF($F172&lt;=85,1,0))</formula>
    </cfRule>
  </conditionalFormatting>
  <conditionalFormatting sqref="AV173">
    <cfRule type="expression" priority="61" dxfId="17">
      <formula>AV173="X"</formula>
    </cfRule>
    <cfRule type="expression" priority="62" dxfId="16">
      <formula>AV173="후보"</formula>
    </cfRule>
  </conditionalFormatting>
  <conditionalFormatting sqref="AC17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7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73">
    <cfRule type="expression" priority="52" dxfId="3">
      <formula>AND(IF(OR($Q173=1,$Q173=2),1,0),IF($X173&lt;=20,1,0))</formula>
    </cfRule>
    <cfRule type="expression" priority="53" dxfId="2">
      <formula>AND(IF($Q173=2,1,0),IF($X173&lt;30,1,0))</formula>
    </cfRule>
    <cfRule type="expression" priority="54" dxfId="1">
      <formula>AND(IF($Q173=3,1,0),IF($X173&lt;30,1,0))</formula>
    </cfRule>
    <cfRule type="expression" priority="55" dxfId="0">
      <formula>AND(IF($Q173=3,1,IF($Q173=4,1,0)),IF($F173&lt;=85,1,0))</formula>
    </cfRule>
  </conditionalFormatting>
  <conditionalFormatting sqref="X173">
    <cfRule type="expression" priority="48" dxfId="3">
      <formula>AND(IF(OR($Q173=1,$Q173=2),1,0),IF($X173&lt;=20,1,0))</formula>
    </cfRule>
    <cfRule type="expression" priority="49" dxfId="2">
      <formula>AND(IF($Q173=2,1,0),IF($X173&lt;30,1,0))</formula>
    </cfRule>
    <cfRule type="expression" priority="50" dxfId="1">
      <formula>AND(IF($Q173=3,1,0),IF($X173&lt;30,1,0))</formula>
    </cfRule>
    <cfRule type="expression" priority="51" dxfId="0">
      <formula>AND(IF($Q173=3,1,IF($Q173=4,1,0)),IF($F173&lt;=85,1,0))</formula>
    </cfRule>
  </conditionalFormatting>
  <conditionalFormatting sqref="AI173">
    <cfRule type="expression" priority="44" dxfId="3">
      <formula>AND(IF(OR($Q173=1,$Q173=2),1,0),IF($X173&lt;=20,1,0))</formula>
    </cfRule>
    <cfRule type="expression" priority="45" dxfId="2">
      <formula>AND(IF($Q173=2,1,0),IF($X173&lt;30,1,0))</formula>
    </cfRule>
    <cfRule type="expression" priority="46" dxfId="1">
      <formula>AND(IF($Q173=3,1,0),IF($X173&lt;30,1,0))</formula>
    </cfRule>
    <cfRule type="expression" priority="47" dxfId="0">
      <formula>AND(IF($Q173=3,1,IF($Q173=4,1,0)),IF($F173&lt;=85,1,0))</formula>
    </cfRule>
  </conditionalFormatting>
  <conditionalFormatting sqref="AV174">
    <cfRule type="expression" priority="42" dxfId="17">
      <formula>AV174="X"</formula>
    </cfRule>
    <cfRule type="expression" priority="43" dxfId="16">
      <formula>AV174="후보"</formula>
    </cfRule>
  </conditionalFormatting>
  <conditionalFormatting sqref="AC174 N17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75">
    <cfRule type="expression" priority="37" dxfId="17">
      <formula>AV175="X"</formula>
    </cfRule>
    <cfRule type="expression" priority="38" dxfId="16">
      <formula>AV175="후보"</formula>
    </cfRule>
  </conditionalFormatting>
  <conditionalFormatting sqref="AC1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5">
    <cfRule type="expression" priority="28" dxfId="3">
      <formula>AND(IF(OR($Q175=1,$Q175=2),1,0),IF($X175&lt;=20,1,0))</formula>
    </cfRule>
    <cfRule type="expression" priority="29" dxfId="2">
      <formula>AND(IF($Q175=2,1,0),IF($X175&lt;30,1,0))</formula>
    </cfRule>
    <cfRule type="expression" priority="30" dxfId="1">
      <formula>AND(IF($Q175=3,1,0),IF($X175&lt;30,1,0))</formula>
    </cfRule>
    <cfRule type="expression" priority="31" dxfId="0">
      <formula>AND(IF($Q175=3,1,IF($Q175=4,1,0)),IF($F175&lt;=85,1,0))</formula>
    </cfRule>
  </conditionalFormatting>
  <conditionalFormatting sqref="X175">
    <cfRule type="expression" priority="24" dxfId="3">
      <formula>AND(IF(OR($Q175=1,$Q175=2),1,0),IF($X175&lt;=20,1,0))</formula>
    </cfRule>
    <cfRule type="expression" priority="25" dxfId="2">
      <formula>AND(IF($Q175=2,1,0),IF($X175&lt;30,1,0))</formula>
    </cfRule>
    <cfRule type="expression" priority="26" dxfId="1">
      <formula>AND(IF($Q175=3,1,0),IF($X175&lt;30,1,0))</formula>
    </cfRule>
    <cfRule type="expression" priority="27" dxfId="0">
      <formula>AND(IF($Q175=3,1,IF($Q175=4,1,0)),IF($F175&lt;=85,1,0))</formula>
    </cfRule>
  </conditionalFormatting>
  <conditionalFormatting sqref="AI175">
    <cfRule type="expression" priority="20" dxfId="3">
      <formula>AND(IF(OR($Q175=1,$Q175=2),1,0),IF($X175&lt;=20,1,0))</formula>
    </cfRule>
    <cfRule type="expression" priority="21" dxfId="2">
      <formula>AND(IF($Q175=2,1,0),IF($X175&lt;30,1,0))</formula>
    </cfRule>
    <cfRule type="expression" priority="22" dxfId="1">
      <formula>AND(IF($Q175=3,1,0),IF($X175&lt;30,1,0))</formula>
    </cfRule>
    <cfRule type="expression" priority="23" dxfId="0">
      <formula>AND(IF($Q175=3,1,IF($Q175=4,1,0)),IF($F175&lt;=85,1,0))</formula>
    </cfRule>
  </conditionalFormatting>
  <conditionalFormatting sqref="AV176">
    <cfRule type="expression" priority="18" dxfId="17">
      <formula>AV176="X"</formula>
    </cfRule>
    <cfRule type="expression" priority="19" dxfId="16">
      <formula>AV176="후보"</formula>
    </cfRule>
  </conditionalFormatting>
  <conditionalFormatting sqref="AC1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6">
    <cfRule type="expression" priority="9" dxfId="3">
      <formula>AND(IF(OR($Q176=1,$Q176=2),1,0),IF($X176&lt;=20,1,0))</formula>
    </cfRule>
    <cfRule type="expression" priority="10" dxfId="2">
      <formula>AND(IF($Q176=2,1,0),IF($X176&lt;30,1,0))</formula>
    </cfRule>
    <cfRule type="expression" priority="11" dxfId="1">
      <formula>AND(IF($Q176=3,1,0),IF($X176&lt;30,1,0))</formula>
    </cfRule>
    <cfRule type="expression" priority="12" dxfId="0">
      <formula>AND(IF($Q176=3,1,IF($Q176=4,1,0)),IF($F176&lt;=85,1,0))</formula>
    </cfRule>
  </conditionalFormatting>
  <conditionalFormatting sqref="X176">
    <cfRule type="expression" priority="5" dxfId="3">
      <formula>AND(IF(OR($Q176=1,$Q176=2),1,0),IF($X176&lt;=20,1,0))</formula>
    </cfRule>
    <cfRule type="expression" priority="6" dxfId="2">
      <formula>AND(IF($Q176=2,1,0),IF($X176&lt;30,1,0))</formula>
    </cfRule>
    <cfRule type="expression" priority="7" dxfId="1">
      <formula>AND(IF($Q176=3,1,0),IF($X176&lt;30,1,0))</formula>
    </cfRule>
    <cfRule type="expression" priority="8" dxfId="0">
      <formula>AND(IF($Q176=3,1,IF($Q176=4,1,0)),IF($F176&lt;=85,1,0))</formula>
    </cfRule>
  </conditionalFormatting>
  <conditionalFormatting sqref="AI176">
    <cfRule type="expression" priority="1" dxfId="3">
      <formula>AND(IF(OR($Q176=1,$Q176=2),1,0),IF($X176&lt;=20,1,0))</formula>
    </cfRule>
    <cfRule type="expression" priority="2" dxfId="2">
      <formula>AND(IF($Q176=2,1,0),IF($X176&lt;30,1,0))</formula>
    </cfRule>
    <cfRule type="expression" priority="3" dxfId="1">
      <formula>AND(IF($Q176=3,1,0),IF($X176&lt;30,1,0))</formula>
    </cfRule>
    <cfRule type="expression" priority="4" dxfId="0">
      <formula>AND(IF($Q176=3,1,IF($Q176=4,1,0)),IF($F176&lt;=85,1,0))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조원동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더샵광교산퍼스트파크</t>
        </is>
      </c>
      <c r="B6" s="16" t="inlineStr">
        <is>
          <t>'22.05.</t>
        </is>
      </c>
      <c r="C6" s="164" t="n">
        <v>666</v>
      </c>
      <c r="D6" s="161" t="n">
        <v>57.1</v>
      </c>
      <c r="E6" s="163" t="n">
        <v>17</v>
      </c>
      <c r="F6" s="161" t="n">
        <v>36.6</v>
      </c>
      <c r="G6" s="27" t="n">
        <v>11</v>
      </c>
      <c r="H6" s="164" t="n">
        <v>114</v>
      </c>
      <c r="I6" s="165" t="n"/>
      <c r="J6" s="165" t="n"/>
      <c r="K6" s="165" t="n">
        <v>20490</v>
      </c>
      <c r="L6" s="165" t="inlineStr">
        <is>
          <t>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n">
        <v>57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더샵광교산퍼스트파크</t>
        </is>
      </c>
      <c r="B7" s="16" t="inlineStr">
        <is>
          <t>'22.05.</t>
        </is>
      </c>
      <c r="C7" s="164" t="n">
        <v>666</v>
      </c>
      <c r="D7" s="161" t="n">
        <v>85.5</v>
      </c>
      <c r="E7" s="163" t="n">
        <v>26</v>
      </c>
      <c r="F7" s="161" t="n">
        <v>60</v>
      </c>
      <c r="G7" s="27" t="n">
        <v>18</v>
      </c>
      <c r="H7" s="164" t="n">
        <v>113</v>
      </c>
      <c r="I7" s="165" t="n">
        <v>70000</v>
      </c>
      <c r="J7" s="165" t="inlineStr">
        <is>
          <t>17</t>
        </is>
      </c>
      <c r="K7" s="165" t="n">
        <v>36000</v>
      </c>
      <c r="L7" s="165" t="inlineStr">
        <is>
          <t>15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85A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더샵광교산퍼스트파크</t>
        </is>
      </c>
      <c r="B8" s="16" t="inlineStr">
        <is>
          <t>'22.05.</t>
        </is>
      </c>
      <c r="C8" s="164" t="n">
        <v>666</v>
      </c>
      <c r="D8" s="161" t="n">
        <v>85.8</v>
      </c>
      <c r="E8" s="163" t="n">
        <v>26</v>
      </c>
      <c r="F8" s="161" t="n">
        <v>59.7</v>
      </c>
      <c r="G8" s="27" t="n">
        <v>18</v>
      </c>
      <c r="H8" s="164" t="n">
        <v>39</v>
      </c>
      <c r="I8" s="165" t="n">
        <v>68000</v>
      </c>
      <c r="J8" s="165" t="inlineStr">
        <is>
          <t>19</t>
        </is>
      </c>
      <c r="K8" s="165" t="n">
        <v>36000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더샵광교산퍼스트파크</t>
        </is>
      </c>
      <c r="B9" s="16" t="inlineStr">
        <is>
          <t>'22.05.</t>
        </is>
      </c>
      <c r="C9" s="164" t="n">
        <v>666</v>
      </c>
      <c r="D9" s="161" t="n">
        <v>98.2</v>
      </c>
      <c r="E9" s="163" t="n">
        <v>30</v>
      </c>
      <c r="F9" s="161" t="n">
        <v>71.5</v>
      </c>
      <c r="G9" s="27" t="n">
        <v>22</v>
      </c>
      <c r="H9" s="164" t="n">
        <v>40</v>
      </c>
      <c r="I9" s="165" t="n"/>
      <c r="J9" s="165" t="n"/>
      <c r="K9" s="165" t="n">
        <v>40000</v>
      </c>
      <c r="L9" s="165" t="inlineStr">
        <is>
          <t>21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더샵광교산퍼스트파크</t>
        </is>
      </c>
      <c r="B10" s="16" t="inlineStr">
        <is>
          <t>'22.05.</t>
        </is>
      </c>
      <c r="C10" s="164" t="n">
        <v>666</v>
      </c>
      <c r="D10" s="161" t="n">
        <v>99</v>
      </c>
      <c r="E10" s="163" t="n">
        <v>30</v>
      </c>
      <c r="F10" s="161" t="n">
        <v>71.5</v>
      </c>
      <c r="G10" s="27" t="n">
        <v>22</v>
      </c>
      <c r="H10" s="164" t="n">
        <v>20</v>
      </c>
      <c r="I10" s="165" t="n"/>
      <c r="J10" s="165" t="n"/>
      <c r="K10" s="165" t="n">
        <v>39000</v>
      </c>
      <c r="L10" s="165" t="inlineStr">
        <is>
          <t>14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98C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더샵광교산퍼스트파크</t>
        </is>
      </c>
      <c r="B11" s="16" t="inlineStr">
        <is>
          <t>'22.05.</t>
        </is>
      </c>
      <c r="C11" s="164" t="n">
        <v>666</v>
      </c>
      <c r="D11" s="161" t="n">
        <v>99</v>
      </c>
      <c r="E11" s="163" t="n">
        <v>30</v>
      </c>
      <c r="F11" s="161" t="n">
        <v>71.3</v>
      </c>
      <c r="G11" s="27" t="n">
        <v>22</v>
      </c>
      <c r="H11" s="164" t="n">
        <v>20</v>
      </c>
      <c r="I11" s="165" t="n"/>
      <c r="J11" s="165" t="n"/>
      <c r="K11" s="165" t="n">
        <v>40000</v>
      </c>
      <c r="L11" s="165" t="inlineStr">
        <is>
          <t>19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더샵광교산퍼스트파크</t>
        </is>
      </c>
      <c r="B12" s="16" t="inlineStr">
        <is>
          <t>'22.05.</t>
        </is>
      </c>
      <c r="C12" s="164" t="n">
        <v>666</v>
      </c>
      <c r="D12" s="161" t="n">
        <v>114.6</v>
      </c>
      <c r="E12" s="163" t="n">
        <v>35</v>
      </c>
      <c r="F12" s="161" t="n">
        <v>85</v>
      </c>
      <c r="G12" s="27" t="n">
        <v>26</v>
      </c>
      <c r="H12" s="164" t="n">
        <v>160</v>
      </c>
      <c r="I12" s="165" t="n"/>
      <c r="J12" s="165" t="n"/>
      <c r="K12" s="165" t="n">
        <v>38000</v>
      </c>
      <c r="L12" s="165" t="inlineStr">
        <is>
          <t>중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더샵광교산퍼스트파크</t>
        </is>
      </c>
      <c r="B13" s="16" t="inlineStr">
        <is>
          <t>'22.05.</t>
        </is>
      </c>
      <c r="C13" s="164" t="n">
        <v>666</v>
      </c>
      <c r="D13" s="161" t="n">
        <v>115.1</v>
      </c>
      <c r="E13" s="163" t="n">
        <v>35</v>
      </c>
      <c r="F13" s="161" t="n">
        <v>85</v>
      </c>
      <c r="G13" s="27" t="n">
        <v>26</v>
      </c>
      <c r="H13" s="164" t="n">
        <v>80</v>
      </c>
      <c r="I13" s="165" t="n"/>
      <c r="J13" s="165" t="n"/>
      <c r="K13" s="165" t="n">
        <v>38000</v>
      </c>
      <c r="L13" s="165" t="inlineStr">
        <is>
          <t>고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더샵광교산퍼스트파크</t>
        </is>
      </c>
      <c r="B14" s="16" t="inlineStr">
        <is>
          <t>'22.05.</t>
        </is>
      </c>
      <c r="C14" s="164" t="n">
        <v>666</v>
      </c>
      <c r="D14" s="161" t="n">
        <v>115.1</v>
      </c>
      <c r="E14" s="163" t="n">
        <v>35</v>
      </c>
      <c r="F14" s="161" t="n">
        <v>85</v>
      </c>
      <c r="G14" s="27" t="n">
        <v>26</v>
      </c>
      <c r="H14" s="164" t="n">
        <v>80</v>
      </c>
      <c r="I14" s="165" t="n"/>
      <c r="J14" s="165" t="n"/>
      <c r="K14" s="165" t="n">
        <v>38000</v>
      </c>
      <c r="L14" s="165" t="inlineStr">
        <is>
          <t>고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115C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수원광교산스위첸</t>
        </is>
      </c>
      <c r="B16" s="16" t="inlineStr">
        <is>
          <t>'10.06.</t>
        </is>
      </c>
      <c r="C16" s="164" t="n">
        <v>218</v>
      </c>
      <c r="D16" s="161" t="n">
        <v>151.3</v>
      </c>
      <c r="E16" s="163" t="n">
        <v>46</v>
      </c>
      <c r="F16" s="161" t="n">
        <v>120.7</v>
      </c>
      <c r="G16" s="27" t="n">
        <v>37</v>
      </c>
      <c r="H16" s="164" t="n">
        <v>109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151B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수원광교산스위첸</t>
        </is>
      </c>
      <c r="B17" s="16" t="inlineStr">
        <is>
          <t>'10.06.</t>
        </is>
      </c>
      <c r="C17" s="164" t="n">
        <v>218</v>
      </c>
      <c r="D17" s="161" t="n">
        <v>151.3</v>
      </c>
      <c r="E17" s="163" t="n">
        <v>46</v>
      </c>
      <c r="F17" s="161" t="n">
        <v>121</v>
      </c>
      <c r="G17" s="27" t="n">
        <v>37</v>
      </c>
      <c r="H17" s="164" t="n">
        <v>84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151C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수원광교산스위첸</t>
        </is>
      </c>
      <c r="B18" s="16" t="inlineStr">
        <is>
          <t>'10.06.</t>
        </is>
      </c>
      <c r="C18" s="164" t="n">
        <v>218</v>
      </c>
      <c r="D18" s="161" t="n">
        <v>151.6</v>
      </c>
      <c r="E18" s="163" t="n">
        <v>46</v>
      </c>
      <c r="F18" s="161" t="n">
        <v>122</v>
      </c>
      <c r="G18" s="27" t="n">
        <v>37</v>
      </c>
      <c r="H18" s="164" t="n">
        <v>25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151A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광교산임광그대가</t>
        </is>
      </c>
      <c r="B20" s="16" t="inlineStr">
        <is>
          <t>'10.06.</t>
        </is>
      </c>
      <c r="C20" s="164" t="n">
        <v>482</v>
      </c>
      <c r="D20" s="161" t="n">
        <v>80.2</v>
      </c>
      <c r="E20" s="163" t="n">
        <v>24</v>
      </c>
      <c r="F20" s="161" t="n">
        <v>59.6</v>
      </c>
      <c r="G20" s="27" t="n">
        <v>18</v>
      </c>
      <c r="H20" s="164" t="n">
        <v>100</v>
      </c>
      <c r="I20" s="165" t="n">
        <v>56000</v>
      </c>
      <c r="J20" s="165" t="inlineStr">
        <is>
          <t>13</t>
        </is>
      </c>
      <c r="K20" s="165" t="n">
        <v>40000</v>
      </c>
      <c r="L20" s="165" t="inlineStr">
        <is>
          <t>고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광교산임광그대가</t>
        </is>
      </c>
      <c r="B21" s="16" t="inlineStr">
        <is>
          <t>'10.06.</t>
        </is>
      </c>
      <c r="C21" s="164" t="n">
        <v>482</v>
      </c>
      <c r="D21" s="161" t="n">
        <v>125.6</v>
      </c>
      <c r="E21" s="163" t="n">
        <v>38</v>
      </c>
      <c r="F21" s="161" t="n">
        <v>101.5</v>
      </c>
      <c r="G21" s="27" t="n">
        <v>31</v>
      </c>
      <c r="H21" s="164" t="n">
        <v>78</v>
      </c>
      <c r="I21" s="165" t="n">
        <v>82000</v>
      </c>
      <c r="J21" s="165" t="inlineStr">
        <is>
          <t>9</t>
        </is>
      </c>
      <c r="K21" s="165" t="n">
        <v>45000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125B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광교산임광그대가</t>
        </is>
      </c>
      <c r="B22" s="16" t="inlineStr">
        <is>
          <t>'10.06.</t>
        </is>
      </c>
      <c r="C22" s="164" t="n">
        <v>482</v>
      </c>
      <c r="D22" s="161" t="n">
        <v>125.9</v>
      </c>
      <c r="E22" s="163" t="n">
        <v>38</v>
      </c>
      <c r="F22" s="161" t="n">
        <v>101.6</v>
      </c>
      <c r="G22" s="27" t="n">
        <v>31</v>
      </c>
      <c r="H22" s="164" t="n">
        <v>66</v>
      </c>
      <c r="I22" s="165" t="n">
        <v>75000</v>
      </c>
      <c r="J22" s="165" t="inlineStr">
        <is>
          <t>6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125A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광교산임광그대가</t>
        </is>
      </c>
      <c r="B23" s="16" t="inlineStr">
        <is>
          <t>'10.06.</t>
        </is>
      </c>
      <c r="C23" s="164" t="n">
        <v>482</v>
      </c>
      <c r="D23" s="161" t="n">
        <v>152.3</v>
      </c>
      <c r="E23" s="163" t="n">
        <v>46</v>
      </c>
      <c r="F23" s="161" t="n">
        <v>124.5</v>
      </c>
      <c r="G23" s="27" t="n">
        <v>38</v>
      </c>
      <c r="H23" s="164" t="n">
        <v>130</v>
      </c>
      <c r="I23" s="165" t="n">
        <v>82000</v>
      </c>
      <c r="J23" s="165" t="inlineStr">
        <is>
          <t>중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152B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광교산임광그대가</t>
        </is>
      </c>
      <c r="B24" s="16" t="inlineStr">
        <is>
          <t>'10.06.</t>
        </is>
      </c>
      <c r="C24" s="164" t="n">
        <v>482</v>
      </c>
      <c r="D24" s="161" t="n">
        <v>152.1</v>
      </c>
      <c r="E24" s="163" t="n">
        <v>46</v>
      </c>
      <c r="F24" s="161" t="n">
        <v>124.8</v>
      </c>
      <c r="G24" s="27" t="n">
        <v>38</v>
      </c>
      <c r="H24" s="164" t="n">
        <v>108</v>
      </c>
      <c r="I24" s="165" t="n">
        <v>85000</v>
      </c>
      <c r="J24" s="165" t="inlineStr">
        <is>
          <t>15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152A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벽산</t>
        </is>
      </c>
      <c r="B26" s="16" t="inlineStr">
        <is>
          <t>'89.07.</t>
        </is>
      </c>
      <c r="C26" s="164" t="n">
        <v>740</v>
      </c>
      <c r="D26" s="161" t="n">
        <v>69.3</v>
      </c>
      <c r="E26" s="163" t="n">
        <v>21</v>
      </c>
      <c r="F26" s="161" t="n">
        <v>54.9</v>
      </c>
      <c r="G26" s="27" t="n">
        <v>17</v>
      </c>
      <c r="H26" s="164" t="n">
        <v>160</v>
      </c>
      <c r="I26" s="165" t="n">
        <v>36000</v>
      </c>
      <c r="J26" s="165" t="inlineStr">
        <is>
          <t>7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복</t>
        </is>
      </c>
      <c r="T26" s="8" t="n">
        <v>69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벽산</t>
        </is>
      </c>
      <c r="B27" s="16" t="inlineStr">
        <is>
          <t>'89.07.</t>
        </is>
      </c>
      <c r="C27" s="164" t="n">
        <v>740</v>
      </c>
      <c r="D27" s="161" t="n">
        <v>81.59999999999999</v>
      </c>
      <c r="E27" s="163" t="n">
        <v>25</v>
      </c>
      <c r="F27" s="161" t="n">
        <v>64.7</v>
      </c>
      <c r="G27" s="27" t="n">
        <v>20</v>
      </c>
      <c r="H27" s="164" t="n">
        <v>160</v>
      </c>
      <c r="I27" s="165" t="n"/>
      <c r="J27" s="165" t="n"/>
      <c r="K27" s="165" t="n">
        <v>22000</v>
      </c>
      <c r="L27" s="165" t="inlineStr">
        <is>
          <t>9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81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벽산</t>
        </is>
      </c>
      <c r="B28" s="16" t="inlineStr">
        <is>
          <t>'89.07.</t>
        </is>
      </c>
      <c r="C28" s="164" t="n">
        <v>740</v>
      </c>
      <c r="D28" s="161" t="n">
        <v>92.8</v>
      </c>
      <c r="E28" s="163" t="n">
        <v>28</v>
      </c>
      <c r="F28" s="161" t="n">
        <v>74.7</v>
      </c>
      <c r="G28" s="27" t="n">
        <v>23</v>
      </c>
      <c r="H28" s="164" t="n">
        <v>180</v>
      </c>
      <c r="I28" s="165" t="n">
        <v>47000</v>
      </c>
      <c r="J28" s="165" t="inlineStr">
        <is>
          <t>6</t>
        </is>
      </c>
      <c r="K28" s="165" t="n">
        <v>24000</v>
      </c>
      <c r="L28" s="165" t="inlineStr">
        <is>
          <t>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1</v>
      </c>
      <c r="S28" s="113" t="inlineStr">
        <is>
          <t>계</t>
        </is>
      </c>
      <c r="T28" s="8" t="n">
        <v>92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벽산</t>
        </is>
      </c>
      <c r="B29" s="16" t="inlineStr">
        <is>
          <t>'89.07.</t>
        </is>
      </c>
      <c r="C29" s="164" t="n">
        <v>740</v>
      </c>
      <c r="D29" s="161" t="n">
        <v>103.8</v>
      </c>
      <c r="E29" s="163" t="n">
        <v>31</v>
      </c>
      <c r="F29" s="161" t="n">
        <v>84.5</v>
      </c>
      <c r="G29" s="27" t="n">
        <v>26</v>
      </c>
      <c r="H29" s="164" t="n">
        <v>160</v>
      </c>
      <c r="I29" s="165" t="n">
        <v>50000</v>
      </c>
      <c r="J29" s="165" t="inlineStr">
        <is>
          <t>8</t>
        </is>
      </c>
      <c r="K29" s="165" t="n">
        <v>29000</v>
      </c>
      <c r="L29" s="165" t="inlineStr">
        <is>
          <t>10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벽산</t>
        </is>
      </c>
      <c r="B30" s="16" t="inlineStr">
        <is>
          <t>'89.07.</t>
        </is>
      </c>
      <c r="C30" s="164" t="n">
        <v>740</v>
      </c>
      <c r="D30" s="161" t="n">
        <v>131.7</v>
      </c>
      <c r="E30" s="163" t="n">
        <v>40</v>
      </c>
      <c r="F30" s="161" t="n">
        <v>109.9</v>
      </c>
      <c r="G30" s="27" t="n">
        <v>33</v>
      </c>
      <c r="H30" s="164" t="n">
        <v>40</v>
      </c>
      <c r="I30" s="165" t="n"/>
      <c r="J30" s="165" t="n"/>
      <c r="K30" s="165" t="n">
        <v>28000</v>
      </c>
      <c r="L30" s="165" t="inlineStr">
        <is>
          <t>중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131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벽산</t>
        </is>
      </c>
      <c r="B31" s="16" t="inlineStr">
        <is>
          <t>'89.07.</t>
        </is>
      </c>
      <c r="C31" s="164" t="n">
        <v>740</v>
      </c>
      <c r="D31" s="161" t="n">
        <v>150.6</v>
      </c>
      <c r="E31" s="163" t="n">
        <v>46</v>
      </c>
      <c r="F31" s="161" t="n">
        <v>126</v>
      </c>
      <c r="G31" s="27" t="n">
        <v>38</v>
      </c>
      <c r="H31" s="164" t="n">
        <v>40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150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주공뉴타운2단지</t>
        </is>
      </c>
      <c r="B33" s="16" t="inlineStr">
        <is>
          <t>'01.12.</t>
        </is>
      </c>
      <c r="C33" s="164" t="n">
        <v>1586</v>
      </c>
      <c r="D33" s="161" t="n">
        <v>67.3</v>
      </c>
      <c r="E33" s="163" t="n">
        <v>20</v>
      </c>
      <c r="F33" s="161" t="n">
        <v>49.6</v>
      </c>
      <c r="G33" s="27" t="n">
        <v>15</v>
      </c>
      <c r="H33" s="164" t="n">
        <v>38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67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주공뉴타운2단지</t>
        </is>
      </c>
      <c r="B34" s="16" t="inlineStr">
        <is>
          <t>'01.12.</t>
        </is>
      </c>
      <c r="C34" s="164" t="n">
        <v>1586</v>
      </c>
      <c r="D34" s="161" t="n">
        <v>80.7</v>
      </c>
      <c r="E34" s="163" t="n">
        <v>24</v>
      </c>
      <c r="F34" s="161" t="n">
        <v>59.4</v>
      </c>
      <c r="G34" s="27" t="n">
        <v>18</v>
      </c>
      <c r="H34" s="164" t="n">
        <v>774</v>
      </c>
      <c r="I34" s="165" t="n">
        <v>37000</v>
      </c>
      <c r="J34" s="165" t="inlineStr">
        <is>
          <t>고</t>
        </is>
      </c>
      <c r="K34" s="165" t="n">
        <v>27000</v>
      </c>
      <c r="L34" s="165" t="inlineStr">
        <is>
          <t>16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inlineStr">
        <is>
          <t>80B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주공뉴타운2단지</t>
        </is>
      </c>
      <c r="B35" s="16" t="inlineStr">
        <is>
          <t>'01.12.</t>
        </is>
      </c>
      <c r="C35" s="164" t="n">
        <v>1586</v>
      </c>
      <c r="D35" s="161" t="n">
        <v>80.40000000000001</v>
      </c>
      <c r="E35" s="163" t="n">
        <v>24</v>
      </c>
      <c r="F35" s="161" t="n">
        <v>59.2</v>
      </c>
      <c r="G35" s="27" t="n">
        <v>18</v>
      </c>
      <c r="H35" s="164" t="n">
        <v>98</v>
      </c>
      <c r="I35" s="165" t="n">
        <v>42000</v>
      </c>
      <c r="J35" s="165" t="inlineStr">
        <is>
          <t>8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inlineStr">
        <is>
          <t>80A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주공뉴타운2단지</t>
        </is>
      </c>
      <c r="B36" s="16" t="inlineStr">
        <is>
          <t>'01.12.</t>
        </is>
      </c>
      <c r="C36" s="164" t="n">
        <v>1586</v>
      </c>
      <c r="D36" s="161" t="n">
        <v>114.5</v>
      </c>
      <c r="E36" s="163" t="n">
        <v>35</v>
      </c>
      <c r="F36" s="161" t="n">
        <v>84.3</v>
      </c>
      <c r="G36" s="27" t="n">
        <v>26</v>
      </c>
      <c r="H36" s="164" t="n">
        <v>638</v>
      </c>
      <c r="I36" s="165" t="n">
        <v>52000</v>
      </c>
      <c r="J36" s="165" t="inlineStr">
        <is>
          <t>13</t>
        </is>
      </c>
      <c r="K36" s="165" t="n">
        <v>31000</v>
      </c>
      <c r="L36" s="165" t="inlineStr">
        <is>
          <t>5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114A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주공뉴타운2단지</t>
        </is>
      </c>
      <c r="B37" s="16" t="inlineStr">
        <is>
          <t>'01.12.</t>
        </is>
      </c>
      <c r="C37" s="164" t="n">
        <v>1586</v>
      </c>
      <c r="D37" s="161" t="n">
        <v>114.7</v>
      </c>
      <c r="E37" s="163" t="n">
        <v>35</v>
      </c>
      <c r="F37" s="161" t="n">
        <v>84.5</v>
      </c>
      <c r="G37" s="27" t="n">
        <v>26</v>
      </c>
      <c r="H37" s="164" t="n">
        <v>38</v>
      </c>
      <c r="I37" s="165" t="n">
        <v>57000</v>
      </c>
      <c r="J37" s="165" t="inlineStr">
        <is>
          <t>10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114B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수원한일타운</t>
        </is>
      </c>
      <c r="B39" s="16" t="inlineStr">
        <is>
          <t>'99.08.</t>
        </is>
      </c>
      <c r="C39" s="164" t="n">
        <v>5282</v>
      </c>
      <c r="D39" s="161" t="n">
        <v>81.8</v>
      </c>
      <c r="E39" s="163" t="n">
        <v>25</v>
      </c>
      <c r="F39" s="161" t="n">
        <v>59.8</v>
      </c>
      <c r="G39" s="27" t="n">
        <v>18</v>
      </c>
      <c r="H39" s="164" t="n">
        <v>974</v>
      </c>
      <c r="I39" s="165" t="n">
        <v>45000</v>
      </c>
      <c r="J39" s="165" t="inlineStr">
        <is>
          <t>중</t>
        </is>
      </c>
      <c r="K39" s="165" t="n">
        <v>26000</v>
      </c>
      <c r="L39" s="165" t="inlineStr">
        <is>
          <t>14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81B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수원한일타운</t>
        </is>
      </c>
      <c r="B40" s="16" t="inlineStr">
        <is>
          <t>'99.08.</t>
        </is>
      </c>
      <c r="C40" s="164" t="n">
        <v>5282</v>
      </c>
      <c r="D40" s="161" t="n">
        <v>82</v>
      </c>
      <c r="E40" s="163" t="n">
        <v>25</v>
      </c>
      <c r="F40" s="161" t="n">
        <v>60</v>
      </c>
      <c r="G40" s="27" t="n">
        <v>18</v>
      </c>
      <c r="H40" s="164" t="n">
        <v>666</v>
      </c>
      <c r="I40" s="165" t="n">
        <v>49000</v>
      </c>
      <c r="J40" s="165" t="inlineStr">
        <is>
          <t>중</t>
        </is>
      </c>
      <c r="K40" s="165" t="n">
        <v>27000</v>
      </c>
      <c r="L40" s="165" t="inlineStr">
        <is>
          <t>7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81A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수원한일타운</t>
        </is>
      </c>
      <c r="B41" s="16" t="inlineStr">
        <is>
          <t>'99.08.</t>
        </is>
      </c>
      <c r="C41" s="164" t="n">
        <v>5282</v>
      </c>
      <c r="D41" s="161" t="n">
        <v>109.2</v>
      </c>
      <c r="E41" s="163" t="n">
        <v>33</v>
      </c>
      <c r="F41" s="161" t="n">
        <v>84.8</v>
      </c>
      <c r="G41" s="27" t="n">
        <v>26</v>
      </c>
      <c r="H41" s="164" t="n">
        <v>2324</v>
      </c>
      <c r="I41" s="165" t="n">
        <v>61000</v>
      </c>
      <c r="J41" s="165" t="inlineStr">
        <is>
          <t>10</t>
        </is>
      </c>
      <c r="K41" s="165" t="n">
        <v>32000</v>
      </c>
      <c r="L41" s="165" t="inlineStr">
        <is>
          <t>6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수원한일타운</t>
        </is>
      </c>
      <c r="B42" s="16" t="inlineStr">
        <is>
          <t>'99.08.</t>
        </is>
      </c>
      <c r="C42" s="164" t="n">
        <v>5282</v>
      </c>
      <c r="D42" s="161" t="n">
        <v>127.3</v>
      </c>
      <c r="E42" s="163" t="n">
        <v>39</v>
      </c>
      <c r="F42" s="161" t="n">
        <v>100</v>
      </c>
      <c r="G42" s="27" t="n">
        <v>30</v>
      </c>
      <c r="H42" s="164" t="n">
        <v>352</v>
      </c>
      <c r="I42" s="165" t="n">
        <v>77000</v>
      </c>
      <c r="J42" s="165" t="inlineStr">
        <is>
          <t>10</t>
        </is>
      </c>
      <c r="K42" s="165" t="n">
        <v>48000</v>
      </c>
      <c r="L42" s="165" t="inlineStr">
        <is>
          <t>19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127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수원한일타운</t>
        </is>
      </c>
      <c r="B43" s="16" t="inlineStr">
        <is>
          <t>'99.08.</t>
        </is>
      </c>
      <c r="C43" s="164" t="n">
        <v>5282</v>
      </c>
      <c r="D43" s="161" t="n">
        <v>149.7</v>
      </c>
      <c r="E43" s="163" t="n">
        <v>45</v>
      </c>
      <c r="F43" s="161" t="n">
        <v>121.5</v>
      </c>
      <c r="G43" s="27" t="n">
        <v>37</v>
      </c>
      <c r="H43" s="164" t="n">
        <v>368</v>
      </c>
      <c r="I43" s="165" t="n">
        <v>90000</v>
      </c>
      <c r="J43" s="165" t="inlineStr">
        <is>
          <t>6</t>
        </is>
      </c>
      <c r="K43" s="165" t="n">
        <v>55000</v>
      </c>
      <c r="L43" s="165" t="inlineStr">
        <is>
          <t>8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149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수원한일타운</t>
        </is>
      </c>
      <c r="B44" s="16" t="inlineStr">
        <is>
          <t>'99.08.</t>
        </is>
      </c>
      <c r="C44" s="164" t="n">
        <v>5282</v>
      </c>
      <c r="D44" s="161" t="n">
        <v>165.3</v>
      </c>
      <c r="E44" s="163" t="n">
        <v>50</v>
      </c>
      <c r="F44" s="161" t="n">
        <v>135</v>
      </c>
      <c r="G44" s="27" t="n">
        <v>41</v>
      </c>
      <c r="H44" s="164" t="n">
        <v>368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165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수원한일타운</t>
        </is>
      </c>
      <c r="B45" s="16" t="inlineStr">
        <is>
          <t>'99.08.</t>
        </is>
      </c>
      <c r="C45" s="164" t="n">
        <v>5282</v>
      </c>
      <c r="D45" s="161" t="n">
        <v>205.5</v>
      </c>
      <c r="E45" s="163" t="n">
        <v>62</v>
      </c>
      <c r="F45" s="161" t="n">
        <v>164.9</v>
      </c>
      <c r="G45" s="27" t="n">
        <v>50</v>
      </c>
      <c r="H45" s="164" t="n">
        <v>230</v>
      </c>
      <c r="I45" s="165" t="n">
        <v>85000</v>
      </c>
      <c r="J45" s="165" t="inlineStr">
        <is>
          <t>14</t>
        </is>
      </c>
      <c r="K45" s="165" t="n">
        <v>50000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205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주공뉴타운1단지</t>
        </is>
      </c>
      <c r="B47" s="16" t="inlineStr">
        <is>
          <t>'01.12.</t>
        </is>
      </c>
      <c r="C47" s="164" t="n">
        <v>768</v>
      </c>
      <c r="D47" s="161" t="n">
        <v>110.7</v>
      </c>
      <c r="E47" s="163" t="n">
        <v>33</v>
      </c>
      <c r="F47" s="161" t="n">
        <v>84.3</v>
      </c>
      <c r="G47" s="27" t="n">
        <v>26</v>
      </c>
      <c r="H47" s="164" t="n">
        <v>728</v>
      </c>
      <c r="I47" s="165" t="n">
        <v>53000</v>
      </c>
      <c r="J47" s="165" t="inlineStr">
        <is>
          <t>12</t>
        </is>
      </c>
      <c r="K47" s="165" t="n">
        <v>30000</v>
      </c>
      <c r="L47" s="165" t="inlineStr">
        <is>
          <t>20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110A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주공뉴타운1단지</t>
        </is>
      </c>
      <c r="B48" s="16" t="inlineStr">
        <is>
          <t>'01.12.</t>
        </is>
      </c>
      <c r="C48" s="164" t="n">
        <v>768</v>
      </c>
      <c r="D48" s="161" t="n">
        <v>110.9</v>
      </c>
      <c r="E48" s="163" t="n">
        <v>34</v>
      </c>
      <c r="F48" s="161" t="n">
        <v>84.5</v>
      </c>
      <c r="G48" s="27" t="n">
        <v>26</v>
      </c>
      <c r="H48" s="164" t="n">
        <v>40</v>
      </c>
      <c r="I48" s="165" t="n">
        <v>65000</v>
      </c>
      <c r="J48" s="165" t="inlineStr">
        <is>
          <t>9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110B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34" dxfId="17">
      <formula>AV4="X"</formula>
    </cfRule>
    <cfRule type="expression" priority="735" dxfId="16">
      <formula>AV4="후보"</formula>
    </cfRule>
  </conditionalFormatting>
  <conditionalFormatting sqref="AC1:AC2 AC4:AC6 N4:N5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N1:N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6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6">
    <cfRule type="expression" priority="723" dxfId="3">
      <formula>AND(IF(OR($Q6=1,$Q6=2),1,0),IF($X6&lt;=20,1,0))</formula>
    </cfRule>
    <cfRule type="expression" priority="724" dxfId="2">
      <formula>AND(IF($Q6=2,1,0),IF($X6&lt;30,1,0))</formula>
    </cfRule>
    <cfRule type="expression" priority="725" dxfId="1">
      <formula>AND(IF($Q6=3,1,0),IF($X6&lt;30,1,0))</formula>
    </cfRule>
    <cfRule type="expression" priority="726" dxfId="0">
      <formula>AND(IF($Q6=3,1,IF($Q6=4,1,0)),IF($F6&lt;=85,1,0))</formula>
    </cfRule>
  </conditionalFormatting>
  <conditionalFormatting sqref="X6">
    <cfRule type="expression" priority="719" dxfId="3">
      <formula>AND(IF(OR($Q6=1,$Q6=2),1,0),IF($X6&lt;=20,1,0))</formula>
    </cfRule>
    <cfRule type="expression" priority="720" dxfId="2">
      <formula>AND(IF($Q6=2,1,0),IF($X6&lt;30,1,0))</formula>
    </cfRule>
    <cfRule type="expression" priority="721" dxfId="1">
      <formula>AND(IF($Q6=3,1,0),IF($X6&lt;30,1,0))</formula>
    </cfRule>
    <cfRule type="expression" priority="722" dxfId="0">
      <formula>AND(IF($Q6=3,1,IF($Q6=4,1,0)),IF($F6&lt;=85,1,0))</formula>
    </cfRule>
  </conditionalFormatting>
  <conditionalFormatting sqref="AI6">
    <cfRule type="expression" priority="715" dxfId="3">
      <formula>AND(IF(OR($Q6=1,$Q6=2),1,0),IF($X6&lt;=20,1,0))</formula>
    </cfRule>
    <cfRule type="expression" priority="716" dxfId="2">
      <formula>AND(IF($Q6=2,1,0),IF($X6&lt;30,1,0))</formula>
    </cfRule>
    <cfRule type="expression" priority="717" dxfId="1">
      <formula>AND(IF($Q6=3,1,0),IF($X6&lt;30,1,0))</formula>
    </cfRule>
    <cfRule type="expression" priority="718" dxfId="0">
      <formula>AND(IF($Q6=3,1,IF($Q6=4,1,0)),IF($F6&lt;=85,1,0))</formula>
    </cfRule>
  </conditionalFormatting>
  <conditionalFormatting sqref="AV7">
    <cfRule type="expression" priority="713" dxfId="17">
      <formula>AV7="X"</formula>
    </cfRule>
    <cfRule type="expression" priority="714" dxfId="16">
      <formula>AV7="후보"</formula>
    </cfRule>
  </conditionalFormatting>
  <conditionalFormatting sqref="AC7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7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7">
    <cfRule type="expression" priority="704" dxfId="3">
      <formula>AND(IF(OR($Q7=1,$Q7=2),1,0),IF($X7&lt;=20,1,0))</formula>
    </cfRule>
    <cfRule type="expression" priority="705" dxfId="2">
      <formula>AND(IF($Q7=2,1,0),IF($X7&lt;30,1,0))</formula>
    </cfRule>
    <cfRule type="expression" priority="706" dxfId="1">
      <formula>AND(IF($Q7=3,1,0),IF($X7&lt;30,1,0))</formula>
    </cfRule>
    <cfRule type="expression" priority="707" dxfId="0">
      <formula>AND(IF($Q7=3,1,IF($Q7=4,1,0)),IF($F7&lt;=85,1,0))</formula>
    </cfRule>
  </conditionalFormatting>
  <conditionalFormatting sqref="X7">
    <cfRule type="expression" priority="700" dxfId="3">
      <formula>AND(IF(OR($Q7=1,$Q7=2),1,0),IF($X7&lt;=20,1,0))</formula>
    </cfRule>
    <cfRule type="expression" priority="701" dxfId="2">
      <formula>AND(IF($Q7=2,1,0),IF($X7&lt;30,1,0))</formula>
    </cfRule>
    <cfRule type="expression" priority="702" dxfId="1">
      <formula>AND(IF($Q7=3,1,0),IF($X7&lt;30,1,0))</formula>
    </cfRule>
    <cfRule type="expression" priority="703" dxfId="0">
      <formula>AND(IF($Q7=3,1,IF($Q7=4,1,0)),IF($F7&lt;=85,1,0))</formula>
    </cfRule>
  </conditionalFormatting>
  <conditionalFormatting sqref="AI7">
    <cfRule type="expression" priority="696" dxfId="3">
      <formula>AND(IF(OR($Q7=1,$Q7=2),1,0),IF($X7&lt;=20,1,0))</formula>
    </cfRule>
    <cfRule type="expression" priority="697" dxfId="2">
      <formula>AND(IF($Q7=2,1,0),IF($X7&lt;30,1,0))</formula>
    </cfRule>
    <cfRule type="expression" priority="698" dxfId="1">
      <formula>AND(IF($Q7=3,1,0),IF($X7&lt;30,1,0))</formula>
    </cfRule>
    <cfRule type="expression" priority="699" dxfId="0">
      <formula>AND(IF($Q7=3,1,IF($Q7=4,1,0)),IF($F7&lt;=85,1,0))</formula>
    </cfRule>
  </conditionalFormatting>
  <conditionalFormatting sqref="AV8">
    <cfRule type="expression" priority="694" dxfId="17">
      <formula>AV8="X"</formula>
    </cfRule>
    <cfRule type="expression" priority="695" dxfId="16">
      <formula>AV8="후보"</formula>
    </cfRule>
  </conditionalFormatting>
  <conditionalFormatting sqref="AC8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8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8">
    <cfRule type="expression" priority="685" dxfId="3">
      <formula>AND(IF(OR($Q8=1,$Q8=2),1,0),IF($X8&lt;=20,1,0))</formula>
    </cfRule>
    <cfRule type="expression" priority="686" dxfId="2">
      <formula>AND(IF($Q8=2,1,0),IF($X8&lt;30,1,0))</formula>
    </cfRule>
    <cfRule type="expression" priority="687" dxfId="1">
      <formula>AND(IF($Q8=3,1,0),IF($X8&lt;30,1,0))</formula>
    </cfRule>
    <cfRule type="expression" priority="688" dxfId="0">
      <formula>AND(IF($Q8=3,1,IF($Q8=4,1,0)),IF($F8&lt;=85,1,0))</formula>
    </cfRule>
  </conditionalFormatting>
  <conditionalFormatting sqref="X8">
    <cfRule type="expression" priority="681" dxfId="3">
      <formula>AND(IF(OR($Q8=1,$Q8=2),1,0),IF($X8&lt;=20,1,0))</formula>
    </cfRule>
    <cfRule type="expression" priority="682" dxfId="2">
      <formula>AND(IF($Q8=2,1,0),IF($X8&lt;30,1,0))</formula>
    </cfRule>
    <cfRule type="expression" priority="683" dxfId="1">
      <formula>AND(IF($Q8=3,1,0),IF($X8&lt;30,1,0))</formula>
    </cfRule>
    <cfRule type="expression" priority="684" dxfId="0">
      <formula>AND(IF($Q8=3,1,IF($Q8=4,1,0)),IF($F8&lt;=85,1,0))</formula>
    </cfRule>
  </conditionalFormatting>
  <conditionalFormatting sqref="AI8">
    <cfRule type="expression" priority="677" dxfId="3">
      <formula>AND(IF(OR($Q8=1,$Q8=2),1,0),IF($X8&lt;=20,1,0))</formula>
    </cfRule>
    <cfRule type="expression" priority="678" dxfId="2">
      <formula>AND(IF($Q8=2,1,0),IF($X8&lt;30,1,0))</formula>
    </cfRule>
    <cfRule type="expression" priority="679" dxfId="1">
      <formula>AND(IF($Q8=3,1,0),IF($X8&lt;30,1,0))</formula>
    </cfRule>
    <cfRule type="expression" priority="680" dxfId="0">
      <formula>AND(IF($Q8=3,1,IF($Q8=4,1,0)),IF($F8&lt;=85,1,0))</formula>
    </cfRule>
  </conditionalFormatting>
  <conditionalFormatting sqref="AV9">
    <cfRule type="expression" priority="675" dxfId="17">
      <formula>AV9="X"</formula>
    </cfRule>
    <cfRule type="expression" priority="676" dxfId="16">
      <formula>AV9="후보"</formula>
    </cfRule>
  </conditionalFormatting>
  <conditionalFormatting sqref="AC9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9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9">
    <cfRule type="expression" priority="666" dxfId="3">
      <formula>AND(IF(OR($Q9=1,$Q9=2),1,0),IF($X9&lt;=20,1,0))</formula>
    </cfRule>
    <cfRule type="expression" priority="667" dxfId="2">
      <formula>AND(IF($Q9=2,1,0),IF($X9&lt;30,1,0))</formula>
    </cfRule>
    <cfRule type="expression" priority="668" dxfId="1">
      <formula>AND(IF($Q9=3,1,0),IF($X9&lt;30,1,0))</formula>
    </cfRule>
    <cfRule type="expression" priority="669" dxfId="0">
      <formula>AND(IF($Q9=3,1,IF($Q9=4,1,0)),IF($F9&lt;=85,1,0))</formula>
    </cfRule>
  </conditionalFormatting>
  <conditionalFormatting sqref="X9">
    <cfRule type="expression" priority="662" dxfId="3">
      <formula>AND(IF(OR($Q9=1,$Q9=2),1,0),IF($X9&lt;=20,1,0))</formula>
    </cfRule>
    <cfRule type="expression" priority="663" dxfId="2">
      <formula>AND(IF($Q9=2,1,0),IF($X9&lt;30,1,0))</formula>
    </cfRule>
    <cfRule type="expression" priority="664" dxfId="1">
      <formula>AND(IF($Q9=3,1,0),IF($X9&lt;30,1,0))</formula>
    </cfRule>
    <cfRule type="expression" priority="665" dxfId="0">
      <formula>AND(IF($Q9=3,1,IF($Q9=4,1,0)),IF($F9&lt;=85,1,0))</formula>
    </cfRule>
  </conditionalFormatting>
  <conditionalFormatting sqref="AI9">
    <cfRule type="expression" priority="658" dxfId="3">
      <formula>AND(IF(OR($Q9=1,$Q9=2),1,0),IF($X9&lt;=20,1,0))</formula>
    </cfRule>
    <cfRule type="expression" priority="659" dxfId="2">
      <formula>AND(IF($Q9=2,1,0),IF($X9&lt;30,1,0))</formula>
    </cfRule>
    <cfRule type="expression" priority="660" dxfId="1">
      <formula>AND(IF($Q9=3,1,0),IF($X9&lt;30,1,0))</formula>
    </cfRule>
    <cfRule type="expression" priority="661" dxfId="0">
      <formula>AND(IF($Q9=3,1,IF($Q9=4,1,0)),IF($F9&lt;=85,1,0))</formula>
    </cfRule>
  </conditionalFormatting>
  <conditionalFormatting sqref="AV10">
    <cfRule type="expression" priority="656" dxfId="17">
      <formula>AV10="X"</formula>
    </cfRule>
    <cfRule type="expression" priority="657" dxfId="16">
      <formula>AV10="후보"</formula>
    </cfRule>
  </conditionalFormatting>
  <conditionalFormatting sqref="AC1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">
    <cfRule type="expression" priority="647" dxfId="3">
      <formula>AND(IF(OR($Q10=1,$Q10=2),1,0),IF($X10&lt;=20,1,0))</formula>
    </cfRule>
    <cfRule type="expression" priority="648" dxfId="2">
      <formula>AND(IF($Q10=2,1,0),IF($X10&lt;30,1,0))</formula>
    </cfRule>
    <cfRule type="expression" priority="649" dxfId="1">
      <formula>AND(IF($Q10=3,1,0),IF($X10&lt;30,1,0))</formula>
    </cfRule>
    <cfRule type="expression" priority="650" dxfId="0">
      <formula>AND(IF($Q10=3,1,IF($Q10=4,1,0)),IF($F10&lt;=85,1,0))</formula>
    </cfRule>
  </conditionalFormatting>
  <conditionalFormatting sqref="X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AI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V11">
    <cfRule type="expression" priority="637" dxfId="17">
      <formula>AV11="X"</formula>
    </cfRule>
    <cfRule type="expression" priority="638" dxfId="16">
      <formula>AV11="후보"</formula>
    </cfRule>
  </conditionalFormatting>
  <conditionalFormatting sqref="AC1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17">
      <formula>AV12="X"</formula>
    </cfRule>
    <cfRule type="expression" priority="619" dxfId="16">
      <formula>AV12="후보"</formula>
    </cfRule>
  </conditionalFormatting>
  <conditionalFormatting sqref="AC1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17">
      <formula>AV13="X"</formula>
    </cfRule>
    <cfRule type="expression" priority="600" dxfId="16">
      <formula>AV13="후보"</formula>
    </cfRule>
  </conditionalFormatting>
  <conditionalFormatting sqref="AC1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17">
      <formula>AV14="X"</formula>
    </cfRule>
    <cfRule type="expression" priority="581" dxfId="16">
      <formula>AV14="후보"</formula>
    </cfRule>
  </conditionalFormatting>
  <conditionalFormatting sqref="AC1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17">
      <formula>AV15="X"</formula>
    </cfRule>
    <cfRule type="expression" priority="562" dxfId="16">
      <formula>AV15="후보"</formula>
    </cfRule>
  </conditionalFormatting>
  <conditionalFormatting sqref="AC15 N1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6">
    <cfRule type="expression" priority="556" dxfId="17">
      <formula>AV16="X"</formula>
    </cfRule>
    <cfRule type="expression" priority="557" dxfId="16">
      <formula>AV16="후보"</formula>
    </cfRule>
  </conditionalFormatting>
  <conditionalFormatting sqref="AC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17">
      <formula>AV17="X"</formula>
    </cfRule>
    <cfRule type="expression" priority="538" dxfId="16">
      <formula>AV17="후보"</formula>
    </cfRule>
  </conditionalFormatting>
  <conditionalFormatting sqref="AC1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17">
      <formula>AV18="X"</formula>
    </cfRule>
    <cfRule type="expression" priority="519" dxfId="16">
      <formula>AV18="후보"</formula>
    </cfRule>
  </conditionalFormatting>
  <conditionalFormatting sqref="AC1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17">
      <formula>AV19="X"</formula>
    </cfRule>
    <cfRule type="expression" priority="500" dxfId="16">
      <formula>AV19="후보"</formula>
    </cfRule>
  </conditionalFormatting>
  <conditionalFormatting sqref="AC19 N1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20">
    <cfRule type="expression" priority="494" dxfId="17">
      <formula>AV20="X"</formula>
    </cfRule>
    <cfRule type="expression" priority="495" dxfId="16">
      <formula>AV20="후보"</formula>
    </cfRule>
  </conditionalFormatting>
  <conditionalFormatting sqref="AC2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0">
    <cfRule type="expression" priority="485" dxfId="3">
      <formula>AND(IF(OR($Q20=1,$Q20=2),1,0),IF($X20&lt;=20,1,0))</formula>
    </cfRule>
    <cfRule type="expression" priority="486" dxfId="2">
      <formula>AND(IF($Q20=2,1,0),IF($X20&lt;30,1,0))</formula>
    </cfRule>
    <cfRule type="expression" priority="487" dxfId="1">
      <formula>AND(IF($Q20=3,1,0),IF($X20&lt;30,1,0))</formula>
    </cfRule>
    <cfRule type="expression" priority="488" dxfId="0">
      <formula>AND(IF($Q20=3,1,IF($Q20=4,1,0)),IF($F20&lt;=85,1,0))</formula>
    </cfRule>
  </conditionalFormatting>
  <conditionalFormatting sqref="X20">
    <cfRule type="expression" priority="481" dxfId="3">
      <formula>AND(IF(OR($Q20=1,$Q20=2),1,0),IF($X20&lt;=20,1,0))</formula>
    </cfRule>
    <cfRule type="expression" priority="482" dxfId="2">
      <formula>AND(IF($Q20=2,1,0),IF($X20&lt;30,1,0))</formula>
    </cfRule>
    <cfRule type="expression" priority="483" dxfId="1">
      <formula>AND(IF($Q20=3,1,0),IF($X20&lt;30,1,0))</formula>
    </cfRule>
    <cfRule type="expression" priority="484" dxfId="0">
      <formula>AND(IF($Q20=3,1,IF($Q20=4,1,0)),IF($F20&lt;=85,1,0))</formula>
    </cfRule>
  </conditionalFormatting>
  <conditionalFormatting sqref="AI20">
    <cfRule type="expression" priority="477" dxfId="3">
      <formula>AND(IF(OR($Q20=1,$Q20=2),1,0),IF($X20&lt;=20,1,0))</formula>
    </cfRule>
    <cfRule type="expression" priority="478" dxfId="2">
      <formula>AND(IF($Q20=2,1,0),IF($X20&lt;30,1,0))</formula>
    </cfRule>
    <cfRule type="expression" priority="479" dxfId="1">
      <formula>AND(IF($Q20=3,1,0),IF($X20&lt;30,1,0))</formula>
    </cfRule>
    <cfRule type="expression" priority="480" dxfId="0">
      <formula>AND(IF($Q20=3,1,IF($Q20=4,1,0)),IF($F20&lt;=85,1,0))</formula>
    </cfRule>
  </conditionalFormatting>
  <conditionalFormatting sqref="AV21">
    <cfRule type="expression" priority="475" dxfId="17">
      <formula>AV21="X"</formula>
    </cfRule>
    <cfRule type="expression" priority="476" dxfId="16">
      <formula>AV21="후보"</formula>
    </cfRule>
  </conditionalFormatting>
  <conditionalFormatting sqref="AC2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1">
    <cfRule type="expression" priority="466" dxfId="3">
      <formula>AND(IF(OR($Q21=1,$Q21=2),1,0),IF($X21&lt;=20,1,0))</formula>
    </cfRule>
    <cfRule type="expression" priority="467" dxfId="2">
      <formula>AND(IF($Q21=2,1,0),IF($X21&lt;30,1,0))</formula>
    </cfRule>
    <cfRule type="expression" priority="468" dxfId="1">
      <formula>AND(IF($Q21=3,1,0),IF($X21&lt;30,1,0))</formula>
    </cfRule>
    <cfRule type="expression" priority="469" dxfId="0">
      <formula>AND(IF($Q21=3,1,IF($Q21=4,1,0)),IF($F21&lt;=85,1,0))</formula>
    </cfRule>
  </conditionalFormatting>
  <conditionalFormatting sqref="X21">
    <cfRule type="expression" priority="462" dxfId="3">
      <formula>AND(IF(OR($Q21=1,$Q21=2),1,0),IF($X21&lt;=20,1,0))</formula>
    </cfRule>
    <cfRule type="expression" priority="463" dxfId="2">
      <formula>AND(IF($Q21=2,1,0),IF($X21&lt;30,1,0))</formula>
    </cfRule>
    <cfRule type="expression" priority="464" dxfId="1">
      <formula>AND(IF($Q21=3,1,0),IF($X21&lt;30,1,0))</formula>
    </cfRule>
    <cfRule type="expression" priority="465" dxfId="0">
      <formula>AND(IF($Q21=3,1,IF($Q21=4,1,0)),IF($F21&lt;=85,1,0))</formula>
    </cfRule>
  </conditionalFormatting>
  <conditionalFormatting sqref="AI21">
    <cfRule type="expression" priority="458" dxfId="3">
      <formula>AND(IF(OR($Q21=1,$Q21=2),1,0),IF($X21&lt;=20,1,0))</formula>
    </cfRule>
    <cfRule type="expression" priority="459" dxfId="2">
      <formula>AND(IF($Q21=2,1,0),IF($X21&lt;30,1,0))</formula>
    </cfRule>
    <cfRule type="expression" priority="460" dxfId="1">
      <formula>AND(IF($Q21=3,1,0),IF($X21&lt;30,1,0))</formula>
    </cfRule>
    <cfRule type="expression" priority="461" dxfId="0">
      <formula>AND(IF($Q21=3,1,IF($Q21=4,1,0)),IF($F21&lt;=85,1,0))</formula>
    </cfRule>
  </conditionalFormatting>
  <conditionalFormatting sqref="AV22">
    <cfRule type="expression" priority="456" dxfId="17">
      <formula>AV22="X"</formula>
    </cfRule>
    <cfRule type="expression" priority="457" dxfId="16">
      <formula>AV22="후보"</formula>
    </cfRule>
  </conditionalFormatting>
  <conditionalFormatting sqref="AC2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2">
    <cfRule type="expression" priority="447" dxfId="3">
      <formula>AND(IF(OR($Q22=1,$Q22=2),1,0),IF($X22&lt;=20,1,0))</formula>
    </cfRule>
    <cfRule type="expression" priority="448" dxfId="2">
      <formula>AND(IF($Q22=2,1,0),IF($X22&lt;30,1,0))</formula>
    </cfRule>
    <cfRule type="expression" priority="449" dxfId="1">
      <formula>AND(IF($Q22=3,1,0),IF($X22&lt;30,1,0))</formula>
    </cfRule>
    <cfRule type="expression" priority="450" dxfId="0">
      <formula>AND(IF($Q22=3,1,IF($Q22=4,1,0)),IF($F22&lt;=85,1,0))</formula>
    </cfRule>
  </conditionalFormatting>
  <conditionalFormatting sqref="X22">
    <cfRule type="expression" priority="443" dxfId="3">
      <formula>AND(IF(OR($Q22=1,$Q22=2),1,0),IF($X22&lt;=20,1,0))</formula>
    </cfRule>
    <cfRule type="expression" priority="444" dxfId="2">
      <formula>AND(IF($Q22=2,1,0),IF($X22&lt;30,1,0))</formula>
    </cfRule>
    <cfRule type="expression" priority="445" dxfId="1">
      <formula>AND(IF($Q22=3,1,0),IF($X22&lt;30,1,0))</formula>
    </cfRule>
    <cfRule type="expression" priority="446" dxfId="0">
      <formula>AND(IF($Q22=3,1,IF($Q22=4,1,0)),IF($F22&lt;=85,1,0))</formula>
    </cfRule>
  </conditionalFormatting>
  <conditionalFormatting sqref="AI22">
    <cfRule type="expression" priority="439" dxfId="3">
      <formula>AND(IF(OR($Q22=1,$Q22=2),1,0),IF($X22&lt;=20,1,0))</formula>
    </cfRule>
    <cfRule type="expression" priority="440" dxfId="2">
      <formula>AND(IF($Q22=2,1,0),IF($X22&lt;30,1,0))</formula>
    </cfRule>
    <cfRule type="expression" priority="441" dxfId="1">
      <formula>AND(IF($Q22=3,1,0),IF($X22&lt;30,1,0))</formula>
    </cfRule>
    <cfRule type="expression" priority="442" dxfId="0">
      <formula>AND(IF($Q22=3,1,IF($Q22=4,1,0)),IF($F22&lt;=85,1,0))</formula>
    </cfRule>
  </conditionalFormatting>
  <conditionalFormatting sqref="AV23">
    <cfRule type="expression" priority="437" dxfId="17">
      <formula>AV23="X"</formula>
    </cfRule>
    <cfRule type="expression" priority="438" dxfId="16">
      <formula>AV23="후보"</formula>
    </cfRule>
  </conditionalFormatting>
  <conditionalFormatting sqref="AC2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3">
    <cfRule type="expression" priority="428" dxfId="3">
      <formula>AND(IF(OR($Q23=1,$Q23=2),1,0),IF($X23&lt;=20,1,0))</formula>
    </cfRule>
    <cfRule type="expression" priority="429" dxfId="2">
      <formula>AND(IF($Q23=2,1,0),IF($X23&lt;30,1,0))</formula>
    </cfRule>
    <cfRule type="expression" priority="430" dxfId="1">
      <formula>AND(IF($Q23=3,1,0),IF($X23&lt;30,1,0))</formula>
    </cfRule>
    <cfRule type="expression" priority="431" dxfId="0">
      <formula>AND(IF($Q23=3,1,IF($Q23=4,1,0)),IF($F23&lt;=85,1,0))</formula>
    </cfRule>
  </conditionalFormatting>
  <conditionalFormatting sqref="X23">
    <cfRule type="expression" priority="424" dxfId="3">
      <formula>AND(IF(OR($Q23=1,$Q23=2),1,0),IF($X23&lt;=20,1,0))</formula>
    </cfRule>
    <cfRule type="expression" priority="425" dxfId="2">
      <formula>AND(IF($Q23=2,1,0),IF($X23&lt;30,1,0))</formula>
    </cfRule>
    <cfRule type="expression" priority="426" dxfId="1">
      <formula>AND(IF($Q23=3,1,0),IF($X23&lt;30,1,0))</formula>
    </cfRule>
    <cfRule type="expression" priority="427" dxfId="0">
      <formula>AND(IF($Q23=3,1,IF($Q23=4,1,0)),IF($F23&lt;=85,1,0))</formula>
    </cfRule>
  </conditionalFormatting>
  <conditionalFormatting sqref="AI23">
    <cfRule type="expression" priority="420" dxfId="3">
      <formula>AND(IF(OR($Q23=1,$Q23=2),1,0),IF($X23&lt;=20,1,0))</formula>
    </cfRule>
    <cfRule type="expression" priority="421" dxfId="2">
      <formula>AND(IF($Q23=2,1,0),IF($X23&lt;30,1,0))</formula>
    </cfRule>
    <cfRule type="expression" priority="422" dxfId="1">
      <formula>AND(IF($Q23=3,1,0),IF($X23&lt;30,1,0))</formula>
    </cfRule>
    <cfRule type="expression" priority="423" dxfId="0">
      <formula>AND(IF($Q23=3,1,IF($Q23=4,1,0)),IF($F23&lt;=85,1,0))</formula>
    </cfRule>
  </conditionalFormatting>
  <conditionalFormatting sqref="AV24">
    <cfRule type="expression" priority="418" dxfId="17">
      <formula>AV24="X"</formula>
    </cfRule>
    <cfRule type="expression" priority="419" dxfId="16">
      <formula>AV24="후보"</formula>
    </cfRule>
  </conditionalFormatting>
  <conditionalFormatting sqref="AC2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4">
    <cfRule type="expression" priority="409" dxfId="3">
      <formula>AND(IF(OR($Q24=1,$Q24=2),1,0),IF($X24&lt;=20,1,0))</formula>
    </cfRule>
    <cfRule type="expression" priority="410" dxfId="2">
      <formula>AND(IF($Q24=2,1,0),IF($X24&lt;30,1,0))</formula>
    </cfRule>
    <cfRule type="expression" priority="411" dxfId="1">
      <formula>AND(IF($Q24=3,1,0),IF($X24&lt;30,1,0))</formula>
    </cfRule>
    <cfRule type="expression" priority="412" dxfId="0">
      <formula>AND(IF($Q24=3,1,IF($Q24=4,1,0)),IF($F24&lt;=85,1,0))</formula>
    </cfRule>
  </conditionalFormatting>
  <conditionalFormatting sqref="X24">
    <cfRule type="expression" priority="405" dxfId="3">
      <formula>AND(IF(OR($Q24=1,$Q24=2),1,0),IF($X24&lt;=20,1,0))</formula>
    </cfRule>
    <cfRule type="expression" priority="406" dxfId="2">
      <formula>AND(IF($Q24=2,1,0),IF($X24&lt;30,1,0))</formula>
    </cfRule>
    <cfRule type="expression" priority="407" dxfId="1">
      <formula>AND(IF($Q24=3,1,0),IF($X24&lt;30,1,0))</formula>
    </cfRule>
    <cfRule type="expression" priority="408" dxfId="0">
      <formula>AND(IF($Q24=3,1,IF($Q24=4,1,0)),IF($F24&lt;=85,1,0))</formula>
    </cfRule>
  </conditionalFormatting>
  <conditionalFormatting sqref="AI24">
    <cfRule type="expression" priority="401" dxfId="3">
      <formula>AND(IF(OR($Q24=1,$Q24=2),1,0),IF($X24&lt;=20,1,0))</formula>
    </cfRule>
    <cfRule type="expression" priority="402" dxfId="2">
      <formula>AND(IF($Q24=2,1,0),IF($X24&lt;30,1,0))</formula>
    </cfRule>
    <cfRule type="expression" priority="403" dxfId="1">
      <formula>AND(IF($Q24=3,1,0),IF($X24&lt;30,1,0))</formula>
    </cfRule>
    <cfRule type="expression" priority="404" dxfId="0">
      <formula>AND(IF($Q24=3,1,IF($Q24=4,1,0)),IF($F24&lt;=85,1,0))</formula>
    </cfRule>
  </conditionalFormatting>
  <conditionalFormatting sqref="AV25">
    <cfRule type="expression" priority="399" dxfId="17">
      <formula>AV25="X"</formula>
    </cfRule>
    <cfRule type="expression" priority="400" dxfId="16">
      <formula>AV25="후보"</formula>
    </cfRule>
  </conditionalFormatting>
  <conditionalFormatting sqref="AC25 N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26">
    <cfRule type="expression" priority="394" dxfId="17">
      <formula>AV26="X"</formula>
    </cfRule>
    <cfRule type="expression" priority="395" dxfId="16">
      <formula>AV26="후보"</formula>
    </cfRule>
  </conditionalFormatting>
  <conditionalFormatting sqref="AC2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6">
    <cfRule type="expression" priority="385" dxfId="3">
      <formula>AND(IF(OR($Q26=1,$Q26=2),1,0),IF($X26&lt;=20,1,0))</formula>
    </cfRule>
    <cfRule type="expression" priority="386" dxfId="2">
      <formula>AND(IF($Q26=2,1,0),IF($X26&lt;30,1,0))</formula>
    </cfRule>
    <cfRule type="expression" priority="387" dxfId="1">
      <formula>AND(IF($Q26=3,1,0),IF($X26&lt;30,1,0))</formula>
    </cfRule>
    <cfRule type="expression" priority="388" dxfId="0">
      <formula>AND(IF($Q26=3,1,IF($Q26=4,1,0)),IF($F26&lt;=85,1,0))</formula>
    </cfRule>
  </conditionalFormatting>
  <conditionalFormatting sqref="X26">
    <cfRule type="expression" priority="381" dxfId="3">
      <formula>AND(IF(OR($Q26=1,$Q26=2),1,0),IF($X26&lt;=20,1,0))</formula>
    </cfRule>
    <cfRule type="expression" priority="382" dxfId="2">
      <formula>AND(IF($Q26=2,1,0),IF($X26&lt;30,1,0))</formula>
    </cfRule>
    <cfRule type="expression" priority="383" dxfId="1">
      <formula>AND(IF($Q26=3,1,0),IF($X26&lt;30,1,0))</formula>
    </cfRule>
    <cfRule type="expression" priority="384" dxfId="0">
      <formula>AND(IF($Q26=3,1,IF($Q26=4,1,0)),IF($F26&lt;=85,1,0))</formula>
    </cfRule>
  </conditionalFormatting>
  <conditionalFormatting sqref="AI26">
    <cfRule type="expression" priority="377" dxfId="3">
      <formula>AND(IF(OR($Q26=1,$Q26=2),1,0),IF($X26&lt;=20,1,0))</formula>
    </cfRule>
    <cfRule type="expression" priority="378" dxfId="2">
      <formula>AND(IF($Q26=2,1,0),IF($X26&lt;30,1,0))</formula>
    </cfRule>
    <cfRule type="expression" priority="379" dxfId="1">
      <formula>AND(IF($Q26=3,1,0),IF($X26&lt;30,1,0))</formula>
    </cfRule>
    <cfRule type="expression" priority="380" dxfId="0">
      <formula>AND(IF($Q26=3,1,IF($Q26=4,1,0)),IF($F26&lt;=85,1,0))</formula>
    </cfRule>
  </conditionalFormatting>
  <conditionalFormatting sqref="AV27">
    <cfRule type="expression" priority="375" dxfId="17">
      <formula>AV27="X"</formula>
    </cfRule>
    <cfRule type="expression" priority="376" dxfId="16">
      <formula>AV27="후보"</formula>
    </cfRule>
  </conditionalFormatting>
  <conditionalFormatting sqref="AC2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7">
    <cfRule type="expression" priority="366" dxfId="3">
      <formula>AND(IF(OR($Q27=1,$Q27=2),1,0),IF($X27&lt;=20,1,0))</formula>
    </cfRule>
    <cfRule type="expression" priority="367" dxfId="2">
      <formula>AND(IF($Q27=2,1,0),IF($X27&lt;30,1,0))</formula>
    </cfRule>
    <cfRule type="expression" priority="368" dxfId="1">
      <formula>AND(IF($Q27=3,1,0),IF($X27&lt;30,1,0))</formula>
    </cfRule>
    <cfRule type="expression" priority="369" dxfId="0">
      <formula>AND(IF($Q27=3,1,IF($Q27=4,1,0)),IF($F27&lt;=85,1,0))</formula>
    </cfRule>
  </conditionalFormatting>
  <conditionalFormatting sqref="X27">
    <cfRule type="expression" priority="362" dxfId="3">
      <formula>AND(IF(OR($Q27=1,$Q27=2),1,0),IF($X27&lt;=20,1,0))</formula>
    </cfRule>
    <cfRule type="expression" priority="363" dxfId="2">
      <formula>AND(IF($Q27=2,1,0),IF($X27&lt;30,1,0))</formula>
    </cfRule>
    <cfRule type="expression" priority="364" dxfId="1">
      <formula>AND(IF($Q27=3,1,0),IF($X27&lt;30,1,0))</formula>
    </cfRule>
    <cfRule type="expression" priority="365" dxfId="0">
      <formula>AND(IF($Q27=3,1,IF($Q27=4,1,0)),IF($F27&lt;=85,1,0))</formula>
    </cfRule>
  </conditionalFormatting>
  <conditionalFormatting sqref="AI27">
    <cfRule type="expression" priority="358" dxfId="3">
      <formula>AND(IF(OR($Q27=1,$Q27=2),1,0),IF($X27&lt;=20,1,0))</formula>
    </cfRule>
    <cfRule type="expression" priority="359" dxfId="2">
      <formula>AND(IF($Q27=2,1,0),IF($X27&lt;30,1,0))</formula>
    </cfRule>
    <cfRule type="expression" priority="360" dxfId="1">
      <formula>AND(IF($Q27=3,1,0),IF($X27&lt;30,1,0))</formula>
    </cfRule>
    <cfRule type="expression" priority="361" dxfId="0">
      <formula>AND(IF($Q27=3,1,IF($Q27=4,1,0)),IF($F27&lt;=85,1,0))</formula>
    </cfRule>
  </conditionalFormatting>
  <conditionalFormatting sqref="AV28">
    <cfRule type="expression" priority="356" dxfId="17">
      <formula>AV28="X"</formula>
    </cfRule>
    <cfRule type="expression" priority="357" dxfId="16">
      <formula>AV28="후보"</formula>
    </cfRule>
  </conditionalFormatting>
  <conditionalFormatting sqref="AC2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8">
    <cfRule type="expression" priority="347" dxfId="3">
      <formula>AND(IF(OR($Q28=1,$Q28=2),1,0),IF($X28&lt;=20,1,0))</formula>
    </cfRule>
    <cfRule type="expression" priority="348" dxfId="2">
      <formula>AND(IF($Q28=2,1,0),IF($X28&lt;30,1,0))</formula>
    </cfRule>
    <cfRule type="expression" priority="349" dxfId="1">
      <formula>AND(IF($Q28=3,1,0),IF($X28&lt;30,1,0))</formula>
    </cfRule>
    <cfRule type="expression" priority="350" dxfId="0">
      <formula>AND(IF($Q28=3,1,IF($Q28=4,1,0)),IF($F28&lt;=85,1,0))</formula>
    </cfRule>
  </conditionalFormatting>
  <conditionalFormatting sqref="X28">
    <cfRule type="expression" priority="343" dxfId="3">
      <formula>AND(IF(OR($Q28=1,$Q28=2),1,0),IF($X28&lt;=20,1,0))</formula>
    </cfRule>
    <cfRule type="expression" priority="344" dxfId="2">
      <formula>AND(IF($Q28=2,1,0),IF($X28&lt;30,1,0))</formula>
    </cfRule>
    <cfRule type="expression" priority="345" dxfId="1">
      <formula>AND(IF($Q28=3,1,0),IF($X28&lt;30,1,0))</formula>
    </cfRule>
    <cfRule type="expression" priority="346" dxfId="0">
      <formula>AND(IF($Q28=3,1,IF($Q28=4,1,0)),IF($F28&lt;=85,1,0))</formula>
    </cfRule>
  </conditionalFormatting>
  <conditionalFormatting sqref="AI28">
    <cfRule type="expression" priority="339" dxfId="3">
      <formula>AND(IF(OR($Q28=1,$Q28=2),1,0),IF($X28&lt;=20,1,0))</formula>
    </cfRule>
    <cfRule type="expression" priority="340" dxfId="2">
      <formula>AND(IF($Q28=2,1,0),IF($X28&lt;30,1,0))</formula>
    </cfRule>
    <cfRule type="expression" priority="341" dxfId="1">
      <formula>AND(IF($Q28=3,1,0),IF($X28&lt;30,1,0))</formula>
    </cfRule>
    <cfRule type="expression" priority="342" dxfId="0">
      <formula>AND(IF($Q28=3,1,IF($Q28=4,1,0)),IF($F28&lt;=85,1,0))</formula>
    </cfRule>
  </conditionalFormatting>
  <conditionalFormatting sqref="AV29">
    <cfRule type="expression" priority="337" dxfId="17">
      <formula>AV29="X"</formula>
    </cfRule>
    <cfRule type="expression" priority="338" dxfId="16">
      <formula>AV29="후보"</formula>
    </cfRule>
  </conditionalFormatting>
  <conditionalFormatting sqref="AC2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9">
    <cfRule type="expression" priority="328" dxfId="3">
      <formula>AND(IF(OR($Q29=1,$Q29=2),1,0),IF($X29&lt;=20,1,0))</formula>
    </cfRule>
    <cfRule type="expression" priority="329" dxfId="2">
      <formula>AND(IF($Q29=2,1,0),IF($X29&lt;30,1,0))</formula>
    </cfRule>
    <cfRule type="expression" priority="330" dxfId="1">
      <formula>AND(IF($Q29=3,1,0),IF($X29&lt;30,1,0))</formula>
    </cfRule>
    <cfRule type="expression" priority="331" dxfId="0">
      <formula>AND(IF($Q29=3,1,IF($Q29=4,1,0)),IF($F29&lt;=85,1,0))</formula>
    </cfRule>
  </conditionalFormatting>
  <conditionalFormatting sqref="X29">
    <cfRule type="expression" priority="324" dxfId="3">
      <formula>AND(IF(OR($Q29=1,$Q29=2),1,0),IF($X29&lt;=20,1,0))</formula>
    </cfRule>
    <cfRule type="expression" priority="325" dxfId="2">
      <formula>AND(IF($Q29=2,1,0),IF($X29&lt;30,1,0))</formula>
    </cfRule>
    <cfRule type="expression" priority="326" dxfId="1">
      <formula>AND(IF($Q29=3,1,0),IF($X29&lt;30,1,0))</formula>
    </cfRule>
    <cfRule type="expression" priority="327" dxfId="0">
      <formula>AND(IF($Q29=3,1,IF($Q29=4,1,0)),IF($F29&lt;=85,1,0))</formula>
    </cfRule>
  </conditionalFormatting>
  <conditionalFormatting sqref="AI29">
    <cfRule type="expression" priority="320" dxfId="3">
      <formula>AND(IF(OR($Q29=1,$Q29=2),1,0),IF($X29&lt;=20,1,0))</formula>
    </cfRule>
    <cfRule type="expression" priority="321" dxfId="2">
      <formula>AND(IF($Q29=2,1,0),IF($X29&lt;30,1,0))</formula>
    </cfRule>
    <cfRule type="expression" priority="322" dxfId="1">
      <formula>AND(IF($Q29=3,1,0),IF($X29&lt;30,1,0))</formula>
    </cfRule>
    <cfRule type="expression" priority="323" dxfId="0">
      <formula>AND(IF($Q29=3,1,IF($Q29=4,1,0)),IF($F29&lt;=85,1,0))</formula>
    </cfRule>
  </conditionalFormatting>
  <conditionalFormatting sqref="AV30">
    <cfRule type="expression" priority="318" dxfId="17">
      <formula>AV30="X"</formula>
    </cfRule>
    <cfRule type="expression" priority="319" dxfId="16">
      <formula>AV30="후보"</formula>
    </cfRule>
  </conditionalFormatting>
  <conditionalFormatting sqref="AC3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 N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3">
    <cfRule type="expression" priority="275" dxfId="17">
      <formula>AV33="X"</formula>
    </cfRule>
    <cfRule type="expression" priority="276" dxfId="16">
      <formula>AV33="후보"</formula>
    </cfRule>
  </conditionalFormatting>
  <conditionalFormatting sqref="AC3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3">
    <cfRule type="expression" priority="266" dxfId="3">
      <formula>AND(IF(OR($Q33=1,$Q33=2),1,0),IF($X33&lt;=20,1,0))</formula>
    </cfRule>
    <cfRule type="expression" priority="267" dxfId="2">
      <formula>AND(IF($Q33=2,1,0),IF($X33&lt;30,1,0))</formula>
    </cfRule>
    <cfRule type="expression" priority="268" dxfId="1">
      <formula>AND(IF($Q33=3,1,0),IF($X33&lt;30,1,0))</formula>
    </cfRule>
    <cfRule type="expression" priority="269" dxfId="0">
      <formula>AND(IF($Q33=3,1,IF($Q33=4,1,0)),IF($F33&lt;=85,1,0))</formula>
    </cfRule>
  </conditionalFormatting>
  <conditionalFormatting sqref="X33">
    <cfRule type="expression" priority="262" dxfId="3">
      <formula>AND(IF(OR($Q33=1,$Q33=2),1,0),IF($X33&lt;=20,1,0))</formula>
    </cfRule>
    <cfRule type="expression" priority="263" dxfId="2">
      <formula>AND(IF($Q33=2,1,0),IF($X33&lt;30,1,0))</formula>
    </cfRule>
    <cfRule type="expression" priority="264" dxfId="1">
      <formula>AND(IF($Q33=3,1,0),IF($X33&lt;30,1,0))</formula>
    </cfRule>
    <cfRule type="expression" priority="265" dxfId="0">
      <formula>AND(IF($Q33=3,1,IF($Q33=4,1,0)),IF($F33&lt;=85,1,0))</formula>
    </cfRule>
  </conditionalFormatting>
  <conditionalFormatting sqref="AI33">
    <cfRule type="expression" priority="258" dxfId="3">
      <formula>AND(IF(OR($Q33=1,$Q33=2),1,0),IF($X33&lt;=20,1,0))</formula>
    </cfRule>
    <cfRule type="expression" priority="259" dxfId="2">
      <formula>AND(IF($Q33=2,1,0),IF($X33&lt;30,1,0))</formula>
    </cfRule>
    <cfRule type="expression" priority="260" dxfId="1">
      <formula>AND(IF($Q33=3,1,0),IF($X33&lt;30,1,0))</formula>
    </cfRule>
    <cfRule type="expression" priority="261" dxfId="0">
      <formula>AND(IF($Q33=3,1,IF($Q33=4,1,0)),IF($F33&lt;=85,1,0))</formula>
    </cfRule>
  </conditionalFormatting>
  <conditionalFormatting sqref="AV34">
    <cfRule type="expression" priority="256" dxfId="17">
      <formula>AV34="X"</formula>
    </cfRule>
    <cfRule type="expression" priority="257" dxfId="16">
      <formula>AV34="후보"</formula>
    </cfRule>
  </conditionalFormatting>
  <conditionalFormatting sqref="AC3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4">
    <cfRule type="expression" priority="247" dxfId="3">
      <formula>AND(IF(OR($Q34=1,$Q34=2),1,0),IF($X34&lt;=20,1,0))</formula>
    </cfRule>
    <cfRule type="expression" priority="248" dxfId="2">
      <formula>AND(IF($Q34=2,1,0),IF($X34&lt;30,1,0))</formula>
    </cfRule>
    <cfRule type="expression" priority="249" dxfId="1">
      <formula>AND(IF($Q34=3,1,0),IF($X34&lt;30,1,0))</formula>
    </cfRule>
    <cfRule type="expression" priority="250" dxfId="0">
      <formula>AND(IF($Q34=3,1,IF($Q34=4,1,0)),IF($F34&lt;=85,1,0))</formula>
    </cfRule>
  </conditionalFormatting>
  <conditionalFormatting sqref="X34">
    <cfRule type="expression" priority="243" dxfId="3">
      <formula>AND(IF(OR($Q34=1,$Q34=2),1,0),IF($X34&lt;=20,1,0))</formula>
    </cfRule>
    <cfRule type="expression" priority="244" dxfId="2">
      <formula>AND(IF($Q34=2,1,0),IF($X34&lt;30,1,0))</formula>
    </cfRule>
    <cfRule type="expression" priority="245" dxfId="1">
      <formula>AND(IF($Q34=3,1,0),IF($X34&lt;30,1,0))</formula>
    </cfRule>
    <cfRule type="expression" priority="246" dxfId="0">
      <formula>AND(IF($Q34=3,1,IF($Q34=4,1,0)),IF($F34&lt;=85,1,0))</formula>
    </cfRule>
  </conditionalFormatting>
  <conditionalFormatting sqref="AI34">
    <cfRule type="expression" priority="239" dxfId="3">
      <formula>AND(IF(OR($Q34=1,$Q34=2),1,0),IF($X34&lt;=20,1,0))</formula>
    </cfRule>
    <cfRule type="expression" priority="240" dxfId="2">
      <formula>AND(IF($Q34=2,1,0),IF($X34&lt;30,1,0))</formula>
    </cfRule>
    <cfRule type="expression" priority="241" dxfId="1">
      <formula>AND(IF($Q34=3,1,0),IF($X34&lt;30,1,0))</formula>
    </cfRule>
    <cfRule type="expression" priority="242" dxfId="0">
      <formula>AND(IF($Q34=3,1,IF($Q34=4,1,0)),IF($F34&lt;=85,1,0))</formula>
    </cfRule>
  </conditionalFormatting>
  <conditionalFormatting sqref="AV35">
    <cfRule type="expression" priority="237" dxfId="17">
      <formula>AV35="X"</formula>
    </cfRule>
    <cfRule type="expression" priority="238" dxfId="16">
      <formula>AV35="후보"</formula>
    </cfRule>
  </conditionalFormatting>
  <conditionalFormatting sqref="AC3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5">
    <cfRule type="expression" priority="228" dxfId="3">
      <formula>AND(IF(OR($Q35=1,$Q35=2),1,0),IF($X35&lt;=20,1,0))</formula>
    </cfRule>
    <cfRule type="expression" priority="229" dxfId="2">
      <formula>AND(IF($Q35=2,1,0),IF($X35&lt;30,1,0))</formula>
    </cfRule>
    <cfRule type="expression" priority="230" dxfId="1">
      <formula>AND(IF($Q35=3,1,0),IF($X35&lt;30,1,0))</formula>
    </cfRule>
    <cfRule type="expression" priority="231" dxfId="0">
      <formula>AND(IF($Q35=3,1,IF($Q35=4,1,0)),IF($F35&lt;=85,1,0))</formula>
    </cfRule>
  </conditionalFormatting>
  <conditionalFormatting sqref="X35">
    <cfRule type="expression" priority="224" dxfId="3">
      <formula>AND(IF(OR($Q35=1,$Q35=2),1,0),IF($X35&lt;=20,1,0))</formula>
    </cfRule>
    <cfRule type="expression" priority="225" dxfId="2">
      <formula>AND(IF($Q35=2,1,0),IF($X35&lt;30,1,0))</formula>
    </cfRule>
    <cfRule type="expression" priority="226" dxfId="1">
      <formula>AND(IF($Q35=3,1,0),IF($X35&lt;30,1,0))</formula>
    </cfRule>
    <cfRule type="expression" priority="227" dxfId="0">
      <formula>AND(IF($Q35=3,1,IF($Q35=4,1,0)),IF($F35&lt;=85,1,0))</formula>
    </cfRule>
  </conditionalFormatting>
  <conditionalFormatting sqref="AI35">
    <cfRule type="expression" priority="220" dxfId="3">
      <formula>AND(IF(OR($Q35=1,$Q35=2),1,0),IF($X35&lt;=20,1,0))</formula>
    </cfRule>
    <cfRule type="expression" priority="221" dxfId="2">
      <formula>AND(IF($Q35=2,1,0),IF($X35&lt;30,1,0))</formula>
    </cfRule>
    <cfRule type="expression" priority="222" dxfId="1">
      <formula>AND(IF($Q35=3,1,0),IF($X35&lt;30,1,0))</formula>
    </cfRule>
    <cfRule type="expression" priority="223" dxfId="0">
      <formula>AND(IF($Q35=3,1,IF($Q35=4,1,0)),IF($F35&lt;=85,1,0))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 N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9">
    <cfRule type="expression" priority="175" dxfId="17">
      <formula>AV39="X"</formula>
    </cfRule>
    <cfRule type="expression" priority="176" dxfId="16">
      <formula>AV39="후보"</formula>
    </cfRule>
  </conditionalFormatting>
  <conditionalFormatting sqref="AC3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9">
    <cfRule type="expression" priority="166" dxfId="3">
      <formula>AND(IF(OR($Q39=1,$Q39=2),1,0),IF($X39&lt;=20,1,0))</formula>
    </cfRule>
    <cfRule type="expression" priority="167" dxfId="2">
      <formula>AND(IF($Q39=2,1,0),IF($X39&lt;30,1,0))</formula>
    </cfRule>
    <cfRule type="expression" priority="168" dxfId="1">
      <formula>AND(IF($Q39=3,1,0),IF($X39&lt;30,1,0))</formula>
    </cfRule>
    <cfRule type="expression" priority="169" dxfId="0">
      <formula>AND(IF($Q39=3,1,IF($Q39=4,1,0)),IF($F39&lt;=85,1,0))</formula>
    </cfRule>
  </conditionalFormatting>
  <conditionalFormatting sqref="X39">
    <cfRule type="expression" priority="162" dxfId="3">
      <formula>AND(IF(OR($Q39=1,$Q39=2),1,0),IF($X39&lt;=20,1,0))</formula>
    </cfRule>
    <cfRule type="expression" priority="163" dxfId="2">
      <formula>AND(IF($Q39=2,1,0),IF($X39&lt;30,1,0))</formula>
    </cfRule>
    <cfRule type="expression" priority="164" dxfId="1">
      <formula>AND(IF($Q39=3,1,0),IF($X39&lt;30,1,0))</formula>
    </cfRule>
    <cfRule type="expression" priority="165" dxfId="0">
      <formula>AND(IF($Q39=3,1,IF($Q39=4,1,0)),IF($F39&lt;=85,1,0))</formula>
    </cfRule>
  </conditionalFormatting>
  <conditionalFormatting sqref="AI39">
    <cfRule type="expression" priority="158" dxfId="3">
      <formula>AND(IF(OR($Q39=1,$Q39=2),1,0),IF($X39&lt;=20,1,0))</formula>
    </cfRule>
    <cfRule type="expression" priority="159" dxfId="2">
      <formula>AND(IF($Q39=2,1,0),IF($X39&lt;30,1,0))</formula>
    </cfRule>
    <cfRule type="expression" priority="160" dxfId="1">
      <formula>AND(IF($Q39=3,1,0),IF($X39&lt;30,1,0))</formula>
    </cfRule>
    <cfRule type="expression" priority="161" dxfId="0">
      <formula>AND(IF($Q39=3,1,IF($Q39=4,1,0)),IF($F39&lt;=85,1,0))</formula>
    </cfRule>
  </conditionalFormatting>
  <conditionalFormatting sqref="AV40">
    <cfRule type="expression" priority="156" dxfId="17">
      <formula>AV40="X"</formula>
    </cfRule>
    <cfRule type="expression" priority="157" dxfId="16">
      <formula>AV40="후보"</formula>
    </cfRule>
  </conditionalFormatting>
  <conditionalFormatting sqref="AC4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0">
    <cfRule type="expression" priority="147" dxfId="3">
      <formula>AND(IF(OR($Q40=1,$Q40=2),1,0),IF($X40&lt;=20,1,0))</formula>
    </cfRule>
    <cfRule type="expression" priority="148" dxfId="2">
      <formula>AND(IF($Q40=2,1,0),IF($X40&lt;30,1,0))</formula>
    </cfRule>
    <cfRule type="expression" priority="149" dxfId="1">
      <formula>AND(IF($Q40=3,1,0),IF($X40&lt;30,1,0))</formula>
    </cfRule>
    <cfRule type="expression" priority="150" dxfId="0">
      <formula>AND(IF($Q40=3,1,IF($Q40=4,1,0)),IF($F40&lt;=85,1,0))</formula>
    </cfRule>
  </conditionalFormatting>
  <conditionalFormatting sqref="X40">
    <cfRule type="expression" priority="143" dxfId="3">
      <formula>AND(IF(OR($Q40=1,$Q40=2),1,0),IF($X40&lt;=20,1,0))</formula>
    </cfRule>
    <cfRule type="expression" priority="144" dxfId="2">
      <formula>AND(IF($Q40=2,1,0),IF($X40&lt;30,1,0))</formula>
    </cfRule>
    <cfRule type="expression" priority="145" dxfId="1">
      <formula>AND(IF($Q40=3,1,0),IF($X40&lt;30,1,0))</formula>
    </cfRule>
    <cfRule type="expression" priority="146" dxfId="0">
      <formula>AND(IF($Q40=3,1,IF($Q40=4,1,0)),IF($F40&lt;=85,1,0))</formula>
    </cfRule>
  </conditionalFormatting>
  <conditionalFormatting sqref="AI40">
    <cfRule type="expression" priority="139" dxfId="3">
      <formula>AND(IF(OR($Q40=1,$Q40=2),1,0),IF($X40&lt;=20,1,0))</formula>
    </cfRule>
    <cfRule type="expression" priority="140" dxfId="2">
      <formula>AND(IF($Q40=2,1,0),IF($X40&lt;30,1,0))</formula>
    </cfRule>
    <cfRule type="expression" priority="141" dxfId="1">
      <formula>AND(IF($Q40=3,1,0),IF($X40&lt;30,1,0))</formula>
    </cfRule>
    <cfRule type="expression" priority="142" dxfId="0">
      <formula>AND(IF($Q40=3,1,IF($Q40=4,1,0)),IF($F40&lt;=85,1,0))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7">
      <formula>AV45="X"</formula>
    </cfRule>
    <cfRule type="expression" priority="62" dxfId="16">
      <formula>AV45="후보"</formula>
    </cfRule>
  </conditionalFormatting>
  <conditionalFormatting sqref="AC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5">
    <cfRule type="expression" priority="52" dxfId="3">
      <formula>AND(IF(OR($Q45=1,$Q45=2),1,0),IF($X45&lt;=20,1,0))</formula>
    </cfRule>
    <cfRule type="expression" priority="53" dxfId="2">
      <formula>AND(IF($Q45=2,1,0),IF($X45&lt;30,1,0))</formula>
    </cfRule>
    <cfRule type="expression" priority="54" dxfId="1">
      <formula>AND(IF($Q45=3,1,0),IF($X45&lt;30,1,0))</formula>
    </cfRule>
    <cfRule type="expression" priority="55" dxfId="0">
      <formula>AND(IF($Q45=3,1,IF($Q45=4,1,0)),IF($F45&lt;=85,1,0))</formula>
    </cfRule>
  </conditionalFormatting>
  <conditionalFormatting sqref="X45">
    <cfRule type="expression" priority="48" dxfId="3">
      <formula>AND(IF(OR($Q45=1,$Q45=2),1,0),IF($X45&lt;=20,1,0))</formula>
    </cfRule>
    <cfRule type="expression" priority="49" dxfId="2">
      <formula>AND(IF($Q45=2,1,0),IF($X45&lt;30,1,0))</formula>
    </cfRule>
    <cfRule type="expression" priority="50" dxfId="1">
      <formula>AND(IF($Q45=3,1,0),IF($X45&lt;30,1,0))</formula>
    </cfRule>
    <cfRule type="expression" priority="51" dxfId="0">
      <formula>AND(IF($Q45=3,1,IF($Q45=4,1,0)),IF($F45&lt;=85,1,0))</formula>
    </cfRule>
  </conditionalFormatting>
  <conditionalFormatting sqref="AI45">
    <cfRule type="expression" priority="44" dxfId="3">
      <formula>AND(IF(OR($Q45=1,$Q45=2),1,0),IF($X45&lt;=20,1,0))</formula>
    </cfRule>
    <cfRule type="expression" priority="45" dxfId="2">
      <formula>AND(IF($Q45=2,1,0),IF($X45&lt;30,1,0))</formula>
    </cfRule>
    <cfRule type="expression" priority="46" dxfId="1">
      <formula>AND(IF($Q45=3,1,0),IF($X45&lt;30,1,0))</formula>
    </cfRule>
    <cfRule type="expression" priority="47" dxfId="0">
      <formula>AND(IF($Q45=3,1,IF($Q45=4,1,0)),IF($F45&lt;=85,1,0))</formula>
    </cfRule>
  </conditionalFormatting>
  <conditionalFormatting sqref="AV46">
    <cfRule type="expression" priority="42" dxfId="17">
      <formula>AV46="X"</formula>
    </cfRule>
    <cfRule type="expression" priority="43" dxfId="16">
      <formula>AV46="후보"</formula>
    </cfRule>
  </conditionalFormatting>
  <conditionalFormatting sqref="AC46 N4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천천동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한일,신안</t>
        </is>
      </c>
      <c r="B6" s="16" t="inlineStr">
        <is>
          <t>'97.12.</t>
        </is>
      </c>
      <c r="C6" s="164" t="n">
        <v>456</v>
      </c>
      <c r="D6" s="161" t="n">
        <v>130.9</v>
      </c>
      <c r="E6" s="163" t="n">
        <v>40</v>
      </c>
      <c r="F6" s="161" t="n">
        <v>101.8</v>
      </c>
      <c r="G6" s="27" t="n">
        <v>31</v>
      </c>
      <c r="H6" s="164" t="n">
        <v>320</v>
      </c>
      <c r="I6" s="165" t="n">
        <v>68000</v>
      </c>
      <c r="J6" s="165" t="inlineStr">
        <is>
          <t>7</t>
        </is>
      </c>
      <c r="K6" s="165" t="n">
        <v>49000</v>
      </c>
      <c r="L6" s="165" t="inlineStr">
        <is>
          <t>14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130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한일,신안</t>
        </is>
      </c>
      <c r="B7" s="16" t="inlineStr">
        <is>
          <t>'97.12.</t>
        </is>
      </c>
      <c r="C7" s="164" t="n">
        <v>456</v>
      </c>
      <c r="D7" s="161" t="n">
        <v>168</v>
      </c>
      <c r="E7" s="163" t="n">
        <v>51</v>
      </c>
      <c r="F7" s="161" t="n">
        <v>134.9</v>
      </c>
      <c r="G7" s="27" t="n">
        <v>41</v>
      </c>
      <c r="H7" s="164" t="n">
        <v>136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167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천천일성</t>
        </is>
      </c>
      <c r="B9" s="16" t="inlineStr">
        <is>
          <t>'97.09.</t>
        </is>
      </c>
      <c r="C9" s="164" t="n">
        <v>401</v>
      </c>
      <c r="D9" s="161" t="n">
        <v>106.8</v>
      </c>
      <c r="E9" s="163" t="n">
        <v>32</v>
      </c>
      <c r="F9" s="161" t="n">
        <v>84.90000000000001</v>
      </c>
      <c r="G9" s="27" t="n">
        <v>26</v>
      </c>
      <c r="H9" s="164" t="n">
        <v>386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106B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천천일성</t>
        </is>
      </c>
      <c r="B10" s="16" t="inlineStr">
        <is>
          <t>'97.09.</t>
        </is>
      </c>
      <c r="C10" s="164" t="n">
        <v>401</v>
      </c>
      <c r="D10" s="161" t="n">
        <v>106.6</v>
      </c>
      <c r="E10" s="163" t="n">
        <v>32</v>
      </c>
      <c r="F10" s="161" t="n">
        <v>84.7</v>
      </c>
      <c r="G10" s="27" t="n">
        <v>26</v>
      </c>
      <c r="H10" s="164" t="n">
        <v>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106A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비단마을신명</t>
        </is>
      </c>
      <c r="B12" s="16" t="inlineStr">
        <is>
          <t>'01.11.</t>
        </is>
      </c>
      <c r="C12" s="164" t="n">
        <v>594</v>
      </c>
      <c r="D12" s="161" t="n">
        <v>89.40000000000001</v>
      </c>
      <c r="E12" s="163" t="n">
        <v>27</v>
      </c>
      <c r="F12" s="161" t="n">
        <v>60</v>
      </c>
      <c r="G12" s="27" t="n">
        <v>18</v>
      </c>
      <c r="H12" s="164" t="n">
        <v>594</v>
      </c>
      <c r="I12" s="165" t="n">
        <v>47000</v>
      </c>
      <c r="J12" s="165" t="inlineStr">
        <is>
          <t>21</t>
        </is>
      </c>
      <c r="K12" s="165" t="n">
        <v>31000</v>
      </c>
      <c r="L12" s="165" t="inlineStr">
        <is>
          <t>10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89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현대</t>
        </is>
      </c>
      <c r="B14" s="16" t="inlineStr">
        <is>
          <t>'97.11.</t>
        </is>
      </c>
      <c r="C14" s="164" t="n">
        <v>594</v>
      </c>
      <c r="D14" s="161" t="n">
        <v>65.90000000000001</v>
      </c>
      <c r="E14" s="163" t="n">
        <v>20</v>
      </c>
      <c r="F14" s="161" t="n">
        <v>50.4</v>
      </c>
      <c r="G14" s="27" t="n">
        <v>15</v>
      </c>
      <c r="H14" s="164" t="n">
        <v>57</v>
      </c>
      <c r="I14" s="165" t="n">
        <v>37000</v>
      </c>
      <c r="J14" s="165" t="inlineStr">
        <is>
          <t>10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65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현대</t>
        </is>
      </c>
      <c r="B15" s="16" t="inlineStr">
        <is>
          <t>'97.11.</t>
        </is>
      </c>
      <c r="C15" s="164" t="n">
        <v>594</v>
      </c>
      <c r="D15" s="161" t="n">
        <v>78.3</v>
      </c>
      <c r="E15" s="163" t="n">
        <v>24</v>
      </c>
      <c r="F15" s="161" t="n">
        <v>59.8</v>
      </c>
      <c r="G15" s="27" t="n">
        <v>18</v>
      </c>
      <c r="H15" s="164" t="n">
        <v>537</v>
      </c>
      <c r="I15" s="165" t="n">
        <v>45000</v>
      </c>
      <c r="J15" s="165" t="inlineStr">
        <is>
          <t>11</t>
        </is>
      </c>
      <c r="K15" s="165" t="n">
        <v>30000</v>
      </c>
      <c r="L15" s="165" t="inlineStr">
        <is>
          <t>10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78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천천푸르지오</t>
        </is>
      </c>
      <c r="B17" s="16" t="inlineStr">
        <is>
          <t>'09.01.</t>
        </is>
      </c>
      <c r="C17" s="164" t="n">
        <v>2571</v>
      </c>
      <c r="D17" s="161" t="n">
        <v>85.8</v>
      </c>
      <c r="E17" s="163" t="n">
        <v>26</v>
      </c>
      <c r="F17" s="161" t="n">
        <v>60</v>
      </c>
      <c r="G17" s="27" t="n">
        <v>18</v>
      </c>
      <c r="H17" s="164" t="n">
        <v>515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85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천천푸르지오</t>
        </is>
      </c>
      <c r="B18" s="16" t="inlineStr">
        <is>
          <t>'09.01.</t>
        </is>
      </c>
      <c r="C18" s="164" t="n">
        <v>2571</v>
      </c>
      <c r="D18" s="161" t="n">
        <v>109.9</v>
      </c>
      <c r="E18" s="163" t="n">
        <v>33</v>
      </c>
      <c r="F18" s="161" t="n">
        <v>84.90000000000001</v>
      </c>
      <c r="G18" s="27" t="n">
        <v>26</v>
      </c>
      <c r="H18" s="164" t="n">
        <v>299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109D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천천푸르지오</t>
        </is>
      </c>
      <c r="B19" s="16" t="inlineStr">
        <is>
          <t>'09.01.</t>
        </is>
      </c>
      <c r="C19" s="164" t="n">
        <v>2571</v>
      </c>
      <c r="D19" s="161" t="n">
        <v>110.6</v>
      </c>
      <c r="E19" s="163" t="n">
        <v>33</v>
      </c>
      <c r="F19" s="161" t="n">
        <v>84.8</v>
      </c>
      <c r="G19" s="27" t="n">
        <v>26</v>
      </c>
      <c r="H19" s="164" t="n">
        <v>241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110E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천천푸르지오</t>
        </is>
      </c>
      <c r="B20" s="16" t="inlineStr">
        <is>
          <t>'09.01.</t>
        </is>
      </c>
      <c r="C20" s="164" t="n">
        <v>2571</v>
      </c>
      <c r="D20" s="161" t="n">
        <v>110.6</v>
      </c>
      <c r="E20" s="163" t="n">
        <v>33</v>
      </c>
      <c r="F20" s="161" t="n">
        <v>84.8</v>
      </c>
      <c r="G20" s="27" t="n">
        <v>26</v>
      </c>
      <c r="H20" s="164" t="n">
        <v>66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천천푸르지오</t>
        </is>
      </c>
      <c r="B21" s="16" t="inlineStr">
        <is>
          <t>'09.01.</t>
        </is>
      </c>
      <c r="C21" s="164" t="n">
        <v>2571</v>
      </c>
      <c r="D21" s="161" t="n">
        <v>111.4</v>
      </c>
      <c r="E21" s="163" t="n">
        <v>34</v>
      </c>
      <c r="F21" s="161" t="n">
        <v>84.90000000000001</v>
      </c>
      <c r="G21" s="27" t="n">
        <v>26</v>
      </c>
      <c r="H21" s="164" t="n">
        <v>349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천천푸르지오</t>
        </is>
      </c>
      <c r="B22" s="16" t="inlineStr">
        <is>
          <t>'09.01.</t>
        </is>
      </c>
      <c r="C22" s="164" t="n">
        <v>2571</v>
      </c>
      <c r="D22" s="161" t="n">
        <v>112.3</v>
      </c>
      <c r="E22" s="163" t="n">
        <v>34</v>
      </c>
      <c r="F22" s="161" t="n">
        <v>84.8</v>
      </c>
      <c r="G22" s="27" t="n">
        <v>26</v>
      </c>
      <c r="H22" s="164" t="n">
        <v>75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112B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천천푸르지오</t>
        </is>
      </c>
      <c r="B23" s="16" t="inlineStr">
        <is>
          <t>'09.01.</t>
        </is>
      </c>
      <c r="C23" s="164" t="n">
        <v>2571</v>
      </c>
      <c r="D23" s="161" t="n">
        <v>141.6</v>
      </c>
      <c r="E23" s="163" t="n">
        <v>43</v>
      </c>
      <c r="F23" s="161" t="n">
        <v>113</v>
      </c>
      <c r="G23" s="27" t="n">
        <v>34</v>
      </c>
      <c r="H23" s="164" t="n">
        <v>222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141B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천천푸르지오</t>
        </is>
      </c>
      <c r="B24" s="16" t="inlineStr">
        <is>
          <t>'09.01.</t>
        </is>
      </c>
      <c r="C24" s="164" t="n">
        <v>2571</v>
      </c>
      <c r="D24" s="161" t="n">
        <v>141.6</v>
      </c>
      <c r="E24" s="163" t="n">
        <v>43</v>
      </c>
      <c r="F24" s="161" t="n">
        <v>113.9</v>
      </c>
      <c r="G24" s="27" t="n">
        <v>34</v>
      </c>
      <c r="H24" s="164" t="n">
        <v>188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141C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천천푸르지오</t>
        </is>
      </c>
      <c r="B25" s="16" t="inlineStr">
        <is>
          <t>'09.01.</t>
        </is>
      </c>
      <c r="C25" s="164" t="n">
        <v>2571</v>
      </c>
      <c r="D25" s="161" t="n">
        <v>142</v>
      </c>
      <c r="E25" s="163" t="n">
        <v>43</v>
      </c>
      <c r="F25" s="161" t="n">
        <v>113.7</v>
      </c>
      <c r="G25" s="27" t="n">
        <v>34</v>
      </c>
      <c r="H25" s="164" t="n">
        <v>48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141A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천천푸르지오</t>
        </is>
      </c>
      <c r="B26" s="16" t="inlineStr">
        <is>
          <t>'09.01.</t>
        </is>
      </c>
      <c r="C26" s="164" t="n">
        <v>2571</v>
      </c>
      <c r="D26" s="161" t="n">
        <v>160.7</v>
      </c>
      <c r="E26" s="163" t="n">
        <v>49</v>
      </c>
      <c r="F26" s="161" t="n">
        <v>129.7</v>
      </c>
      <c r="G26" s="27" t="n">
        <v>39</v>
      </c>
      <c r="H26" s="164" t="n">
        <v>125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160C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천천푸르지오</t>
        </is>
      </c>
      <c r="B27" s="16" t="inlineStr">
        <is>
          <t>'09.01.</t>
        </is>
      </c>
      <c r="C27" s="164" t="n">
        <v>2571</v>
      </c>
      <c r="D27" s="161" t="n">
        <v>161.9</v>
      </c>
      <c r="E27" s="163" t="n">
        <v>49</v>
      </c>
      <c r="F27" s="161" t="n">
        <v>129.8</v>
      </c>
      <c r="G27" s="27" t="n">
        <v>39</v>
      </c>
      <c r="H27" s="164" t="n">
        <v>135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161B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천천푸르지오</t>
        </is>
      </c>
      <c r="B28" s="16" t="inlineStr">
        <is>
          <t>'09.01.</t>
        </is>
      </c>
      <c r="C28" s="164" t="n">
        <v>2571</v>
      </c>
      <c r="D28" s="161" t="n">
        <v>161.7</v>
      </c>
      <c r="E28" s="163" t="n">
        <v>49</v>
      </c>
      <c r="F28" s="161" t="n">
        <v>129.6</v>
      </c>
      <c r="G28" s="27" t="n">
        <v>39</v>
      </c>
      <c r="H28" s="164" t="n">
        <v>96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161A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천천푸르지오</t>
        </is>
      </c>
      <c r="B29" s="16" t="inlineStr">
        <is>
          <t>'09.01.</t>
        </is>
      </c>
      <c r="C29" s="164" t="n">
        <v>2571</v>
      </c>
      <c r="D29" s="161" t="n">
        <v>182.2</v>
      </c>
      <c r="E29" s="163" t="n">
        <v>55</v>
      </c>
      <c r="F29" s="161" t="n">
        <v>148.5</v>
      </c>
      <c r="G29" s="27" t="n">
        <v>45</v>
      </c>
      <c r="H29" s="164" t="n">
        <v>116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182A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천천푸르지오</t>
        </is>
      </c>
      <c r="B30" s="16" t="inlineStr">
        <is>
          <t>'09.01.</t>
        </is>
      </c>
      <c r="C30" s="164" t="n">
        <v>2571</v>
      </c>
      <c r="D30" s="161" t="n">
        <v>182.6</v>
      </c>
      <c r="E30" s="163" t="n">
        <v>55</v>
      </c>
      <c r="F30" s="161" t="n">
        <v>148.8</v>
      </c>
      <c r="G30" s="27" t="n">
        <v>45</v>
      </c>
      <c r="H30" s="164" t="n">
        <v>96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182B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천천삼성래미안</t>
        </is>
      </c>
      <c r="B32" s="16" t="inlineStr">
        <is>
          <t>'02.04.</t>
        </is>
      </c>
      <c r="C32" s="164" t="n">
        <v>876</v>
      </c>
      <c r="D32" s="161" t="n">
        <v>86.8</v>
      </c>
      <c r="E32" s="163" t="n">
        <v>26</v>
      </c>
      <c r="F32" s="161" t="n">
        <v>60</v>
      </c>
      <c r="G32" s="27" t="n">
        <v>18</v>
      </c>
      <c r="H32" s="164" t="n">
        <v>238</v>
      </c>
      <c r="I32" s="165" t="n">
        <v>50000</v>
      </c>
      <c r="J32" s="165" t="inlineStr">
        <is>
          <t>10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86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천천삼성래미안</t>
        </is>
      </c>
      <c r="B33" s="16" t="inlineStr">
        <is>
          <t>'02.04.</t>
        </is>
      </c>
      <c r="C33" s="164" t="n">
        <v>876</v>
      </c>
      <c r="D33" s="161" t="n">
        <v>114.6</v>
      </c>
      <c r="E33" s="163" t="n">
        <v>35</v>
      </c>
      <c r="F33" s="161" t="n">
        <v>85</v>
      </c>
      <c r="G33" s="27" t="n">
        <v>26</v>
      </c>
      <c r="H33" s="164" t="n">
        <v>638</v>
      </c>
      <c r="I33" s="165" t="n">
        <v>58000</v>
      </c>
      <c r="J33" s="165" t="inlineStr">
        <is>
          <t>고</t>
        </is>
      </c>
      <c r="K33" s="165" t="n">
        <v>35000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114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삼호진덕</t>
        </is>
      </c>
      <c r="B35" s="16" t="inlineStr">
        <is>
          <t>'98.03.</t>
        </is>
      </c>
      <c r="C35" s="164" t="n">
        <v>789</v>
      </c>
      <c r="D35" s="161" t="n">
        <v>77.3</v>
      </c>
      <c r="E35" s="163" t="n">
        <v>23</v>
      </c>
      <c r="F35" s="161" t="n">
        <v>59.7</v>
      </c>
      <c r="G35" s="27" t="n">
        <v>18</v>
      </c>
      <c r="H35" s="164" t="n">
        <v>223</v>
      </c>
      <c r="I35" s="165" t="n">
        <v>43000</v>
      </c>
      <c r="J35" s="165" t="inlineStr">
        <is>
          <t>10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77B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삼호진덕</t>
        </is>
      </c>
      <c r="B36" s="16" t="inlineStr">
        <is>
          <t>'98.03.</t>
        </is>
      </c>
      <c r="C36" s="164" t="n">
        <v>789</v>
      </c>
      <c r="D36" s="161" t="n">
        <v>78.3</v>
      </c>
      <c r="E36" s="163" t="n">
        <v>24</v>
      </c>
      <c r="F36" s="161" t="n">
        <v>59.9</v>
      </c>
      <c r="G36" s="27" t="n">
        <v>18</v>
      </c>
      <c r="H36" s="164" t="n">
        <v>566</v>
      </c>
      <c r="I36" s="165" t="n">
        <v>47000</v>
      </c>
      <c r="J36" s="165" t="inlineStr">
        <is>
          <t>15</t>
        </is>
      </c>
      <c r="K36" s="165" t="n">
        <v>33000</v>
      </c>
      <c r="L36" s="165" t="inlineStr">
        <is>
          <t>13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78A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비단마을베스트타운</t>
        </is>
      </c>
      <c r="B38" s="16" t="inlineStr">
        <is>
          <t>'01.11.</t>
        </is>
      </c>
      <c r="C38" s="164" t="n">
        <v>1032</v>
      </c>
      <c r="D38" s="161" t="n">
        <v>113.5</v>
      </c>
      <c r="E38" s="163" t="n">
        <v>34</v>
      </c>
      <c r="F38" s="161" t="n">
        <v>85</v>
      </c>
      <c r="G38" s="27" t="n">
        <v>26</v>
      </c>
      <c r="H38" s="164" t="n">
        <v>1032</v>
      </c>
      <c r="I38" s="165" t="n">
        <v>65000</v>
      </c>
      <c r="J38" s="165" t="inlineStr">
        <is>
          <t>6</t>
        </is>
      </c>
      <c r="K38" s="165" t="n">
        <v>47000</v>
      </c>
      <c r="L38" s="165" t="inlineStr">
        <is>
          <t>5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113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비단마을현대성우,우방</t>
        </is>
      </c>
      <c r="B40" s="16" t="inlineStr">
        <is>
          <t>'02.02.</t>
        </is>
      </c>
      <c r="C40" s="164" t="n">
        <v>501</v>
      </c>
      <c r="D40" s="161" t="n">
        <v>130.5</v>
      </c>
      <c r="E40" s="163" t="n">
        <v>39</v>
      </c>
      <c r="F40" s="161" t="n">
        <v>101.2</v>
      </c>
      <c r="G40" s="27" t="n">
        <v>31</v>
      </c>
      <c r="H40" s="164" t="n">
        <v>68</v>
      </c>
      <c r="I40" s="165" t="n">
        <v>83000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130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비단마을현대성우,우방</t>
        </is>
      </c>
      <c r="B41" s="16" t="inlineStr">
        <is>
          <t>'02.02.</t>
        </is>
      </c>
      <c r="C41" s="164" t="n">
        <v>501</v>
      </c>
      <c r="D41" s="161" t="n">
        <v>132.5</v>
      </c>
      <c r="E41" s="163" t="n">
        <v>40</v>
      </c>
      <c r="F41" s="161" t="n">
        <v>100.8</v>
      </c>
      <c r="G41" s="27" t="n">
        <v>30</v>
      </c>
      <c r="H41" s="164" t="n">
        <v>99</v>
      </c>
      <c r="I41" s="165" t="n">
        <v>88000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132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비단마을현대성우,우방</t>
        </is>
      </c>
      <c r="B42" s="16" t="inlineStr">
        <is>
          <t>'02.02.</t>
        </is>
      </c>
      <c r="C42" s="164" t="n">
        <v>501</v>
      </c>
      <c r="D42" s="161" t="n">
        <v>162.8</v>
      </c>
      <c r="E42" s="163" t="n">
        <v>49</v>
      </c>
      <c r="F42" s="161" t="n">
        <v>128.1</v>
      </c>
      <c r="G42" s="27" t="n">
        <v>39</v>
      </c>
      <c r="H42" s="164" t="n">
        <v>161</v>
      </c>
      <c r="I42" s="165" t="n">
        <v>85000</v>
      </c>
      <c r="J42" s="165" t="inlineStr">
        <is>
          <t>23</t>
        </is>
      </c>
      <c r="K42" s="165" t="n">
        <v>57000</v>
      </c>
      <c r="L42" s="165" t="inlineStr">
        <is>
          <t>7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162B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비단마을현대성우,우방</t>
        </is>
      </c>
      <c r="B43" s="16" t="inlineStr">
        <is>
          <t>'02.02.</t>
        </is>
      </c>
      <c r="C43" s="164" t="n">
        <v>501</v>
      </c>
      <c r="D43" s="161" t="n">
        <v>162</v>
      </c>
      <c r="E43" s="163" t="n">
        <v>49</v>
      </c>
      <c r="F43" s="161" t="n">
        <v>128</v>
      </c>
      <c r="G43" s="27" t="n">
        <v>39</v>
      </c>
      <c r="H43" s="164" t="n">
        <v>128</v>
      </c>
      <c r="I43" s="165" t="n">
        <v>85000</v>
      </c>
      <c r="J43" s="165" t="inlineStr">
        <is>
          <t>13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inlineStr">
        <is>
          <t>162A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비단마을현대성우,우방</t>
        </is>
      </c>
      <c r="B44" s="16" t="inlineStr">
        <is>
          <t>'02.02.</t>
        </is>
      </c>
      <c r="C44" s="164" t="n">
        <v>501</v>
      </c>
      <c r="D44" s="161" t="n">
        <v>215.6</v>
      </c>
      <c r="E44" s="163" t="n">
        <v>65</v>
      </c>
      <c r="F44" s="161" t="n">
        <v>173.4</v>
      </c>
      <c r="G44" s="27" t="n">
        <v>52</v>
      </c>
      <c r="H44" s="164" t="n">
        <v>45</v>
      </c>
      <c r="I44" s="165" t="n">
        <v>95000</v>
      </c>
      <c r="J44" s="165" t="inlineStr">
        <is>
          <t>고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215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비단마을영풍마드레빌</t>
        </is>
      </c>
      <c r="B46" s="16" t="inlineStr">
        <is>
          <t>'01.05.</t>
        </is>
      </c>
      <c r="C46" s="164" t="n">
        <v>212</v>
      </c>
      <c r="D46" s="161" t="n">
        <v>152.4</v>
      </c>
      <c r="E46" s="163" t="n">
        <v>46</v>
      </c>
      <c r="F46" s="161" t="n">
        <v>122.8</v>
      </c>
      <c r="G46" s="27" t="n">
        <v>37</v>
      </c>
      <c r="H46" s="164" t="n">
        <v>212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152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54" dxfId="17">
      <formula>AV4="X"</formula>
    </cfRule>
    <cfRule type="expression" priority="655" dxfId="16">
      <formula>AV4="후보"</formula>
    </cfRule>
  </conditionalFormatting>
  <conditionalFormatting sqref="AC1:AC2 AC4:AC6 N4:N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N1:N2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X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I6">
    <cfRule type="expression" priority="635" dxfId="3">
      <formula>AND(IF(OR($Q6=1,$Q6=2),1,0),IF($X6&lt;=20,1,0))</formula>
    </cfRule>
    <cfRule type="expression" priority="636" dxfId="2">
      <formula>AND(IF($Q6=2,1,0),IF($X6&lt;30,1,0))</formula>
    </cfRule>
    <cfRule type="expression" priority="637" dxfId="1">
      <formula>AND(IF($Q6=3,1,0),IF($X6&lt;30,1,0))</formula>
    </cfRule>
    <cfRule type="expression" priority="638" dxfId="0">
      <formula>AND(IF($Q6=3,1,IF($Q6=4,1,0)),IF($F6&lt;=85,1,0))</formula>
    </cfRule>
  </conditionalFormatting>
  <conditionalFormatting sqref="AV7">
    <cfRule type="expression" priority="633" dxfId="17">
      <formula>AV7="X"</formula>
    </cfRule>
    <cfRule type="expression" priority="634" dxfId="16">
      <formula>AV7="후보"</formula>
    </cfRule>
  </conditionalFormatting>
  <conditionalFormatting sqref="AC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X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I7">
    <cfRule type="expression" priority="616" dxfId="3">
      <formula>AND(IF(OR($Q7=1,$Q7=2),1,0),IF($X7&lt;=20,1,0))</formula>
    </cfRule>
    <cfRule type="expression" priority="617" dxfId="2">
      <formula>AND(IF($Q7=2,1,0),IF($X7&lt;30,1,0))</formula>
    </cfRule>
    <cfRule type="expression" priority="618" dxfId="1">
      <formula>AND(IF($Q7=3,1,0),IF($X7&lt;30,1,0))</formula>
    </cfRule>
    <cfRule type="expression" priority="619" dxfId="0">
      <formula>AND(IF($Q7=3,1,IF($Q7=4,1,0)),IF($F7&lt;=85,1,0))</formula>
    </cfRule>
  </conditionalFormatting>
  <conditionalFormatting sqref="AV8">
    <cfRule type="expression" priority="614" dxfId="17">
      <formula>AV8="X"</formula>
    </cfRule>
    <cfRule type="expression" priority="615" dxfId="16">
      <formula>AV8="후보"</formula>
    </cfRule>
  </conditionalFormatting>
  <conditionalFormatting sqref="AC8 N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9">
    <cfRule type="expression" priority="609" dxfId="17">
      <formula>AV9="X"</formula>
    </cfRule>
    <cfRule type="expression" priority="610" dxfId="16">
      <formula>AV9="후보"</formula>
    </cfRule>
  </conditionalFormatting>
  <conditionalFormatting sqref="AC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9">
    <cfRule type="expression" priority="600" dxfId="3">
      <formula>AND(IF(OR($Q9=1,$Q9=2),1,0),IF($X9&lt;=20,1,0))</formula>
    </cfRule>
    <cfRule type="expression" priority="601" dxfId="2">
      <formula>AND(IF($Q9=2,1,0),IF($X9&lt;30,1,0))</formula>
    </cfRule>
    <cfRule type="expression" priority="602" dxfId="1">
      <formula>AND(IF($Q9=3,1,0),IF($X9&lt;30,1,0))</formula>
    </cfRule>
    <cfRule type="expression" priority="603" dxfId="0">
      <formula>AND(IF($Q9=3,1,IF($Q9=4,1,0)),IF($F9&lt;=85,1,0))</formula>
    </cfRule>
  </conditionalFormatting>
  <conditionalFormatting sqref="X9">
    <cfRule type="expression" priority="596" dxfId="3">
      <formula>AND(IF(OR($Q9=1,$Q9=2),1,0),IF($X9&lt;=20,1,0))</formula>
    </cfRule>
    <cfRule type="expression" priority="597" dxfId="2">
      <formula>AND(IF($Q9=2,1,0),IF($X9&lt;30,1,0))</formula>
    </cfRule>
    <cfRule type="expression" priority="598" dxfId="1">
      <formula>AND(IF($Q9=3,1,0),IF($X9&lt;30,1,0))</formula>
    </cfRule>
    <cfRule type="expression" priority="599" dxfId="0">
      <formula>AND(IF($Q9=3,1,IF($Q9=4,1,0)),IF($F9&lt;=85,1,0))</formula>
    </cfRule>
  </conditionalFormatting>
  <conditionalFormatting sqref="AI9">
    <cfRule type="expression" priority="592" dxfId="3">
      <formula>AND(IF(OR($Q9=1,$Q9=2),1,0),IF($X9&lt;=20,1,0))</formula>
    </cfRule>
    <cfRule type="expression" priority="593" dxfId="2">
      <formula>AND(IF($Q9=2,1,0),IF($X9&lt;30,1,0))</formula>
    </cfRule>
    <cfRule type="expression" priority="594" dxfId="1">
      <formula>AND(IF($Q9=3,1,0),IF($X9&lt;30,1,0))</formula>
    </cfRule>
    <cfRule type="expression" priority="595" dxfId="0">
      <formula>AND(IF($Q9=3,1,IF($Q9=4,1,0)),IF($F9&lt;=85,1,0))</formula>
    </cfRule>
  </conditionalFormatting>
  <conditionalFormatting sqref="AV10">
    <cfRule type="expression" priority="590" dxfId="17">
      <formula>AV10="X"</formula>
    </cfRule>
    <cfRule type="expression" priority="591" dxfId="16">
      <formula>AV10="후보"</formula>
    </cfRule>
  </conditionalFormatting>
  <conditionalFormatting sqref="AC1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0">
    <cfRule type="expression" priority="581" dxfId="3">
      <formula>AND(IF(OR($Q10=1,$Q10=2),1,0),IF($X10&lt;=20,1,0))</formula>
    </cfRule>
    <cfRule type="expression" priority="582" dxfId="2">
      <formula>AND(IF($Q10=2,1,0),IF($X10&lt;30,1,0))</formula>
    </cfRule>
    <cfRule type="expression" priority="583" dxfId="1">
      <formula>AND(IF($Q10=3,1,0),IF($X10&lt;30,1,0))</formula>
    </cfRule>
    <cfRule type="expression" priority="584" dxfId="0">
      <formula>AND(IF($Q10=3,1,IF($Q10=4,1,0)),IF($F10&lt;=85,1,0))</formula>
    </cfRule>
  </conditionalFormatting>
  <conditionalFormatting sqref="X10">
    <cfRule type="expression" priority="577" dxfId="3">
      <formula>AND(IF(OR($Q10=1,$Q10=2),1,0),IF($X10&lt;=20,1,0))</formula>
    </cfRule>
    <cfRule type="expression" priority="578" dxfId="2">
      <formula>AND(IF($Q10=2,1,0),IF($X10&lt;30,1,0))</formula>
    </cfRule>
    <cfRule type="expression" priority="579" dxfId="1">
      <formula>AND(IF($Q10=3,1,0),IF($X10&lt;30,1,0))</formula>
    </cfRule>
    <cfRule type="expression" priority="580" dxfId="0">
      <formula>AND(IF($Q10=3,1,IF($Q10=4,1,0)),IF($F10&lt;=85,1,0))</formula>
    </cfRule>
  </conditionalFormatting>
  <conditionalFormatting sqref="AI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AV11">
    <cfRule type="expression" priority="571" dxfId="17">
      <formula>AV11="X"</formula>
    </cfRule>
    <cfRule type="expression" priority="572" dxfId="16">
      <formula>AV11="후보"</formula>
    </cfRule>
  </conditionalFormatting>
  <conditionalFormatting sqref="AC11 N1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12">
    <cfRule type="expression" priority="566" dxfId="17">
      <formula>AV12="X"</formula>
    </cfRule>
    <cfRule type="expression" priority="567" dxfId="16">
      <formula>AV12="후보"</formula>
    </cfRule>
  </conditionalFormatting>
  <conditionalFormatting sqref="AC1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2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X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I12">
    <cfRule type="expression" priority="549" dxfId="3">
      <formula>AND(IF(OR($Q12=1,$Q12=2),1,0),IF($X12&lt;=20,1,0))</formula>
    </cfRule>
    <cfRule type="expression" priority="550" dxfId="2">
      <formula>AND(IF($Q12=2,1,0),IF($X12&lt;30,1,0))</formula>
    </cfRule>
    <cfRule type="expression" priority="551" dxfId="1">
      <formula>AND(IF($Q12=3,1,0),IF($X12&lt;30,1,0))</formula>
    </cfRule>
    <cfRule type="expression" priority="552" dxfId="0">
      <formula>AND(IF($Q12=3,1,IF($Q12=4,1,0)),IF($F12&lt;=85,1,0))</formula>
    </cfRule>
  </conditionalFormatting>
  <conditionalFormatting sqref="AV13">
    <cfRule type="expression" priority="547" dxfId="17">
      <formula>AV13="X"</formula>
    </cfRule>
    <cfRule type="expression" priority="548" dxfId="16">
      <formula>AV13="후보"</formula>
    </cfRule>
  </conditionalFormatting>
  <conditionalFormatting sqref="AC13 N13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14">
    <cfRule type="expression" priority="542" dxfId="17">
      <formula>AV14="X"</formula>
    </cfRule>
    <cfRule type="expression" priority="543" dxfId="16">
      <formula>AV14="후보"</formula>
    </cfRule>
  </conditionalFormatting>
  <conditionalFormatting sqref="AC1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4">
    <cfRule type="expression" priority="533" dxfId="3">
      <formula>AND(IF(OR($Q14=1,$Q14=2),1,0),IF($X14&lt;=20,1,0))</formula>
    </cfRule>
    <cfRule type="expression" priority="534" dxfId="2">
      <formula>AND(IF($Q14=2,1,0),IF($X14&lt;30,1,0))</formula>
    </cfRule>
    <cfRule type="expression" priority="535" dxfId="1">
      <formula>AND(IF($Q14=3,1,0),IF($X14&lt;30,1,0))</formula>
    </cfRule>
    <cfRule type="expression" priority="536" dxfId="0">
      <formula>AND(IF($Q14=3,1,IF($Q14=4,1,0)),IF($F14&lt;=85,1,0))</formula>
    </cfRule>
  </conditionalFormatting>
  <conditionalFormatting sqref="X14">
    <cfRule type="expression" priority="529" dxfId="3">
      <formula>AND(IF(OR($Q14=1,$Q14=2),1,0),IF($X14&lt;=20,1,0))</formula>
    </cfRule>
    <cfRule type="expression" priority="530" dxfId="2">
      <formula>AND(IF($Q14=2,1,0),IF($X14&lt;30,1,0))</formula>
    </cfRule>
    <cfRule type="expression" priority="531" dxfId="1">
      <formula>AND(IF($Q14=3,1,0),IF($X14&lt;30,1,0))</formula>
    </cfRule>
    <cfRule type="expression" priority="532" dxfId="0">
      <formula>AND(IF($Q14=3,1,IF($Q14=4,1,0)),IF($F14&lt;=85,1,0))</formula>
    </cfRule>
  </conditionalFormatting>
  <conditionalFormatting sqref="AI14">
    <cfRule type="expression" priority="525" dxfId="3">
      <formula>AND(IF(OR($Q14=1,$Q14=2),1,0),IF($X14&lt;=20,1,0))</formula>
    </cfRule>
    <cfRule type="expression" priority="526" dxfId="2">
      <formula>AND(IF($Q14=2,1,0),IF($X14&lt;30,1,0))</formula>
    </cfRule>
    <cfRule type="expression" priority="527" dxfId="1">
      <formula>AND(IF($Q14=3,1,0),IF($X14&lt;30,1,0))</formula>
    </cfRule>
    <cfRule type="expression" priority="528" dxfId="0">
      <formula>AND(IF($Q14=3,1,IF($Q14=4,1,0)),IF($F14&lt;=85,1,0))</formula>
    </cfRule>
  </conditionalFormatting>
  <conditionalFormatting sqref="AV15">
    <cfRule type="expression" priority="523" dxfId="17">
      <formula>AV15="X"</formula>
    </cfRule>
    <cfRule type="expression" priority="524" dxfId="16">
      <formula>AV15="후보"</formula>
    </cfRule>
  </conditionalFormatting>
  <conditionalFormatting sqref="AC1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X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I15">
    <cfRule type="expression" priority="506" dxfId="3">
      <formula>AND(IF(OR($Q15=1,$Q15=2),1,0),IF($X15&lt;=20,1,0))</formula>
    </cfRule>
    <cfRule type="expression" priority="507" dxfId="2">
      <formula>AND(IF($Q15=2,1,0),IF($X15&lt;30,1,0))</formula>
    </cfRule>
    <cfRule type="expression" priority="508" dxfId="1">
      <formula>AND(IF($Q15=3,1,0),IF($X15&lt;30,1,0))</formula>
    </cfRule>
    <cfRule type="expression" priority="509" dxfId="0">
      <formula>AND(IF($Q15=3,1,IF($Q15=4,1,0)),IF($F15&lt;=85,1,0))</formula>
    </cfRule>
  </conditionalFormatting>
  <conditionalFormatting sqref="AV16">
    <cfRule type="expression" priority="504" dxfId="17">
      <formula>AV16="X"</formula>
    </cfRule>
    <cfRule type="expression" priority="505" dxfId="16">
      <formula>AV16="후보"</formula>
    </cfRule>
  </conditionalFormatting>
  <conditionalFormatting sqref="AC16 N1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7">
    <cfRule type="expression" priority="499" dxfId="17">
      <formula>AV17="X"</formula>
    </cfRule>
    <cfRule type="expression" priority="500" dxfId="16">
      <formula>AV17="후보"</formula>
    </cfRule>
  </conditionalFormatting>
  <conditionalFormatting sqref="AC1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7">
    <cfRule type="expression" priority="490" dxfId="3">
      <formula>AND(IF(OR($Q17=1,$Q17=2),1,0),IF($X17&lt;=20,1,0))</formula>
    </cfRule>
    <cfRule type="expression" priority="491" dxfId="2">
      <formula>AND(IF($Q17=2,1,0),IF($X17&lt;30,1,0))</formula>
    </cfRule>
    <cfRule type="expression" priority="492" dxfId="1">
      <formula>AND(IF($Q17=3,1,0),IF($X17&lt;30,1,0))</formula>
    </cfRule>
    <cfRule type="expression" priority="493" dxfId="0">
      <formula>AND(IF($Q17=3,1,IF($Q17=4,1,0)),IF($F17&lt;=85,1,0))</formula>
    </cfRule>
  </conditionalFormatting>
  <conditionalFormatting sqref="X17">
    <cfRule type="expression" priority="486" dxfId="3">
      <formula>AND(IF(OR($Q17=1,$Q17=2),1,0),IF($X17&lt;=20,1,0))</formula>
    </cfRule>
    <cfRule type="expression" priority="487" dxfId="2">
      <formula>AND(IF($Q17=2,1,0),IF($X17&lt;30,1,0))</formula>
    </cfRule>
    <cfRule type="expression" priority="488" dxfId="1">
      <formula>AND(IF($Q17=3,1,0),IF($X17&lt;30,1,0))</formula>
    </cfRule>
    <cfRule type="expression" priority="489" dxfId="0">
      <formula>AND(IF($Q17=3,1,IF($Q17=4,1,0)),IF($F17&lt;=85,1,0))</formula>
    </cfRule>
  </conditionalFormatting>
  <conditionalFormatting sqref="AI17">
    <cfRule type="expression" priority="482" dxfId="3">
      <formula>AND(IF(OR($Q17=1,$Q17=2),1,0),IF($X17&lt;=20,1,0))</formula>
    </cfRule>
    <cfRule type="expression" priority="483" dxfId="2">
      <formula>AND(IF($Q17=2,1,0),IF($X17&lt;30,1,0))</formula>
    </cfRule>
    <cfRule type="expression" priority="484" dxfId="1">
      <formula>AND(IF($Q17=3,1,0),IF($X17&lt;30,1,0))</formula>
    </cfRule>
    <cfRule type="expression" priority="485" dxfId="0">
      <formula>AND(IF($Q17=3,1,IF($Q17=4,1,0)),IF($F17&lt;=85,1,0))</formula>
    </cfRule>
  </conditionalFormatting>
  <conditionalFormatting sqref="AV18">
    <cfRule type="expression" priority="480" dxfId="17">
      <formula>AV18="X"</formula>
    </cfRule>
    <cfRule type="expression" priority="481" dxfId="16">
      <formula>AV18="후보"</formula>
    </cfRule>
  </conditionalFormatting>
  <conditionalFormatting sqref="AC1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X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I18">
    <cfRule type="expression" priority="463" dxfId="3">
      <formula>AND(IF(OR($Q18=1,$Q18=2),1,0),IF($X18&lt;=20,1,0))</formula>
    </cfRule>
    <cfRule type="expression" priority="464" dxfId="2">
      <formula>AND(IF($Q18=2,1,0),IF($X18&lt;30,1,0))</formula>
    </cfRule>
    <cfRule type="expression" priority="465" dxfId="1">
      <formula>AND(IF($Q18=3,1,0),IF($X18&lt;30,1,0))</formula>
    </cfRule>
    <cfRule type="expression" priority="466" dxfId="0">
      <formula>AND(IF($Q18=3,1,IF($Q18=4,1,0)),IF($F18&lt;=85,1,0))</formula>
    </cfRule>
  </conditionalFormatting>
  <conditionalFormatting sqref="AV19">
    <cfRule type="expression" priority="461" dxfId="17">
      <formula>AV19="X"</formula>
    </cfRule>
    <cfRule type="expression" priority="462" dxfId="16">
      <formula>AV19="후보"</formula>
    </cfRule>
  </conditionalFormatting>
  <conditionalFormatting sqref="AC1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X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I19">
    <cfRule type="expression" priority="444" dxfId="3">
      <formula>AND(IF(OR($Q19=1,$Q19=2),1,0),IF($X19&lt;=20,1,0))</formula>
    </cfRule>
    <cfRule type="expression" priority="445" dxfId="2">
      <formula>AND(IF($Q19=2,1,0),IF($X19&lt;30,1,0))</formula>
    </cfRule>
    <cfRule type="expression" priority="446" dxfId="1">
      <formula>AND(IF($Q19=3,1,0),IF($X19&lt;30,1,0))</formula>
    </cfRule>
    <cfRule type="expression" priority="447" dxfId="0">
      <formula>AND(IF($Q19=3,1,IF($Q19=4,1,0)),IF($F19&lt;=85,1,0))</formula>
    </cfRule>
  </conditionalFormatting>
  <conditionalFormatting sqref="AV20">
    <cfRule type="expression" priority="442" dxfId="17">
      <formula>AV20="X"</formula>
    </cfRule>
    <cfRule type="expression" priority="443" dxfId="16">
      <formula>AV20="후보"</formula>
    </cfRule>
  </conditionalFormatting>
  <conditionalFormatting sqref="AC2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X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I20">
    <cfRule type="expression" priority="425" dxfId="3">
      <formula>AND(IF(OR($Q20=1,$Q20=2),1,0),IF($X20&lt;=20,1,0))</formula>
    </cfRule>
    <cfRule type="expression" priority="426" dxfId="2">
      <formula>AND(IF($Q20=2,1,0),IF($X20&lt;30,1,0))</formula>
    </cfRule>
    <cfRule type="expression" priority="427" dxfId="1">
      <formula>AND(IF($Q20=3,1,0),IF($X20&lt;30,1,0))</formula>
    </cfRule>
    <cfRule type="expression" priority="428" dxfId="0">
      <formula>AND(IF($Q20=3,1,IF($Q20=4,1,0)),IF($F20&lt;=85,1,0))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17">
      <formula>AV24="X"</formula>
    </cfRule>
    <cfRule type="expression" priority="367" dxfId="16">
      <formula>AV24="후보"</formula>
    </cfRule>
  </conditionalFormatting>
  <conditionalFormatting sqref="AC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17">
      <formula>AV25="X"</formula>
    </cfRule>
    <cfRule type="expression" priority="348" dxfId="16">
      <formula>AV25="후보"</formula>
    </cfRule>
  </conditionalFormatting>
  <conditionalFormatting sqref="AC2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X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I25">
    <cfRule type="expression" priority="330" dxfId="3">
      <formula>AND(IF(OR($Q25=1,$Q25=2),1,0),IF($X25&lt;=20,1,0))</formula>
    </cfRule>
    <cfRule type="expression" priority="331" dxfId="2">
      <formula>AND(IF($Q25=2,1,0),IF($X25&lt;30,1,0))</formula>
    </cfRule>
    <cfRule type="expression" priority="332" dxfId="1">
      <formula>AND(IF($Q25=3,1,0),IF($X25&lt;30,1,0))</formula>
    </cfRule>
    <cfRule type="expression" priority="333" dxfId="0">
      <formula>AND(IF($Q25=3,1,IF($Q25=4,1,0)),IF($F25&lt;=85,1,0))</formula>
    </cfRule>
  </conditionalFormatting>
  <conditionalFormatting sqref="AV26">
    <cfRule type="expression" priority="328" dxfId="17">
      <formula>AV26="X"</formula>
    </cfRule>
    <cfRule type="expression" priority="329" dxfId="16">
      <formula>AV26="후보"</formula>
    </cfRule>
  </conditionalFormatting>
  <conditionalFormatting sqref="AC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X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I26">
    <cfRule type="expression" priority="311" dxfId="3">
      <formula>AND(IF(OR($Q26=1,$Q26=2),1,0),IF($X26&lt;=20,1,0))</formula>
    </cfRule>
    <cfRule type="expression" priority="312" dxfId="2">
      <formula>AND(IF($Q26=2,1,0),IF($X26&lt;30,1,0))</formula>
    </cfRule>
    <cfRule type="expression" priority="313" dxfId="1">
      <formula>AND(IF($Q26=3,1,0),IF($X26&lt;30,1,0))</formula>
    </cfRule>
    <cfRule type="expression" priority="314" dxfId="0">
      <formula>AND(IF($Q26=3,1,IF($Q26=4,1,0)),IF($F26&lt;=85,1,0))</formula>
    </cfRule>
  </conditionalFormatting>
  <conditionalFormatting sqref="AV27">
    <cfRule type="expression" priority="309" dxfId="17">
      <formula>AV27="X"</formula>
    </cfRule>
    <cfRule type="expression" priority="310" dxfId="16">
      <formula>AV27="후보"</formula>
    </cfRule>
  </conditionalFormatting>
  <conditionalFormatting sqref="AC2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X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I27">
    <cfRule type="expression" priority="292" dxfId="3">
      <formula>AND(IF(OR($Q27=1,$Q27=2),1,0),IF($X27&lt;=20,1,0))</formula>
    </cfRule>
    <cfRule type="expression" priority="293" dxfId="2">
      <formula>AND(IF($Q27=2,1,0),IF($X27&lt;30,1,0))</formula>
    </cfRule>
    <cfRule type="expression" priority="294" dxfId="1">
      <formula>AND(IF($Q27=3,1,0),IF($X27&lt;30,1,0))</formula>
    </cfRule>
    <cfRule type="expression" priority="295" dxfId="0">
      <formula>AND(IF($Q27=3,1,IF($Q27=4,1,0)),IF($F27&lt;=85,1,0))</formula>
    </cfRule>
  </conditionalFormatting>
  <conditionalFormatting sqref="AV28">
    <cfRule type="expression" priority="290" dxfId="17">
      <formula>AV28="X"</formula>
    </cfRule>
    <cfRule type="expression" priority="291" dxfId="16">
      <formula>AV28="후보"</formula>
    </cfRule>
  </conditionalFormatting>
  <conditionalFormatting sqref="AC2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2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X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I28">
    <cfRule type="expression" priority="273" dxfId="3">
      <formula>AND(IF(OR($Q28=1,$Q28=2),1,0),IF($X28&lt;=20,1,0))</formula>
    </cfRule>
    <cfRule type="expression" priority="274" dxfId="2">
      <formula>AND(IF($Q28=2,1,0),IF($X28&lt;30,1,0))</formula>
    </cfRule>
    <cfRule type="expression" priority="275" dxfId="1">
      <formula>AND(IF($Q28=3,1,0),IF($X28&lt;30,1,0))</formula>
    </cfRule>
    <cfRule type="expression" priority="276" dxfId="0">
      <formula>AND(IF($Q28=3,1,IF($Q28=4,1,0)),IF($F28&lt;=85,1,0))</formula>
    </cfRule>
  </conditionalFormatting>
  <conditionalFormatting sqref="AV29">
    <cfRule type="expression" priority="271" dxfId="17">
      <formula>AV29="X"</formula>
    </cfRule>
    <cfRule type="expression" priority="272" dxfId="16">
      <formula>AV29="후보"</formula>
    </cfRule>
  </conditionalFormatting>
  <conditionalFormatting sqref="AC2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29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29">
    <cfRule type="expression" priority="262" dxfId="3">
      <formula>AND(IF(OR($Q29=1,$Q29=2),1,0),IF($X29&lt;=20,1,0))</formula>
    </cfRule>
    <cfRule type="expression" priority="263" dxfId="2">
      <formula>AND(IF($Q29=2,1,0),IF($X29&lt;30,1,0))</formula>
    </cfRule>
    <cfRule type="expression" priority="264" dxfId="1">
      <formula>AND(IF($Q29=3,1,0),IF($X29&lt;30,1,0))</formula>
    </cfRule>
    <cfRule type="expression" priority="265" dxfId="0">
      <formula>AND(IF($Q29=3,1,IF($Q29=4,1,0)),IF($F29&lt;=85,1,0))</formula>
    </cfRule>
  </conditionalFormatting>
  <conditionalFormatting sqref="X29">
    <cfRule type="expression" priority="258" dxfId="3">
      <formula>AND(IF(OR($Q29=1,$Q29=2),1,0),IF($X29&lt;=20,1,0))</formula>
    </cfRule>
    <cfRule type="expression" priority="259" dxfId="2">
      <formula>AND(IF($Q29=2,1,0),IF($X29&lt;30,1,0))</formula>
    </cfRule>
    <cfRule type="expression" priority="260" dxfId="1">
      <formula>AND(IF($Q29=3,1,0),IF($X29&lt;30,1,0))</formula>
    </cfRule>
    <cfRule type="expression" priority="261" dxfId="0">
      <formula>AND(IF($Q29=3,1,IF($Q29=4,1,0)),IF($F29&lt;=85,1,0))</formula>
    </cfRule>
  </conditionalFormatting>
  <conditionalFormatting sqref="AI29">
    <cfRule type="expression" priority="254" dxfId="3">
      <formula>AND(IF(OR($Q29=1,$Q29=2),1,0),IF($X29&lt;=20,1,0))</formula>
    </cfRule>
    <cfRule type="expression" priority="255" dxfId="2">
      <formula>AND(IF($Q29=2,1,0),IF($X29&lt;30,1,0))</formula>
    </cfRule>
    <cfRule type="expression" priority="256" dxfId="1">
      <formula>AND(IF($Q29=3,1,0),IF($X29&lt;30,1,0))</formula>
    </cfRule>
    <cfRule type="expression" priority="257" dxfId="0">
      <formula>AND(IF($Q29=3,1,IF($Q29=4,1,0)),IF($F29&lt;=85,1,0))</formula>
    </cfRule>
  </conditionalFormatting>
  <conditionalFormatting sqref="AV30">
    <cfRule type="expression" priority="252" dxfId="17">
      <formula>AV30="X"</formula>
    </cfRule>
    <cfRule type="expression" priority="253" dxfId="16">
      <formula>AV30="후보"</formula>
    </cfRule>
  </conditionalFormatting>
  <conditionalFormatting sqref="AC3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0">
    <cfRule type="expression" priority="243" dxfId="3">
      <formula>AND(IF(OR($Q30=1,$Q30=2),1,0),IF($X30&lt;=20,1,0))</formula>
    </cfRule>
    <cfRule type="expression" priority="244" dxfId="2">
      <formula>AND(IF($Q30=2,1,0),IF($X30&lt;30,1,0))</formula>
    </cfRule>
    <cfRule type="expression" priority="245" dxfId="1">
      <formula>AND(IF($Q30=3,1,0),IF($X30&lt;30,1,0))</formula>
    </cfRule>
    <cfRule type="expression" priority="246" dxfId="0">
      <formula>AND(IF($Q30=3,1,IF($Q30=4,1,0)),IF($F30&lt;=85,1,0))</formula>
    </cfRule>
  </conditionalFormatting>
  <conditionalFormatting sqref="X30">
    <cfRule type="expression" priority="239" dxfId="3">
      <formula>AND(IF(OR($Q30=1,$Q30=2),1,0),IF($X30&lt;=20,1,0))</formula>
    </cfRule>
    <cfRule type="expression" priority="240" dxfId="2">
      <formula>AND(IF($Q30=2,1,0),IF($X30&lt;30,1,0))</formula>
    </cfRule>
    <cfRule type="expression" priority="241" dxfId="1">
      <formula>AND(IF($Q30=3,1,0),IF($X30&lt;30,1,0))</formula>
    </cfRule>
    <cfRule type="expression" priority="242" dxfId="0">
      <formula>AND(IF($Q30=3,1,IF($Q30=4,1,0)),IF($F30&lt;=85,1,0))</formula>
    </cfRule>
  </conditionalFormatting>
  <conditionalFormatting sqref="AI30">
    <cfRule type="expression" priority="235" dxfId="3">
      <formula>AND(IF(OR($Q30=1,$Q30=2),1,0),IF($X30&lt;=20,1,0))</formula>
    </cfRule>
    <cfRule type="expression" priority="236" dxfId="2">
      <formula>AND(IF($Q30=2,1,0),IF($X30&lt;30,1,0))</formula>
    </cfRule>
    <cfRule type="expression" priority="237" dxfId="1">
      <formula>AND(IF($Q30=3,1,0),IF($X30&lt;30,1,0))</formula>
    </cfRule>
    <cfRule type="expression" priority="238" dxfId="0">
      <formula>AND(IF($Q30=3,1,IF($Q30=4,1,0)),IF($F30&lt;=85,1,0))</formula>
    </cfRule>
  </conditionalFormatting>
  <conditionalFormatting sqref="AV31">
    <cfRule type="expression" priority="233" dxfId="17">
      <formula>AV31="X"</formula>
    </cfRule>
    <cfRule type="expression" priority="234" dxfId="16">
      <formula>AV31="후보"</formula>
    </cfRule>
  </conditionalFormatting>
  <conditionalFormatting sqref="AC31 N31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32">
    <cfRule type="expression" priority="228" dxfId="17">
      <formula>AV32="X"</formula>
    </cfRule>
    <cfRule type="expression" priority="229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X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I33">
    <cfRule type="expression" priority="192" dxfId="3">
      <formula>AND(IF(OR($Q33=1,$Q33=2),1,0),IF($X33&lt;=20,1,0))</formula>
    </cfRule>
    <cfRule type="expression" priority="193" dxfId="2">
      <formula>AND(IF($Q33=2,1,0),IF($X33&lt;30,1,0))</formula>
    </cfRule>
    <cfRule type="expression" priority="194" dxfId="1">
      <formula>AND(IF($Q33=3,1,0),IF($X33&lt;30,1,0))</formula>
    </cfRule>
    <cfRule type="expression" priority="195" dxfId="0">
      <formula>AND(IF($Q33=3,1,IF($Q33=4,1,0)),IF($F33&lt;=85,1,0))</formula>
    </cfRule>
  </conditionalFormatting>
  <conditionalFormatting sqref="AV34">
    <cfRule type="expression" priority="190" dxfId="17">
      <formula>AV34="X"</formula>
    </cfRule>
    <cfRule type="expression" priority="191" dxfId="16">
      <formula>AV34="후보"</formula>
    </cfRule>
  </conditionalFormatting>
  <conditionalFormatting sqref="AC34 N3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X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I35">
    <cfRule type="expression" priority="168" dxfId="3">
      <formula>AND(IF(OR($Q35=1,$Q35=2),1,0),IF($X35&lt;=20,1,0))</formula>
    </cfRule>
    <cfRule type="expression" priority="169" dxfId="2">
      <formula>AND(IF($Q35=2,1,0),IF($X35&lt;30,1,0))</formula>
    </cfRule>
    <cfRule type="expression" priority="170" dxfId="1">
      <formula>AND(IF($Q35=3,1,0),IF($X35&lt;30,1,0))</formula>
    </cfRule>
    <cfRule type="expression" priority="171" dxfId="0">
      <formula>AND(IF($Q35=3,1,IF($Q35=4,1,0)),IF($F35&lt;=85,1,0))</formula>
    </cfRule>
  </conditionalFormatting>
  <conditionalFormatting sqref="AV36">
    <cfRule type="expression" priority="166" dxfId="17">
      <formula>AV36="X"</formula>
    </cfRule>
    <cfRule type="expression" priority="167" dxfId="16">
      <formula>AV36="후보"</formula>
    </cfRule>
  </conditionalFormatting>
  <conditionalFormatting sqref="AC3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X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I36">
    <cfRule type="expression" priority="149" dxfId="3">
      <formula>AND(IF(OR($Q36=1,$Q36=2),1,0),IF($X36&lt;=20,1,0))</formula>
    </cfRule>
    <cfRule type="expression" priority="150" dxfId="2">
      <formula>AND(IF($Q36=2,1,0),IF($X36&lt;30,1,0))</formula>
    </cfRule>
    <cfRule type="expression" priority="151" dxfId="1">
      <formula>AND(IF($Q36=3,1,0),IF($X36&lt;30,1,0))</formula>
    </cfRule>
    <cfRule type="expression" priority="152" dxfId="0">
      <formula>AND(IF($Q36=3,1,IF($Q36=4,1,0)),IF($F36&lt;=85,1,0))</formula>
    </cfRule>
  </conditionalFormatting>
  <conditionalFormatting sqref="AV37">
    <cfRule type="expression" priority="147" dxfId="17">
      <formula>AV37="X"</formula>
    </cfRule>
    <cfRule type="expression" priority="148" dxfId="16">
      <formula>AV37="후보"</formula>
    </cfRule>
  </conditionalFormatting>
  <conditionalFormatting sqref="AC37 N3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2">
    <cfRule type="expression" priority="71" dxfId="3">
      <formula>AND(IF(OR($Q42=1,$Q42=2),1,0),IF($X42&lt;=20,1,0))</formula>
    </cfRule>
    <cfRule type="expression" priority="72" dxfId="2">
      <formula>AND(IF($Q42=2,1,0),IF($X42&lt;30,1,0))</formula>
    </cfRule>
    <cfRule type="expression" priority="73" dxfId="1">
      <formula>AND(IF($Q42=3,1,0),IF($X42&lt;30,1,0))</formula>
    </cfRule>
    <cfRule type="expression" priority="74" dxfId="0">
      <formula>AND(IF($Q42=3,1,IF($Q42=4,1,0)),IF($F42&lt;=85,1,0))</formula>
    </cfRule>
  </conditionalFormatting>
  <conditionalFormatting sqref="X42">
    <cfRule type="expression" priority="67" dxfId="3">
      <formula>AND(IF(OR($Q42=1,$Q42=2),1,0),IF($X42&lt;=20,1,0))</formula>
    </cfRule>
    <cfRule type="expression" priority="68" dxfId="2">
      <formula>AND(IF($Q42=2,1,0),IF($X42&lt;30,1,0))</formula>
    </cfRule>
    <cfRule type="expression" priority="69" dxfId="1">
      <formula>AND(IF($Q42=3,1,0),IF($X42&lt;30,1,0))</formula>
    </cfRule>
    <cfRule type="expression" priority="70" dxfId="0">
      <formula>AND(IF($Q42=3,1,IF($Q42=4,1,0)),IF($F42&lt;=85,1,0))</formula>
    </cfRule>
  </conditionalFormatting>
  <conditionalFormatting sqref="AI42">
    <cfRule type="expression" priority="63" dxfId="3">
      <formula>AND(IF(OR($Q42=1,$Q42=2),1,0),IF($X42&lt;=20,1,0))</formula>
    </cfRule>
    <cfRule type="expression" priority="64" dxfId="2">
      <formula>AND(IF($Q42=2,1,0),IF($X42&lt;30,1,0))</formula>
    </cfRule>
    <cfRule type="expression" priority="65" dxfId="1">
      <formula>AND(IF($Q42=3,1,0),IF($X42&lt;30,1,0))</formula>
    </cfRule>
    <cfRule type="expression" priority="66" dxfId="0">
      <formula>AND(IF($Q42=3,1,IF($Q42=4,1,0)),IF($F42&lt;=85,1,0))</formula>
    </cfRule>
  </conditionalFormatting>
  <conditionalFormatting sqref="AV43">
    <cfRule type="expression" priority="61" dxfId="17">
      <formula>AV43="X"</formula>
    </cfRule>
    <cfRule type="expression" priority="62" dxfId="16">
      <formula>AV43="후보"</formula>
    </cfRule>
  </conditionalFormatting>
  <conditionalFormatting sqref="AC4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3">
    <cfRule type="expression" priority="52" dxfId="3">
      <formula>AND(IF(OR($Q43=1,$Q43=2),1,0),IF($X43&lt;=20,1,0))</formula>
    </cfRule>
    <cfRule type="expression" priority="53" dxfId="2">
      <formula>AND(IF($Q43=2,1,0),IF($X43&lt;30,1,0))</formula>
    </cfRule>
    <cfRule type="expression" priority="54" dxfId="1">
      <formula>AND(IF($Q43=3,1,0),IF($X43&lt;30,1,0))</formula>
    </cfRule>
    <cfRule type="expression" priority="55" dxfId="0">
      <formula>AND(IF($Q43=3,1,IF($Q43=4,1,0)),IF($F43&lt;=85,1,0))</formula>
    </cfRule>
  </conditionalFormatting>
  <conditionalFormatting sqref="X43">
    <cfRule type="expression" priority="48" dxfId="3">
      <formula>AND(IF(OR($Q43=1,$Q43=2),1,0),IF($X43&lt;=20,1,0))</formula>
    </cfRule>
    <cfRule type="expression" priority="49" dxfId="2">
      <formula>AND(IF($Q43=2,1,0),IF($X43&lt;30,1,0))</formula>
    </cfRule>
    <cfRule type="expression" priority="50" dxfId="1">
      <formula>AND(IF($Q43=3,1,0),IF($X43&lt;30,1,0))</formula>
    </cfRule>
    <cfRule type="expression" priority="51" dxfId="0">
      <formula>AND(IF($Q43=3,1,IF($Q43=4,1,0)),IF($F43&lt;=85,1,0))</formula>
    </cfRule>
  </conditionalFormatting>
  <conditionalFormatting sqref="AI43">
    <cfRule type="expression" priority="44" dxfId="3">
      <formula>AND(IF(OR($Q43=1,$Q43=2),1,0),IF($X43&lt;=20,1,0))</formula>
    </cfRule>
    <cfRule type="expression" priority="45" dxfId="2">
      <formula>AND(IF($Q43=2,1,0),IF($X43&lt;30,1,0))</formula>
    </cfRule>
    <cfRule type="expression" priority="46" dxfId="1">
      <formula>AND(IF($Q43=3,1,0),IF($X43&lt;30,1,0))</formula>
    </cfRule>
    <cfRule type="expression" priority="47" dxfId="0">
      <formula>AND(IF($Q43=3,1,IF($Q43=4,1,0)),IF($F43&lt;=85,1,0))</formula>
    </cfRule>
  </conditionalFormatting>
  <conditionalFormatting sqref="AV44">
    <cfRule type="expression" priority="42" dxfId="17">
      <formula>AV44="X"</formula>
    </cfRule>
    <cfRule type="expression" priority="43" dxfId="16">
      <formula>AV44="후보"</formula>
    </cfRule>
  </conditionalFormatting>
  <conditionalFormatting sqref="AC4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4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4">
    <cfRule type="expression" priority="33" dxfId="3">
      <formula>AND(IF(OR($Q44=1,$Q44=2),1,0),IF($X44&lt;=20,1,0))</formula>
    </cfRule>
    <cfRule type="expression" priority="34" dxfId="2">
      <formula>AND(IF($Q44=2,1,0),IF($X44&lt;30,1,0))</formula>
    </cfRule>
    <cfRule type="expression" priority="35" dxfId="1">
      <formula>AND(IF($Q44=3,1,0),IF($X44&lt;30,1,0))</formula>
    </cfRule>
    <cfRule type="expression" priority="36" dxfId="0">
      <formula>AND(IF($Q44=3,1,IF($Q44=4,1,0)),IF($F44&lt;=85,1,0))</formula>
    </cfRule>
  </conditionalFormatting>
  <conditionalFormatting sqref="X44">
    <cfRule type="expression" priority="29" dxfId="3">
      <formula>AND(IF(OR($Q44=1,$Q44=2),1,0),IF($X44&lt;=20,1,0))</formula>
    </cfRule>
    <cfRule type="expression" priority="30" dxfId="2">
      <formula>AND(IF($Q44=2,1,0),IF($X44&lt;30,1,0))</formula>
    </cfRule>
    <cfRule type="expression" priority="31" dxfId="1">
      <formula>AND(IF($Q44=3,1,0),IF($X44&lt;30,1,0))</formula>
    </cfRule>
    <cfRule type="expression" priority="32" dxfId="0">
      <formula>AND(IF($Q44=3,1,IF($Q44=4,1,0)),IF($F44&lt;=85,1,0))</formula>
    </cfRule>
  </conditionalFormatting>
  <conditionalFormatting sqref="AI44">
    <cfRule type="expression" priority="25" dxfId="3">
      <formula>AND(IF(OR($Q44=1,$Q44=2),1,0),IF($X44&lt;=20,1,0))</formula>
    </cfRule>
    <cfRule type="expression" priority="26" dxfId="2">
      <formula>AND(IF($Q44=2,1,0),IF($X44&lt;30,1,0))</formula>
    </cfRule>
    <cfRule type="expression" priority="27" dxfId="1">
      <formula>AND(IF($Q44=3,1,0),IF($X44&lt;30,1,0))</formula>
    </cfRule>
    <cfRule type="expression" priority="28" dxfId="0">
      <formula>AND(IF($Q44=3,1,IF($Q44=4,1,0)),IF($F44&lt;=85,1,0))</formula>
    </cfRule>
  </conditionalFormatting>
  <conditionalFormatting sqref="AV45">
    <cfRule type="expression" priority="23" dxfId="17">
      <formula>AV45="X"</formula>
    </cfRule>
    <cfRule type="expression" priority="24" dxfId="16">
      <formula>AV45="후보"</formula>
    </cfRule>
  </conditionalFormatting>
  <conditionalFormatting sqref="AC45 N45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32" sqref="D3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파장동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한화포레나수원장안</t>
        </is>
      </c>
      <c r="B6" s="16" t="inlineStr">
        <is>
          <t>'23.09.</t>
        </is>
      </c>
      <c r="C6" s="164" t="n">
        <v>1063</v>
      </c>
      <c r="D6" s="161" t="n">
        <v>89.09999999999999</v>
      </c>
      <c r="E6" s="163" t="n">
        <v>27</v>
      </c>
      <c r="F6" s="161" t="n">
        <v>64.8</v>
      </c>
      <c r="G6" s="27" t="n">
        <v>20</v>
      </c>
      <c r="H6" s="164" t="n">
        <v>164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89B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한화포레나수원장안</t>
        </is>
      </c>
      <c r="B7" s="16" t="inlineStr">
        <is>
          <t>'23.09.</t>
        </is>
      </c>
      <c r="C7" s="164" t="n">
        <v>1063</v>
      </c>
      <c r="D7" s="161" t="n">
        <v>89</v>
      </c>
      <c r="E7" s="163" t="n">
        <v>27</v>
      </c>
      <c r="F7" s="161" t="n">
        <v>65</v>
      </c>
      <c r="G7" s="27" t="n">
        <v>20</v>
      </c>
      <c r="H7" s="164" t="n">
        <v>158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한화포레나수원장안</t>
        </is>
      </c>
      <c r="B8" s="16" t="inlineStr">
        <is>
          <t>'23.09.</t>
        </is>
      </c>
      <c r="C8" s="164" t="n">
        <v>1063</v>
      </c>
      <c r="D8" s="161" t="n">
        <v>109.1</v>
      </c>
      <c r="E8" s="163" t="n">
        <v>33</v>
      </c>
      <c r="F8" s="161" t="n">
        <v>85</v>
      </c>
      <c r="G8" s="27" t="n">
        <v>26</v>
      </c>
      <c r="H8" s="164" t="n">
        <v>482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한화포레나수원장안</t>
        </is>
      </c>
      <c r="B9" s="16" t="inlineStr">
        <is>
          <t>'23.09.</t>
        </is>
      </c>
      <c r="C9" s="164" t="n">
        <v>1063</v>
      </c>
      <c r="D9" s="161" t="n">
        <v>109.1</v>
      </c>
      <c r="E9" s="163" t="n">
        <v>33</v>
      </c>
      <c r="F9" s="161" t="n">
        <v>85</v>
      </c>
      <c r="G9" s="27" t="n">
        <v>26</v>
      </c>
      <c r="H9" s="164" t="n">
        <v>259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109B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삼익</t>
        </is>
      </c>
      <c r="B11" s="16" t="inlineStr">
        <is>
          <t>'78.11.</t>
        </is>
      </c>
      <c r="C11" s="164" t="n">
        <v>220</v>
      </c>
      <c r="D11" s="161" t="n">
        <v>59.5</v>
      </c>
      <c r="E11" s="163" t="n">
        <v>18</v>
      </c>
      <c r="F11" s="161" t="n">
        <v>55.6</v>
      </c>
      <c r="G11" s="27" t="n">
        <v>17</v>
      </c>
      <c r="H11" s="164" t="n">
        <v>20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inlineStr">
        <is>
          <t>59A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삼익</t>
        </is>
      </c>
      <c r="B12" s="16" t="inlineStr">
        <is>
          <t>'78.11.</t>
        </is>
      </c>
      <c r="C12" s="164" t="n">
        <v>220</v>
      </c>
      <c r="D12" s="161" t="n">
        <v>60.5</v>
      </c>
      <c r="E12" s="163" t="n">
        <v>18</v>
      </c>
      <c r="F12" s="161" t="n">
        <v>56.5</v>
      </c>
      <c r="G12" s="27" t="n">
        <v>17</v>
      </c>
      <c r="H12" s="164" t="n">
        <v>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60B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삼익</t>
        </is>
      </c>
      <c r="B13" s="16" t="inlineStr">
        <is>
          <t>'78.11.</t>
        </is>
      </c>
      <c r="C13" s="164" t="n">
        <v>220</v>
      </c>
      <c r="D13" s="161" t="n">
        <v>82.7</v>
      </c>
      <c r="E13" s="163" t="n">
        <v>25</v>
      </c>
      <c r="F13" s="161" t="n">
        <v>77</v>
      </c>
      <c r="G13" s="27" t="n">
        <v>23</v>
      </c>
      <c r="H13" s="164" t="n">
        <v>120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삼익</t>
        </is>
      </c>
      <c r="B14" s="16" t="inlineStr">
        <is>
          <t>'78.11.</t>
        </is>
      </c>
      <c r="C14" s="164" t="n">
        <v>220</v>
      </c>
      <c r="D14" s="161" t="n">
        <v>84.3</v>
      </c>
      <c r="E14" s="163" t="n">
        <v>26</v>
      </c>
      <c r="F14" s="161" t="n">
        <v>78.59999999999999</v>
      </c>
      <c r="G14" s="27" t="n">
        <v>24</v>
      </c>
      <c r="H14" s="164" t="n">
        <v>12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84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삼익</t>
        </is>
      </c>
      <c r="B15" s="16" t="inlineStr">
        <is>
          <t>'78.11.</t>
        </is>
      </c>
      <c r="C15" s="164" t="n">
        <v>220</v>
      </c>
      <c r="D15" s="161" t="n">
        <v>115.7</v>
      </c>
      <c r="E15" s="163" t="n">
        <v>35</v>
      </c>
      <c r="F15" s="161" t="n">
        <v>104.8</v>
      </c>
      <c r="G15" s="27" t="n">
        <v>32</v>
      </c>
      <c r="H15" s="164" t="n">
        <v>58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115B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삼익</t>
        </is>
      </c>
      <c r="B16" s="16" t="inlineStr">
        <is>
          <t>'78.11.</t>
        </is>
      </c>
      <c r="C16" s="164" t="n">
        <v>220</v>
      </c>
      <c r="D16" s="161" t="n">
        <v>115.1</v>
      </c>
      <c r="E16" s="163" t="n">
        <v>35</v>
      </c>
      <c r="F16" s="161" t="n">
        <v>104.2</v>
      </c>
      <c r="G16" s="27" t="n">
        <v>32</v>
      </c>
      <c r="H16" s="164" t="n">
        <v>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115A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삼익</t>
        </is>
      </c>
      <c r="B17" s="16" t="inlineStr">
        <is>
          <t>'78.11.</t>
        </is>
      </c>
      <c r="C17" s="164" t="n">
        <v>220</v>
      </c>
      <c r="D17" s="161" t="n">
        <v>117.7</v>
      </c>
      <c r="E17" s="163" t="n">
        <v>36</v>
      </c>
      <c r="F17" s="161" t="n">
        <v>106.8</v>
      </c>
      <c r="G17" s="27" t="n">
        <v>32</v>
      </c>
      <c r="H17" s="164" t="n">
        <v>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117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현대</t>
        </is>
      </c>
      <c r="B19" s="16" t="inlineStr">
        <is>
          <t>'92.04.</t>
        </is>
      </c>
      <c r="C19" s="164" t="n">
        <v>225</v>
      </c>
      <c r="D19" s="161" t="n">
        <v>74.8</v>
      </c>
      <c r="E19" s="163" t="n">
        <v>23</v>
      </c>
      <c r="F19" s="161" t="n">
        <v>59.6</v>
      </c>
      <c r="G19" s="27" t="n">
        <v>18</v>
      </c>
      <c r="H19" s="164" t="n">
        <v>83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현대</t>
        </is>
      </c>
      <c r="B20" s="16" t="inlineStr">
        <is>
          <t>'92.04.</t>
        </is>
      </c>
      <c r="C20" s="164" t="n">
        <v>225</v>
      </c>
      <c r="D20" s="161" t="n">
        <v>85.8</v>
      </c>
      <c r="E20" s="163" t="n">
        <v>26</v>
      </c>
      <c r="F20" s="161" t="n">
        <v>68.40000000000001</v>
      </c>
      <c r="G20" s="27" t="n">
        <v>21</v>
      </c>
      <c r="H20" s="164" t="n">
        <v>24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현대</t>
        </is>
      </c>
      <c r="B21" s="16" t="inlineStr">
        <is>
          <t>'92.04.</t>
        </is>
      </c>
      <c r="C21" s="164" t="n">
        <v>225</v>
      </c>
      <c r="D21" s="161" t="n">
        <v>106.7</v>
      </c>
      <c r="E21" s="163" t="n">
        <v>32</v>
      </c>
      <c r="F21" s="161" t="n">
        <v>85</v>
      </c>
      <c r="G21" s="27" t="n">
        <v>26</v>
      </c>
      <c r="H21" s="164" t="n">
        <v>118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화남2차</t>
        </is>
      </c>
      <c r="B23" s="16" t="inlineStr">
        <is>
          <t>'91.05.</t>
        </is>
      </c>
      <c r="C23" s="164" t="n">
        <v>203</v>
      </c>
      <c r="D23" s="161" t="n">
        <v>70.3</v>
      </c>
      <c r="E23" s="163" t="n">
        <v>21</v>
      </c>
      <c r="F23" s="161" t="n">
        <v>52.2</v>
      </c>
      <c r="G23" s="27" t="n">
        <v>16</v>
      </c>
      <c r="H23" s="164" t="n">
        <v>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inlineStr">
        <is>
          <t>70A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화남2차</t>
        </is>
      </c>
      <c r="B24" s="16" t="inlineStr">
        <is>
          <t>'91.05.</t>
        </is>
      </c>
      <c r="C24" s="164" t="n">
        <v>203</v>
      </c>
      <c r="D24" s="161" t="n">
        <v>77.90000000000001</v>
      </c>
      <c r="E24" s="163" t="n">
        <v>24</v>
      </c>
      <c r="F24" s="161" t="n">
        <v>57.8</v>
      </c>
      <c r="G24" s="27" t="n">
        <v>17</v>
      </c>
      <c r="H24" s="164" t="n">
        <v>106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화남2차</t>
        </is>
      </c>
      <c r="B25" s="16" t="inlineStr">
        <is>
          <t>'91.05.</t>
        </is>
      </c>
      <c r="C25" s="164" t="n">
        <v>203</v>
      </c>
      <c r="D25" s="161" t="n">
        <v>80.5</v>
      </c>
      <c r="E25" s="163" t="n">
        <v>24</v>
      </c>
      <c r="F25" s="161" t="n">
        <v>59.7</v>
      </c>
      <c r="G25" s="27" t="n">
        <v>18</v>
      </c>
      <c r="H25" s="164" t="n">
        <v>44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inlineStr">
        <is>
          <t>80B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화남2차</t>
        </is>
      </c>
      <c r="B26" s="16" t="inlineStr">
        <is>
          <t>'91.05.</t>
        </is>
      </c>
      <c r="C26" s="164" t="n">
        <v>203</v>
      </c>
      <c r="D26" s="161" t="n">
        <v>85.8</v>
      </c>
      <c r="E26" s="163" t="n">
        <v>26</v>
      </c>
      <c r="F26" s="161" t="n">
        <v>63.6</v>
      </c>
      <c r="G26" s="27" t="n">
        <v>19</v>
      </c>
      <c r="H26" s="164" t="n">
        <v>22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복</t>
        </is>
      </c>
      <c r="T26" s="8" t="n">
        <v>85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화남2차</t>
        </is>
      </c>
      <c r="B27" s="16" t="inlineStr">
        <is>
          <t>'91.05.</t>
        </is>
      </c>
      <c r="C27" s="164" t="n">
        <v>203</v>
      </c>
      <c r="D27" s="161" t="n">
        <v>103.4</v>
      </c>
      <c r="E27" s="163" t="n">
        <v>31</v>
      </c>
      <c r="F27" s="161" t="n">
        <v>76.7</v>
      </c>
      <c r="G27" s="27" t="n">
        <v>23</v>
      </c>
      <c r="H27" s="164" t="n">
        <v>11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복</t>
        </is>
      </c>
      <c r="T27" s="8" t="n">
        <v>103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화남2차</t>
        </is>
      </c>
      <c r="B28" s="16" t="inlineStr">
        <is>
          <t>'91.05.</t>
        </is>
      </c>
      <c r="C28" s="164" t="n">
        <v>203</v>
      </c>
      <c r="D28" s="161" t="n">
        <v>105.5</v>
      </c>
      <c r="E28" s="163" t="n">
        <v>32</v>
      </c>
      <c r="F28" s="161" t="n">
        <v>78.2</v>
      </c>
      <c r="G28" s="27" t="n">
        <v>24</v>
      </c>
      <c r="H28" s="164" t="n">
        <v>11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복</t>
        </is>
      </c>
      <c r="T28" s="8" t="n">
        <v>105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96" dxfId="17">
      <formula>AV4="X"</formula>
    </cfRule>
    <cfRule type="expression" priority="397" dxfId="16">
      <formula>AV4="후보"</formula>
    </cfRule>
  </conditionalFormatting>
  <conditionalFormatting sqref="AC1:AC2 AC4:AC6 N4:N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1:N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6">
    <cfRule type="expression" priority="385" dxfId="3">
      <formula>AND(IF(OR($Q6=1,$Q6=2),1,0),IF($X6&lt;=20,1,0))</formula>
    </cfRule>
    <cfRule type="expression" priority="386" dxfId="2">
      <formula>AND(IF($Q6=2,1,0),IF($X6&lt;30,1,0))</formula>
    </cfRule>
    <cfRule type="expression" priority="387" dxfId="1">
      <formula>AND(IF($Q6=3,1,0),IF($X6&lt;30,1,0))</formula>
    </cfRule>
    <cfRule type="expression" priority="388" dxfId="0">
      <formula>AND(IF($Q6=3,1,IF($Q6=4,1,0)),IF($F6&lt;=85,1,0))</formula>
    </cfRule>
  </conditionalFormatting>
  <conditionalFormatting sqref="X6">
    <cfRule type="expression" priority="381" dxfId="3">
      <formula>AND(IF(OR($Q6=1,$Q6=2),1,0),IF($X6&lt;=20,1,0))</formula>
    </cfRule>
    <cfRule type="expression" priority="382" dxfId="2">
      <formula>AND(IF($Q6=2,1,0),IF($X6&lt;30,1,0))</formula>
    </cfRule>
    <cfRule type="expression" priority="383" dxfId="1">
      <formula>AND(IF($Q6=3,1,0),IF($X6&lt;30,1,0))</formula>
    </cfRule>
    <cfRule type="expression" priority="384" dxfId="0">
      <formula>AND(IF($Q6=3,1,IF($Q6=4,1,0)),IF($F6&lt;=85,1,0))</formula>
    </cfRule>
  </conditionalFormatting>
  <conditionalFormatting sqref="AI6">
    <cfRule type="expression" priority="377" dxfId="3">
      <formula>AND(IF(OR($Q6=1,$Q6=2),1,0),IF($X6&lt;=20,1,0))</formula>
    </cfRule>
    <cfRule type="expression" priority="378" dxfId="2">
      <formula>AND(IF($Q6=2,1,0),IF($X6&lt;30,1,0))</formula>
    </cfRule>
    <cfRule type="expression" priority="379" dxfId="1">
      <formula>AND(IF($Q6=3,1,0),IF($X6&lt;30,1,0))</formula>
    </cfRule>
    <cfRule type="expression" priority="380" dxfId="0">
      <formula>AND(IF($Q6=3,1,IF($Q6=4,1,0)),IF($F6&lt;=85,1,0))</formula>
    </cfRule>
  </conditionalFormatting>
  <conditionalFormatting sqref="AV7">
    <cfRule type="expression" priority="375" dxfId="17">
      <formula>AV7="X"</formula>
    </cfRule>
    <cfRule type="expression" priority="376" dxfId="16">
      <formula>AV7="후보"</formula>
    </cfRule>
  </conditionalFormatting>
  <conditionalFormatting sqref="AC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">
    <cfRule type="expression" priority="366" dxfId="3">
      <formula>AND(IF(OR($Q7=1,$Q7=2),1,0),IF($X7&lt;=20,1,0))</formula>
    </cfRule>
    <cfRule type="expression" priority="367" dxfId="2">
      <formula>AND(IF($Q7=2,1,0),IF($X7&lt;30,1,0))</formula>
    </cfRule>
    <cfRule type="expression" priority="368" dxfId="1">
      <formula>AND(IF($Q7=3,1,0),IF($X7&lt;30,1,0))</formula>
    </cfRule>
    <cfRule type="expression" priority="369" dxfId="0">
      <formula>AND(IF($Q7=3,1,IF($Q7=4,1,0)),IF($F7&lt;=85,1,0))</formula>
    </cfRule>
  </conditionalFormatting>
  <conditionalFormatting sqref="X7">
    <cfRule type="expression" priority="362" dxfId="3">
      <formula>AND(IF(OR($Q7=1,$Q7=2),1,0),IF($X7&lt;=20,1,0))</formula>
    </cfRule>
    <cfRule type="expression" priority="363" dxfId="2">
      <formula>AND(IF($Q7=2,1,0),IF($X7&lt;30,1,0))</formula>
    </cfRule>
    <cfRule type="expression" priority="364" dxfId="1">
      <formula>AND(IF($Q7=3,1,0),IF($X7&lt;30,1,0))</formula>
    </cfRule>
    <cfRule type="expression" priority="365" dxfId="0">
      <formula>AND(IF($Q7=3,1,IF($Q7=4,1,0)),IF($F7&lt;=85,1,0))</formula>
    </cfRule>
  </conditionalFormatting>
  <conditionalFormatting sqref="AI7">
    <cfRule type="expression" priority="358" dxfId="3">
      <formula>AND(IF(OR($Q7=1,$Q7=2),1,0),IF($X7&lt;=20,1,0))</formula>
    </cfRule>
    <cfRule type="expression" priority="359" dxfId="2">
      <formula>AND(IF($Q7=2,1,0),IF($X7&lt;30,1,0))</formula>
    </cfRule>
    <cfRule type="expression" priority="360" dxfId="1">
      <formula>AND(IF($Q7=3,1,0),IF($X7&lt;30,1,0))</formula>
    </cfRule>
    <cfRule type="expression" priority="361" dxfId="0">
      <formula>AND(IF($Q7=3,1,IF($Q7=4,1,0)),IF($F7&lt;=85,1,0))</formula>
    </cfRule>
  </conditionalFormatting>
  <conditionalFormatting sqref="AV8">
    <cfRule type="expression" priority="356" dxfId="17">
      <formula>AV8="X"</formula>
    </cfRule>
    <cfRule type="expression" priority="357" dxfId="16">
      <formula>AV8="후보"</formula>
    </cfRule>
  </conditionalFormatting>
  <conditionalFormatting sqref="AC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">
    <cfRule type="expression" priority="347" dxfId="3">
      <formula>AND(IF(OR($Q8=1,$Q8=2),1,0),IF($X8&lt;=20,1,0))</formula>
    </cfRule>
    <cfRule type="expression" priority="348" dxfId="2">
      <formula>AND(IF($Q8=2,1,0),IF($X8&lt;30,1,0))</formula>
    </cfRule>
    <cfRule type="expression" priority="349" dxfId="1">
      <formula>AND(IF($Q8=3,1,0),IF($X8&lt;30,1,0))</formula>
    </cfRule>
    <cfRule type="expression" priority="350" dxfId="0">
      <formula>AND(IF($Q8=3,1,IF($Q8=4,1,0)),IF($F8&lt;=85,1,0))</formula>
    </cfRule>
  </conditionalFormatting>
  <conditionalFormatting sqref="X8">
    <cfRule type="expression" priority="343" dxfId="3">
      <formula>AND(IF(OR($Q8=1,$Q8=2),1,0),IF($X8&lt;=20,1,0))</formula>
    </cfRule>
    <cfRule type="expression" priority="344" dxfId="2">
      <formula>AND(IF($Q8=2,1,0),IF($X8&lt;30,1,0))</formula>
    </cfRule>
    <cfRule type="expression" priority="345" dxfId="1">
      <formula>AND(IF($Q8=3,1,0),IF($X8&lt;30,1,0))</formula>
    </cfRule>
    <cfRule type="expression" priority="346" dxfId="0">
      <formula>AND(IF($Q8=3,1,IF($Q8=4,1,0)),IF($F8&lt;=85,1,0))</formula>
    </cfRule>
  </conditionalFormatting>
  <conditionalFormatting sqref="AI8">
    <cfRule type="expression" priority="339" dxfId="3">
      <formula>AND(IF(OR($Q8=1,$Q8=2),1,0),IF($X8&lt;=20,1,0))</formula>
    </cfRule>
    <cfRule type="expression" priority="340" dxfId="2">
      <formula>AND(IF($Q8=2,1,0),IF($X8&lt;30,1,0))</formula>
    </cfRule>
    <cfRule type="expression" priority="341" dxfId="1">
      <formula>AND(IF($Q8=3,1,0),IF($X8&lt;30,1,0))</formula>
    </cfRule>
    <cfRule type="expression" priority="342" dxfId="0">
      <formula>AND(IF($Q8=3,1,IF($Q8=4,1,0)),IF($F8&lt;=85,1,0))</formula>
    </cfRule>
  </conditionalFormatting>
  <conditionalFormatting sqref="AV9">
    <cfRule type="expression" priority="337" dxfId="17">
      <formula>AV9="X"</formula>
    </cfRule>
    <cfRule type="expression" priority="338" dxfId="16">
      <formula>AV9="후보"</formula>
    </cfRule>
  </conditionalFormatting>
  <conditionalFormatting sqref="AC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9">
    <cfRule type="expression" priority="328" dxfId="3">
      <formula>AND(IF(OR($Q9=1,$Q9=2),1,0),IF($X9&lt;=20,1,0))</formula>
    </cfRule>
    <cfRule type="expression" priority="329" dxfId="2">
      <formula>AND(IF($Q9=2,1,0),IF($X9&lt;30,1,0))</formula>
    </cfRule>
    <cfRule type="expression" priority="330" dxfId="1">
      <formula>AND(IF($Q9=3,1,0),IF($X9&lt;30,1,0))</formula>
    </cfRule>
    <cfRule type="expression" priority="331" dxfId="0">
      <formula>AND(IF($Q9=3,1,IF($Q9=4,1,0)),IF($F9&lt;=85,1,0))</formula>
    </cfRule>
  </conditionalFormatting>
  <conditionalFormatting sqref="X9">
    <cfRule type="expression" priority="324" dxfId="3">
      <formula>AND(IF(OR($Q9=1,$Q9=2),1,0),IF($X9&lt;=20,1,0))</formula>
    </cfRule>
    <cfRule type="expression" priority="325" dxfId="2">
      <formula>AND(IF($Q9=2,1,0),IF($X9&lt;30,1,0))</formula>
    </cfRule>
    <cfRule type="expression" priority="326" dxfId="1">
      <formula>AND(IF($Q9=3,1,0),IF($X9&lt;30,1,0))</formula>
    </cfRule>
    <cfRule type="expression" priority="327" dxfId="0">
      <formula>AND(IF($Q9=3,1,IF($Q9=4,1,0)),IF($F9&lt;=85,1,0))</formula>
    </cfRule>
  </conditionalFormatting>
  <conditionalFormatting sqref="AI9">
    <cfRule type="expression" priority="320" dxfId="3">
      <formula>AND(IF(OR($Q9=1,$Q9=2),1,0),IF($X9&lt;=20,1,0))</formula>
    </cfRule>
    <cfRule type="expression" priority="321" dxfId="2">
      <formula>AND(IF($Q9=2,1,0),IF($X9&lt;30,1,0))</formula>
    </cfRule>
    <cfRule type="expression" priority="322" dxfId="1">
      <formula>AND(IF($Q9=3,1,0),IF($X9&lt;30,1,0))</formula>
    </cfRule>
    <cfRule type="expression" priority="323" dxfId="0">
      <formula>AND(IF($Q9=3,1,IF($Q9=4,1,0)),IF($F9&lt;=85,1,0))</formula>
    </cfRule>
  </conditionalFormatting>
  <conditionalFormatting sqref="AV10">
    <cfRule type="expression" priority="318" dxfId="17">
      <formula>AV10="X"</formula>
    </cfRule>
    <cfRule type="expression" priority="319" dxfId="16">
      <formula>AV10="후보"</formula>
    </cfRule>
  </conditionalFormatting>
  <conditionalFormatting sqref="AC10 N1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1">
    <cfRule type="expression" priority="313" dxfId="17">
      <formula>AV11="X"</formula>
    </cfRule>
    <cfRule type="expression" priority="314" dxfId="16">
      <formula>AV11="후보"</formula>
    </cfRule>
  </conditionalFormatting>
  <conditionalFormatting sqref="AC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">
    <cfRule type="expression" priority="304" dxfId="3">
      <formula>AND(IF(OR($Q11=1,$Q11=2),1,0),IF($X11&lt;=20,1,0))</formula>
    </cfRule>
    <cfRule type="expression" priority="305" dxfId="2">
      <formula>AND(IF($Q11=2,1,0),IF($X11&lt;30,1,0))</formula>
    </cfRule>
    <cfRule type="expression" priority="306" dxfId="1">
      <formula>AND(IF($Q11=3,1,0),IF($X11&lt;30,1,0))</formula>
    </cfRule>
    <cfRule type="expression" priority="307" dxfId="0">
      <formula>AND(IF($Q11=3,1,IF($Q11=4,1,0)),IF($F11&lt;=85,1,0))</formula>
    </cfRule>
  </conditionalFormatting>
  <conditionalFormatting sqref="X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AI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V12">
    <cfRule type="expression" priority="294" dxfId="17">
      <formula>AV12="X"</formula>
    </cfRule>
    <cfRule type="expression" priority="295" dxfId="16">
      <formula>AV12="후보"</formula>
    </cfRule>
  </conditionalFormatting>
  <conditionalFormatting sqref="AC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2">
    <cfRule type="expression" priority="285" dxfId="3">
      <formula>AND(IF(OR($Q12=1,$Q12=2),1,0),IF($X12&lt;=20,1,0))</formula>
    </cfRule>
    <cfRule type="expression" priority="286" dxfId="2">
      <formula>AND(IF($Q12=2,1,0),IF($X12&lt;30,1,0))</formula>
    </cfRule>
    <cfRule type="expression" priority="287" dxfId="1">
      <formula>AND(IF($Q12=3,1,0),IF($X12&lt;30,1,0))</formula>
    </cfRule>
    <cfRule type="expression" priority="288" dxfId="0">
      <formula>AND(IF($Q12=3,1,IF($Q12=4,1,0)),IF($F12&lt;=85,1,0))</formula>
    </cfRule>
  </conditionalFormatting>
  <conditionalFormatting sqref="X12">
    <cfRule type="expression" priority="281" dxfId="3">
      <formula>AND(IF(OR($Q12=1,$Q12=2),1,0),IF($X12&lt;=20,1,0))</formula>
    </cfRule>
    <cfRule type="expression" priority="282" dxfId="2">
      <formula>AND(IF($Q12=2,1,0),IF($X12&lt;30,1,0))</formula>
    </cfRule>
    <cfRule type="expression" priority="283" dxfId="1">
      <formula>AND(IF($Q12=3,1,0),IF($X12&lt;30,1,0))</formula>
    </cfRule>
    <cfRule type="expression" priority="284" dxfId="0">
      <formula>AND(IF($Q12=3,1,IF($Q12=4,1,0)),IF($F12&lt;=85,1,0))</formula>
    </cfRule>
  </conditionalFormatting>
  <conditionalFormatting sqref="AI12">
    <cfRule type="expression" priority="277" dxfId="3">
      <formula>AND(IF(OR($Q12=1,$Q12=2),1,0),IF($X12&lt;=20,1,0))</formula>
    </cfRule>
    <cfRule type="expression" priority="278" dxfId="2">
      <formula>AND(IF($Q12=2,1,0),IF($X12&lt;30,1,0))</formula>
    </cfRule>
    <cfRule type="expression" priority="279" dxfId="1">
      <formula>AND(IF($Q12=3,1,0),IF($X12&lt;30,1,0))</formula>
    </cfRule>
    <cfRule type="expression" priority="280" dxfId="0">
      <formula>AND(IF($Q12=3,1,IF($Q12=4,1,0)),IF($F12&lt;=85,1,0))</formula>
    </cfRule>
  </conditionalFormatting>
  <conditionalFormatting sqref="AV13">
    <cfRule type="expression" priority="275" dxfId="17">
      <formula>AV13="X"</formula>
    </cfRule>
    <cfRule type="expression" priority="276" dxfId="16">
      <formula>AV13="후보"</formula>
    </cfRule>
  </conditionalFormatting>
  <conditionalFormatting sqref="AC1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3">
    <cfRule type="expression" priority="266" dxfId="3">
      <formula>AND(IF(OR($Q13=1,$Q13=2),1,0),IF($X13&lt;=20,1,0))</formula>
    </cfRule>
    <cfRule type="expression" priority="267" dxfId="2">
      <formula>AND(IF($Q13=2,1,0),IF($X13&lt;30,1,0))</formula>
    </cfRule>
    <cfRule type="expression" priority="268" dxfId="1">
      <formula>AND(IF($Q13=3,1,0),IF($X13&lt;30,1,0))</formula>
    </cfRule>
    <cfRule type="expression" priority="269" dxfId="0">
      <formula>AND(IF($Q13=3,1,IF($Q13=4,1,0)),IF($F13&lt;=85,1,0))</formula>
    </cfRule>
  </conditionalFormatting>
  <conditionalFormatting sqref="X13">
    <cfRule type="expression" priority="262" dxfId="3">
      <formula>AND(IF(OR($Q13=1,$Q13=2),1,0),IF($X13&lt;=20,1,0))</formula>
    </cfRule>
    <cfRule type="expression" priority="263" dxfId="2">
      <formula>AND(IF($Q13=2,1,0),IF($X13&lt;30,1,0))</formula>
    </cfRule>
    <cfRule type="expression" priority="264" dxfId="1">
      <formula>AND(IF($Q13=3,1,0),IF($X13&lt;30,1,0))</formula>
    </cfRule>
    <cfRule type="expression" priority="265" dxfId="0">
      <formula>AND(IF($Q13=3,1,IF($Q13=4,1,0)),IF($F13&lt;=85,1,0))</formula>
    </cfRule>
  </conditionalFormatting>
  <conditionalFormatting sqref="AI13">
    <cfRule type="expression" priority="258" dxfId="3">
      <formula>AND(IF(OR($Q13=1,$Q13=2),1,0),IF($X13&lt;=20,1,0))</formula>
    </cfRule>
    <cfRule type="expression" priority="259" dxfId="2">
      <formula>AND(IF($Q13=2,1,0),IF($X13&lt;30,1,0))</formula>
    </cfRule>
    <cfRule type="expression" priority="260" dxfId="1">
      <formula>AND(IF($Q13=3,1,0),IF($X13&lt;30,1,0))</formula>
    </cfRule>
    <cfRule type="expression" priority="261" dxfId="0">
      <formula>AND(IF($Q13=3,1,IF($Q13=4,1,0)),IF($F13&lt;=85,1,0))</formula>
    </cfRule>
  </conditionalFormatting>
  <conditionalFormatting sqref="AV14">
    <cfRule type="expression" priority="256" dxfId="17">
      <formula>AV14="X"</formula>
    </cfRule>
    <cfRule type="expression" priority="257" dxfId="16">
      <formula>AV14="후보"</formula>
    </cfRule>
  </conditionalFormatting>
  <conditionalFormatting sqref="AC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17">
      <formula>AV15="X"</formula>
    </cfRule>
    <cfRule type="expression" priority="238" dxfId="16">
      <formula>AV15="후보"</formula>
    </cfRule>
  </conditionalFormatting>
  <conditionalFormatting sqref="AC1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17">
      <formula>AV16="X"</formula>
    </cfRule>
    <cfRule type="expression" priority="219" dxfId="16">
      <formula>AV16="후보"</formula>
    </cfRule>
  </conditionalFormatting>
  <conditionalFormatting sqref="AC1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17">
      <formula>AV17="X"</formula>
    </cfRule>
    <cfRule type="expression" priority="200" dxfId="16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7">
      <formula>AV18="X"</formula>
    </cfRule>
    <cfRule type="expression" priority="181" dxfId="16">
      <formula>AV18="후보"</formula>
    </cfRule>
  </conditionalFormatting>
  <conditionalFormatting sqref="AC18 N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9">
    <cfRule type="expression" priority="175" dxfId="17">
      <formula>AV19="X"</formula>
    </cfRule>
    <cfRule type="expression" priority="176" dxfId="16">
      <formula>AV19="후보"</formula>
    </cfRule>
  </conditionalFormatting>
  <conditionalFormatting sqref="AC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17">
      <formula>AV20="X"</formula>
    </cfRule>
    <cfRule type="expression" priority="157" dxfId="16">
      <formula>AV20="후보"</formula>
    </cfRule>
  </conditionalFormatting>
  <conditionalFormatting sqref="AC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17">
      <formula>AV21="X"</formula>
    </cfRule>
    <cfRule type="expression" priority="138" dxfId="16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7">
      <formula>AV22="X"</formula>
    </cfRule>
    <cfRule type="expression" priority="119" dxfId="16">
      <formula>AV22="후보"</formula>
    </cfRule>
  </conditionalFormatting>
  <conditionalFormatting sqref="AC22 N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23">
    <cfRule type="expression" priority="113" dxfId="17">
      <formula>AV23="X"</formula>
    </cfRule>
    <cfRule type="expression" priority="114" dxfId="16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7">
      <formula>AV24="X"</formula>
    </cfRule>
    <cfRule type="expression" priority="95" dxfId="16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2022-07-07T14:23:45Z</dcterms:modified>
  <cp:lastModifiedBy>MinsuKwon</cp:lastModifiedBy>
  <cp:lastPrinted>2018-04-28T10:52:41Z</cp:lastPrinted>
</cp:coreProperties>
</file>