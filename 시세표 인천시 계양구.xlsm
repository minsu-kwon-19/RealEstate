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계산동" sheetId="6" state="visible" r:id="rId6"/>
    <sheet xmlns:r="http://schemas.openxmlformats.org/officeDocument/2006/relationships" name="귤현동" sheetId="7" state="visible" r:id="rId7"/>
    <sheet xmlns:r="http://schemas.openxmlformats.org/officeDocument/2006/relationships" name="동양동" sheetId="8" state="visible" r:id="rId8"/>
    <sheet xmlns:r="http://schemas.openxmlformats.org/officeDocument/2006/relationships" name="박촌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병방동" sheetId="11" state="visible" r:id="rId11"/>
    <sheet xmlns:r="http://schemas.openxmlformats.org/officeDocument/2006/relationships" name="서운동" sheetId="12" state="visible" r:id="rId12"/>
    <sheet xmlns:r="http://schemas.openxmlformats.org/officeDocument/2006/relationships" name="오류동" sheetId="13" state="visible" r:id="rId13"/>
    <sheet xmlns:r="http://schemas.openxmlformats.org/officeDocument/2006/relationships" name="용종동" sheetId="14" state="visible" r:id="rId14"/>
    <sheet xmlns:r="http://schemas.openxmlformats.org/officeDocument/2006/relationships" name="이화동" sheetId="15" state="visible" r:id="rId15"/>
    <sheet xmlns:r="http://schemas.openxmlformats.org/officeDocument/2006/relationships" name="작전동" sheetId="16" state="visible" r:id="rId16"/>
    <sheet xmlns:r="http://schemas.openxmlformats.org/officeDocument/2006/relationships" name="효성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'단지추출_가격표용'!$A$3:$U$272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'계산동'!$1:$3</definedName>
    <definedName name="_xlnm.Print_Area" localSheetId="5">'계산동'!$A$1:$U$6</definedName>
    <definedName name="_xlnm.Print_Titles" localSheetId="6">'귤현동'!$1:$3</definedName>
    <definedName name="_xlnm.Print_Area" localSheetId="6">'귤현동'!$A$1:$U$6</definedName>
    <definedName name="_xlnm.Print_Titles" localSheetId="7">'동양동'!$1:$3</definedName>
    <definedName name="_xlnm.Print_Area" localSheetId="7">'동양동'!$A$1:$U$6</definedName>
    <definedName name="_xlnm.Print_Titles" localSheetId="8">'박촌동'!$1:$3</definedName>
    <definedName name="_xlnm.Print_Area" localSheetId="8">'박촌동'!$A$1:$U$6</definedName>
    <definedName name="_xlnm.Print_Titles" localSheetId="9">'방축동'!$1:$3</definedName>
    <definedName name="_xlnm.Print_Area" localSheetId="9">'방축동'!$A$1:$U$6</definedName>
    <definedName name="_xlnm.Print_Titles" localSheetId="10">'병방동'!$1:$3</definedName>
    <definedName name="_xlnm.Print_Area" localSheetId="10">'병방동'!$A$1:$U$6</definedName>
    <definedName name="_xlnm.Print_Titles" localSheetId="11">'서운동'!$1:$3</definedName>
    <definedName name="_xlnm.Print_Area" localSheetId="11">'서운동'!$A$1:$U$6</definedName>
    <definedName name="_xlnm.Print_Titles" localSheetId="12">'오류동'!$1:$3</definedName>
    <definedName name="_xlnm.Print_Area" localSheetId="12">'오류동'!$A$1:$U$6</definedName>
    <definedName name="_xlnm.Print_Titles" localSheetId="13">'용종동'!$1:$3</definedName>
    <definedName name="_xlnm.Print_Area" localSheetId="13">'용종동'!$A$1:$U$6</definedName>
    <definedName name="_xlnm.Print_Titles" localSheetId="14">'이화동'!$1:$3</definedName>
    <definedName name="_xlnm.Print_Area" localSheetId="14">'이화동'!$A$1:$U$6</definedName>
    <definedName name="_xlnm.Print_Titles" localSheetId="15">'작전동'!$1:$3</definedName>
    <definedName name="_xlnm.Print_Area" localSheetId="15">'작전동'!$A$1:$U$6</definedName>
    <definedName name="_xlnm.Print_Titles" localSheetId="16">'효성동'!$1:$3</definedName>
    <definedName name="_xlnm.Print_Area" localSheetId="16">'효성동'!$A$1:$U$6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3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3" sqref="A403:XFD403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2.25" customWidth="1" style="76" min="22" max="22"/>
    <col width="5.625" bestFit="1" customWidth="1" style="76" min="23" max="23"/>
    <col width="4.5" customWidth="1" style="76" min="24" max="24"/>
    <col width="6.25" bestFit="1" customWidth="1" style="76" min="25" max="25"/>
    <col width="7.75" bestFit="1" customWidth="1" style="76" min="26" max="26"/>
    <col width="7" bestFit="1" customWidth="1" style="76" min="27" max="27"/>
    <col width="6.875" bestFit="1" customWidth="1" style="76" min="28" max="28"/>
    <col width="4.625" bestFit="1" customWidth="1" style="76" min="29" max="29"/>
    <col width="7.625" bestFit="1" customWidth="1" style="76" min="30" max="30"/>
    <col width="3.25" bestFit="1" customWidth="1" style="76" min="31" max="31"/>
    <col width="4.625" bestFit="1" customWidth="1" style="76" min="32" max="32"/>
    <col width="2.125" customWidth="1" style="76" min="33" max="33"/>
    <col width="22.5" bestFit="1" customWidth="1" style="76" min="34" max="34"/>
    <col width="4.625" bestFit="1" customWidth="1" style="76" min="35" max="35"/>
    <col width="4.625" customWidth="1" style="76" min="36" max="40"/>
    <col width="9.125" bestFit="1" customWidth="1" style="76" min="41" max="41"/>
    <col width="7.625" bestFit="1" customWidth="1" style="76" min="42" max="43"/>
    <col width="9.125" bestFit="1" customWidth="1" style="76" min="44" max="44"/>
    <col width="6.125" bestFit="1" customWidth="1" style="76" min="45" max="45"/>
    <col width="8.625" bestFit="1" customWidth="1" style="76" min="46" max="46"/>
    <col width="9.125" bestFit="1" customWidth="1" style="76" min="47" max="47"/>
    <col width="7.625" bestFit="1" customWidth="1" style="76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X</t>
        </is>
      </c>
      <c r="M1" s="0" t="n"/>
      <c r="N1" s="111" t="inlineStr">
        <is>
          <t>추출기준세대수</t>
        </is>
      </c>
      <c r="O1" s="110" t="n"/>
      <c r="P1" s="124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6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5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7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8" t="n"/>
    </row>
    <row r="4" ht="12" customFormat="1" customHeight="1" s="38">
      <c r="A4" s="120" t="inlineStr">
        <is>
          <t>계산동 서해2차</t>
        </is>
      </c>
      <c r="B4" s="121" t="inlineStr">
        <is>
          <t>90.09.</t>
        </is>
      </c>
      <c r="C4" s="129" t="n">
        <v>222</v>
      </c>
      <c r="D4" s="130" t="n">
        <v>73.90000000000001</v>
      </c>
      <c r="E4" s="131" t="n">
        <v>22</v>
      </c>
      <c r="F4" s="130" t="n">
        <v>58.1</v>
      </c>
      <c r="G4" s="17" t="n">
        <v>18</v>
      </c>
      <c r="H4" s="132" t="n">
        <v>164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73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31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8">
      <c r="A5" s="120" t="inlineStr">
        <is>
          <t>계산동 서해2차</t>
        </is>
      </c>
      <c r="B5" s="121" t="inlineStr">
        <is>
          <t>90.09.</t>
        </is>
      </c>
      <c r="C5" s="129" t="n">
        <v>222</v>
      </c>
      <c r="D5" s="130" t="n">
        <v>76</v>
      </c>
      <c r="E5" s="131" t="n">
        <v>23</v>
      </c>
      <c r="F5" s="130" t="n">
        <v>59.9</v>
      </c>
      <c r="G5" s="17" t="n">
        <v>18</v>
      </c>
      <c r="H5" s="132" t="n">
        <v>30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3</v>
      </c>
      <c r="R5" s="117" t="n">
        <v>1</v>
      </c>
      <c r="S5" s="117" t="inlineStr">
        <is>
          <t>계</t>
        </is>
      </c>
      <c r="T5" s="5" t="n">
        <v>75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31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8">
      <c r="A6" s="120" t="inlineStr">
        <is>
          <t>계산동 서해2차</t>
        </is>
      </c>
      <c r="B6" s="121" t="inlineStr">
        <is>
          <t>90.09.</t>
        </is>
      </c>
      <c r="C6" s="129" t="n">
        <v>222</v>
      </c>
      <c r="D6" s="130" t="n">
        <v>83.2</v>
      </c>
      <c r="E6" s="131" t="n">
        <v>25</v>
      </c>
      <c r="F6" s="130" t="n">
        <v>66</v>
      </c>
      <c r="G6" s="17" t="n">
        <v>20</v>
      </c>
      <c r="H6" s="132" t="n">
        <v>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83A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8">
      <c r="A7" s="120" t="inlineStr">
        <is>
          <t>계산동 서해2차</t>
        </is>
      </c>
      <c r="B7" s="121" t="inlineStr">
        <is>
          <t>90.09.</t>
        </is>
      </c>
      <c r="C7" s="129" t="n">
        <v>222</v>
      </c>
      <c r="D7" s="130" t="n">
        <v>83.8</v>
      </c>
      <c r="E7" s="131" t="n">
        <v>25</v>
      </c>
      <c r="F7" s="130" t="n">
        <v>66.5</v>
      </c>
      <c r="G7" s="17" t="n">
        <v>20</v>
      </c>
      <c r="H7" s="132" t="n">
        <v>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83B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8">
      <c r="A8" s="120" t="inlineStr">
        <is>
          <t>계산동 서해2차</t>
        </is>
      </c>
      <c r="B8" s="121" t="inlineStr">
        <is>
          <t>90.09.</t>
        </is>
      </c>
      <c r="C8" s="129" t="n">
        <v>222</v>
      </c>
      <c r="D8" s="130" t="n">
        <v>89.90000000000001</v>
      </c>
      <c r="E8" s="131" t="n">
        <v>27</v>
      </c>
      <c r="F8" s="130" t="n">
        <v>72</v>
      </c>
      <c r="G8" s="17" t="n">
        <v>22</v>
      </c>
      <c r="H8" s="132" t="n">
        <v>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89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8">
      <c r="A9" s="120" t="inlineStr">
        <is>
          <t>계산동 서해2차</t>
        </is>
      </c>
      <c r="B9" s="121" t="inlineStr">
        <is>
          <t>90.09.</t>
        </is>
      </c>
      <c r="C9" s="129" t="n">
        <v>222</v>
      </c>
      <c r="D9" s="130" t="n">
        <v>97</v>
      </c>
      <c r="E9" s="131" t="n">
        <v>29</v>
      </c>
      <c r="F9" s="130" t="n">
        <v>78.09999999999999</v>
      </c>
      <c r="G9" s="17" t="n">
        <v>24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96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8">
      <c r="A10" s="120" t="inlineStr">
        <is>
          <t>계산동 서해2차</t>
        </is>
      </c>
      <c r="B10" s="121" t="inlineStr">
        <is>
          <t>90.09.</t>
        </is>
      </c>
      <c r="C10" s="129" t="n">
        <v>222</v>
      </c>
      <c r="D10" s="130" t="n">
        <v>102.6</v>
      </c>
      <c r="E10" s="131" t="n">
        <v>31</v>
      </c>
      <c r="F10" s="130" t="n">
        <v>77.09999999999999</v>
      </c>
      <c r="G10" s="17" t="n">
        <v>23</v>
      </c>
      <c r="H10" s="132" t="n">
        <v>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8">
      <c r="A11" s="120" t="inlineStr">
        <is>
          <t>계산동 삼보3차</t>
        </is>
      </c>
      <c r="B11" s="121" t="inlineStr">
        <is>
          <t>88.10.</t>
        </is>
      </c>
      <c r="C11" s="129" t="n">
        <v>366</v>
      </c>
      <c r="D11" s="130" t="n">
        <v>53.8</v>
      </c>
      <c r="E11" s="131" t="n">
        <v>16</v>
      </c>
      <c r="F11" s="130" t="n">
        <v>41.7</v>
      </c>
      <c r="G11" s="17" t="n">
        <v>13</v>
      </c>
      <c r="H11" s="132" t="n">
        <v>60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8">
      <c r="A12" s="120" t="inlineStr">
        <is>
          <t>계산동 삼보3차</t>
        </is>
      </c>
      <c r="B12" s="121" t="inlineStr">
        <is>
          <t>88.10.</t>
        </is>
      </c>
      <c r="C12" s="129" t="n">
        <v>366</v>
      </c>
      <c r="D12" s="130" t="n">
        <v>63.3</v>
      </c>
      <c r="E12" s="131" t="n">
        <v>19</v>
      </c>
      <c r="F12" s="130" t="n">
        <v>49.6</v>
      </c>
      <c r="G12" s="17" t="n">
        <v>15</v>
      </c>
      <c r="H12" s="132" t="n">
        <v>181</v>
      </c>
      <c r="I12" s="133" t="n">
        <v>23000</v>
      </c>
      <c r="J12" s="133" t="inlineStr">
        <is>
          <t>6</t>
        </is>
      </c>
      <c r="K12" s="133" t="n">
        <v>14000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8">
      <c r="A13" s="120" t="inlineStr">
        <is>
          <t>계산동 삼보3차</t>
        </is>
      </c>
      <c r="B13" s="121" t="inlineStr">
        <is>
          <t>88.10.</t>
        </is>
      </c>
      <c r="C13" s="129" t="n">
        <v>366</v>
      </c>
      <c r="D13" s="130" t="n">
        <v>73</v>
      </c>
      <c r="E13" s="131" t="n">
        <v>22</v>
      </c>
      <c r="F13" s="130" t="n">
        <v>58</v>
      </c>
      <c r="G13" s="17" t="n">
        <v>18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72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8">
      <c r="A14" s="120" t="inlineStr">
        <is>
          <t>계산동 삼보3차</t>
        </is>
      </c>
      <c r="B14" s="121" t="inlineStr">
        <is>
          <t>88.10.</t>
        </is>
      </c>
      <c r="C14" s="129" t="n">
        <v>366</v>
      </c>
      <c r="D14" s="130" t="n">
        <v>76.5</v>
      </c>
      <c r="E14" s="131" t="n">
        <v>23</v>
      </c>
      <c r="F14" s="130" t="n">
        <v>55.7</v>
      </c>
      <c r="G14" s="17" t="n">
        <v>17</v>
      </c>
      <c r="H14" s="132" t="n">
        <v>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8">
      <c r="A15" s="120" t="inlineStr">
        <is>
          <t>계산동 태평</t>
        </is>
      </c>
      <c r="B15" s="121" t="inlineStr">
        <is>
          <t>90.12.</t>
        </is>
      </c>
      <c r="C15" s="129" t="n">
        <v>432</v>
      </c>
      <c r="D15" s="130" t="n">
        <v>57.9</v>
      </c>
      <c r="E15" s="131" t="n">
        <v>18</v>
      </c>
      <c r="F15" s="130" t="n">
        <v>44.8</v>
      </c>
      <c r="G15" s="17" t="n">
        <v>14</v>
      </c>
      <c r="H15" s="132" t="n">
        <v>168</v>
      </c>
      <c r="I15" s="133" t="n">
        <v>20000</v>
      </c>
      <c r="J15" s="133" t="inlineStr">
        <is>
          <t>6</t>
        </is>
      </c>
      <c r="K15" s="133" t="n">
        <v>11000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계</t>
        </is>
      </c>
      <c r="T15" s="5" t="n">
        <v>57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8">
      <c r="A16" s="120" t="inlineStr">
        <is>
          <t>계산동 태평</t>
        </is>
      </c>
      <c r="B16" s="121" t="inlineStr">
        <is>
          <t>90.12.</t>
        </is>
      </c>
      <c r="C16" s="129" t="n">
        <v>432</v>
      </c>
      <c r="D16" s="130" t="n">
        <v>72.3</v>
      </c>
      <c r="E16" s="131" t="n">
        <v>22</v>
      </c>
      <c r="F16" s="130" t="n">
        <v>57</v>
      </c>
      <c r="G16" s="17" t="n">
        <v>17</v>
      </c>
      <c r="H16" s="132" t="n">
        <v>168</v>
      </c>
      <c r="I16" s="133" t="n">
        <v>23000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8">
      <c r="A17" s="120" t="inlineStr">
        <is>
          <t>계산동 태평</t>
        </is>
      </c>
      <c r="B17" s="121" t="inlineStr">
        <is>
          <t>90.12.</t>
        </is>
      </c>
      <c r="C17" s="129" t="n">
        <v>432</v>
      </c>
      <c r="D17" s="130" t="n">
        <v>75.5</v>
      </c>
      <c r="E17" s="131" t="n">
        <v>23</v>
      </c>
      <c r="F17" s="130" t="n">
        <v>59.8</v>
      </c>
      <c r="G17" s="17" t="n">
        <v>18</v>
      </c>
      <c r="H17" s="132" t="n">
        <v>48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8">
      <c r="A18" s="120" t="inlineStr">
        <is>
          <t>계산동 태평</t>
        </is>
      </c>
      <c r="B18" s="121" t="inlineStr">
        <is>
          <t>90.12.</t>
        </is>
      </c>
      <c r="C18" s="129" t="n">
        <v>432</v>
      </c>
      <c r="D18" s="130" t="n">
        <v>79.90000000000001</v>
      </c>
      <c r="E18" s="131" t="n">
        <v>24</v>
      </c>
      <c r="F18" s="130" t="n">
        <v>63.7</v>
      </c>
      <c r="G18" s="17" t="n">
        <v>19</v>
      </c>
      <c r="H18" s="132" t="n">
        <v>48</v>
      </c>
      <c r="I18" s="133" t="n">
        <v>25000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79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8">
      <c r="A19" s="120" t="inlineStr">
        <is>
          <t>계산동 신도브래뉴</t>
        </is>
      </c>
      <c r="B19" s="121" t="inlineStr">
        <is>
          <t>05.05.</t>
        </is>
      </c>
      <c r="C19" s="129" t="n">
        <v>481</v>
      </c>
      <c r="D19" s="130" t="n">
        <v>79.59999999999999</v>
      </c>
      <c r="E19" s="131" t="n">
        <v>24</v>
      </c>
      <c r="F19" s="130" t="n">
        <v>57.7</v>
      </c>
      <c r="G19" s="17" t="n">
        <v>17</v>
      </c>
      <c r="H19" s="132" t="n">
        <v>234</v>
      </c>
      <c r="I19" s="133" t="n">
        <v>37000</v>
      </c>
      <c r="J19" s="133" t="inlineStr">
        <is>
          <t>20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8">
      <c r="A20" s="120" t="inlineStr">
        <is>
          <t>계산동 신도브래뉴</t>
        </is>
      </c>
      <c r="B20" s="121" t="inlineStr">
        <is>
          <t>05.05.</t>
        </is>
      </c>
      <c r="C20" s="129" t="n">
        <v>481</v>
      </c>
      <c r="D20" s="130" t="n">
        <v>105.5</v>
      </c>
      <c r="E20" s="131" t="n">
        <v>32</v>
      </c>
      <c r="F20" s="130" t="n">
        <v>84.90000000000001</v>
      </c>
      <c r="G20" s="17" t="n">
        <v>26</v>
      </c>
      <c r="H20" s="132" t="n">
        <v>207</v>
      </c>
      <c r="I20" s="133" t="n">
        <v>49000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8">
      <c r="A21" s="120" t="inlineStr">
        <is>
          <t>계산동 신도브래뉴</t>
        </is>
      </c>
      <c r="B21" s="121" t="inlineStr">
        <is>
          <t>05.05.</t>
        </is>
      </c>
      <c r="C21" s="129" t="n">
        <v>481</v>
      </c>
      <c r="D21" s="130" t="n">
        <v>115.8</v>
      </c>
      <c r="E21" s="131" t="n">
        <v>35</v>
      </c>
      <c r="F21" s="130" t="n">
        <v>85</v>
      </c>
      <c r="G21" s="17" t="n">
        <v>26</v>
      </c>
      <c r="H21" s="132" t="n">
        <v>40</v>
      </c>
      <c r="I21" s="133" t="n">
        <v>62000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115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8">
      <c r="A22" s="120" t="inlineStr">
        <is>
          <t>계산동 영남</t>
        </is>
      </c>
      <c r="B22" s="121" t="inlineStr">
        <is>
          <t>90.12.</t>
        </is>
      </c>
      <c r="C22" s="129" t="n">
        <v>360</v>
      </c>
      <c r="D22" s="130" t="n">
        <v>62.3</v>
      </c>
      <c r="E22" s="131" t="n">
        <v>19</v>
      </c>
      <c r="F22" s="130" t="n">
        <v>48.3</v>
      </c>
      <c r="G22" s="17" t="n">
        <v>15</v>
      </c>
      <c r="H22" s="132" t="n">
        <v>60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8">
      <c r="A23" s="120" t="inlineStr">
        <is>
          <t>계산동 영남</t>
        </is>
      </c>
      <c r="B23" s="121" t="inlineStr">
        <is>
          <t>90.12.</t>
        </is>
      </c>
      <c r="C23" s="129" t="n">
        <v>360</v>
      </c>
      <c r="D23" s="130" t="n">
        <v>69.59999999999999</v>
      </c>
      <c r="E23" s="131" t="n">
        <v>21</v>
      </c>
      <c r="F23" s="130" t="n">
        <v>54.5</v>
      </c>
      <c r="G23" s="17" t="n">
        <v>16</v>
      </c>
      <c r="H23" s="132" t="n">
        <v>60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8">
      <c r="A24" s="120" t="inlineStr">
        <is>
          <t>계산동 영남</t>
        </is>
      </c>
      <c r="B24" s="121" t="inlineStr">
        <is>
          <t>90.12.</t>
        </is>
      </c>
      <c r="C24" s="129" t="n">
        <v>360</v>
      </c>
      <c r="D24" s="130" t="n">
        <v>73.5</v>
      </c>
      <c r="E24" s="131" t="n">
        <v>22</v>
      </c>
      <c r="F24" s="130" t="n">
        <v>57.9</v>
      </c>
      <c r="G24" s="17" t="n">
        <v>18</v>
      </c>
      <c r="H24" s="132" t="n">
        <v>180</v>
      </c>
      <c r="I24" s="133" t="n">
        <v>23500</v>
      </c>
      <c r="J24" s="133" t="inlineStr">
        <is>
          <t>6</t>
        </is>
      </c>
      <c r="K24" s="133" t="n">
        <v>13500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8">
      <c r="A25" s="120" t="inlineStr">
        <is>
          <t>계산동 영남</t>
        </is>
      </c>
      <c r="B25" s="121" t="inlineStr">
        <is>
          <t>90.12.</t>
        </is>
      </c>
      <c r="C25" s="129" t="n">
        <v>360</v>
      </c>
      <c r="D25" s="130" t="n">
        <v>75.90000000000001</v>
      </c>
      <c r="E25" s="131" t="n">
        <v>23</v>
      </c>
      <c r="F25" s="130" t="n">
        <v>59.9</v>
      </c>
      <c r="G25" s="17" t="n">
        <v>18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75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8">
      <c r="A26" s="120" t="inlineStr">
        <is>
          <t>계산동 계양산파크트루엘</t>
        </is>
      </c>
      <c r="B26" s="121" t="inlineStr">
        <is>
          <t>20.02.</t>
        </is>
      </c>
      <c r="C26" s="129" t="n">
        <v>369</v>
      </c>
      <c r="D26" s="130" t="n">
        <v>82.2</v>
      </c>
      <c r="E26" s="131" t="n">
        <v>25</v>
      </c>
      <c r="F26" s="130" t="n">
        <v>60</v>
      </c>
      <c r="G26" s="17" t="n">
        <v>18</v>
      </c>
      <c r="H26" s="132" t="n">
        <v>80</v>
      </c>
      <c r="I26" s="133" t="n">
        <v>46000</v>
      </c>
      <c r="J26" s="133" t="inlineStr">
        <is>
          <t>9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8">
      <c r="A27" s="120" t="inlineStr">
        <is>
          <t>계산동 계양산파크트루엘</t>
        </is>
      </c>
      <c r="B27" s="121" t="inlineStr">
        <is>
          <t>20.02.</t>
        </is>
      </c>
      <c r="C27" s="129" t="n">
        <v>369</v>
      </c>
      <c r="D27" s="130" t="n">
        <v>82.5</v>
      </c>
      <c r="E27" s="131" t="n">
        <v>25</v>
      </c>
      <c r="F27" s="130" t="n">
        <v>60</v>
      </c>
      <c r="G27" s="17" t="n">
        <v>18</v>
      </c>
      <c r="H27" s="132" t="n">
        <v>36</v>
      </c>
      <c r="I27" s="133" t="n">
        <v>50000</v>
      </c>
      <c r="J27" s="133" t="inlineStr">
        <is>
          <t>11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82G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8">
      <c r="A28" s="120" t="inlineStr">
        <is>
          <t>계산동 계양산파크트루엘</t>
        </is>
      </c>
      <c r="B28" s="121" t="inlineStr">
        <is>
          <t>20.02.</t>
        </is>
      </c>
      <c r="C28" s="129" t="n">
        <v>369</v>
      </c>
      <c r="D28" s="130" t="n">
        <v>82.7</v>
      </c>
      <c r="E28" s="131" t="n">
        <v>25</v>
      </c>
      <c r="F28" s="130" t="n">
        <v>60</v>
      </c>
      <c r="G28" s="17" t="n">
        <v>18</v>
      </c>
      <c r="H28" s="132" t="n">
        <v>13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82D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8">
      <c r="A29" s="120" t="inlineStr">
        <is>
          <t>계산동 계양산파크트루엘</t>
        </is>
      </c>
      <c r="B29" s="121" t="inlineStr">
        <is>
          <t>20.02.</t>
        </is>
      </c>
      <c r="C29" s="129" t="n">
        <v>369</v>
      </c>
      <c r="D29" s="130" t="n">
        <v>83.2</v>
      </c>
      <c r="E29" s="131" t="n">
        <v>25</v>
      </c>
      <c r="F29" s="130" t="n">
        <v>60</v>
      </c>
      <c r="G29" s="17" t="n">
        <v>18</v>
      </c>
      <c r="H29" s="132" t="n">
        <v>156</v>
      </c>
      <c r="I29" s="133" t="n">
        <v>50000</v>
      </c>
      <c r="J29" s="133" t="inlineStr">
        <is>
          <t>12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8">
      <c r="A30" s="120" t="inlineStr">
        <is>
          <t>계산동 계양산파크트루엘</t>
        </is>
      </c>
      <c r="B30" s="121" t="inlineStr">
        <is>
          <t>20.02.</t>
        </is>
      </c>
      <c r="C30" s="129" t="n">
        <v>369</v>
      </c>
      <c r="D30" s="130" t="n">
        <v>83.90000000000001</v>
      </c>
      <c r="E30" s="131" t="n">
        <v>25</v>
      </c>
      <c r="F30" s="130" t="n">
        <v>60</v>
      </c>
      <c r="G30" s="17" t="n">
        <v>18</v>
      </c>
      <c r="H30" s="132" t="n">
        <v>38</v>
      </c>
      <c r="I30" s="133" t="n">
        <v>46000</v>
      </c>
      <c r="J30" s="133" t="inlineStr">
        <is>
          <t>8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83F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8">
      <c r="A31" s="120" t="inlineStr">
        <is>
          <t>계산동 계양산파크트루엘</t>
        </is>
      </c>
      <c r="B31" s="121" t="inlineStr">
        <is>
          <t>20.02.</t>
        </is>
      </c>
      <c r="C31" s="129" t="n">
        <v>369</v>
      </c>
      <c r="D31" s="130" t="n">
        <v>83.8</v>
      </c>
      <c r="E31" s="131" t="n">
        <v>25</v>
      </c>
      <c r="F31" s="130" t="n">
        <v>60</v>
      </c>
      <c r="G31" s="17" t="n">
        <v>18</v>
      </c>
      <c r="H31" s="132" t="n">
        <v>35</v>
      </c>
      <c r="I31" s="133" t="n">
        <v>42000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83B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8">
      <c r="A32" s="120" t="inlineStr">
        <is>
          <t>계산동 계양산파크트루엘</t>
        </is>
      </c>
      <c r="B32" s="121" t="inlineStr">
        <is>
          <t>20.02.</t>
        </is>
      </c>
      <c r="C32" s="129" t="n">
        <v>369</v>
      </c>
      <c r="D32" s="130" t="n">
        <v>83.40000000000001</v>
      </c>
      <c r="E32" s="131" t="n">
        <v>25</v>
      </c>
      <c r="F32" s="130" t="n">
        <v>60</v>
      </c>
      <c r="G32" s="17" t="n">
        <v>18</v>
      </c>
      <c r="H32" s="132" t="n">
        <v>11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83C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8">
      <c r="A33" s="120" t="inlineStr">
        <is>
          <t>계산동 태산</t>
        </is>
      </c>
      <c r="B33" s="121" t="inlineStr">
        <is>
          <t>90.07.</t>
        </is>
      </c>
      <c r="C33" s="129" t="n">
        <v>408</v>
      </c>
      <c r="D33" s="130" t="n">
        <v>55.1</v>
      </c>
      <c r="E33" s="131" t="n">
        <v>17</v>
      </c>
      <c r="F33" s="130" t="n">
        <v>42.3</v>
      </c>
      <c r="G33" s="17" t="n">
        <v>13</v>
      </c>
      <c r="H33" s="132" t="n">
        <v>119</v>
      </c>
      <c r="I33" s="133" t="n">
        <v>19000</v>
      </c>
      <c r="J33" s="133" t="inlineStr">
        <is>
          <t>5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1</v>
      </c>
      <c r="S33" s="117" t="inlineStr">
        <is>
          <t>계</t>
        </is>
      </c>
      <c r="T33" s="5" t="inlineStr">
        <is>
          <t>55B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8">
      <c r="A34" s="120" t="inlineStr">
        <is>
          <t>계산동 태산</t>
        </is>
      </c>
      <c r="B34" s="121" t="inlineStr">
        <is>
          <t>90.07.</t>
        </is>
      </c>
      <c r="C34" s="129" t="n">
        <v>408</v>
      </c>
      <c r="D34" s="130" t="n">
        <v>55.1</v>
      </c>
      <c r="E34" s="131" t="n">
        <v>17</v>
      </c>
      <c r="F34" s="130" t="n">
        <v>42.3</v>
      </c>
      <c r="G34" s="17" t="n">
        <v>13</v>
      </c>
      <c r="H34" s="132" t="n">
        <v>1</v>
      </c>
      <c r="I34" s="133" t="n">
        <v>19000</v>
      </c>
      <c r="J34" s="133" t="inlineStr">
        <is>
          <t>5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55A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8">
      <c r="A35" s="120" t="inlineStr">
        <is>
          <t>계산동 태산</t>
        </is>
      </c>
      <c r="B35" s="121" t="inlineStr">
        <is>
          <t>90.07.</t>
        </is>
      </c>
      <c r="C35" s="129" t="n">
        <v>408</v>
      </c>
      <c r="D35" s="130" t="n">
        <v>58.5</v>
      </c>
      <c r="E35" s="131" t="n">
        <v>18</v>
      </c>
      <c r="F35" s="130" t="n">
        <v>45.3</v>
      </c>
      <c r="G35" s="17" t="n">
        <v>14</v>
      </c>
      <c r="H35" s="132" t="n">
        <v>180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n">
        <v>58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8">
      <c r="A36" s="120" t="inlineStr">
        <is>
          <t>계산동 태산</t>
        </is>
      </c>
      <c r="B36" s="121" t="inlineStr">
        <is>
          <t>90.07.</t>
        </is>
      </c>
      <c r="C36" s="129" t="n">
        <v>408</v>
      </c>
      <c r="D36" s="130" t="n">
        <v>59.6</v>
      </c>
      <c r="E36" s="131" t="n">
        <v>18</v>
      </c>
      <c r="F36" s="130" t="n">
        <v>46</v>
      </c>
      <c r="G36" s="17" t="n">
        <v>14</v>
      </c>
      <c r="H36" s="132" t="n">
        <v>36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8">
      <c r="A37" s="120" t="inlineStr">
        <is>
          <t>계산동 태산</t>
        </is>
      </c>
      <c r="B37" s="121" t="inlineStr">
        <is>
          <t>90.07.</t>
        </is>
      </c>
      <c r="C37" s="129" t="n">
        <v>408</v>
      </c>
      <c r="D37" s="130" t="n">
        <v>69.59999999999999</v>
      </c>
      <c r="E37" s="131" t="n">
        <v>21</v>
      </c>
      <c r="F37" s="130" t="n">
        <v>54.5</v>
      </c>
      <c r="G37" s="17" t="n">
        <v>16</v>
      </c>
      <c r="H37" s="132" t="n">
        <v>72</v>
      </c>
      <c r="I37" s="133" t="n">
        <v>22000</v>
      </c>
      <c r="J37" s="133" t="inlineStr">
        <is>
          <t>6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69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8">
      <c r="A38" s="120" t="inlineStr">
        <is>
          <t>계산동 은행마을태평</t>
        </is>
      </c>
      <c r="B38" s="121" t="inlineStr">
        <is>
          <t>97.06.</t>
        </is>
      </c>
      <c r="C38" s="129" t="n">
        <v>574</v>
      </c>
      <c r="D38" s="130" t="n">
        <v>87</v>
      </c>
      <c r="E38" s="131" t="n">
        <v>26</v>
      </c>
      <c r="F38" s="130" t="n">
        <v>68.09999999999999</v>
      </c>
      <c r="G38" s="17" t="n">
        <v>21</v>
      </c>
      <c r="H38" s="132" t="n">
        <v>460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n">
        <v>86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8">
      <c r="A39" s="120" t="inlineStr">
        <is>
          <t>계산동 은행마을태평</t>
        </is>
      </c>
      <c r="B39" s="121" t="inlineStr">
        <is>
          <t>97.06.</t>
        </is>
      </c>
      <c r="C39" s="129" t="n">
        <v>574</v>
      </c>
      <c r="D39" s="130" t="n">
        <v>104</v>
      </c>
      <c r="E39" s="131" t="n">
        <v>31</v>
      </c>
      <c r="F39" s="130" t="n">
        <v>84.2</v>
      </c>
      <c r="G39" s="17" t="n">
        <v>25</v>
      </c>
      <c r="H39" s="132" t="n">
        <v>114</v>
      </c>
      <c r="I39" s="133" t="n">
        <v>55000</v>
      </c>
      <c r="J39" s="133" t="inlineStr">
        <is>
          <t>16</t>
        </is>
      </c>
      <c r="K39" s="133" t="n">
        <v>40000</v>
      </c>
      <c r="L39" s="133" t="inlineStr">
        <is>
          <t>16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103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8">
      <c r="A40" s="120" t="inlineStr">
        <is>
          <t>계산동 삼천리열망</t>
        </is>
      </c>
      <c r="B40" s="121" t="inlineStr">
        <is>
          <t>86.07.</t>
        </is>
      </c>
      <c r="C40" s="129" t="n">
        <v>460</v>
      </c>
      <c r="D40" s="130" t="n">
        <v>51.6</v>
      </c>
      <c r="E40" s="131" t="n">
        <v>16</v>
      </c>
      <c r="F40" s="130" t="n">
        <v>37.6</v>
      </c>
      <c r="G40" s="17" t="n">
        <v>11</v>
      </c>
      <c r="H40" s="132" t="n">
        <v>90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51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8">
      <c r="A41" s="120" t="inlineStr">
        <is>
          <t>계산동 삼천리열망</t>
        </is>
      </c>
      <c r="B41" s="121" t="inlineStr">
        <is>
          <t>86.07.</t>
        </is>
      </c>
      <c r="C41" s="129" t="n">
        <v>460</v>
      </c>
      <c r="D41" s="130" t="n">
        <v>54.9</v>
      </c>
      <c r="E41" s="131" t="n">
        <v>17</v>
      </c>
      <c r="F41" s="130" t="n">
        <v>40.4</v>
      </c>
      <c r="G41" s="17" t="n">
        <v>12</v>
      </c>
      <c r="H41" s="132" t="n">
        <v>80</v>
      </c>
      <c r="I41" s="133" t="n">
        <v>22000</v>
      </c>
      <c r="J41" s="133" t="inlineStr">
        <is>
          <t>5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54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8">
      <c r="A42" s="120" t="inlineStr">
        <is>
          <t>계산동 삼천리열망</t>
        </is>
      </c>
      <c r="B42" s="121" t="inlineStr">
        <is>
          <t>86.07.</t>
        </is>
      </c>
      <c r="C42" s="129" t="n">
        <v>460</v>
      </c>
      <c r="D42" s="130" t="n">
        <v>58.1</v>
      </c>
      <c r="E42" s="131" t="n">
        <v>18</v>
      </c>
      <c r="F42" s="130" t="n">
        <v>43.1</v>
      </c>
      <c r="G42" s="17" t="n">
        <v>13</v>
      </c>
      <c r="H42" s="132" t="n">
        <v>80</v>
      </c>
      <c r="I42" s="133" t="n">
        <v>22800</v>
      </c>
      <c r="J42" s="133" t="inlineStr">
        <is>
          <t>5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58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8">
      <c r="A43" s="120" t="inlineStr">
        <is>
          <t>계산동 삼천리열망</t>
        </is>
      </c>
      <c r="B43" s="121" t="inlineStr">
        <is>
          <t>86.07.</t>
        </is>
      </c>
      <c r="C43" s="129" t="n">
        <v>460</v>
      </c>
      <c r="D43" s="130" t="n">
        <v>62.4</v>
      </c>
      <c r="E43" s="131" t="n">
        <v>19</v>
      </c>
      <c r="F43" s="130" t="n">
        <v>46.6</v>
      </c>
      <c r="G43" s="17" t="n">
        <v>14</v>
      </c>
      <c r="H43" s="132" t="n">
        <v>80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62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8">
      <c r="A44" s="120" t="inlineStr">
        <is>
          <t>계산동 삼천리열망</t>
        </is>
      </c>
      <c r="B44" s="121" t="inlineStr">
        <is>
          <t>86.07.</t>
        </is>
      </c>
      <c r="C44" s="129" t="n">
        <v>460</v>
      </c>
      <c r="D44" s="130" t="n">
        <v>65.5</v>
      </c>
      <c r="E44" s="131" t="n">
        <v>20</v>
      </c>
      <c r="F44" s="130" t="n">
        <v>49.3</v>
      </c>
      <c r="G44" s="17" t="n">
        <v>15</v>
      </c>
      <c r="H44" s="132" t="n">
        <v>100</v>
      </c>
      <c r="I44" s="133" t="n">
        <v>27000</v>
      </c>
      <c r="J44" s="133" t="inlineStr">
        <is>
          <t>5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65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8">
      <c r="A45" s="120" t="inlineStr">
        <is>
          <t>계산동 삼천리열망</t>
        </is>
      </c>
      <c r="B45" s="121" t="inlineStr">
        <is>
          <t>86.07.</t>
        </is>
      </c>
      <c r="C45" s="129" t="n">
        <v>460</v>
      </c>
      <c r="D45" s="130" t="n">
        <v>68.7</v>
      </c>
      <c r="E45" s="131" t="n">
        <v>21</v>
      </c>
      <c r="F45" s="130" t="n">
        <v>51.9</v>
      </c>
      <c r="G45" s="17" t="n">
        <v>16</v>
      </c>
      <c r="H45" s="132" t="n">
        <v>30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68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8">
      <c r="A46" s="120" t="inlineStr">
        <is>
          <t>계산동 인정프린스</t>
        </is>
      </c>
      <c r="B46" s="121" t="inlineStr">
        <is>
          <t>92.04.</t>
        </is>
      </c>
      <c r="C46" s="129" t="n">
        <v>299</v>
      </c>
      <c r="D46" s="130" t="n">
        <v>85.59999999999999</v>
      </c>
      <c r="E46" s="131" t="n">
        <v>26</v>
      </c>
      <c r="F46" s="130" t="n">
        <v>65.8</v>
      </c>
      <c r="G46" s="17" t="n">
        <v>20</v>
      </c>
      <c r="H46" s="132" t="n">
        <v>22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85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8">
      <c r="A47" s="120" t="inlineStr">
        <is>
          <t>계산동 인정프린스</t>
        </is>
      </c>
      <c r="B47" s="121" t="inlineStr">
        <is>
          <t>92.04.</t>
        </is>
      </c>
      <c r="C47" s="129" t="n">
        <v>299</v>
      </c>
      <c r="D47" s="130" t="n">
        <v>93.7</v>
      </c>
      <c r="E47" s="131" t="n">
        <v>28</v>
      </c>
      <c r="F47" s="130" t="n">
        <v>68.5</v>
      </c>
      <c r="G47" s="17" t="n">
        <v>21</v>
      </c>
      <c r="H47" s="132" t="n">
        <v>31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n">
        <v>93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8">
      <c r="A48" s="120" t="inlineStr">
        <is>
          <t>계산동 인정프린스</t>
        </is>
      </c>
      <c r="B48" s="121" t="inlineStr">
        <is>
          <t>92.04.</t>
        </is>
      </c>
      <c r="C48" s="129" t="n">
        <v>299</v>
      </c>
      <c r="D48" s="130" t="n">
        <v>97.90000000000001</v>
      </c>
      <c r="E48" s="131" t="n">
        <v>30</v>
      </c>
      <c r="F48" s="130" t="n">
        <v>75.2</v>
      </c>
      <c r="G48" s="17" t="n">
        <v>23</v>
      </c>
      <c r="H48" s="132" t="n">
        <v>22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n">
        <v>97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8">
      <c r="A49" s="120" t="inlineStr">
        <is>
          <t>계산동 인정프린스</t>
        </is>
      </c>
      <c r="B49" s="121" t="inlineStr">
        <is>
          <t>92.04.</t>
        </is>
      </c>
      <c r="C49" s="129" t="n">
        <v>299</v>
      </c>
      <c r="D49" s="130" t="n">
        <v>101.1</v>
      </c>
      <c r="E49" s="131" t="n">
        <v>31</v>
      </c>
      <c r="F49" s="130" t="n">
        <v>76.7</v>
      </c>
      <c r="G49" s="17" t="n">
        <v>23</v>
      </c>
      <c r="H49" s="132" t="n">
        <v>61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101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8">
      <c r="A50" s="120" t="inlineStr">
        <is>
          <t>계산동 인정프린스</t>
        </is>
      </c>
      <c r="B50" s="121" t="inlineStr">
        <is>
          <t>92.04.</t>
        </is>
      </c>
      <c r="C50" s="129" t="n">
        <v>299</v>
      </c>
      <c r="D50" s="130" t="n">
        <v>108.2</v>
      </c>
      <c r="E50" s="131" t="n">
        <v>33</v>
      </c>
      <c r="F50" s="130" t="n">
        <v>84.8</v>
      </c>
      <c r="G50" s="17" t="n">
        <v>26</v>
      </c>
      <c r="H50" s="132" t="n">
        <v>72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108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8">
      <c r="A51" s="120" t="inlineStr">
        <is>
          <t>계산동 인정프린스</t>
        </is>
      </c>
      <c r="B51" s="121" t="inlineStr">
        <is>
          <t>92.04.</t>
        </is>
      </c>
      <c r="C51" s="129" t="n">
        <v>299</v>
      </c>
      <c r="D51" s="130" t="n">
        <v>112.5</v>
      </c>
      <c r="E51" s="131" t="n">
        <v>34</v>
      </c>
      <c r="F51" s="130" t="n">
        <v>84.40000000000001</v>
      </c>
      <c r="G51" s="17" t="n">
        <v>26</v>
      </c>
      <c r="H51" s="132" t="n">
        <v>28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8">
      <c r="A52" s="120" t="inlineStr">
        <is>
          <t>계산동 인정프린스</t>
        </is>
      </c>
      <c r="B52" s="121" t="inlineStr">
        <is>
          <t>92.04.</t>
        </is>
      </c>
      <c r="C52" s="129" t="n">
        <v>299</v>
      </c>
      <c r="D52" s="130" t="n">
        <v>131.4</v>
      </c>
      <c r="E52" s="131" t="n">
        <v>40</v>
      </c>
      <c r="F52" s="130" t="n">
        <v>104.6</v>
      </c>
      <c r="G52" s="17" t="n">
        <v>32</v>
      </c>
      <c r="H52" s="132" t="n">
        <v>63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4</v>
      </c>
      <c r="R52" s="117" t="n">
        <v>2</v>
      </c>
      <c r="S52" s="117" t="inlineStr">
        <is>
          <t>계</t>
        </is>
      </c>
      <c r="T52" s="5" t="n">
        <v>131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8">
      <c r="A53" s="120" t="inlineStr">
        <is>
          <t>계산동 동남(55-1)</t>
        </is>
      </c>
      <c r="B53" s="121" t="inlineStr">
        <is>
          <t>90.07.</t>
        </is>
      </c>
      <c r="C53" s="129" t="n">
        <v>336</v>
      </c>
      <c r="D53" s="130" t="n">
        <v>56.7</v>
      </c>
      <c r="E53" s="131" t="n">
        <v>17</v>
      </c>
      <c r="F53" s="130" t="n">
        <v>43.7</v>
      </c>
      <c r="G53" s="17" t="n">
        <v>13</v>
      </c>
      <c r="H53" s="132" t="n">
        <v>84</v>
      </c>
      <c r="I53" s="133" t="n">
        <v>21000</v>
      </c>
      <c r="J53" s="133" t="inlineStr">
        <is>
          <t>6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2</v>
      </c>
      <c r="R53" s="117" t="n">
        <v>1</v>
      </c>
      <c r="S53" s="117" t="inlineStr">
        <is>
          <t>계</t>
        </is>
      </c>
      <c r="T53" s="5" t="n">
        <v>56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8">
      <c r="A54" s="120" t="inlineStr">
        <is>
          <t>계산동 동남(55-1)</t>
        </is>
      </c>
      <c r="B54" s="121" t="inlineStr">
        <is>
          <t>90.07.</t>
        </is>
      </c>
      <c r="C54" s="129" t="n">
        <v>336</v>
      </c>
      <c r="D54" s="130" t="n">
        <v>70.59999999999999</v>
      </c>
      <c r="E54" s="131" t="n">
        <v>21</v>
      </c>
      <c r="F54" s="130" t="n">
        <v>55.5</v>
      </c>
      <c r="G54" s="17" t="n">
        <v>17</v>
      </c>
      <c r="H54" s="132" t="n">
        <v>144</v>
      </c>
      <c r="I54" s="133" t="n">
        <v>23000</v>
      </c>
      <c r="J54" s="133" t="inlineStr">
        <is>
          <t>5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70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8">
      <c r="A55" s="120" t="inlineStr">
        <is>
          <t>계산동 동남(55-1)</t>
        </is>
      </c>
      <c r="B55" s="121" t="inlineStr">
        <is>
          <t>90.07.</t>
        </is>
      </c>
      <c r="C55" s="129" t="n">
        <v>336</v>
      </c>
      <c r="D55" s="130" t="n">
        <v>73.8</v>
      </c>
      <c r="E55" s="131" t="n">
        <v>22</v>
      </c>
      <c r="F55" s="130" t="n">
        <v>58.2</v>
      </c>
      <c r="G55" s="17" t="n">
        <v>18</v>
      </c>
      <c r="H55" s="132" t="n">
        <v>48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73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8">
      <c r="A56" s="120" t="inlineStr">
        <is>
          <t>계산동 동남(55-1)</t>
        </is>
      </c>
      <c r="B56" s="121" t="inlineStr">
        <is>
          <t>90.07.</t>
        </is>
      </c>
      <c r="C56" s="129" t="n">
        <v>336</v>
      </c>
      <c r="D56" s="130" t="n">
        <v>80.3</v>
      </c>
      <c r="E56" s="131" t="n">
        <v>24</v>
      </c>
      <c r="F56" s="130" t="n">
        <v>64</v>
      </c>
      <c r="G56" s="17" t="n">
        <v>19</v>
      </c>
      <c r="H56" s="132" t="n">
        <v>60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8">
      <c r="A57" s="120" t="inlineStr">
        <is>
          <t>계산동 극동</t>
        </is>
      </c>
      <c r="B57" s="121" t="inlineStr">
        <is>
          <t>85.07.</t>
        </is>
      </c>
      <c r="C57" s="129" t="n">
        <v>630</v>
      </c>
      <c r="D57" s="130" t="n">
        <v>48.4</v>
      </c>
      <c r="E57" s="131" t="n">
        <v>15</v>
      </c>
      <c r="F57" s="130" t="n">
        <v>38.1</v>
      </c>
      <c r="G57" s="17" t="n">
        <v>12</v>
      </c>
      <c r="H57" s="132" t="n">
        <v>60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48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8">
      <c r="A58" s="120" t="inlineStr">
        <is>
          <t>계산동 극동</t>
        </is>
      </c>
      <c r="B58" s="121" t="inlineStr">
        <is>
          <t>85.07.</t>
        </is>
      </c>
      <c r="C58" s="129" t="n">
        <v>630</v>
      </c>
      <c r="D58" s="130" t="n">
        <v>64.2</v>
      </c>
      <c r="E58" s="131" t="n">
        <v>19</v>
      </c>
      <c r="F58" s="130" t="n">
        <v>52.5</v>
      </c>
      <c r="G58" s="17" t="n">
        <v>16</v>
      </c>
      <c r="H58" s="132" t="n">
        <v>240</v>
      </c>
      <c r="I58" s="133" t="n">
        <v>30000</v>
      </c>
      <c r="J58" s="133" t="inlineStr">
        <is>
          <t>5</t>
        </is>
      </c>
      <c r="K58" s="133" t="n">
        <v>12000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64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2" customFormat="1" customHeight="1" s="38">
      <c r="A59" s="120" t="inlineStr">
        <is>
          <t>계산동 극동</t>
        </is>
      </c>
      <c r="B59" s="121" t="inlineStr">
        <is>
          <t>85.07.</t>
        </is>
      </c>
      <c r="C59" s="129" t="n">
        <v>630</v>
      </c>
      <c r="D59" s="130" t="n">
        <v>71.09999999999999</v>
      </c>
      <c r="E59" s="131" t="n">
        <v>22</v>
      </c>
      <c r="F59" s="130" t="n">
        <v>57.1</v>
      </c>
      <c r="G59" s="17" t="n">
        <v>17</v>
      </c>
      <c r="H59" s="132" t="n">
        <v>140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71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 ht="12" customFormat="1" customHeight="1" s="38">
      <c r="A60" s="120" t="inlineStr">
        <is>
          <t>계산동 극동</t>
        </is>
      </c>
      <c r="B60" s="121" t="inlineStr">
        <is>
          <t>85.07.</t>
        </is>
      </c>
      <c r="C60" s="129" t="n">
        <v>630</v>
      </c>
      <c r="D60" s="130" t="n">
        <v>87.7</v>
      </c>
      <c r="E60" s="131" t="n">
        <v>27</v>
      </c>
      <c r="F60" s="130" t="n">
        <v>72.7</v>
      </c>
      <c r="G60" s="17" t="n">
        <v>22</v>
      </c>
      <c r="H60" s="132" t="n">
        <v>160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87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 ht="12" customFormat="1" customHeight="1" s="38">
      <c r="A61" s="120" t="inlineStr">
        <is>
          <t>계산동 극동</t>
        </is>
      </c>
      <c r="B61" s="121" t="inlineStr">
        <is>
          <t>85.07.</t>
        </is>
      </c>
      <c r="C61" s="129" t="n">
        <v>630</v>
      </c>
      <c r="D61" s="130" t="n">
        <v>101.6</v>
      </c>
      <c r="E61" s="131" t="n">
        <v>31</v>
      </c>
      <c r="F61" s="130" t="n">
        <v>85</v>
      </c>
      <c r="G61" s="17" t="n">
        <v>26</v>
      </c>
      <c r="H61" s="132" t="n">
        <v>30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1</v>
      </c>
      <c r="S61" s="117" t="inlineStr">
        <is>
          <t>계</t>
        </is>
      </c>
      <c r="T61" s="5" t="n">
        <v>101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 ht="12" customFormat="1" customHeight="1" s="38">
      <c r="A62" s="120" t="inlineStr">
        <is>
          <t>계산동 현대</t>
        </is>
      </c>
      <c r="B62" s="121" t="inlineStr">
        <is>
          <t>92.01.</t>
        </is>
      </c>
      <c r="C62" s="129" t="n">
        <v>1248</v>
      </c>
      <c r="D62" s="130" t="n">
        <v>87.5</v>
      </c>
      <c r="E62" s="131" t="n">
        <v>26</v>
      </c>
      <c r="F62" s="130" t="n">
        <v>71.2</v>
      </c>
      <c r="G62" s="17" t="n">
        <v>22</v>
      </c>
      <c r="H62" s="132" t="n">
        <v>306</v>
      </c>
      <c r="I62" s="133" t="n">
        <v>37000</v>
      </c>
      <c r="J62" s="133" t="inlineStr">
        <is>
          <t>6</t>
        </is>
      </c>
      <c r="K62" s="133" t="n">
        <v>27000</v>
      </c>
      <c r="L62" s="133" t="inlineStr">
        <is>
          <t>11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87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 ht="12" customFormat="1" customHeight="1" s="38">
      <c r="A63" s="120" t="inlineStr">
        <is>
          <t>계산동 현대</t>
        </is>
      </c>
      <c r="B63" s="121" t="inlineStr">
        <is>
          <t>92.01.</t>
        </is>
      </c>
      <c r="C63" s="129" t="n">
        <v>1248</v>
      </c>
      <c r="D63" s="130" t="n">
        <v>104.5</v>
      </c>
      <c r="E63" s="131" t="n">
        <v>32</v>
      </c>
      <c r="F63" s="130" t="n">
        <v>84.90000000000001</v>
      </c>
      <c r="G63" s="17" t="n">
        <v>26</v>
      </c>
      <c r="H63" s="132" t="n">
        <v>806</v>
      </c>
      <c r="I63" s="133" t="n">
        <v>43000</v>
      </c>
      <c r="J63" s="133" t="inlineStr">
        <is>
          <t>13</t>
        </is>
      </c>
      <c r="K63" s="133" t="n">
        <v>32000</v>
      </c>
      <c r="L63" s="133" t="inlineStr">
        <is>
          <t>고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104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 ht="12" customFormat="1" customHeight="1" s="38">
      <c r="A64" s="120" t="inlineStr">
        <is>
          <t>계산동 현대</t>
        </is>
      </c>
      <c r="B64" s="121" t="inlineStr">
        <is>
          <t>92.01.</t>
        </is>
      </c>
      <c r="C64" s="129" t="n">
        <v>1248</v>
      </c>
      <c r="D64" s="130" t="n">
        <v>159.5</v>
      </c>
      <c r="E64" s="131" t="n">
        <v>48</v>
      </c>
      <c r="F64" s="130" t="n">
        <v>129.7</v>
      </c>
      <c r="G64" s="17" t="n">
        <v>39</v>
      </c>
      <c r="H64" s="132" t="n">
        <v>136</v>
      </c>
      <c r="I64" s="133" t="n">
        <v>63000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 ht="12" customFormat="1" customHeight="1" s="38">
      <c r="A65" s="120" t="inlineStr">
        <is>
          <t>계산동 은행마을삼보</t>
        </is>
      </c>
      <c r="B65" s="121" t="inlineStr">
        <is>
          <t>97.07.</t>
        </is>
      </c>
      <c r="C65" s="129" t="n">
        <v>436</v>
      </c>
      <c r="D65" s="130" t="n">
        <v>115.1</v>
      </c>
      <c r="E65" s="131" t="n">
        <v>35</v>
      </c>
      <c r="F65" s="130" t="n">
        <v>90.2</v>
      </c>
      <c r="G65" s="17" t="n">
        <v>27</v>
      </c>
      <c r="H65" s="132" t="n">
        <v>260</v>
      </c>
      <c r="I65" s="133" t="n">
        <v>55000</v>
      </c>
      <c r="J65" s="133" t="inlineStr">
        <is>
          <t>12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 ht="12" customFormat="1" customHeight="1" s="38">
      <c r="A66" s="120" t="inlineStr">
        <is>
          <t>계산동 은행마을삼보</t>
        </is>
      </c>
      <c r="B66" s="121" t="inlineStr">
        <is>
          <t>97.07.</t>
        </is>
      </c>
      <c r="C66" s="129" t="n">
        <v>436</v>
      </c>
      <c r="D66" s="130" t="n">
        <v>128.1</v>
      </c>
      <c r="E66" s="131" t="n">
        <v>39</v>
      </c>
      <c r="F66" s="130" t="n">
        <v>101.9</v>
      </c>
      <c r="G66" s="17" t="n">
        <v>31</v>
      </c>
      <c r="H66" s="132" t="n">
        <v>88</v>
      </c>
      <c r="I66" s="133" t="n">
        <v>61000</v>
      </c>
      <c r="J66" s="133" t="inlineStr">
        <is>
          <t>22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128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 ht="12" customFormat="1" customHeight="1" s="38">
      <c r="A67" s="120" t="inlineStr">
        <is>
          <t>계산동 은행마을삼보</t>
        </is>
      </c>
      <c r="B67" s="121" t="inlineStr">
        <is>
          <t>97.07.</t>
        </is>
      </c>
      <c r="C67" s="129" t="n">
        <v>436</v>
      </c>
      <c r="D67" s="130" t="n">
        <v>142.2</v>
      </c>
      <c r="E67" s="131" t="n">
        <v>43</v>
      </c>
      <c r="F67" s="130" t="n">
        <v>114.6</v>
      </c>
      <c r="G67" s="17" t="n">
        <v>35</v>
      </c>
      <c r="H67" s="132" t="n">
        <v>88</v>
      </c>
      <c r="I67" s="133" t="n">
        <v>70000</v>
      </c>
      <c r="J67" s="133" t="inlineStr">
        <is>
          <t>17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142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 ht="12" customFormat="1" customHeight="1" s="38">
      <c r="A68" s="120" t="inlineStr">
        <is>
          <t>계산동 한국</t>
        </is>
      </c>
      <c r="B68" s="121" t="inlineStr">
        <is>
          <t>91.05.</t>
        </is>
      </c>
      <c r="C68" s="129" t="n">
        <v>416</v>
      </c>
      <c r="D68" s="130" t="n">
        <v>99.09999999999999</v>
      </c>
      <c r="E68" s="131" t="n">
        <v>30</v>
      </c>
      <c r="F68" s="130" t="n">
        <v>82.90000000000001</v>
      </c>
      <c r="G68" s="17" t="n">
        <v>25</v>
      </c>
      <c r="H68" s="132" t="n">
        <v>386</v>
      </c>
      <c r="I68" s="133" t="n">
        <v>37500</v>
      </c>
      <c r="J68" s="133" t="inlineStr">
        <is>
          <t>13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inlineStr">
        <is>
          <t>99A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 ht="12" customFormat="1" customHeight="1" s="38">
      <c r="A69" s="120" t="inlineStr">
        <is>
          <t>계산동 한국</t>
        </is>
      </c>
      <c r="B69" s="121" t="inlineStr">
        <is>
          <t>91.05.</t>
        </is>
      </c>
      <c r="C69" s="129" t="n">
        <v>416</v>
      </c>
      <c r="D69" s="130" t="n">
        <v>99</v>
      </c>
      <c r="E69" s="131" t="n">
        <v>30</v>
      </c>
      <c r="F69" s="130" t="n">
        <v>83.7</v>
      </c>
      <c r="G69" s="17" t="n">
        <v>25</v>
      </c>
      <c r="H69" s="132" t="n">
        <v>30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inlineStr">
        <is>
          <t>99B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 ht="12" customFormat="1" customHeight="1" s="38">
      <c r="A70" s="120" t="inlineStr">
        <is>
          <t>계산동 은행마을태산</t>
        </is>
      </c>
      <c r="B70" s="121" t="inlineStr">
        <is>
          <t>97.08.</t>
        </is>
      </c>
      <c r="C70" s="129" t="n">
        <v>544</v>
      </c>
      <c r="D70" s="130" t="n">
        <v>125.5</v>
      </c>
      <c r="E70" s="131" t="n">
        <v>38</v>
      </c>
      <c r="F70" s="130" t="n">
        <v>100.6</v>
      </c>
      <c r="G70" s="17" t="n">
        <v>30</v>
      </c>
      <c r="H70" s="132" t="n">
        <v>544</v>
      </c>
      <c r="I70" s="133" t="n">
        <v>55000</v>
      </c>
      <c r="J70" s="133" t="inlineStr">
        <is>
          <t>10</t>
        </is>
      </c>
      <c r="K70" s="133" t="n">
        <v>35000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4</v>
      </c>
      <c r="R70" s="117" t="n">
        <v>2</v>
      </c>
      <c r="S70" s="117" t="inlineStr">
        <is>
          <t>계</t>
        </is>
      </c>
      <c r="T70" s="5" t="n">
        <v>125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 ht="12" customFormat="1" customHeight="1" s="38">
      <c r="A71" s="120" t="inlineStr">
        <is>
          <t>계산동 삼보1,2차</t>
        </is>
      </c>
      <c r="B71" s="121" t="inlineStr">
        <is>
          <t>87.10.</t>
        </is>
      </c>
      <c r="C71" s="129" t="n">
        <v>474</v>
      </c>
      <c r="D71" s="130" t="n">
        <v>51.6</v>
      </c>
      <c r="E71" s="131" t="n">
        <v>16</v>
      </c>
      <c r="F71" s="130" t="n">
        <v>40.6</v>
      </c>
      <c r="G71" s="17" t="n">
        <v>12</v>
      </c>
      <c r="H71" s="132" t="n">
        <v>360</v>
      </c>
      <c r="I71" s="133" t="n">
        <v>20000</v>
      </c>
      <c r="J71" s="133" t="inlineStr">
        <is>
          <t>6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51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 ht="12" customFormat="1" customHeight="1" s="38">
      <c r="A72" s="120" t="inlineStr">
        <is>
          <t>계산동 삼보1,2차</t>
        </is>
      </c>
      <c r="B72" s="121" t="inlineStr">
        <is>
          <t>87.10.</t>
        </is>
      </c>
      <c r="C72" s="129" t="n">
        <v>474</v>
      </c>
      <c r="D72" s="130" t="n">
        <v>61.6</v>
      </c>
      <c r="E72" s="131" t="n">
        <v>19</v>
      </c>
      <c r="F72" s="130" t="n">
        <v>49.6</v>
      </c>
      <c r="G72" s="17" t="n">
        <v>15</v>
      </c>
      <c r="H72" s="132" t="n">
        <v>72</v>
      </c>
      <c r="I72" s="133" t="n">
        <v>25000</v>
      </c>
      <c r="J72" s="133" t="inlineStr">
        <is>
          <t>5</t>
        </is>
      </c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61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 ht="12" customFormat="1" customHeight="1" s="38">
      <c r="A73" s="120" t="inlineStr">
        <is>
          <t>계산동 삼보1,2차</t>
        </is>
      </c>
      <c r="B73" s="121" t="inlineStr">
        <is>
          <t>87.10.</t>
        </is>
      </c>
      <c r="C73" s="129" t="n">
        <v>474</v>
      </c>
      <c r="D73" s="130" t="n">
        <v>71.59999999999999</v>
      </c>
      <c r="E73" s="131" t="n">
        <v>22</v>
      </c>
      <c r="F73" s="130" t="n">
        <v>58.2</v>
      </c>
      <c r="G73" s="17" t="n">
        <v>18</v>
      </c>
      <c r="H73" s="132" t="n">
        <v>36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71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 ht="12" customFormat="1" customHeight="1" s="38">
      <c r="A74" s="120" t="inlineStr">
        <is>
          <t>계산동 삼보1,2차</t>
        </is>
      </c>
      <c r="B74" s="121" t="inlineStr">
        <is>
          <t>87.10.</t>
        </is>
      </c>
      <c r="C74" s="129" t="n">
        <v>474</v>
      </c>
      <c r="D74" s="130" t="n">
        <v>85.90000000000001</v>
      </c>
      <c r="E74" s="131" t="n">
        <v>26</v>
      </c>
      <c r="F74" s="130" t="n">
        <v>66.3</v>
      </c>
      <c r="G74" s="17" t="n">
        <v>20</v>
      </c>
      <c r="H74" s="132" t="n">
        <v>6</v>
      </c>
      <c r="I74" s="133" t="n">
        <v>34000</v>
      </c>
      <c r="J74" s="133" t="inlineStr">
        <is>
          <t>5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계</t>
        </is>
      </c>
      <c r="T74" s="5" t="n">
        <v>85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 ht="12" customFormat="1" customHeight="1" s="38">
      <c r="A75" s="120" t="inlineStr">
        <is>
          <t>계산동 삼환1차</t>
        </is>
      </c>
      <c r="B75" s="121" t="inlineStr">
        <is>
          <t>89.12.</t>
        </is>
      </c>
      <c r="C75" s="129" t="n">
        <v>276</v>
      </c>
      <c r="D75" s="130" t="n">
        <v>70.40000000000001</v>
      </c>
      <c r="E75" s="131" t="n">
        <v>21</v>
      </c>
      <c r="F75" s="130" t="n">
        <v>57.8</v>
      </c>
      <c r="G75" s="17" t="n">
        <v>17</v>
      </c>
      <c r="H75" s="132" t="n">
        <v>84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계</t>
        </is>
      </c>
      <c r="T75" s="5" t="n">
        <v>70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 ht="12" customFormat="1" customHeight="1" s="38">
      <c r="A76" s="120" t="inlineStr">
        <is>
          <t>계산동 삼환1차</t>
        </is>
      </c>
      <c r="B76" s="121" t="inlineStr">
        <is>
          <t>89.12.</t>
        </is>
      </c>
      <c r="C76" s="129" t="n">
        <v>276</v>
      </c>
      <c r="D76" s="130" t="n">
        <v>79.2</v>
      </c>
      <c r="E76" s="131" t="n">
        <v>24</v>
      </c>
      <c r="F76" s="130" t="n">
        <v>65.90000000000001</v>
      </c>
      <c r="G76" s="17" t="n">
        <v>20</v>
      </c>
      <c r="H76" s="132" t="n">
        <v>84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79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 ht="12" customFormat="1" customHeight="1" s="38">
      <c r="A77" s="120" t="inlineStr">
        <is>
          <t>계산동 삼환1차</t>
        </is>
      </c>
      <c r="B77" s="121" t="inlineStr">
        <is>
          <t>89.12.</t>
        </is>
      </c>
      <c r="C77" s="129" t="n">
        <v>276</v>
      </c>
      <c r="D77" s="130" t="n">
        <v>87.8</v>
      </c>
      <c r="E77" s="131" t="n">
        <v>27</v>
      </c>
      <c r="F77" s="130" t="n">
        <v>73.5</v>
      </c>
      <c r="G77" s="17" t="n">
        <v>22</v>
      </c>
      <c r="H77" s="132" t="n">
        <v>108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1</v>
      </c>
      <c r="S77" s="117" t="inlineStr">
        <is>
          <t>계</t>
        </is>
      </c>
      <c r="T77" s="5" t="n">
        <v>87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 ht="12" customFormat="1" customHeight="1" s="38">
      <c r="A78" s="120" t="inlineStr">
        <is>
          <t>계산동 팬더1,2차</t>
        </is>
      </c>
      <c r="B78" s="121" t="inlineStr">
        <is>
          <t>89.09.</t>
        </is>
      </c>
      <c r="C78" s="129" t="n">
        <v>504</v>
      </c>
      <c r="D78" s="130" t="n">
        <v>53.7</v>
      </c>
      <c r="E78" s="131" t="n">
        <v>16</v>
      </c>
      <c r="F78" s="130" t="n">
        <v>40.8</v>
      </c>
      <c r="G78" s="17" t="n">
        <v>12</v>
      </c>
      <c r="H78" s="132" t="n">
        <v>204</v>
      </c>
      <c r="I78" s="133" t="n">
        <v>21000</v>
      </c>
      <c r="J78" s="133" t="inlineStr">
        <is>
          <t>5</t>
        </is>
      </c>
      <c r="K78" s="133" t="n">
        <v>11000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53A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 ht="12" customFormat="1" customHeight="1" s="38">
      <c r="A79" s="120" t="inlineStr">
        <is>
          <t>계산동 팬더1,2차</t>
        </is>
      </c>
      <c r="B79" s="121" t="inlineStr">
        <is>
          <t>89.09.</t>
        </is>
      </c>
      <c r="C79" s="129" t="n">
        <v>504</v>
      </c>
      <c r="D79" s="130" t="n">
        <v>54.2</v>
      </c>
      <c r="E79" s="131" t="n">
        <v>16</v>
      </c>
      <c r="F79" s="130" t="n">
        <v>41.2</v>
      </c>
      <c r="G79" s="17" t="n">
        <v>12</v>
      </c>
      <c r="H79" s="132" t="n">
        <v>6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54B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 ht="12" customFormat="1" customHeight="1" s="38">
      <c r="A80" s="120" t="inlineStr">
        <is>
          <t>계산동 팬더1,2차</t>
        </is>
      </c>
      <c r="B80" s="121" t="inlineStr">
        <is>
          <t>89.09.</t>
        </is>
      </c>
      <c r="C80" s="129" t="n">
        <v>504</v>
      </c>
      <c r="D80" s="130" t="n">
        <v>63.5</v>
      </c>
      <c r="E80" s="131" t="n">
        <v>19</v>
      </c>
      <c r="F80" s="130" t="n">
        <v>49.1</v>
      </c>
      <c r="G80" s="17" t="n">
        <v>15</v>
      </c>
      <c r="H80" s="132" t="n">
        <v>150</v>
      </c>
      <c r="I80" s="133" t="n">
        <v>23000</v>
      </c>
      <c r="J80" s="133" t="inlineStr">
        <is>
          <t>6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63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 ht="12" customFormat="1" customHeight="1" s="38">
      <c r="A81" s="120" t="inlineStr">
        <is>
          <t>계산동 팬더1,2차</t>
        </is>
      </c>
      <c r="B81" s="121" t="inlineStr">
        <is>
          <t>89.09.</t>
        </is>
      </c>
      <c r="C81" s="129" t="n">
        <v>504</v>
      </c>
      <c r="D81" s="130" t="n">
        <v>69</v>
      </c>
      <c r="E81" s="131" t="n">
        <v>21</v>
      </c>
      <c r="F81" s="130" t="n">
        <v>53.9</v>
      </c>
      <c r="G81" s="17" t="n">
        <v>16</v>
      </c>
      <c r="H81" s="132" t="n">
        <v>36</v>
      </c>
      <c r="I81" s="133" t="n">
        <v>26000</v>
      </c>
      <c r="J81" s="133" t="inlineStr">
        <is>
          <t>5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69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 ht="12" customFormat="1" customHeight="1" s="38">
      <c r="A82" s="120" t="inlineStr">
        <is>
          <t>계산동 팬더1,2차</t>
        </is>
      </c>
      <c r="B82" s="121" t="inlineStr">
        <is>
          <t>89.09.</t>
        </is>
      </c>
      <c r="C82" s="129" t="n">
        <v>504</v>
      </c>
      <c r="D82" s="130" t="n">
        <v>72.2</v>
      </c>
      <c r="E82" s="131" t="n">
        <v>22</v>
      </c>
      <c r="F82" s="130" t="n">
        <v>51.5</v>
      </c>
      <c r="G82" s="17" t="n">
        <v>16</v>
      </c>
      <c r="H82" s="132" t="n">
        <v>6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계</t>
        </is>
      </c>
      <c r="T82" s="5" t="inlineStr">
        <is>
          <t>72A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 ht="12" customFormat="1" customHeight="1" s="38">
      <c r="A83" s="120" t="inlineStr">
        <is>
          <t>계산동 팬더1,2차</t>
        </is>
      </c>
      <c r="B83" s="121" t="inlineStr">
        <is>
          <t>89.09.</t>
        </is>
      </c>
      <c r="C83" s="129" t="n">
        <v>504</v>
      </c>
      <c r="D83" s="130" t="n">
        <v>74.3</v>
      </c>
      <c r="E83" s="131" t="n">
        <v>22</v>
      </c>
      <c r="F83" s="130" t="n">
        <v>58.4</v>
      </c>
      <c r="G83" s="17" t="n">
        <v>18</v>
      </c>
      <c r="H83" s="132" t="n">
        <v>60</v>
      </c>
      <c r="I83" s="133" t="n">
        <v>27500</v>
      </c>
      <c r="J83" s="133" t="inlineStr">
        <is>
          <t>5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inlineStr">
        <is>
          <t>74B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 ht="12" customFormat="1" customHeight="1" s="38">
      <c r="A84" s="120" t="inlineStr">
        <is>
          <t>계산동 팬더1,2차</t>
        </is>
      </c>
      <c r="B84" s="121" t="inlineStr">
        <is>
          <t>89.09.</t>
        </is>
      </c>
      <c r="C84" s="129" t="n">
        <v>504</v>
      </c>
      <c r="D84" s="130" t="n">
        <v>75.7</v>
      </c>
      <c r="E84" s="131" t="n">
        <v>23</v>
      </c>
      <c r="F84" s="130" t="n">
        <v>59.6</v>
      </c>
      <c r="G84" s="17" t="n">
        <v>18</v>
      </c>
      <c r="H84" s="132" t="n">
        <v>36</v>
      </c>
      <c r="I84" s="133" t="n"/>
      <c r="J84" s="133" t="n"/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n">
        <v>75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 ht="12" customFormat="1" customHeight="1" s="38">
      <c r="A85" s="120" t="inlineStr">
        <is>
          <t>계산동 팬더1,2차</t>
        </is>
      </c>
      <c r="B85" s="121" t="inlineStr">
        <is>
          <t>89.09.</t>
        </is>
      </c>
      <c r="C85" s="129" t="n">
        <v>504</v>
      </c>
      <c r="D85" s="130" t="n">
        <v>78.09999999999999</v>
      </c>
      <c r="E85" s="131" t="n">
        <v>24</v>
      </c>
      <c r="F85" s="130" t="n">
        <v>56.5</v>
      </c>
      <c r="G85" s="17" t="n">
        <v>17</v>
      </c>
      <c r="H85" s="132" t="n">
        <v>6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78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 ht="12" customFormat="1" customHeight="1" s="38">
      <c r="A86" s="120" t="inlineStr">
        <is>
          <t>계산동 하나</t>
        </is>
      </c>
      <c r="B86" s="121" t="inlineStr">
        <is>
          <t>87.08.</t>
        </is>
      </c>
      <c r="C86" s="129" t="n">
        <v>994</v>
      </c>
      <c r="D86" s="130" t="n">
        <v>47</v>
      </c>
      <c r="E86" s="131" t="n">
        <v>14</v>
      </c>
      <c r="F86" s="130" t="n">
        <v>37.2</v>
      </c>
      <c r="G86" s="17" t="n">
        <v>11</v>
      </c>
      <c r="H86" s="132" t="n">
        <v>289</v>
      </c>
      <c r="I86" s="133" t="n">
        <v>23000</v>
      </c>
      <c r="J86" s="133" t="inlineStr">
        <is>
          <t>6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2</v>
      </c>
      <c r="R86" s="117" t="n">
        <v>1</v>
      </c>
      <c r="S86" s="117" t="inlineStr">
        <is>
          <t>계</t>
        </is>
      </c>
      <c r="T86" s="5" t="n">
        <v>46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 ht="12" customFormat="1" customHeight="1" s="38">
      <c r="A87" s="120" t="inlineStr">
        <is>
          <t>계산동 하나</t>
        </is>
      </c>
      <c r="B87" s="121" t="inlineStr">
        <is>
          <t>87.08.</t>
        </is>
      </c>
      <c r="C87" s="129" t="n">
        <v>994</v>
      </c>
      <c r="D87" s="130" t="n">
        <v>50.5</v>
      </c>
      <c r="E87" s="131" t="n">
        <v>15</v>
      </c>
      <c r="F87" s="130" t="n">
        <v>40</v>
      </c>
      <c r="G87" s="17" t="n">
        <v>12</v>
      </c>
      <c r="H87" s="132" t="n">
        <v>549</v>
      </c>
      <c r="I87" s="133" t="n">
        <v>20000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 ht="12" customFormat="1" customHeight="1" s="38">
      <c r="A88" s="120" t="inlineStr">
        <is>
          <t>계산동 하나</t>
        </is>
      </c>
      <c r="B88" s="121" t="inlineStr">
        <is>
          <t>87.08.</t>
        </is>
      </c>
      <c r="C88" s="129" t="n">
        <v>994</v>
      </c>
      <c r="D88" s="130" t="n">
        <v>53.4</v>
      </c>
      <c r="E88" s="131" t="n">
        <v>16</v>
      </c>
      <c r="F88" s="130" t="n">
        <v>42.8</v>
      </c>
      <c r="G88" s="17" t="n">
        <v>13</v>
      </c>
      <c r="H88" s="132" t="n">
        <v>48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2</v>
      </c>
      <c r="R88" s="117" t="n">
        <v>1</v>
      </c>
      <c r="S88" s="117" t="inlineStr">
        <is>
          <t>계</t>
        </is>
      </c>
      <c r="T88" s="5" t="n">
        <v>53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 ht="12" customFormat="1" customHeight="1" s="38">
      <c r="A89" s="120" t="inlineStr">
        <is>
          <t>계산동 하나</t>
        </is>
      </c>
      <c r="B89" s="121" t="inlineStr">
        <is>
          <t>87.08.</t>
        </is>
      </c>
      <c r="C89" s="129" t="n">
        <v>994</v>
      </c>
      <c r="D89" s="130" t="n">
        <v>62.2</v>
      </c>
      <c r="E89" s="131" t="n">
        <v>19</v>
      </c>
      <c r="F89" s="130" t="n">
        <v>51.1</v>
      </c>
      <c r="G89" s="17" t="n">
        <v>15</v>
      </c>
      <c r="H89" s="132" t="n">
        <v>108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 ht="12" customFormat="1" customHeight="1" s="38">
      <c r="A90" s="120" t="inlineStr">
        <is>
          <t>계산동 서해그린3차</t>
        </is>
      </c>
      <c r="B90" s="121" t="inlineStr">
        <is>
          <t>91.08.</t>
        </is>
      </c>
      <c r="C90" s="129" t="n">
        <v>498</v>
      </c>
      <c r="D90" s="130" t="n">
        <v>76.8</v>
      </c>
      <c r="E90" s="131" t="n">
        <v>23</v>
      </c>
      <c r="F90" s="130" t="n">
        <v>58.3</v>
      </c>
      <c r="G90" s="17" t="n">
        <v>18</v>
      </c>
      <c r="H90" s="132" t="n">
        <v>204</v>
      </c>
      <c r="I90" s="133" t="n">
        <v>22000</v>
      </c>
      <c r="J90" s="133" t="inlineStr">
        <is>
          <t>6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76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 ht="12" customFormat="1" customHeight="1" s="38">
      <c r="A91" s="120" t="inlineStr">
        <is>
          <t>계산동 서해그린3차</t>
        </is>
      </c>
      <c r="B91" s="121" t="inlineStr">
        <is>
          <t>91.08.</t>
        </is>
      </c>
      <c r="C91" s="129" t="n">
        <v>498</v>
      </c>
      <c r="D91" s="130" t="n">
        <v>79.7</v>
      </c>
      <c r="E91" s="131" t="n">
        <v>24</v>
      </c>
      <c r="F91" s="130" t="n">
        <v>60</v>
      </c>
      <c r="G91" s="17" t="n">
        <v>18</v>
      </c>
      <c r="H91" s="132" t="n">
        <v>252</v>
      </c>
      <c r="I91" s="133" t="n">
        <v>21000</v>
      </c>
      <c r="J91" s="133" t="inlineStr">
        <is>
          <t>6</t>
        </is>
      </c>
      <c r="K91" s="133" t="n">
        <v>14000</v>
      </c>
      <c r="L91" s="133" t="inlineStr">
        <is>
          <t>6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 ht="12" customFormat="1" customHeight="1" s="38">
      <c r="A92" s="120" t="inlineStr">
        <is>
          <t>계산동 서해그린3차</t>
        </is>
      </c>
      <c r="B92" s="121" t="inlineStr">
        <is>
          <t>91.08.</t>
        </is>
      </c>
      <c r="C92" s="129" t="n">
        <v>498</v>
      </c>
      <c r="D92" s="130" t="n">
        <v>87.09999999999999</v>
      </c>
      <c r="E92" s="131" t="n">
        <v>26</v>
      </c>
      <c r="F92" s="130" t="n">
        <v>60</v>
      </c>
      <c r="G92" s="17" t="n">
        <v>18</v>
      </c>
      <c r="H92" s="132" t="n">
        <v>6</v>
      </c>
      <c r="I92" s="133" t="n">
        <v>25000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87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 ht="12" customFormat="1" customHeight="1" s="38">
      <c r="A93" s="120" t="inlineStr">
        <is>
          <t>계산동 서해그린3차</t>
        </is>
      </c>
      <c r="B93" s="121" t="inlineStr">
        <is>
          <t>91.08.</t>
        </is>
      </c>
      <c r="C93" s="129" t="n">
        <v>498</v>
      </c>
      <c r="D93" s="130" t="n">
        <v>100.6</v>
      </c>
      <c r="E93" s="131" t="n">
        <v>30</v>
      </c>
      <c r="F93" s="130" t="n">
        <v>78.3</v>
      </c>
      <c r="G93" s="17" t="n">
        <v>24</v>
      </c>
      <c r="H93" s="132" t="n">
        <v>12</v>
      </c>
      <c r="I93" s="133" t="n">
        <v>30000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1</v>
      </c>
      <c r="S93" s="117" t="inlineStr">
        <is>
          <t>계</t>
        </is>
      </c>
      <c r="T93" s="5" t="n">
        <v>100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 ht="12" customFormat="1" customHeight="1" s="38">
      <c r="A94" s="120" t="inlineStr">
        <is>
          <t>계산동 서해그린3차</t>
        </is>
      </c>
      <c r="B94" s="121" t="inlineStr">
        <is>
          <t>91.08.</t>
        </is>
      </c>
      <c r="C94" s="129" t="n">
        <v>498</v>
      </c>
      <c r="D94" s="130" t="n">
        <v>102.8</v>
      </c>
      <c r="E94" s="131" t="n">
        <v>31</v>
      </c>
      <c r="F94" s="130" t="n">
        <v>81.59999999999999</v>
      </c>
      <c r="G94" s="17" t="n">
        <v>25</v>
      </c>
      <c r="H94" s="132" t="n">
        <v>24</v>
      </c>
      <c r="I94" s="133" t="n">
        <v>35000</v>
      </c>
      <c r="J94" s="133" t="inlineStr">
        <is>
          <t>5</t>
        </is>
      </c>
      <c r="K94" s="133" t="n">
        <v>30000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102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 ht="12" customFormat="1" customHeight="1" s="38">
      <c r="A95" s="120" t="inlineStr">
        <is>
          <t>계산동 은행마을아주</t>
        </is>
      </c>
      <c r="B95" s="121" t="inlineStr">
        <is>
          <t>97.07.</t>
        </is>
      </c>
      <c r="C95" s="129" t="n">
        <v>612</v>
      </c>
      <c r="D95" s="130" t="n">
        <v>76.8</v>
      </c>
      <c r="E95" s="131" t="n">
        <v>23</v>
      </c>
      <c r="F95" s="130" t="n">
        <v>60.3</v>
      </c>
      <c r="G95" s="17" t="n">
        <v>18</v>
      </c>
      <c r="H95" s="132" t="n">
        <v>144</v>
      </c>
      <c r="I95" s="133" t="n">
        <v>39500</v>
      </c>
      <c r="J95" s="133" t="inlineStr">
        <is>
          <t>22</t>
        </is>
      </c>
      <c r="K95" s="133" t="n">
        <v>28000</v>
      </c>
      <c r="L95" s="133" t="inlineStr">
        <is>
          <t>8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76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 ht="12" customFormat="1" customHeight="1" s="38">
      <c r="A96" s="120" t="inlineStr">
        <is>
          <t>계산동 은행마을아주</t>
        </is>
      </c>
      <c r="B96" s="121" t="inlineStr">
        <is>
          <t>97.07.</t>
        </is>
      </c>
      <c r="C96" s="129" t="n">
        <v>612</v>
      </c>
      <c r="D96" s="130" t="n">
        <v>79.09999999999999</v>
      </c>
      <c r="E96" s="131" t="n">
        <v>24</v>
      </c>
      <c r="F96" s="130" t="n">
        <v>62.2</v>
      </c>
      <c r="G96" s="17" t="n">
        <v>19</v>
      </c>
      <c r="H96" s="132" t="n">
        <v>22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79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 ht="12" customFormat="1" customHeight="1" s="38">
      <c r="A97" s="120" t="inlineStr">
        <is>
          <t>계산동 은행마을아주</t>
        </is>
      </c>
      <c r="B97" s="121" t="inlineStr">
        <is>
          <t>97.07.</t>
        </is>
      </c>
      <c r="C97" s="129" t="n">
        <v>612</v>
      </c>
      <c r="D97" s="130" t="n">
        <v>93.2</v>
      </c>
      <c r="E97" s="131" t="n">
        <v>28</v>
      </c>
      <c r="F97" s="130" t="n">
        <v>73.2</v>
      </c>
      <c r="G97" s="17" t="n">
        <v>22</v>
      </c>
      <c r="H97" s="132" t="n">
        <v>446</v>
      </c>
      <c r="I97" s="133" t="n">
        <v>45000</v>
      </c>
      <c r="J97" s="133" t="inlineStr">
        <is>
          <t>12</t>
        </is>
      </c>
      <c r="K97" s="133" t="n">
        <v>31000</v>
      </c>
      <c r="L97" s="133" t="inlineStr">
        <is>
          <t>15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93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 ht="12" customFormat="1" customHeight="1" s="38">
      <c r="A98" s="120" t="inlineStr">
        <is>
          <t>계산동 계산주공</t>
        </is>
      </c>
      <c r="B98" s="121" t="inlineStr">
        <is>
          <t>90.06.</t>
        </is>
      </c>
      <c r="C98" s="129" t="n">
        <v>1140</v>
      </c>
      <c r="D98" s="130" t="n">
        <v>52.6</v>
      </c>
      <c r="E98" s="131" t="n">
        <v>16</v>
      </c>
      <c r="F98" s="130" t="n">
        <v>36.2</v>
      </c>
      <c r="G98" s="17" t="n">
        <v>11</v>
      </c>
      <c r="H98" s="132" t="n">
        <v>300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복</t>
        </is>
      </c>
      <c r="T98" s="5" t="inlineStr">
        <is>
          <t>52A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 ht="12" customFormat="1" customHeight="1" s="38">
      <c r="A99" s="120" t="inlineStr">
        <is>
          <t>계산동 계산주공</t>
        </is>
      </c>
      <c r="B99" s="121" t="inlineStr">
        <is>
          <t>90.06.</t>
        </is>
      </c>
      <c r="C99" s="129" t="n">
        <v>1140</v>
      </c>
      <c r="D99" s="130" t="n">
        <v>52.8</v>
      </c>
      <c r="E99" s="131" t="n">
        <v>16</v>
      </c>
      <c r="F99" s="130" t="n">
        <v>36.3</v>
      </c>
      <c r="G99" s="17" t="n">
        <v>11</v>
      </c>
      <c r="H99" s="132" t="n">
        <v>60</v>
      </c>
      <c r="I99" s="133" t="n">
        <v>26000</v>
      </c>
      <c r="J99" s="133" t="inlineStr">
        <is>
          <t>11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복</t>
        </is>
      </c>
      <c r="T99" s="5" t="inlineStr">
        <is>
          <t>52B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 ht="12" customFormat="1" customHeight="1" s="38">
      <c r="A100" s="120" t="inlineStr">
        <is>
          <t>계산동 계산주공</t>
        </is>
      </c>
      <c r="B100" s="121" t="inlineStr">
        <is>
          <t>90.06.</t>
        </is>
      </c>
      <c r="C100" s="129" t="n">
        <v>1140</v>
      </c>
      <c r="D100" s="130" t="n">
        <v>57.2</v>
      </c>
      <c r="E100" s="131" t="n">
        <v>17</v>
      </c>
      <c r="F100" s="130" t="n">
        <v>41.3</v>
      </c>
      <c r="G100" s="17" t="n">
        <v>12</v>
      </c>
      <c r="H100" s="132" t="n">
        <v>180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2</v>
      </c>
      <c r="R100" s="117" t="n">
        <v>1</v>
      </c>
      <c r="S100" s="117" t="inlineStr">
        <is>
          <t>복</t>
        </is>
      </c>
      <c r="T100" s="5" t="inlineStr">
        <is>
          <t>57A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 ht="12" customFormat="1" customHeight="1" s="38">
      <c r="A101" s="120" t="inlineStr">
        <is>
          <t>계산동 계산주공</t>
        </is>
      </c>
      <c r="B101" s="121" t="inlineStr">
        <is>
          <t>90.06.</t>
        </is>
      </c>
      <c r="C101" s="129" t="n">
        <v>1140</v>
      </c>
      <c r="D101" s="130" t="n">
        <v>57.2</v>
      </c>
      <c r="E101" s="131" t="n">
        <v>17</v>
      </c>
      <c r="F101" s="130" t="n">
        <v>41.3</v>
      </c>
      <c r="G101" s="17" t="n">
        <v>12</v>
      </c>
      <c r="H101" s="132" t="n">
        <v>90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2</v>
      </c>
      <c r="R101" s="117" t="n">
        <v>1</v>
      </c>
      <c r="S101" s="117" t="inlineStr">
        <is>
          <t>복</t>
        </is>
      </c>
      <c r="T101" s="5" t="inlineStr">
        <is>
          <t>57B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 ht="12" customFormat="1" customHeight="1" s="38">
      <c r="A102" s="120" t="inlineStr">
        <is>
          <t>계산동 계산주공</t>
        </is>
      </c>
      <c r="B102" s="121" t="inlineStr">
        <is>
          <t>90.06.</t>
        </is>
      </c>
      <c r="C102" s="129" t="n">
        <v>1140</v>
      </c>
      <c r="D102" s="130" t="n">
        <v>60.3</v>
      </c>
      <c r="E102" s="131" t="n">
        <v>18</v>
      </c>
      <c r="F102" s="130" t="n">
        <v>41.3</v>
      </c>
      <c r="G102" s="17" t="n">
        <v>12</v>
      </c>
      <c r="H102" s="132" t="n">
        <v>60</v>
      </c>
      <c r="I102" s="133" t="n">
        <v>28000</v>
      </c>
      <c r="J102" s="133" t="inlineStr">
        <is>
          <t>10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복</t>
        </is>
      </c>
      <c r="T102" s="5" t="n">
        <v>60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 ht="12" customFormat="1" customHeight="1" s="38">
      <c r="A103" s="120" t="inlineStr">
        <is>
          <t>계산동 계산주공</t>
        </is>
      </c>
      <c r="B103" s="121" t="inlineStr">
        <is>
          <t>90.06.</t>
        </is>
      </c>
      <c r="C103" s="129" t="n">
        <v>1140</v>
      </c>
      <c r="D103" s="130" t="n">
        <v>69.09999999999999</v>
      </c>
      <c r="E103" s="131" t="n">
        <v>21</v>
      </c>
      <c r="F103" s="130" t="n">
        <v>49.9</v>
      </c>
      <c r="G103" s="17" t="n">
        <v>15</v>
      </c>
      <c r="H103" s="132" t="n">
        <v>270</v>
      </c>
      <c r="I103" s="133" t="n">
        <v>35500</v>
      </c>
      <c r="J103" s="133" t="inlineStr">
        <is>
          <t>10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2</v>
      </c>
      <c r="R103" s="117" t="n">
        <v>1</v>
      </c>
      <c r="S103" s="117" t="inlineStr">
        <is>
          <t>복</t>
        </is>
      </c>
      <c r="T103" s="5" t="n">
        <v>69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 ht="12" customFormat="1" customHeight="1" s="38">
      <c r="A104" s="120" t="inlineStr">
        <is>
          <t>계산동 계산주공</t>
        </is>
      </c>
      <c r="B104" s="121" t="inlineStr">
        <is>
          <t>90.06.</t>
        </is>
      </c>
      <c r="C104" s="129" t="n">
        <v>1140</v>
      </c>
      <c r="D104" s="130" t="n">
        <v>73</v>
      </c>
      <c r="E104" s="131" t="n">
        <v>22</v>
      </c>
      <c r="F104" s="130" t="n">
        <v>49.9</v>
      </c>
      <c r="G104" s="17" t="n">
        <v>15</v>
      </c>
      <c r="H104" s="132" t="n">
        <v>180</v>
      </c>
      <c r="I104" s="133" t="n">
        <v>33000</v>
      </c>
      <c r="J104" s="133" t="inlineStr">
        <is>
          <t>15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2</v>
      </c>
      <c r="R104" s="117" t="n">
        <v>1</v>
      </c>
      <c r="S104" s="117" t="inlineStr">
        <is>
          <t>복</t>
        </is>
      </c>
      <c r="T104" s="5" t="n">
        <v>72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 ht="12" customFormat="1" customHeight="1" s="38">
      <c r="A105" s="120" t="inlineStr">
        <is>
          <t>계산동 은행마을강북</t>
        </is>
      </c>
      <c r="B105" s="121" t="inlineStr">
        <is>
          <t>97.07.</t>
        </is>
      </c>
      <c r="C105" s="129" t="n">
        <v>216</v>
      </c>
      <c r="D105" s="130" t="n">
        <v>117.8</v>
      </c>
      <c r="E105" s="131" t="n">
        <v>36</v>
      </c>
      <c r="F105" s="130" t="n">
        <v>102.5</v>
      </c>
      <c r="G105" s="17" t="n">
        <v>31</v>
      </c>
      <c r="H105" s="132" t="n">
        <v>216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117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 ht="12" customFormat="1" customHeight="1" s="38">
      <c r="A106" s="120" t="inlineStr">
        <is>
          <t>귤현동 계양센트레빌3단지</t>
        </is>
      </c>
      <c r="B106" s="121" t="inlineStr">
        <is>
          <t>13.06.</t>
        </is>
      </c>
      <c r="C106" s="129" t="n">
        <v>454</v>
      </c>
      <c r="D106" s="130" t="n">
        <v>112.1</v>
      </c>
      <c r="E106" s="131" t="n">
        <v>34</v>
      </c>
      <c r="F106" s="130" t="n">
        <v>85</v>
      </c>
      <c r="G106" s="17" t="n">
        <v>26</v>
      </c>
      <c r="H106" s="132" t="n">
        <v>79</v>
      </c>
      <c r="I106" s="133" t="n">
        <v>67000</v>
      </c>
      <c r="J106" s="133" t="inlineStr">
        <is>
          <t>고</t>
        </is>
      </c>
      <c r="K106" s="133" t="n">
        <v>40000</v>
      </c>
      <c r="L106" s="133" t="inlineStr">
        <is>
          <t>6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112B</t>
        </is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31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 ht="12" customFormat="1" customHeight="1" s="38">
      <c r="A107" s="120" t="inlineStr">
        <is>
          <t>귤현동 계양센트레빌3단지</t>
        </is>
      </c>
      <c r="B107" s="121" t="inlineStr">
        <is>
          <t>13.06.</t>
        </is>
      </c>
      <c r="C107" s="129" t="n">
        <v>454</v>
      </c>
      <c r="D107" s="130" t="n">
        <v>112.3</v>
      </c>
      <c r="E107" s="131" t="n">
        <v>34</v>
      </c>
      <c r="F107" s="130" t="n">
        <v>84.90000000000001</v>
      </c>
      <c r="G107" s="17" t="n">
        <v>26</v>
      </c>
      <c r="H107" s="132" t="n">
        <v>66</v>
      </c>
      <c r="I107" s="133" t="n">
        <v>63000</v>
      </c>
      <c r="J107" s="133" t="inlineStr">
        <is>
          <t>8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112A</t>
        </is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 ht="12" customFormat="1" customHeight="1" s="38">
      <c r="A108" s="120" t="inlineStr">
        <is>
          <t>귤현동 계양센트레빌3단지</t>
        </is>
      </c>
      <c r="B108" s="121" t="inlineStr">
        <is>
          <t>13.06.</t>
        </is>
      </c>
      <c r="C108" s="129" t="n">
        <v>454</v>
      </c>
      <c r="D108" s="130" t="n">
        <v>112.5</v>
      </c>
      <c r="E108" s="131" t="n">
        <v>34</v>
      </c>
      <c r="F108" s="130" t="n">
        <v>85</v>
      </c>
      <c r="G108" s="17" t="n">
        <v>26</v>
      </c>
      <c r="H108" s="132" t="n">
        <v>50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112C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 ht="12" customFormat="1" customHeight="1" s="38">
      <c r="A109" s="120" t="inlineStr">
        <is>
          <t>귤현동 계양센트레빌3단지</t>
        </is>
      </c>
      <c r="B109" s="121" t="inlineStr">
        <is>
          <t>13.06.</t>
        </is>
      </c>
      <c r="C109" s="129" t="n">
        <v>454</v>
      </c>
      <c r="D109" s="130" t="n">
        <v>132.1</v>
      </c>
      <c r="E109" s="131" t="n">
        <v>40</v>
      </c>
      <c r="F109" s="130" t="n">
        <v>101.9</v>
      </c>
      <c r="G109" s="17" t="n">
        <v>31</v>
      </c>
      <c r="H109" s="132" t="n">
        <v>109</v>
      </c>
      <c r="I109" s="133" t="n">
        <v>76000</v>
      </c>
      <c r="J109" s="133" t="inlineStr">
        <is>
          <t>중</t>
        </is>
      </c>
      <c r="K109" s="133" t="n">
        <v>45000</v>
      </c>
      <c r="L109" s="133" t="inlineStr">
        <is>
          <t>중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132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 ht="12" customFormat="1" customHeight="1" s="38">
      <c r="A110" s="120" t="inlineStr">
        <is>
          <t>귤현동 계양센트레빌3단지</t>
        </is>
      </c>
      <c r="B110" s="121" t="inlineStr">
        <is>
          <t>13.06.</t>
        </is>
      </c>
      <c r="C110" s="129" t="n">
        <v>454</v>
      </c>
      <c r="D110" s="130" t="n">
        <v>153.1</v>
      </c>
      <c r="E110" s="131" t="n">
        <v>46</v>
      </c>
      <c r="F110" s="130" t="n">
        <v>121.7</v>
      </c>
      <c r="G110" s="17" t="n">
        <v>37</v>
      </c>
      <c r="H110" s="132" t="n">
        <v>62</v>
      </c>
      <c r="I110" s="133" t="n">
        <v>83000</v>
      </c>
      <c r="J110" s="133" t="inlineStr">
        <is>
          <t>7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4</v>
      </c>
      <c r="R110" s="117" t="n">
        <v>2</v>
      </c>
      <c r="S110" s="117" t="inlineStr">
        <is>
          <t>계</t>
        </is>
      </c>
      <c r="T110" s="5" t="inlineStr">
        <is>
          <t>153A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 ht="12" customFormat="1" customHeight="1" s="38">
      <c r="A111" s="120" t="inlineStr">
        <is>
          <t>귤현동 계양센트레빌3단지</t>
        </is>
      </c>
      <c r="B111" s="121" t="inlineStr">
        <is>
          <t>13.06.</t>
        </is>
      </c>
      <c r="C111" s="129" t="n">
        <v>454</v>
      </c>
      <c r="D111" s="130" t="n">
        <v>153</v>
      </c>
      <c r="E111" s="131" t="n">
        <v>46</v>
      </c>
      <c r="F111" s="130" t="n">
        <v>121.2</v>
      </c>
      <c r="G111" s="17" t="n">
        <v>37</v>
      </c>
      <c r="H111" s="132" t="n">
        <v>12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4</v>
      </c>
      <c r="R111" s="117" t="n">
        <v>2</v>
      </c>
      <c r="S111" s="117" t="inlineStr">
        <is>
          <t>계</t>
        </is>
      </c>
      <c r="T111" s="5" t="inlineStr">
        <is>
          <t>153B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 ht="12" customFormat="1" customHeight="1" s="38">
      <c r="A112" s="120" t="inlineStr">
        <is>
          <t>귤현동 계양센트레빌3단지</t>
        </is>
      </c>
      <c r="B112" s="121" t="inlineStr">
        <is>
          <t>13.06.</t>
        </is>
      </c>
      <c r="C112" s="129" t="n">
        <v>454</v>
      </c>
      <c r="D112" s="130" t="n">
        <v>177.3</v>
      </c>
      <c r="E112" s="131" t="n">
        <v>54</v>
      </c>
      <c r="F112" s="130" t="n">
        <v>145.9</v>
      </c>
      <c r="G112" s="17" t="n">
        <v>44</v>
      </c>
      <c r="H112" s="132" t="n">
        <v>50</v>
      </c>
      <c r="I112" s="133" t="n">
        <v>80000</v>
      </c>
      <c r="J112" s="133" t="inlineStr">
        <is>
          <t>중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4</v>
      </c>
      <c r="R112" s="117" t="n">
        <v>2</v>
      </c>
      <c r="S112" s="117" t="inlineStr">
        <is>
          <t>계</t>
        </is>
      </c>
      <c r="T112" s="5" t="inlineStr">
        <is>
          <t>177A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 ht="12" customFormat="1" customHeight="1" s="38">
      <c r="A113" s="120" t="inlineStr">
        <is>
          <t>귤현동 계양센트레빌3단지</t>
        </is>
      </c>
      <c r="B113" s="121" t="inlineStr">
        <is>
          <t>13.06.</t>
        </is>
      </c>
      <c r="C113" s="129" t="n">
        <v>454</v>
      </c>
      <c r="D113" s="130" t="n">
        <v>177.3</v>
      </c>
      <c r="E113" s="131" t="n">
        <v>54</v>
      </c>
      <c r="F113" s="130" t="n">
        <v>145.8</v>
      </c>
      <c r="G113" s="17" t="n">
        <v>44</v>
      </c>
      <c r="H113" s="132" t="n">
        <v>26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4</v>
      </c>
      <c r="R113" s="117" t="n">
        <v>2</v>
      </c>
      <c r="S113" s="117" t="inlineStr">
        <is>
          <t>계</t>
        </is>
      </c>
      <c r="T113" s="5" t="inlineStr">
        <is>
          <t>177B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 ht="12" customFormat="1" customHeight="1" s="38">
      <c r="A114" s="120" t="inlineStr">
        <is>
          <t>귤현동 귤현IPARK</t>
        </is>
      </c>
      <c r="B114" s="121" t="inlineStr">
        <is>
          <t>04.10.</t>
        </is>
      </c>
      <c r="C114" s="129" t="n">
        <v>394</v>
      </c>
      <c r="D114" s="130" t="n">
        <v>105.8</v>
      </c>
      <c r="E114" s="131" t="n">
        <v>32</v>
      </c>
      <c r="F114" s="130" t="n">
        <v>85</v>
      </c>
      <c r="G114" s="17" t="n">
        <v>26</v>
      </c>
      <c r="H114" s="132" t="n">
        <v>394</v>
      </c>
      <c r="I114" s="133" t="n">
        <v>50000</v>
      </c>
      <c r="J114" s="133" t="inlineStr">
        <is>
          <t>10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 ht="12" customFormat="1" customHeight="1" s="38">
      <c r="A115" s="120" t="inlineStr">
        <is>
          <t>귤현동 계양센트레빌2단지</t>
        </is>
      </c>
      <c r="B115" s="121" t="inlineStr">
        <is>
          <t>13.06.</t>
        </is>
      </c>
      <c r="C115" s="129" t="n">
        <v>256</v>
      </c>
      <c r="D115" s="130" t="n">
        <v>110.8</v>
      </c>
      <c r="E115" s="131" t="n">
        <v>34</v>
      </c>
      <c r="F115" s="130" t="n">
        <v>85</v>
      </c>
      <c r="G115" s="17" t="n">
        <v>26</v>
      </c>
      <c r="H115" s="132" t="n">
        <v>79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110B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 ht="12" customFormat="1" customHeight="1" s="38">
      <c r="A116" s="120" t="inlineStr">
        <is>
          <t>귤현동 계양센트레빌2단지</t>
        </is>
      </c>
      <c r="B116" s="121" t="inlineStr">
        <is>
          <t>13.06.</t>
        </is>
      </c>
      <c r="C116" s="129" t="n">
        <v>256</v>
      </c>
      <c r="D116" s="130" t="n">
        <v>111</v>
      </c>
      <c r="E116" s="131" t="n">
        <v>34</v>
      </c>
      <c r="F116" s="130" t="n">
        <v>84.90000000000001</v>
      </c>
      <c r="G116" s="17" t="n">
        <v>26</v>
      </c>
      <c r="H116" s="132" t="n">
        <v>53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110A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 ht="12" customFormat="1" customHeight="1" s="38">
      <c r="A117" s="120" t="inlineStr">
        <is>
          <t>귤현동 계양센트레빌2단지</t>
        </is>
      </c>
      <c r="B117" s="121" t="inlineStr">
        <is>
          <t>13.06.</t>
        </is>
      </c>
      <c r="C117" s="129" t="n">
        <v>256</v>
      </c>
      <c r="D117" s="130" t="n">
        <v>111.2</v>
      </c>
      <c r="E117" s="131" t="n">
        <v>34</v>
      </c>
      <c r="F117" s="130" t="n">
        <v>85</v>
      </c>
      <c r="G117" s="17" t="n">
        <v>26</v>
      </c>
      <c r="H117" s="132" t="n">
        <v>26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inlineStr">
        <is>
          <t>111C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 ht="12" customFormat="1" customHeight="1" s="38">
      <c r="A118" s="120" t="inlineStr">
        <is>
          <t>귤현동 계양센트레빌2단지</t>
        </is>
      </c>
      <c r="B118" s="121" t="inlineStr">
        <is>
          <t>13.06.</t>
        </is>
      </c>
      <c r="C118" s="129" t="n">
        <v>256</v>
      </c>
      <c r="D118" s="130" t="n">
        <v>132.3</v>
      </c>
      <c r="E118" s="131" t="n">
        <v>40</v>
      </c>
      <c r="F118" s="130" t="n">
        <v>101.9</v>
      </c>
      <c r="G118" s="17" t="n">
        <v>31</v>
      </c>
      <c r="H118" s="132" t="n">
        <v>54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132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 ht="12" customFormat="1" customHeight="1" s="38">
      <c r="A119" s="120" t="inlineStr">
        <is>
          <t>귤현동 계양센트레빌2단지</t>
        </is>
      </c>
      <c r="B119" s="121" t="inlineStr">
        <is>
          <t>13.06.</t>
        </is>
      </c>
      <c r="C119" s="129" t="n">
        <v>256</v>
      </c>
      <c r="D119" s="130" t="n">
        <v>150.4</v>
      </c>
      <c r="E119" s="131" t="n">
        <v>45</v>
      </c>
      <c r="F119" s="130" t="n">
        <v>121.7</v>
      </c>
      <c r="G119" s="17" t="n">
        <v>37</v>
      </c>
      <c r="H119" s="132" t="n">
        <v>30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4</v>
      </c>
      <c r="R119" s="117" t="n">
        <v>2</v>
      </c>
      <c r="S119" s="117" t="inlineStr">
        <is>
          <t>계</t>
        </is>
      </c>
      <c r="T119" s="5" t="inlineStr">
        <is>
          <t>150A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 ht="12" customFormat="1" customHeight="1" s="38">
      <c r="A120" s="120" t="inlineStr">
        <is>
          <t>귤현동 계양센트레빌2단지</t>
        </is>
      </c>
      <c r="B120" s="121" t="inlineStr">
        <is>
          <t>13.06.</t>
        </is>
      </c>
      <c r="C120" s="129" t="n">
        <v>256</v>
      </c>
      <c r="D120" s="130" t="n">
        <v>150.4</v>
      </c>
      <c r="E120" s="131" t="n">
        <v>45</v>
      </c>
      <c r="F120" s="130" t="n">
        <v>121.2</v>
      </c>
      <c r="G120" s="17" t="n">
        <v>37</v>
      </c>
      <c r="H120" s="132" t="n">
        <v>14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4</v>
      </c>
      <c r="R120" s="117" t="n">
        <v>2</v>
      </c>
      <c r="S120" s="117" t="inlineStr">
        <is>
          <t>계</t>
        </is>
      </c>
      <c r="T120" s="5" t="inlineStr">
        <is>
          <t>150B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 ht="12" customFormat="1" customHeight="1" s="38">
      <c r="A121" s="120" t="inlineStr">
        <is>
          <t>귤현동 계양센트레빌1단지</t>
        </is>
      </c>
      <c r="B121" s="121" t="inlineStr">
        <is>
          <t>13.02.</t>
        </is>
      </c>
      <c r="C121" s="129" t="n">
        <v>715</v>
      </c>
      <c r="D121" s="130" t="n">
        <v>111.4</v>
      </c>
      <c r="E121" s="131" t="n">
        <v>34</v>
      </c>
      <c r="F121" s="130" t="n">
        <v>84.90000000000001</v>
      </c>
      <c r="G121" s="17" t="n">
        <v>26</v>
      </c>
      <c r="H121" s="132" t="n">
        <v>221</v>
      </c>
      <c r="I121" s="133" t="n">
        <v>60000</v>
      </c>
      <c r="J121" s="133" t="inlineStr">
        <is>
          <t>중</t>
        </is>
      </c>
      <c r="K121" s="133" t="n">
        <v>40000</v>
      </c>
      <c r="L121" s="133" t="inlineStr">
        <is>
          <t>15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111A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 ht="12" customFormat="1" customHeight="1" s="38">
      <c r="A122" s="120" t="inlineStr">
        <is>
          <t>귤현동 계양센트레빌1단지</t>
        </is>
      </c>
      <c r="B122" s="121" t="inlineStr">
        <is>
          <t>13.02.</t>
        </is>
      </c>
      <c r="C122" s="129" t="n">
        <v>715</v>
      </c>
      <c r="D122" s="130" t="n">
        <v>111.7</v>
      </c>
      <c r="E122" s="131" t="n">
        <v>34</v>
      </c>
      <c r="F122" s="130" t="n">
        <v>85</v>
      </c>
      <c r="G122" s="17" t="n">
        <v>26</v>
      </c>
      <c r="H122" s="132" t="n">
        <v>174</v>
      </c>
      <c r="I122" s="133" t="n">
        <v>63000</v>
      </c>
      <c r="J122" s="133" t="inlineStr">
        <is>
          <t>7</t>
        </is>
      </c>
      <c r="K122" s="133" t="n">
        <v>38000</v>
      </c>
      <c r="L122" s="133" t="inlineStr">
        <is>
          <t>중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111C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 ht="12" customFormat="1" customHeight="1" s="38">
      <c r="A123" s="120" t="inlineStr">
        <is>
          <t>귤현동 계양센트레빌1단지</t>
        </is>
      </c>
      <c r="B123" s="121" t="inlineStr">
        <is>
          <t>13.02.</t>
        </is>
      </c>
      <c r="C123" s="129" t="n">
        <v>715</v>
      </c>
      <c r="D123" s="130" t="n">
        <v>111.3</v>
      </c>
      <c r="E123" s="131" t="n">
        <v>34</v>
      </c>
      <c r="F123" s="130" t="n">
        <v>85</v>
      </c>
      <c r="G123" s="17" t="n">
        <v>26</v>
      </c>
      <c r="H123" s="132" t="n">
        <v>145</v>
      </c>
      <c r="I123" s="133" t="n">
        <v>58000</v>
      </c>
      <c r="J123" s="133" t="inlineStr">
        <is>
          <t>8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111B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 ht="12" customFormat="1" customHeight="1" s="38">
      <c r="A124" s="120" t="inlineStr">
        <is>
          <t>귤현동 계양센트레빌1단지</t>
        </is>
      </c>
      <c r="B124" s="121" t="inlineStr">
        <is>
          <t>13.02.</t>
        </is>
      </c>
      <c r="C124" s="129" t="n">
        <v>715</v>
      </c>
      <c r="D124" s="130" t="n">
        <v>131.6</v>
      </c>
      <c r="E124" s="131" t="n">
        <v>40</v>
      </c>
      <c r="F124" s="130" t="n">
        <v>101.9</v>
      </c>
      <c r="G124" s="17" t="n">
        <v>31</v>
      </c>
      <c r="H124" s="132" t="n">
        <v>87</v>
      </c>
      <c r="I124" s="133" t="n">
        <v>72000</v>
      </c>
      <c r="J124" s="133" t="inlineStr">
        <is>
          <t>고</t>
        </is>
      </c>
      <c r="K124" s="133" t="n">
        <v>42000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n">
        <v>131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 ht="12" customFormat="1" customHeight="1" s="38">
      <c r="A125" s="120" t="inlineStr">
        <is>
          <t>귤현동 계양센트레빌1단지</t>
        </is>
      </c>
      <c r="B125" s="121" t="inlineStr">
        <is>
          <t>13.02.</t>
        </is>
      </c>
      <c r="C125" s="129" t="n">
        <v>715</v>
      </c>
      <c r="D125" s="130" t="n">
        <v>150.4</v>
      </c>
      <c r="E125" s="131" t="n">
        <v>45</v>
      </c>
      <c r="F125" s="130" t="n">
        <v>121.7</v>
      </c>
      <c r="G125" s="17" t="n">
        <v>37</v>
      </c>
      <c r="H125" s="132" t="n">
        <v>58</v>
      </c>
      <c r="I125" s="133" t="n">
        <v>95000</v>
      </c>
      <c r="J125" s="133" t="inlineStr">
        <is>
          <t>중</t>
        </is>
      </c>
      <c r="K125" s="133" t="n">
        <v>60000</v>
      </c>
      <c r="L125" s="133" t="inlineStr">
        <is>
          <t>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4</v>
      </c>
      <c r="R125" s="117" t="n">
        <v>2</v>
      </c>
      <c r="S125" s="117" t="inlineStr">
        <is>
          <t>계</t>
        </is>
      </c>
      <c r="T125" s="5" t="inlineStr">
        <is>
          <t>150A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 ht="12" customFormat="1" customHeight="1" s="38">
      <c r="A126" s="120" t="inlineStr">
        <is>
          <t>귤현동 계양센트레빌1단지</t>
        </is>
      </c>
      <c r="B126" s="121" t="inlineStr">
        <is>
          <t>13.02.</t>
        </is>
      </c>
      <c r="C126" s="129" t="n">
        <v>715</v>
      </c>
      <c r="D126" s="130" t="n">
        <v>150.4</v>
      </c>
      <c r="E126" s="131" t="n">
        <v>45</v>
      </c>
      <c r="F126" s="130" t="n">
        <v>121.2</v>
      </c>
      <c r="G126" s="17" t="n">
        <v>37</v>
      </c>
      <c r="H126" s="132" t="n">
        <v>30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4</v>
      </c>
      <c r="R126" s="117" t="n">
        <v>2</v>
      </c>
      <c r="S126" s="117" t="inlineStr">
        <is>
          <t>계</t>
        </is>
      </c>
      <c r="T126" s="5" t="inlineStr">
        <is>
          <t>150B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 ht="12" customFormat="1" customHeight="1" s="38">
      <c r="A127" s="120" t="inlineStr">
        <is>
          <t>동양동 동양휴먼빌</t>
        </is>
      </c>
      <c r="B127" s="121" t="inlineStr">
        <is>
          <t>07.10.</t>
        </is>
      </c>
      <c r="C127" s="129" t="n">
        <v>466</v>
      </c>
      <c r="D127" s="130" t="n">
        <v>110.6</v>
      </c>
      <c r="E127" s="131" t="n">
        <v>33</v>
      </c>
      <c r="F127" s="130" t="n">
        <v>84.8</v>
      </c>
      <c r="G127" s="17" t="n">
        <v>26</v>
      </c>
      <c r="H127" s="132" t="n">
        <v>317</v>
      </c>
      <c r="I127" s="133" t="n">
        <v>53000</v>
      </c>
      <c r="J127" s="133" t="inlineStr">
        <is>
          <t>7</t>
        </is>
      </c>
      <c r="K127" s="133" t="n">
        <v>40000</v>
      </c>
      <c r="L127" s="133" t="inlineStr">
        <is>
          <t>7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110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 ht="12" customFormat="1" customHeight="1" s="38">
      <c r="A128" s="120" t="inlineStr">
        <is>
          <t>동양동 동양휴먼빌</t>
        </is>
      </c>
      <c r="B128" s="121" t="inlineStr">
        <is>
          <t>07.10.</t>
        </is>
      </c>
      <c r="C128" s="129" t="n">
        <v>466</v>
      </c>
      <c r="D128" s="130" t="n">
        <v>142.9</v>
      </c>
      <c r="E128" s="131" t="n">
        <v>43</v>
      </c>
      <c r="F128" s="130" t="n">
        <v>114.8</v>
      </c>
      <c r="G128" s="17" t="n">
        <v>35</v>
      </c>
      <c r="H128" s="132" t="n">
        <v>149</v>
      </c>
      <c r="I128" s="133" t="n">
        <v>70000</v>
      </c>
      <c r="J128" s="133" t="inlineStr">
        <is>
          <t>11</t>
        </is>
      </c>
      <c r="K128" s="133" t="n">
        <v>47000</v>
      </c>
      <c r="L128" s="133" t="inlineStr">
        <is>
          <t>5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4</v>
      </c>
      <c r="R128" s="117" t="n">
        <v>2</v>
      </c>
      <c r="S128" s="117" t="inlineStr">
        <is>
          <t>계</t>
        </is>
      </c>
      <c r="T128" s="5" t="n">
        <v>142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 ht="12" customFormat="1" customHeight="1" s="38">
      <c r="A129" s="120" t="inlineStr">
        <is>
          <t>동양동 한진해모로</t>
        </is>
      </c>
      <c r="B129" s="121" t="inlineStr">
        <is>
          <t>06.06.</t>
        </is>
      </c>
      <c r="C129" s="129" t="n">
        <v>478</v>
      </c>
      <c r="D129" s="130" t="n">
        <v>79</v>
      </c>
      <c r="E129" s="131" t="n">
        <v>24</v>
      </c>
      <c r="F129" s="130" t="n">
        <v>59.6</v>
      </c>
      <c r="G129" s="17" t="n">
        <v>18</v>
      </c>
      <c r="H129" s="132" t="n">
        <v>478</v>
      </c>
      <c r="I129" s="133" t="n">
        <v>43000</v>
      </c>
      <c r="J129" s="133" t="inlineStr">
        <is>
          <t>6</t>
        </is>
      </c>
      <c r="K129" s="133" t="n">
        <v>30000</v>
      </c>
      <c r="L129" s="133" t="inlineStr">
        <is>
          <t>14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79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 ht="12" customFormat="1" customHeight="1" s="38">
      <c r="A130" s="120" t="inlineStr">
        <is>
          <t>박촌동 계양하우스토리1차</t>
        </is>
      </c>
      <c r="B130" s="121" t="inlineStr">
        <is>
          <t>09.11.</t>
        </is>
      </c>
      <c r="C130" s="129" t="n">
        <v>257</v>
      </c>
      <c r="D130" s="130" t="n">
        <v>109.6</v>
      </c>
      <c r="E130" s="131" t="n">
        <v>33</v>
      </c>
      <c r="F130" s="130" t="n">
        <v>85</v>
      </c>
      <c r="G130" s="17" t="n">
        <v>26</v>
      </c>
      <c r="H130" s="132" t="n">
        <v>86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inlineStr">
        <is>
          <t>109A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 ht="12" customFormat="1" customHeight="1" s="38">
      <c r="A131" s="120" t="inlineStr">
        <is>
          <t>박촌동 계양하우스토리1차</t>
        </is>
      </c>
      <c r="B131" s="121" t="inlineStr">
        <is>
          <t>09.11.</t>
        </is>
      </c>
      <c r="C131" s="129" t="n">
        <v>257</v>
      </c>
      <c r="D131" s="130" t="n">
        <v>109.9</v>
      </c>
      <c r="E131" s="131" t="n">
        <v>33</v>
      </c>
      <c r="F131" s="130" t="n">
        <v>85</v>
      </c>
      <c r="G131" s="17" t="n">
        <v>26</v>
      </c>
      <c r="H131" s="132" t="n">
        <v>60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109B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31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 ht="12" customFormat="1" customHeight="1" s="38">
      <c r="A132" s="120" t="inlineStr">
        <is>
          <t>박촌동 계양하우스토리1차</t>
        </is>
      </c>
      <c r="B132" s="121" t="inlineStr">
        <is>
          <t>09.11.</t>
        </is>
      </c>
      <c r="C132" s="129" t="n">
        <v>257</v>
      </c>
      <c r="D132" s="130" t="n">
        <v>109.8</v>
      </c>
      <c r="E132" s="131" t="n">
        <v>33</v>
      </c>
      <c r="F132" s="130" t="n">
        <v>85</v>
      </c>
      <c r="G132" s="17" t="n">
        <v>26</v>
      </c>
      <c r="H132" s="132" t="n">
        <v>15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2</v>
      </c>
      <c r="S132" s="117" t="inlineStr">
        <is>
          <t>계</t>
        </is>
      </c>
      <c r="T132" s="5" t="inlineStr">
        <is>
          <t>109C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31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 ht="12" customFormat="1" customHeight="1" s="38">
      <c r="A133" s="120" t="inlineStr">
        <is>
          <t>박촌동 계양하우스토리1차</t>
        </is>
      </c>
      <c r="B133" s="121" t="inlineStr">
        <is>
          <t>09.11.</t>
        </is>
      </c>
      <c r="C133" s="129" t="n">
        <v>257</v>
      </c>
      <c r="D133" s="130" t="n">
        <v>128.2</v>
      </c>
      <c r="E133" s="131" t="n">
        <v>39</v>
      </c>
      <c r="F133" s="130" t="n">
        <v>101.4</v>
      </c>
      <c r="G133" s="17" t="n">
        <v>31</v>
      </c>
      <c r="H133" s="132" t="n">
        <v>70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n">
        <v>128</v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31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 ht="12" customFormat="1" customHeight="1" s="38">
      <c r="A134" s="120" t="inlineStr">
        <is>
          <t>박촌동 계양하우스토리1차</t>
        </is>
      </c>
      <c r="B134" s="121" t="inlineStr">
        <is>
          <t>09.11.</t>
        </is>
      </c>
      <c r="C134" s="129" t="n">
        <v>257</v>
      </c>
      <c r="D134" s="130" t="n">
        <v>160.7</v>
      </c>
      <c r="E134" s="131" t="n">
        <v>49</v>
      </c>
      <c r="F134" s="130" t="n">
        <v>138.2</v>
      </c>
      <c r="G134" s="17" t="n">
        <v>42</v>
      </c>
      <c r="H134" s="132" t="n">
        <v>13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4</v>
      </c>
      <c r="R134" s="117" t="n">
        <v>2</v>
      </c>
      <c r="S134" s="117" t="inlineStr">
        <is>
          <t>계</t>
        </is>
      </c>
      <c r="T134" s="5" t="inlineStr">
        <is>
          <t>160A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17">
        <f>S134</f>
        <v/>
      </c>
      <c r="AF134" s="117">
        <f>Q134&amp;"/"&amp;R134</f>
        <v/>
      </c>
      <c r="AH134" s="20">
        <f>IF(A134="","",A134)</f>
        <v/>
      </c>
      <c r="AI134" s="131">
        <f>IF(E134="","",E134)</f>
        <v/>
      </c>
      <c r="AJ134" s="117">
        <f>IF(AI134="","",$AJ$2)</f>
        <v/>
      </c>
      <c r="AK134" s="117" t="inlineStr">
        <is>
          <t>A</t>
        </is>
      </c>
      <c r="AL134" s="117" t="inlineStr">
        <is>
          <t>A+</t>
        </is>
      </c>
      <c r="AM134" s="117" t="inlineStr">
        <is>
          <t>B+</t>
        </is>
      </c>
      <c r="AN134" s="117">
        <f>IF(AI134="","",$AN$2)</f>
        <v/>
      </c>
      <c r="AO134" s="117">
        <f>IF(N134="","",IF(N134&gt;=$AO$1/100,"O","X"))</f>
        <v/>
      </c>
      <c r="AP134" s="117">
        <f>IF(I134="","",IF(I134&lt;=$AP$1,"O","X"))</f>
        <v/>
      </c>
      <c r="AQ134" s="117">
        <f>IF(O134="","",IF(O134&lt;=$AQ$1,"O","X"))</f>
        <v/>
      </c>
      <c r="AR134" s="117">
        <f>IF(M134="","",IF(M134&lt;=$AR$1,"O","X"))</f>
        <v/>
      </c>
      <c r="AS134" s="117" t="inlineStr">
        <is>
          <t>X</t>
        </is>
      </c>
      <c r="AT134" s="117">
        <f>IF(OR(F134="",AI134=""),"",IF(AND((F134&lt;=85),(AI134&gt;=15)),"O","X"))</f>
        <v/>
      </c>
      <c r="AU134" s="117">
        <f>IF(C134="","",IF(C134&gt;=$AU$1,"O","X"))</f>
        <v/>
      </c>
      <c r="AV134" s="117">
        <f>IF(AO134="","",IF(AND(AO134="O",AP134="O",AR134="O",AT134="O",AU134="O"),"후보","X"))</f>
        <v/>
      </c>
    </row>
    <row r="135" ht="12" customFormat="1" customHeight="1" s="38">
      <c r="A135" s="120" t="inlineStr">
        <is>
          <t>박촌동 계양하우스토리1차</t>
        </is>
      </c>
      <c r="B135" s="121" t="inlineStr">
        <is>
          <t>09.11.</t>
        </is>
      </c>
      <c r="C135" s="129" t="n">
        <v>257</v>
      </c>
      <c r="D135" s="130" t="n">
        <v>161.9</v>
      </c>
      <c r="E135" s="131" t="n">
        <v>49</v>
      </c>
      <c r="F135" s="130" t="n">
        <v>138.6</v>
      </c>
      <c r="G135" s="17" t="n">
        <v>42</v>
      </c>
      <c r="H135" s="132" t="n">
        <v>13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4</v>
      </c>
      <c r="R135" s="117" t="n">
        <v>2</v>
      </c>
      <c r="S135" s="117" t="inlineStr">
        <is>
          <t>계</t>
        </is>
      </c>
      <c r="T135" s="5" t="inlineStr">
        <is>
          <t>161B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31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 ht="12" customFormat="1" customHeight="1" s="38">
      <c r="A136" s="120" t="inlineStr">
        <is>
          <t>박촌동 박촌풍림아이원</t>
        </is>
      </c>
      <c r="B136" s="121" t="inlineStr">
        <is>
          <t>05.11.</t>
        </is>
      </c>
      <c r="C136" s="129" t="n">
        <v>207</v>
      </c>
      <c r="D136" s="130" t="n">
        <v>82.3</v>
      </c>
      <c r="E136" s="131" t="n">
        <v>25</v>
      </c>
      <c r="F136" s="130" t="n">
        <v>59.9</v>
      </c>
      <c r="G136" s="17" t="n">
        <v>18</v>
      </c>
      <c r="H136" s="132" t="n">
        <v>16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n">
        <v>82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31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 ht="12" customFormat="1" customHeight="1" s="38">
      <c r="A137" s="120" t="inlineStr">
        <is>
          <t>박촌동 박촌풍림아이원</t>
        </is>
      </c>
      <c r="B137" s="121" t="inlineStr">
        <is>
          <t>05.11.</t>
        </is>
      </c>
      <c r="C137" s="129" t="n">
        <v>207</v>
      </c>
      <c r="D137" s="130" t="n">
        <v>106.4</v>
      </c>
      <c r="E137" s="131" t="n">
        <v>32</v>
      </c>
      <c r="F137" s="130" t="n">
        <v>85</v>
      </c>
      <c r="G137" s="17" t="n">
        <v>26</v>
      </c>
      <c r="H137" s="132" t="n">
        <v>191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106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17">
        <f>S137</f>
        <v/>
      </c>
      <c r="AF137" s="117">
        <f>Q137&amp;"/"&amp;R137</f>
        <v/>
      </c>
      <c r="AH137" s="20">
        <f>IF(A137="","",A137)</f>
        <v/>
      </c>
      <c r="AI137" s="131">
        <f>IF(E137="","",E137)</f>
        <v/>
      </c>
      <c r="AJ137" s="117">
        <f>IF(AI137="","",$AJ$2)</f>
        <v/>
      </c>
      <c r="AK137" s="117" t="inlineStr">
        <is>
          <t>A</t>
        </is>
      </c>
      <c r="AL137" s="117" t="inlineStr">
        <is>
          <t>A+</t>
        </is>
      </c>
      <c r="AM137" s="117" t="inlineStr">
        <is>
          <t>B+</t>
        </is>
      </c>
      <c r="AN137" s="117">
        <f>IF(AI137="","",$AN$2)</f>
        <v/>
      </c>
      <c r="AO137" s="117">
        <f>IF(N137="","",IF(N137&gt;=$AO$1/100,"O","X"))</f>
        <v/>
      </c>
      <c r="AP137" s="117">
        <f>IF(I137="","",IF(I137&lt;=$AP$1,"O","X"))</f>
        <v/>
      </c>
      <c r="AQ137" s="117">
        <f>IF(O137="","",IF(O137&lt;=$AQ$1,"O","X"))</f>
        <v/>
      </c>
      <c r="AR137" s="117">
        <f>IF(M137="","",IF(M137&lt;=$AR$1,"O","X"))</f>
        <v/>
      </c>
      <c r="AS137" s="117" t="inlineStr">
        <is>
          <t>X</t>
        </is>
      </c>
      <c r="AT137" s="117">
        <f>IF(OR(F137="",AI137=""),"",IF(AND((F137&lt;=85),(AI137&gt;=15)),"O","X"))</f>
        <v/>
      </c>
      <c r="AU137" s="117">
        <f>IF(C137="","",IF(C137&gt;=$AU$1,"O","X"))</f>
        <v/>
      </c>
      <c r="AV137" s="117">
        <f>IF(AO137="","",IF(AND(AO137="O",AP137="O",AR137="O",AT137="O",AU137="O"),"후보","X"))</f>
        <v/>
      </c>
    </row>
    <row r="138" ht="12" customFormat="1" customHeight="1" s="38">
      <c r="A138" s="120" t="inlineStr">
        <is>
          <t>박촌동 한화꿈에그린</t>
        </is>
      </c>
      <c r="B138" s="121" t="inlineStr">
        <is>
          <t>05.11.</t>
        </is>
      </c>
      <c r="C138" s="129" t="n">
        <v>670</v>
      </c>
      <c r="D138" s="130" t="n">
        <v>81.90000000000001</v>
      </c>
      <c r="E138" s="131" t="n">
        <v>25</v>
      </c>
      <c r="F138" s="130" t="n">
        <v>60</v>
      </c>
      <c r="G138" s="17" t="n">
        <v>18</v>
      </c>
      <c r="H138" s="132" t="n">
        <v>140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81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31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  <row r="139" ht="12" customFormat="1" customHeight="1" s="38">
      <c r="A139" s="120" t="inlineStr">
        <is>
          <t>박촌동 한화꿈에그린</t>
        </is>
      </c>
      <c r="B139" s="121" t="inlineStr">
        <is>
          <t>05.11.</t>
        </is>
      </c>
      <c r="C139" s="129" t="n">
        <v>670</v>
      </c>
      <c r="D139" s="130" t="n">
        <v>106.1</v>
      </c>
      <c r="E139" s="131" t="n">
        <v>32</v>
      </c>
      <c r="F139" s="130" t="n">
        <v>85</v>
      </c>
      <c r="G139" s="17" t="n">
        <v>26</v>
      </c>
      <c r="H139" s="132" t="n">
        <v>530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n">
        <v>106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17">
        <f>S139</f>
        <v/>
      </c>
      <c r="AF139" s="117">
        <f>Q139&amp;"/"&amp;R139</f>
        <v/>
      </c>
      <c r="AH139" s="20">
        <f>IF(A139="","",A139)</f>
        <v/>
      </c>
      <c r="AI139" s="131">
        <f>IF(E139="","",E139)</f>
        <v/>
      </c>
      <c r="AJ139" s="117">
        <f>IF(AI139="","",$AJ$2)</f>
        <v/>
      </c>
      <c r="AK139" s="117" t="inlineStr">
        <is>
          <t>A</t>
        </is>
      </c>
      <c r="AL139" s="117" t="inlineStr">
        <is>
          <t>A+</t>
        </is>
      </c>
      <c r="AM139" s="117" t="inlineStr">
        <is>
          <t>B+</t>
        </is>
      </c>
      <c r="AN139" s="117">
        <f>IF(AI139="","",$AN$2)</f>
        <v/>
      </c>
      <c r="AO139" s="117">
        <f>IF(N139="","",IF(N139&gt;=$AO$1/100,"O","X"))</f>
        <v/>
      </c>
      <c r="AP139" s="117">
        <f>IF(I139="","",IF(I139&lt;=$AP$1,"O","X"))</f>
        <v/>
      </c>
      <c r="AQ139" s="117">
        <f>IF(O139="","",IF(O139&lt;=$AQ$1,"O","X"))</f>
        <v/>
      </c>
      <c r="AR139" s="117">
        <f>IF(M139="","",IF(M139&lt;=$AR$1,"O","X"))</f>
        <v/>
      </c>
      <c r="AS139" s="117" t="inlineStr">
        <is>
          <t>X</t>
        </is>
      </c>
      <c r="AT139" s="117">
        <f>IF(OR(F139="",AI139=""),"",IF(AND((F139&lt;=85),(AI139&gt;=15)),"O","X"))</f>
        <v/>
      </c>
      <c r="AU139" s="117">
        <f>IF(C139="","",IF(C139&gt;=$AU$1,"O","X"))</f>
        <v/>
      </c>
      <c r="AV139" s="117">
        <f>IF(AO139="","",IF(AND(AO139="O",AP139="O",AR139="O",AT139="O",AU139="O"),"후보","X"))</f>
        <v/>
      </c>
    </row>
    <row r="140" ht="12" customFormat="1" customHeight="1" s="38">
      <c r="A140" s="120" t="inlineStr">
        <is>
          <t>박촌동 계양한양수자인</t>
        </is>
      </c>
      <c r="B140" s="121" t="inlineStr">
        <is>
          <t>11.12.</t>
        </is>
      </c>
      <c r="C140" s="129" t="n">
        <v>376</v>
      </c>
      <c r="D140" s="130" t="n">
        <v>80.09999999999999</v>
      </c>
      <c r="E140" s="131" t="n">
        <v>24</v>
      </c>
      <c r="F140" s="130" t="n">
        <v>60</v>
      </c>
      <c r="G140" s="17" t="n">
        <v>18</v>
      </c>
      <c r="H140" s="132" t="n">
        <v>85</v>
      </c>
      <c r="I140" s="133" t="n">
        <v>58000</v>
      </c>
      <c r="J140" s="133" t="inlineStr">
        <is>
          <t>고</t>
        </is>
      </c>
      <c r="K140" s="133" t="n">
        <v>35000</v>
      </c>
      <c r="L140" s="133" t="inlineStr">
        <is>
          <t>8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n">
        <v>80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17">
        <f>S140</f>
        <v/>
      </c>
      <c r="AF140" s="117">
        <f>Q140&amp;"/"&amp;R140</f>
        <v/>
      </c>
      <c r="AH140" s="20">
        <f>IF(A140="","",A140)</f>
        <v/>
      </c>
      <c r="AI140" s="131">
        <f>IF(E140="","",E140)</f>
        <v/>
      </c>
      <c r="AJ140" s="117">
        <f>IF(AI140="","",$AJ$2)</f>
        <v/>
      </c>
      <c r="AK140" s="117" t="inlineStr">
        <is>
          <t>A</t>
        </is>
      </c>
      <c r="AL140" s="117" t="inlineStr">
        <is>
          <t>A+</t>
        </is>
      </c>
      <c r="AM140" s="117" t="inlineStr">
        <is>
          <t>B+</t>
        </is>
      </c>
      <c r="AN140" s="117">
        <f>IF(AI140="","",$AN$2)</f>
        <v/>
      </c>
      <c r="AO140" s="117">
        <f>IF(N140="","",IF(N140&gt;=$AO$1/100,"O","X"))</f>
        <v/>
      </c>
      <c r="AP140" s="117">
        <f>IF(I140="","",IF(I140&lt;=$AP$1,"O","X"))</f>
        <v/>
      </c>
      <c r="AQ140" s="117">
        <f>IF(O140="","",IF(O140&lt;=$AQ$1,"O","X"))</f>
        <v/>
      </c>
      <c r="AR140" s="117">
        <f>IF(M140="","",IF(M140&lt;=$AR$1,"O","X"))</f>
        <v/>
      </c>
      <c r="AS140" s="117" t="inlineStr">
        <is>
          <t>X</t>
        </is>
      </c>
      <c r="AT140" s="117">
        <f>IF(OR(F140="",AI140=""),"",IF(AND((F140&lt;=85),(AI140&gt;=15)),"O","X"))</f>
        <v/>
      </c>
      <c r="AU140" s="117">
        <f>IF(C140="","",IF(C140&gt;=$AU$1,"O","X"))</f>
        <v/>
      </c>
      <c r="AV140" s="117">
        <f>IF(AO140="","",IF(AND(AO140="O",AP140="O",AR140="O",AT140="O",AU140="O"),"후보","X"))</f>
        <v/>
      </c>
    </row>
    <row r="141" ht="12" customFormat="1" customHeight="1" s="38">
      <c r="A141" s="120" t="inlineStr">
        <is>
          <t>박촌동 계양한양수자인</t>
        </is>
      </c>
      <c r="B141" s="121" t="inlineStr">
        <is>
          <t>11.12.</t>
        </is>
      </c>
      <c r="C141" s="129" t="n">
        <v>376</v>
      </c>
      <c r="D141" s="130" t="n">
        <v>113.7</v>
      </c>
      <c r="E141" s="131" t="n">
        <v>34</v>
      </c>
      <c r="F141" s="130" t="n">
        <v>85</v>
      </c>
      <c r="G141" s="17" t="n">
        <v>26</v>
      </c>
      <c r="H141" s="132" t="n">
        <v>133</v>
      </c>
      <c r="I141" s="133" t="n">
        <v>80000</v>
      </c>
      <c r="J141" s="133" t="inlineStr">
        <is>
          <t>중</t>
        </is>
      </c>
      <c r="K141" s="133" t="n">
        <v>55000</v>
      </c>
      <c r="L141" s="133" t="inlineStr">
        <is>
          <t>고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inlineStr">
        <is>
          <t>113A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17">
        <f>S141</f>
        <v/>
      </c>
      <c r="AF141" s="117">
        <f>Q141&amp;"/"&amp;R141</f>
        <v/>
      </c>
      <c r="AH141" s="20">
        <f>IF(A141="","",A141)</f>
        <v/>
      </c>
      <c r="AI141" s="131">
        <f>IF(E141="","",E141)</f>
        <v/>
      </c>
      <c r="AJ141" s="117">
        <f>IF(AI141="","",$AJ$2)</f>
        <v/>
      </c>
      <c r="AK141" s="117" t="inlineStr">
        <is>
          <t>A</t>
        </is>
      </c>
      <c r="AL141" s="117" t="inlineStr">
        <is>
          <t>A+</t>
        </is>
      </c>
      <c r="AM141" s="117" t="inlineStr">
        <is>
          <t>B+</t>
        </is>
      </c>
      <c r="AN141" s="117">
        <f>IF(AI141="","",$AN$2)</f>
        <v/>
      </c>
      <c r="AO141" s="117">
        <f>IF(N141="","",IF(N141&gt;=$AO$1/100,"O","X"))</f>
        <v/>
      </c>
      <c r="AP141" s="117">
        <f>IF(I141="","",IF(I141&lt;=$AP$1,"O","X"))</f>
        <v/>
      </c>
      <c r="AQ141" s="117">
        <f>IF(O141="","",IF(O141&lt;=$AQ$1,"O","X"))</f>
        <v/>
      </c>
      <c r="AR141" s="117">
        <f>IF(M141="","",IF(M141&lt;=$AR$1,"O","X"))</f>
        <v/>
      </c>
      <c r="AS141" s="117" t="inlineStr">
        <is>
          <t>X</t>
        </is>
      </c>
      <c r="AT141" s="117">
        <f>IF(OR(F141="",AI141=""),"",IF(AND((F141&lt;=85),(AI141&gt;=15)),"O","X"))</f>
        <v/>
      </c>
      <c r="AU141" s="117">
        <f>IF(C141="","",IF(C141&gt;=$AU$1,"O","X"))</f>
        <v/>
      </c>
      <c r="AV141" s="117">
        <f>IF(AO141="","",IF(AND(AO141="O",AP141="O",AR141="O",AT141="O",AU141="O"),"후보","X"))</f>
        <v/>
      </c>
    </row>
    <row r="142" ht="12" customFormat="1" customHeight="1" s="38">
      <c r="A142" s="120" t="inlineStr">
        <is>
          <t>박촌동 계양한양수자인</t>
        </is>
      </c>
      <c r="B142" s="121" t="inlineStr">
        <is>
          <t>11.12.</t>
        </is>
      </c>
      <c r="C142" s="129" t="n">
        <v>376</v>
      </c>
      <c r="D142" s="130" t="n">
        <v>114</v>
      </c>
      <c r="E142" s="131" t="n">
        <v>34</v>
      </c>
      <c r="F142" s="130" t="n">
        <v>85</v>
      </c>
      <c r="G142" s="17" t="n">
        <v>26</v>
      </c>
      <c r="H142" s="132" t="n">
        <v>103</v>
      </c>
      <c r="I142" s="133" t="n">
        <v>68000</v>
      </c>
      <c r="J142" s="133" t="inlineStr">
        <is>
          <t>9</t>
        </is>
      </c>
      <c r="K142" s="133" t="n">
        <v>50000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inlineStr">
        <is>
          <t>114B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17">
        <f>S142</f>
        <v/>
      </c>
      <c r="AF142" s="117">
        <f>Q142&amp;"/"&amp;R142</f>
        <v/>
      </c>
      <c r="AH142" s="20">
        <f>IF(A142="","",A142)</f>
        <v/>
      </c>
      <c r="AI142" s="131">
        <f>IF(E142="","",E142)</f>
        <v/>
      </c>
      <c r="AJ142" s="117">
        <f>IF(AI142="","",$AJ$2)</f>
        <v/>
      </c>
      <c r="AK142" s="117" t="inlineStr">
        <is>
          <t>A</t>
        </is>
      </c>
      <c r="AL142" s="117" t="inlineStr">
        <is>
          <t>A+</t>
        </is>
      </c>
      <c r="AM142" s="117" t="inlineStr">
        <is>
          <t>B+</t>
        </is>
      </c>
      <c r="AN142" s="117">
        <f>IF(AI142="","",$AN$2)</f>
        <v/>
      </c>
      <c r="AO142" s="117">
        <f>IF(N142="","",IF(N142&gt;=$AO$1/100,"O","X"))</f>
        <v/>
      </c>
      <c r="AP142" s="117">
        <f>IF(I142="","",IF(I142&lt;=$AP$1,"O","X"))</f>
        <v/>
      </c>
      <c r="AQ142" s="117">
        <f>IF(O142="","",IF(O142&lt;=$AQ$1,"O","X"))</f>
        <v/>
      </c>
      <c r="AR142" s="117">
        <f>IF(M142="","",IF(M142&lt;=$AR$1,"O","X"))</f>
        <v/>
      </c>
      <c r="AS142" s="117" t="inlineStr">
        <is>
          <t>X</t>
        </is>
      </c>
      <c r="AT142" s="117">
        <f>IF(OR(F142="",AI142=""),"",IF(AND((F142&lt;=85),(AI142&gt;=15)),"O","X"))</f>
        <v/>
      </c>
      <c r="AU142" s="117">
        <f>IF(C142="","",IF(C142&gt;=$AU$1,"O","X"))</f>
        <v/>
      </c>
      <c r="AV142" s="117">
        <f>IF(AO142="","",IF(AND(AO142="O",AP142="O",AR142="O",AT142="O",AU142="O"),"후보","X"))</f>
        <v/>
      </c>
    </row>
    <row r="143" ht="12" customFormat="1" customHeight="1" s="38">
      <c r="A143" s="120" t="inlineStr">
        <is>
          <t>박촌동 계양한양수자인</t>
        </is>
      </c>
      <c r="B143" s="121" t="inlineStr">
        <is>
          <t>11.12.</t>
        </is>
      </c>
      <c r="C143" s="129" t="n">
        <v>376</v>
      </c>
      <c r="D143" s="130" t="n">
        <v>160</v>
      </c>
      <c r="E143" s="131" t="n">
        <v>48</v>
      </c>
      <c r="F143" s="130" t="n">
        <v>120.9</v>
      </c>
      <c r="G143" s="17" t="n">
        <v>37</v>
      </c>
      <c r="H143" s="132" t="n">
        <v>55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4</v>
      </c>
      <c r="R143" s="117" t="n">
        <v>2</v>
      </c>
      <c r="S143" s="117" t="inlineStr">
        <is>
          <t>계</t>
        </is>
      </c>
      <c r="T143" s="5" t="n">
        <v>159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17">
        <f>S143</f>
        <v/>
      </c>
      <c r="AF143" s="117">
        <f>Q143&amp;"/"&amp;R143</f>
        <v/>
      </c>
      <c r="AH143" s="20">
        <f>IF(A143="","",A143)</f>
        <v/>
      </c>
      <c r="AI143" s="131">
        <f>IF(E143="","",E143)</f>
        <v/>
      </c>
      <c r="AJ143" s="117">
        <f>IF(AI143="","",$AJ$2)</f>
        <v/>
      </c>
      <c r="AK143" s="117" t="inlineStr">
        <is>
          <t>A</t>
        </is>
      </c>
      <c r="AL143" s="117" t="inlineStr">
        <is>
          <t>A+</t>
        </is>
      </c>
      <c r="AM143" s="117" t="inlineStr">
        <is>
          <t>B+</t>
        </is>
      </c>
      <c r="AN143" s="117">
        <f>IF(AI143="","",$AN$2)</f>
        <v/>
      </c>
      <c r="AO143" s="117">
        <f>IF(N143="","",IF(N143&gt;=$AO$1/100,"O","X"))</f>
        <v/>
      </c>
      <c r="AP143" s="117">
        <f>IF(I143="","",IF(I143&lt;=$AP$1,"O","X"))</f>
        <v/>
      </c>
      <c r="AQ143" s="117">
        <f>IF(O143="","",IF(O143&lt;=$AQ$1,"O","X"))</f>
        <v/>
      </c>
      <c r="AR143" s="117">
        <f>IF(M143="","",IF(M143&lt;=$AR$1,"O","X"))</f>
        <v/>
      </c>
      <c r="AS143" s="117" t="inlineStr">
        <is>
          <t>X</t>
        </is>
      </c>
      <c r="AT143" s="117">
        <f>IF(OR(F143="",AI143=""),"",IF(AND((F143&lt;=85),(AI143&gt;=15)),"O","X"))</f>
        <v/>
      </c>
      <c r="AU143" s="117">
        <f>IF(C143="","",IF(C143&gt;=$AU$1,"O","X"))</f>
        <v/>
      </c>
      <c r="AV143" s="117">
        <f>IF(AO143="","",IF(AND(AO143="O",AP143="O",AR143="O",AT143="O",AU143="O"),"후보","X"))</f>
        <v/>
      </c>
    </row>
    <row r="144" ht="12" customFormat="1" customHeight="1" s="38">
      <c r="A144" s="120" t="inlineStr">
        <is>
          <t>방축동 계양하늘채파크포레</t>
        </is>
      </c>
      <c r="B144" s="121" t="inlineStr">
        <is>
          <t>23.04.</t>
        </is>
      </c>
      <c r="C144" s="129" t="n">
        <v>546</v>
      </c>
      <c r="D144" s="130" t="n">
        <v>80.8</v>
      </c>
      <c r="E144" s="131" t="n">
        <v>24</v>
      </c>
      <c r="F144" s="130" t="n">
        <v>59.9</v>
      </c>
      <c r="G144" s="17" t="n">
        <v>18</v>
      </c>
      <c r="H144" s="132" t="n">
        <v>211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80A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17">
        <f>S144</f>
        <v/>
      </c>
      <c r="AF144" s="117">
        <f>Q144&amp;"/"&amp;R144</f>
        <v/>
      </c>
      <c r="AH144" s="20">
        <f>IF(A144="","",A144)</f>
        <v/>
      </c>
      <c r="AI144" s="131">
        <f>IF(E144="","",E144)</f>
        <v/>
      </c>
      <c r="AJ144" s="117">
        <f>IF(AI144="","",$AJ$2)</f>
        <v/>
      </c>
      <c r="AK144" s="117" t="inlineStr">
        <is>
          <t>A</t>
        </is>
      </c>
      <c r="AL144" s="117" t="inlineStr">
        <is>
          <t>A+</t>
        </is>
      </c>
      <c r="AM144" s="117" t="inlineStr">
        <is>
          <t>B+</t>
        </is>
      </c>
      <c r="AN144" s="117">
        <f>IF(AI144="","",$AN$2)</f>
        <v/>
      </c>
      <c r="AO144" s="117">
        <f>IF(N144="","",IF(N144&gt;=$AO$1/100,"O","X"))</f>
        <v/>
      </c>
      <c r="AP144" s="117">
        <f>IF(I144="","",IF(I144&lt;=$AP$1,"O","X"))</f>
        <v/>
      </c>
      <c r="AQ144" s="117">
        <f>IF(O144="","",IF(O144&lt;=$AQ$1,"O","X"))</f>
        <v/>
      </c>
      <c r="AR144" s="117">
        <f>IF(M144="","",IF(M144&lt;=$AR$1,"O","X"))</f>
        <v/>
      </c>
      <c r="AS144" s="117" t="inlineStr">
        <is>
          <t>X</t>
        </is>
      </c>
      <c r="AT144" s="117">
        <f>IF(OR(F144="",AI144=""),"",IF(AND((F144&lt;=85),(AI144&gt;=15)),"O","X"))</f>
        <v/>
      </c>
      <c r="AU144" s="117">
        <f>IF(C144="","",IF(C144&gt;=$AU$1,"O","X"))</f>
        <v/>
      </c>
      <c r="AV144" s="117">
        <f>IF(AO144="","",IF(AND(AO144="O",AP144="O",AR144="O",AT144="O",AU144="O"),"후보","X"))</f>
        <v/>
      </c>
    </row>
    <row r="145" ht="12" customFormat="1" customHeight="1" s="38">
      <c r="A145" s="120" t="inlineStr">
        <is>
          <t>방축동 계양하늘채파크포레</t>
        </is>
      </c>
      <c r="B145" s="121" t="inlineStr">
        <is>
          <t>23.04.</t>
        </is>
      </c>
      <c r="C145" s="129" t="n">
        <v>546</v>
      </c>
      <c r="D145" s="130" t="n">
        <v>80.3</v>
      </c>
      <c r="E145" s="131" t="n">
        <v>24</v>
      </c>
      <c r="F145" s="130" t="n">
        <v>60</v>
      </c>
      <c r="G145" s="17" t="n">
        <v>18</v>
      </c>
      <c r="H145" s="132" t="n">
        <v>74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inlineStr">
        <is>
          <t>80B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17">
        <f>S145</f>
        <v/>
      </c>
      <c r="AF145" s="117">
        <f>Q145&amp;"/"&amp;R145</f>
        <v/>
      </c>
      <c r="AH145" s="20">
        <f>IF(A145="","",A145)</f>
        <v/>
      </c>
      <c r="AI145" s="131">
        <f>IF(E145="","",E145)</f>
        <v/>
      </c>
      <c r="AJ145" s="117">
        <f>IF(AI145="","",$AJ$2)</f>
        <v/>
      </c>
      <c r="AK145" s="117" t="inlineStr">
        <is>
          <t>A</t>
        </is>
      </c>
      <c r="AL145" s="117" t="inlineStr">
        <is>
          <t>A+</t>
        </is>
      </c>
      <c r="AM145" s="117" t="inlineStr">
        <is>
          <t>B+</t>
        </is>
      </c>
      <c r="AN145" s="117">
        <f>IF(AI145="","",$AN$2)</f>
        <v/>
      </c>
      <c r="AO145" s="117">
        <f>IF(N145="","",IF(N145&gt;=$AO$1/100,"O","X"))</f>
        <v/>
      </c>
      <c r="AP145" s="117">
        <f>IF(I145="","",IF(I145&lt;=$AP$1,"O","X"))</f>
        <v/>
      </c>
      <c r="AQ145" s="117">
        <f>IF(O145="","",IF(O145&lt;=$AQ$1,"O","X"))</f>
        <v/>
      </c>
      <c r="AR145" s="117">
        <f>IF(M145="","",IF(M145&lt;=$AR$1,"O","X"))</f>
        <v/>
      </c>
      <c r="AS145" s="117" t="inlineStr">
        <is>
          <t>X</t>
        </is>
      </c>
      <c r="AT145" s="117">
        <f>IF(OR(F145="",AI145=""),"",IF(AND((F145&lt;=85),(AI145&gt;=15)),"O","X"))</f>
        <v/>
      </c>
      <c r="AU145" s="117">
        <f>IF(C145="","",IF(C145&gt;=$AU$1,"O","X"))</f>
        <v/>
      </c>
      <c r="AV145" s="117">
        <f>IF(AO145="","",IF(AND(AO145="O",AP145="O",AR145="O",AT145="O",AU145="O"),"후보","X"))</f>
        <v/>
      </c>
    </row>
    <row r="146" ht="12" customFormat="1" customHeight="1" s="38">
      <c r="A146" s="120" t="inlineStr">
        <is>
          <t>방축동 계양하늘채파크포레</t>
        </is>
      </c>
      <c r="B146" s="121" t="inlineStr">
        <is>
          <t>23.04.</t>
        </is>
      </c>
      <c r="C146" s="129" t="n">
        <v>546</v>
      </c>
      <c r="D146" s="130" t="n">
        <v>81.40000000000001</v>
      </c>
      <c r="E146" s="131" t="n">
        <v>25</v>
      </c>
      <c r="F146" s="130" t="n">
        <v>59.9</v>
      </c>
      <c r="G146" s="17" t="n">
        <v>18</v>
      </c>
      <c r="H146" s="132" t="n">
        <v>76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81C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17">
        <f>S146</f>
        <v/>
      </c>
      <c r="AF146" s="117">
        <f>Q146&amp;"/"&amp;R146</f>
        <v/>
      </c>
      <c r="AH146" s="20">
        <f>IF(A146="","",A146)</f>
        <v/>
      </c>
      <c r="AI146" s="131">
        <f>IF(E146="","",E146)</f>
        <v/>
      </c>
      <c r="AJ146" s="117">
        <f>IF(AI146="","",$AJ$2)</f>
        <v/>
      </c>
      <c r="AK146" s="117" t="inlineStr">
        <is>
          <t>A</t>
        </is>
      </c>
      <c r="AL146" s="117" t="inlineStr">
        <is>
          <t>A+</t>
        </is>
      </c>
      <c r="AM146" s="117" t="inlineStr">
        <is>
          <t>B+</t>
        </is>
      </c>
      <c r="AN146" s="117">
        <f>IF(AI146="","",$AN$2)</f>
        <v/>
      </c>
      <c r="AO146" s="117">
        <f>IF(N146="","",IF(N146&gt;=$AO$1/100,"O","X"))</f>
        <v/>
      </c>
      <c r="AP146" s="117">
        <f>IF(I146="","",IF(I146&lt;=$AP$1,"O","X"))</f>
        <v/>
      </c>
      <c r="AQ146" s="117">
        <f>IF(O146="","",IF(O146&lt;=$AQ$1,"O","X"))</f>
        <v/>
      </c>
      <c r="AR146" s="117">
        <f>IF(M146="","",IF(M146&lt;=$AR$1,"O","X"))</f>
        <v/>
      </c>
      <c r="AS146" s="117" t="inlineStr">
        <is>
          <t>X</t>
        </is>
      </c>
      <c r="AT146" s="117">
        <f>IF(OR(F146="",AI146=""),"",IF(AND((F146&lt;=85),(AI146&gt;=15)),"O","X"))</f>
        <v/>
      </c>
      <c r="AU146" s="117">
        <f>IF(C146="","",IF(C146&gt;=$AU$1,"O","X"))</f>
        <v/>
      </c>
      <c r="AV146" s="117">
        <f>IF(AO146="","",IF(AND(AO146="O",AP146="O",AR146="O",AT146="O",AU146="O"),"후보","X"))</f>
        <v/>
      </c>
    </row>
    <row r="147" ht="12" customFormat="1" customHeight="1" s="38">
      <c r="A147" s="120" t="inlineStr">
        <is>
          <t>방축동 계양하늘채파크포레</t>
        </is>
      </c>
      <c r="B147" s="121" t="inlineStr">
        <is>
          <t>23.04.</t>
        </is>
      </c>
      <c r="C147" s="129" t="n">
        <v>546</v>
      </c>
      <c r="D147" s="130" t="n">
        <v>106.6</v>
      </c>
      <c r="E147" s="131" t="n">
        <v>32</v>
      </c>
      <c r="F147" s="130" t="n">
        <v>84.90000000000001</v>
      </c>
      <c r="G147" s="17" t="n">
        <v>26</v>
      </c>
      <c r="H147" s="132" t="n">
        <v>28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106C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17">
        <f>S147</f>
        <v/>
      </c>
      <c r="AF147" s="117">
        <f>Q147&amp;"/"&amp;R147</f>
        <v/>
      </c>
      <c r="AH147" s="20">
        <f>IF(A147="","",A147)</f>
        <v/>
      </c>
      <c r="AI147" s="131">
        <f>IF(E147="","",E147)</f>
        <v/>
      </c>
      <c r="AJ147" s="117">
        <f>IF(AI147="","",$AJ$2)</f>
        <v/>
      </c>
      <c r="AK147" s="117" t="inlineStr">
        <is>
          <t>A</t>
        </is>
      </c>
      <c r="AL147" s="117" t="inlineStr">
        <is>
          <t>A+</t>
        </is>
      </c>
      <c r="AM147" s="117" t="inlineStr">
        <is>
          <t>B+</t>
        </is>
      </c>
      <c r="AN147" s="117">
        <f>IF(AI147="","",$AN$2)</f>
        <v/>
      </c>
      <c r="AO147" s="117">
        <f>IF(N147="","",IF(N147&gt;=$AO$1/100,"O","X"))</f>
        <v/>
      </c>
      <c r="AP147" s="117">
        <f>IF(I147="","",IF(I147&lt;=$AP$1,"O","X"))</f>
        <v/>
      </c>
      <c r="AQ147" s="117">
        <f>IF(O147="","",IF(O147&lt;=$AQ$1,"O","X"))</f>
        <v/>
      </c>
      <c r="AR147" s="117">
        <f>IF(M147="","",IF(M147&lt;=$AR$1,"O","X"))</f>
        <v/>
      </c>
      <c r="AS147" s="117" t="inlineStr">
        <is>
          <t>X</t>
        </is>
      </c>
      <c r="AT147" s="117">
        <f>IF(OR(F147="",AI147=""),"",IF(AND((F147&lt;=85),(AI147&gt;=15)),"O","X"))</f>
        <v/>
      </c>
      <c r="AU147" s="117">
        <f>IF(C147="","",IF(C147&gt;=$AU$1,"O","X"))</f>
        <v/>
      </c>
      <c r="AV147" s="117">
        <f>IF(AO147="","",IF(AND(AO147="O",AP147="O",AR147="O",AT147="O",AU147="O"),"후보","X"))</f>
        <v/>
      </c>
    </row>
    <row r="148" ht="12" customFormat="1" customHeight="1" s="38">
      <c r="A148" s="120" t="inlineStr">
        <is>
          <t>방축동 계양하늘채파크포레</t>
        </is>
      </c>
      <c r="B148" s="121" t="inlineStr">
        <is>
          <t>23.04.</t>
        </is>
      </c>
      <c r="C148" s="129" t="n">
        <v>546</v>
      </c>
      <c r="D148" s="130" t="n">
        <v>107.4</v>
      </c>
      <c r="E148" s="131" t="n">
        <v>32</v>
      </c>
      <c r="F148" s="130" t="n">
        <v>85</v>
      </c>
      <c r="G148" s="17" t="n">
        <v>26</v>
      </c>
      <c r="H148" s="132" t="n">
        <v>116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107B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17">
        <f>S148</f>
        <v/>
      </c>
      <c r="AF148" s="117">
        <f>Q148&amp;"/"&amp;R148</f>
        <v/>
      </c>
      <c r="AH148" s="20">
        <f>IF(A148="","",A148)</f>
        <v/>
      </c>
      <c r="AI148" s="131">
        <f>IF(E148="","",E148)</f>
        <v/>
      </c>
      <c r="AJ148" s="117">
        <f>IF(AI148="","",$AJ$2)</f>
        <v/>
      </c>
      <c r="AK148" s="117" t="inlineStr">
        <is>
          <t>A</t>
        </is>
      </c>
      <c r="AL148" s="117" t="inlineStr">
        <is>
          <t>A+</t>
        </is>
      </c>
      <c r="AM148" s="117" t="inlineStr">
        <is>
          <t>B+</t>
        </is>
      </c>
      <c r="AN148" s="117">
        <f>IF(AI148="","",$AN$2)</f>
        <v/>
      </c>
      <c r="AO148" s="117">
        <f>IF(N148="","",IF(N148&gt;=$AO$1/100,"O","X"))</f>
        <v/>
      </c>
      <c r="AP148" s="117">
        <f>IF(I148="","",IF(I148&lt;=$AP$1,"O","X"))</f>
        <v/>
      </c>
      <c r="AQ148" s="117">
        <f>IF(O148="","",IF(O148&lt;=$AQ$1,"O","X"))</f>
        <v/>
      </c>
      <c r="AR148" s="117">
        <f>IF(M148="","",IF(M148&lt;=$AR$1,"O","X"))</f>
        <v/>
      </c>
      <c r="AS148" s="117" t="inlineStr">
        <is>
          <t>X</t>
        </is>
      </c>
      <c r="AT148" s="117">
        <f>IF(OR(F148="",AI148=""),"",IF(AND((F148&lt;=85),(AI148&gt;=15)),"O","X"))</f>
        <v/>
      </c>
      <c r="AU148" s="117">
        <f>IF(C148="","",IF(C148&gt;=$AU$1,"O","X"))</f>
        <v/>
      </c>
      <c r="AV148" s="117">
        <f>IF(AO148="","",IF(AND(AO148="O",AP148="O",AR148="O",AT148="O",AU148="O"),"후보","X"))</f>
        <v/>
      </c>
    </row>
    <row r="149" ht="12" customFormat="1" customHeight="1" s="38">
      <c r="A149" s="120" t="inlineStr">
        <is>
          <t>방축동 계양하늘채파크포레</t>
        </is>
      </c>
      <c r="B149" s="121" t="inlineStr">
        <is>
          <t>23.04.</t>
        </is>
      </c>
      <c r="C149" s="129" t="n">
        <v>546</v>
      </c>
      <c r="D149" s="130" t="n">
        <v>107.8</v>
      </c>
      <c r="E149" s="131" t="n">
        <v>33</v>
      </c>
      <c r="F149" s="130" t="n">
        <v>84.90000000000001</v>
      </c>
      <c r="G149" s="17" t="n">
        <v>26</v>
      </c>
      <c r="H149" s="132" t="n">
        <v>41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2</v>
      </c>
      <c r="S149" s="117" t="inlineStr">
        <is>
          <t>계</t>
        </is>
      </c>
      <c r="T149" s="5" t="inlineStr">
        <is>
          <t>107A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17">
        <f>S149</f>
        <v/>
      </c>
      <c r="AF149" s="117">
        <f>Q149&amp;"/"&amp;R149</f>
        <v/>
      </c>
      <c r="AH149" s="20">
        <f>IF(A149="","",A149)</f>
        <v/>
      </c>
      <c r="AI149" s="131">
        <f>IF(E149="","",E149)</f>
        <v/>
      </c>
      <c r="AJ149" s="117">
        <f>IF(AI149="","",$AJ$2)</f>
        <v/>
      </c>
      <c r="AK149" s="117" t="inlineStr">
        <is>
          <t>A</t>
        </is>
      </c>
      <c r="AL149" s="117" t="inlineStr">
        <is>
          <t>A+</t>
        </is>
      </c>
      <c r="AM149" s="117" t="inlineStr">
        <is>
          <t>B+</t>
        </is>
      </c>
      <c r="AN149" s="117">
        <f>IF(AI149="","",$AN$2)</f>
        <v/>
      </c>
      <c r="AO149" s="117">
        <f>IF(N149="","",IF(N149&gt;=$AO$1/100,"O","X"))</f>
        <v/>
      </c>
      <c r="AP149" s="117">
        <f>IF(I149="","",IF(I149&lt;=$AP$1,"O","X"))</f>
        <v/>
      </c>
      <c r="AQ149" s="117">
        <f>IF(O149="","",IF(O149&lt;=$AQ$1,"O","X"))</f>
        <v/>
      </c>
      <c r="AR149" s="117">
        <f>IF(M149="","",IF(M149&lt;=$AR$1,"O","X"))</f>
        <v/>
      </c>
      <c r="AS149" s="117" t="inlineStr">
        <is>
          <t>X</t>
        </is>
      </c>
      <c r="AT149" s="117">
        <f>IF(OR(F149="",AI149=""),"",IF(AND((F149&lt;=85),(AI149&gt;=15)),"O","X"))</f>
        <v/>
      </c>
      <c r="AU149" s="117">
        <f>IF(C149="","",IF(C149&gt;=$AU$1,"O","X"))</f>
        <v/>
      </c>
      <c r="AV149" s="117">
        <f>IF(AO149="","",IF(AND(AO149="O",AP149="O",AR149="O",AT149="O",AU149="O"),"후보","X"))</f>
        <v/>
      </c>
    </row>
    <row r="150" ht="12" customFormat="1" customHeight="1" s="38">
      <c r="A150" s="120" t="inlineStr">
        <is>
          <t>방축동 한성</t>
        </is>
      </c>
      <c r="B150" s="121" t="inlineStr">
        <is>
          <t>90.07.</t>
        </is>
      </c>
      <c r="C150" s="129" t="n">
        <v>200</v>
      </c>
      <c r="D150" s="130" t="n">
        <v>62.9</v>
      </c>
      <c r="E150" s="131" t="n">
        <v>19</v>
      </c>
      <c r="F150" s="130" t="n">
        <v>48</v>
      </c>
      <c r="G150" s="17" t="n">
        <v>15</v>
      </c>
      <c r="H150" s="132" t="n">
        <v>120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3</v>
      </c>
      <c r="R150" s="117" t="n">
        <v>1</v>
      </c>
      <c r="S150" s="117" t="inlineStr">
        <is>
          <t>계</t>
        </is>
      </c>
      <c r="T150" s="5" t="inlineStr">
        <is>
          <t>62B</t>
        </is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17">
        <f>S150</f>
        <v/>
      </c>
      <c r="AF150" s="117">
        <f>Q150&amp;"/"&amp;R150</f>
        <v/>
      </c>
      <c r="AH150" s="20">
        <f>IF(A150="","",A150)</f>
        <v/>
      </c>
      <c r="AI150" s="131">
        <f>IF(E150="","",E150)</f>
        <v/>
      </c>
      <c r="AJ150" s="117">
        <f>IF(AI150="","",$AJ$2)</f>
        <v/>
      </c>
      <c r="AK150" s="117" t="inlineStr">
        <is>
          <t>A</t>
        </is>
      </c>
      <c r="AL150" s="117" t="inlineStr">
        <is>
          <t>A+</t>
        </is>
      </c>
      <c r="AM150" s="117" t="inlineStr">
        <is>
          <t>B+</t>
        </is>
      </c>
      <c r="AN150" s="117">
        <f>IF(AI150="","",$AN$2)</f>
        <v/>
      </c>
      <c r="AO150" s="117">
        <f>IF(N150="","",IF(N150&gt;=$AO$1/100,"O","X"))</f>
        <v/>
      </c>
      <c r="AP150" s="117">
        <f>IF(I150="","",IF(I150&lt;=$AP$1,"O","X"))</f>
        <v/>
      </c>
      <c r="AQ150" s="117">
        <f>IF(O150="","",IF(O150&lt;=$AQ$1,"O","X"))</f>
        <v/>
      </c>
      <c r="AR150" s="117">
        <f>IF(M150="","",IF(M150&lt;=$AR$1,"O","X"))</f>
        <v/>
      </c>
      <c r="AS150" s="117" t="inlineStr">
        <is>
          <t>X</t>
        </is>
      </c>
      <c r="AT150" s="117">
        <f>IF(OR(F150="",AI150=""),"",IF(AND((F150&lt;=85),(AI150&gt;=15)),"O","X"))</f>
        <v/>
      </c>
      <c r="AU150" s="117">
        <f>IF(C150="","",IF(C150&gt;=$AU$1,"O","X"))</f>
        <v/>
      </c>
      <c r="AV150" s="117">
        <f>IF(AO150="","",IF(AND(AO150="O",AP150="O",AR150="O",AT150="O",AU150="O"),"후보","X"))</f>
        <v/>
      </c>
    </row>
    <row r="151" ht="12" customFormat="1" customHeight="1" s="38">
      <c r="A151" s="120" t="inlineStr">
        <is>
          <t>방축동 한성</t>
        </is>
      </c>
      <c r="B151" s="121" t="inlineStr">
        <is>
          <t>90.07.</t>
        </is>
      </c>
      <c r="C151" s="129" t="n">
        <v>200</v>
      </c>
      <c r="D151" s="130" t="n">
        <v>62.4</v>
      </c>
      <c r="E151" s="131" t="n">
        <v>19</v>
      </c>
      <c r="F151" s="130" t="n">
        <v>47.7</v>
      </c>
      <c r="G151" s="17" t="n">
        <v>14</v>
      </c>
      <c r="H151" s="132" t="n">
        <v>80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inlineStr">
        <is>
          <t>62A</t>
        </is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17">
        <f>S151</f>
        <v/>
      </c>
      <c r="AF151" s="117">
        <f>Q151&amp;"/"&amp;R151</f>
        <v/>
      </c>
      <c r="AH151" s="20">
        <f>IF(A151="","",A151)</f>
        <v/>
      </c>
      <c r="AI151" s="131">
        <f>IF(E151="","",E151)</f>
        <v/>
      </c>
      <c r="AJ151" s="117">
        <f>IF(AI151="","",$AJ$2)</f>
        <v/>
      </c>
      <c r="AK151" s="117" t="inlineStr">
        <is>
          <t>A</t>
        </is>
      </c>
      <c r="AL151" s="117" t="inlineStr">
        <is>
          <t>A+</t>
        </is>
      </c>
      <c r="AM151" s="117" t="inlineStr">
        <is>
          <t>B+</t>
        </is>
      </c>
      <c r="AN151" s="117">
        <f>IF(AI151="","",$AN$2)</f>
        <v/>
      </c>
      <c r="AO151" s="117">
        <f>IF(N151="","",IF(N151&gt;=$AO$1/100,"O","X"))</f>
        <v/>
      </c>
      <c r="AP151" s="117">
        <f>IF(I151="","",IF(I151&lt;=$AP$1,"O","X"))</f>
        <v/>
      </c>
      <c r="AQ151" s="117">
        <f>IF(O151="","",IF(O151&lt;=$AQ$1,"O","X"))</f>
        <v/>
      </c>
      <c r="AR151" s="117">
        <f>IF(M151="","",IF(M151&lt;=$AR$1,"O","X"))</f>
        <v/>
      </c>
      <c r="AS151" s="117" t="inlineStr">
        <is>
          <t>X</t>
        </is>
      </c>
      <c r="AT151" s="117">
        <f>IF(OR(F151="",AI151=""),"",IF(AND((F151&lt;=85),(AI151&gt;=15)),"O","X"))</f>
        <v/>
      </c>
      <c r="AU151" s="117">
        <f>IF(C151="","",IF(C151&gt;=$AU$1,"O","X"))</f>
        <v/>
      </c>
      <c r="AV151" s="117">
        <f>IF(AO151="","",IF(AND(AO151="O",AP151="O",AR151="O",AT151="O",AU151="O"),"후보","X"))</f>
        <v/>
      </c>
    </row>
    <row r="152" ht="12" customFormat="1" customHeight="1" s="38">
      <c r="A152" s="120" t="inlineStr">
        <is>
          <t>방축동 아주</t>
        </is>
      </c>
      <c r="B152" s="121" t="inlineStr">
        <is>
          <t>91.04.</t>
        </is>
      </c>
      <c r="C152" s="129" t="n">
        <v>480</v>
      </c>
      <c r="D152" s="130" t="n">
        <v>75.90000000000001</v>
      </c>
      <c r="E152" s="131" t="n">
        <v>23</v>
      </c>
      <c r="F152" s="130" t="n">
        <v>60</v>
      </c>
      <c r="G152" s="17" t="n">
        <v>18</v>
      </c>
      <c r="H152" s="132" t="n">
        <v>204</v>
      </c>
      <c r="I152" s="133" t="n">
        <v>25000</v>
      </c>
      <c r="J152" s="133" t="inlineStr">
        <is>
          <t>6</t>
        </is>
      </c>
      <c r="K152" s="133" t="n">
        <v>15000</v>
      </c>
      <c r="L152" s="133" t="inlineStr">
        <is>
          <t>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75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17">
        <f>S152</f>
        <v/>
      </c>
      <c r="AF152" s="117">
        <f>Q152&amp;"/"&amp;R152</f>
        <v/>
      </c>
      <c r="AH152" s="20">
        <f>IF(A152="","",A152)</f>
        <v/>
      </c>
      <c r="AI152" s="131">
        <f>IF(E152="","",E152)</f>
        <v/>
      </c>
      <c r="AJ152" s="117">
        <f>IF(AI152="","",$AJ$2)</f>
        <v/>
      </c>
      <c r="AK152" s="117" t="inlineStr">
        <is>
          <t>A</t>
        </is>
      </c>
      <c r="AL152" s="117" t="inlineStr">
        <is>
          <t>A+</t>
        </is>
      </c>
      <c r="AM152" s="117" t="inlineStr">
        <is>
          <t>B+</t>
        </is>
      </c>
      <c r="AN152" s="117">
        <f>IF(AI152="","",$AN$2)</f>
        <v/>
      </c>
      <c r="AO152" s="117">
        <f>IF(N152="","",IF(N152&gt;=$AO$1/100,"O","X"))</f>
        <v/>
      </c>
      <c r="AP152" s="117">
        <f>IF(I152="","",IF(I152&lt;=$AP$1,"O","X"))</f>
        <v/>
      </c>
      <c r="AQ152" s="117">
        <f>IF(O152="","",IF(O152&lt;=$AQ$1,"O","X"))</f>
        <v/>
      </c>
      <c r="AR152" s="117">
        <f>IF(M152="","",IF(M152&lt;=$AR$1,"O","X"))</f>
        <v/>
      </c>
      <c r="AS152" s="117" t="inlineStr">
        <is>
          <t>X</t>
        </is>
      </c>
      <c r="AT152" s="117">
        <f>IF(OR(F152="",AI152=""),"",IF(AND((F152&lt;=85),(AI152&gt;=15)),"O","X"))</f>
        <v/>
      </c>
      <c r="AU152" s="117">
        <f>IF(C152="","",IF(C152&gt;=$AU$1,"O","X"))</f>
        <v/>
      </c>
      <c r="AV152" s="117">
        <f>IF(AO152="","",IF(AND(AO152="O",AP152="O",AR152="O",AT152="O",AU152="O"),"후보","X"))</f>
        <v/>
      </c>
    </row>
    <row r="153" ht="12" customFormat="1" customHeight="1" s="38">
      <c r="A153" s="120" t="inlineStr">
        <is>
          <t>방축동 아주</t>
        </is>
      </c>
      <c r="B153" s="121" t="inlineStr">
        <is>
          <t>91.04.</t>
        </is>
      </c>
      <c r="C153" s="129" t="n">
        <v>480</v>
      </c>
      <c r="D153" s="130" t="n">
        <v>79.90000000000001</v>
      </c>
      <c r="E153" s="131" t="n">
        <v>24</v>
      </c>
      <c r="F153" s="130" t="n">
        <v>63.4</v>
      </c>
      <c r="G153" s="17" t="n">
        <v>19</v>
      </c>
      <c r="H153" s="132" t="n">
        <v>240</v>
      </c>
      <c r="I153" s="133" t="n">
        <v>26000</v>
      </c>
      <c r="J153" s="133" t="inlineStr">
        <is>
          <t>5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3</v>
      </c>
      <c r="R153" s="117" t="n">
        <v>1</v>
      </c>
      <c r="S153" s="117" t="inlineStr">
        <is>
          <t>계</t>
        </is>
      </c>
      <c r="T153" s="5" t="n">
        <v>79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17">
        <f>S153</f>
        <v/>
      </c>
      <c r="AF153" s="117">
        <f>Q153&amp;"/"&amp;R153</f>
        <v/>
      </c>
      <c r="AH153" s="20">
        <f>IF(A153="","",A153)</f>
        <v/>
      </c>
      <c r="AI153" s="131">
        <f>IF(E153="","",E153)</f>
        <v/>
      </c>
      <c r="AJ153" s="117">
        <f>IF(AI153="","",$AJ$2)</f>
        <v/>
      </c>
      <c r="AK153" s="117" t="inlineStr">
        <is>
          <t>A</t>
        </is>
      </c>
      <c r="AL153" s="117" t="inlineStr">
        <is>
          <t>A+</t>
        </is>
      </c>
      <c r="AM153" s="117" t="inlineStr">
        <is>
          <t>B+</t>
        </is>
      </c>
      <c r="AN153" s="117">
        <f>IF(AI153="","",$AN$2)</f>
        <v/>
      </c>
      <c r="AO153" s="117">
        <f>IF(N153="","",IF(N153&gt;=$AO$1/100,"O","X"))</f>
        <v/>
      </c>
      <c r="AP153" s="117">
        <f>IF(I153="","",IF(I153&lt;=$AP$1,"O","X"))</f>
        <v/>
      </c>
      <c r="AQ153" s="117">
        <f>IF(O153="","",IF(O153&lt;=$AQ$1,"O","X"))</f>
        <v/>
      </c>
      <c r="AR153" s="117">
        <f>IF(M153="","",IF(M153&lt;=$AR$1,"O","X"))</f>
        <v/>
      </c>
      <c r="AS153" s="117" t="inlineStr">
        <is>
          <t>X</t>
        </is>
      </c>
      <c r="AT153" s="117">
        <f>IF(OR(F153="",AI153=""),"",IF(AND((F153&lt;=85),(AI153&gt;=15)),"O","X"))</f>
        <v/>
      </c>
      <c r="AU153" s="117">
        <f>IF(C153="","",IF(C153&gt;=$AU$1,"O","X"))</f>
        <v/>
      </c>
      <c r="AV153" s="117">
        <f>IF(AO153="","",IF(AND(AO153="O",AP153="O",AR153="O",AT153="O",AU153="O"),"후보","X"))</f>
        <v/>
      </c>
    </row>
    <row r="154" ht="12" customFormat="1" customHeight="1" s="38">
      <c r="A154" s="120" t="inlineStr">
        <is>
          <t>방축동 아주</t>
        </is>
      </c>
      <c r="B154" s="121" t="inlineStr">
        <is>
          <t>91.04.</t>
        </is>
      </c>
      <c r="C154" s="129" t="n">
        <v>480</v>
      </c>
      <c r="D154" s="130" t="n">
        <v>83.8</v>
      </c>
      <c r="E154" s="131" t="n">
        <v>25</v>
      </c>
      <c r="F154" s="130" t="n">
        <v>66.8</v>
      </c>
      <c r="G154" s="17" t="n">
        <v>20</v>
      </c>
      <c r="H154" s="132" t="n">
        <v>36</v>
      </c>
      <c r="I154" s="133" t="n">
        <v>30000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83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17">
        <f>S154</f>
        <v/>
      </c>
      <c r="AF154" s="117">
        <f>Q154&amp;"/"&amp;R154</f>
        <v/>
      </c>
      <c r="AH154" s="20">
        <f>IF(A154="","",A154)</f>
        <v/>
      </c>
      <c r="AI154" s="131">
        <f>IF(E154="","",E154)</f>
        <v/>
      </c>
      <c r="AJ154" s="117">
        <f>IF(AI154="","",$AJ$2)</f>
        <v/>
      </c>
      <c r="AK154" s="117" t="inlineStr">
        <is>
          <t>A</t>
        </is>
      </c>
      <c r="AL154" s="117" t="inlineStr">
        <is>
          <t>A+</t>
        </is>
      </c>
      <c r="AM154" s="117" t="inlineStr">
        <is>
          <t>B+</t>
        </is>
      </c>
      <c r="AN154" s="117">
        <f>IF(AI154="","",$AN$2)</f>
        <v/>
      </c>
      <c r="AO154" s="117">
        <f>IF(N154="","",IF(N154&gt;=$AO$1/100,"O","X"))</f>
        <v/>
      </c>
      <c r="AP154" s="117">
        <f>IF(I154="","",IF(I154&lt;=$AP$1,"O","X"))</f>
        <v/>
      </c>
      <c r="AQ154" s="117">
        <f>IF(O154="","",IF(O154&lt;=$AQ$1,"O","X"))</f>
        <v/>
      </c>
      <c r="AR154" s="117">
        <f>IF(M154="","",IF(M154&lt;=$AR$1,"O","X"))</f>
        <v/>
      </c>
      <c r="AS154" s="117" t="inlineStr">
        <is>
          <t>X</t>
        </is>
      </c>
      <c r="AT154" s="117">
        <f>IF(OR(F154="",AI154=""),"",IF(AND((F154&lt;=85),(AI154&gt;=15)),"O","X"))</f>
        <v/>
      </c>
      <c r="AU154" s="117">
        <f>IF(C154="","",IF(C154&gt;=$AU$1,"O","X"))</f>
        <v/>
      </c>
      <c r="AV154" s="117">
        <f>IF(AO154="","",IF(AND(AO154="O",AP154="O",AR154="O",AT154="O",AU154="O"),"후보","X"))</f>
        <v/>
      </c>
    </row>
    <row r="155" ht="12" customFormat="1" customHeight="1" s="38">
      <c r="A155" s="120" t="inlineStr">
        <is>
          <t>병방동 학마을서해</t>
        </is>
      </c>
      <c r="B155" s="121" t="inlineStr">
        <is>
          <t>97.10.</t>
        </is>
      </c>
      <c r="C155" s="129" t="n">
        <v>1261</v>
      </c>
      <c r="D155" s="130" t="n">
        <v>39.8</v>
      </c>
      <c r="E155" s="131" t="n">
        <v>12</v>
      </c>
      <c r="F155" s="130" t="n">
        <v>26</v>
      </c>
      <c r="G155" s="17" t="n">
        <v>8</v>
      </c>
      <c r="H155" s="132" t="n">
        <v>519</v>
      </c>
      <c r="I155" s="133" t="n">
        <v>13000</v>
      </c>
      <c r="J155" s="133" t="inlineStr">
        <is>
          <t>12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1</v>
      </c>
      <c r="R155" s="117" t="n">
        <v>1</v>
      </c>
      <c r="S155" s="117" t="inlineStr">
        <is>
          <t>계</t>
        </is>
      </c>
      <c r="T155" s="5" t="n">
        <v>39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17">
        <f>S155</f>
        <v/>
      </c>
      <c r="AF155" s="117">
        <f>Q155&amp;"/"&amp;R155</f>
        <v/>
      </c>
      <c r="AH155" s="20">
        <f>IF(A155="","",A155)</f>
        <v/>
      </c>
      <c r="AI155" s="131">
        <f>IF(E155="","",E155)</f>
        <v/>
      </c>
      <c r="AJ155" s="117">
        <f>IF(AI155="","",$AJ$2)</f>
        <v/>
      </c>
      <c r="AK155" s="117" t="inlineStr">
        <is>
          <t>A</t>
        </is>
      </c>
      <c r="AL155" s="117" t="inlineStr">
        <is>
          <t>A+</t>
        </is>
      </c>
      <c r="AM155" s="117" t="inlineStr">
        <is>
          <t>B+</t>
        </is>
      </c>
      <c r="AN155" s="117">
        <f>IF(AI155="","",$AN$2)</f>
        <v/>
      </c>
      <c r="AO155" s="117">
        <f>IF(N155="","",IF(N155&gt;=$AO$1/100,"O","X"))</f>
        <v/>
      </c>
      <c r="AP155" s="117">
        <f>IF(I155="","",IF(I155&lt;=$AP$1,"O","X"))</f>
        <v/>
      </c>
      <c r="AQ155" s="117">
        <f>IF(O155="","",IF(O155&lt;=$AQ$1,"O","X"))</f>
        <v/>
      </c>
      <c r="AR155" s="117">
        <f>IF(M155="","",IF(M155&lt;=$AR$1,"O","X"))</f>
        <v/>
      </c>
      <c r="AS155" s="117" t="inlineStr">
        <is>
          <t>X</t>
        </is>
      </c>
      <c r="AT155" s="117">
        <f>IF(OR(F155="",AI155=""),"",IF(AND((F155&lt;=85),(AI155&gt;=15)),"O","X"))</f>
        <v/>
      </c>
      <c r="AU155" s="117">
        <f>IF(C155="","",IF(C155&gt;=$AU$1,"O","X"))</f>
        <v/>
      </c>
      <c r="AV155" s="117">
        <f>IF(AO155="","",IF(AND(AO155="O",AP155="O",AR155="O",AT155="O",AU155="O"),"후보","X"))</f>
        <v/>
      </c>
    </row>
    <row r="156" ht="12" customFormat="1" customHeight="1" s="38">
      <c r="A156" s="120" t="inlineStr">
        <is>
          <t>병방동 학마을서해</t>
        </is>
      </c>
      <c r="B156" s="121" t="inlineStr">
        <is>
          <t>97.10.</t>
        </is>
      </c>
      <c r="C156" s="129" t="n">
        <v>1261</v>
      </c>
      <c r="D156" s="130" t="n">
        <v>81.2</v>
      </c>
      <c r="E156" s="131" t="n">
        <v>25</v>
      </c>
      <c r="F156" s="130" t="n">
        <v>59.8</v>
      </c>
      <c r="G156" s="17" t="n">
        <v>18</v>
      </c>
      <c r="H156" s="132" t="n">
        <v>742</v>
      </c>
      <c r="I156" s="133" t="n">
        <v>41000</v>
      </c>
      <c r="J156" s="133" t="inlineStr">
        <is>
          <t>16</t>
        </is>
      </c>
      <c r="K156" s="133" t="n">
        <v>30000</v>
      </c>
      <c r="L156" s="133" t="inlineStr">
        <is>
          <t>12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2</v>
      </c>
      <c r="S156" s="117" t="inlineStr">
        <is>
          <t>계</t>
        </is>
      </c>
      <c r="T156" s="5" t="n">
        <v>81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17">
        <f>S156</f>
        <v/>
      </c>
      <c r="AF156" s="117">
        <f>Q156&amp;"/"&amp;R156</f>
        <v/>
      </c>
      <c r="AH156" s="20">
        <f>IF(A156="","",A156)</f>
        <v/>
      </c>
      <c r="AI156" s="131">
        <f>IF(E156="","",E156)</f>
        <v/>
      </c>
      <c r="AJ156" s="117">
        <f>IF(AI156="","",$AJ$2)</f>
        <v/>
      </c>
      <c r="AK156" s="117" t="inlineStr">
        <is>
          <t>A</t>
        </is>
      </c>
      <c r="AL156" s="117" t="inlineStr">
        <is>
          <t>A+</t>
        </is>
      </c>
      <c r="AM156" s="117" t="inlineStr">
        <is>
          <t>B+</t>
        </is>
      </c>
      <c r="AN156" s="117">
        <f>IF(AI156="","",$AN$2)</f>
        <v/>
      </c>
      <c r="AO156" s="117">
        <f>IF(N156="","",IF(N156&gt;=$AO$1/100,"O","X"))</f>
        <v/>
      </c>
      <c r="AP156" s="117">
        <f>IF(I156="","",IF(I156&lt;=$AP$1,"O","X"))</f>
        <v/>
      </c>
      <c r="AQ156" s="117">
        <f>IF(O156="","",IF(O156&lt;=$AQ$1,"O","X"))</f>
        <v/>
      </c>
      <c r="AR156" s="117">
        <f>IF(M156="","",IF(M156&lt;=$AR$1,"O","X"))</f>
        <v/>
      </c>
      <c r="AS156" s="117" t="inlineStr">
        <is>
          <t>X</t>
        </is>
      </c>
      <c r="AT156" s="117">
        <f>IF(OR(F156="",AI156=""),"",IF(AND((F156&lt;=85),(AI156&gt;=15)),"O","X"))</f>
        <v/>
      </c>
      <c r="AU156" s="117">
        <f>IF(C156="","",IF(C156&gt;=$AU$1,"O","X"))</f>
        <v/>
      </c>
      <c r="AV156" s="117">
        <f>IF(AO156="","",IF(AND(AO156="O",AP156="O",AR156="O",AT156="O",AU156="O"),"후보","X"))</f>
        <v/>
      </c>
    </row>
    <row r="157" ht="12" customFormat="1" customHeight="1" s="38">
      <c r="A157" s="120" t="inlineStr">
        <is>
          <t>병방동 진달래2차</t>
        </is>
      </c>
      <c r="B157" s="121" t="inlineStr">
        <is>
          <t>89.08.</t>
        </is>
      </c>
      <c r="C157" s="129" t="n">
        <v>204</v>
      </c>
      <c r="D157" s="130" t="n">
        <v>52.6</v>
      </c>
      <c r="E157" s="131" t="n">
        <v>16</v>
      </c>
      <c r="F157" s="130" t="n">
        <v>39.9</v>
      </c>
      <c r="G157" s="17" t="n">
        <v>12</v>
      </c>
      <c r="H157" s="132" t="n">
        <v>132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2</v>
      </c>
      <c r="R157" s="117" t="n">
        <v>1</v>
      </c>
      <c r="S157" s="117" t="inlineStr">
        <is>
          <t>계</t>
        </is>
      </c>
      <c r="T157" s="5" t="n">
        <v>52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17">
        <f>S157</f>
        <v/>
      </c>
      <c r="AF157" s="117">
        <f>Q157&amp;"/"&amp;R157</f>
        <v/>
      </c>
      <c r="AH157" s="20">
        <f>IF(A157="","",A157)</f>
        <v/>
      </c>
      <c r="AI157" s="131">
        <f>IF(E157="","",E157)</f>
        <v/>
      </c>
      <c r="AJ157" s="117">
        <f>IF(AI157="","",$AJ$2)</f>
        <v/>
      </c>
      <c r="AK157" s="117" t="inlineStr">
        <is>
          <t>A</t>
        </is>
      </c>
      <c r="AL157" s="117" t="inlineStr">
        <is>
          <t>A+</t>
        </is>
      </c>
      <c r="AM157" s="117" t="inlineStr">
        <is>
          <t>B+</t>
        </is>
      </c>
      <c r="AN157" s="117">
        <f>IF(AI157="","",$AN$2)</f>
        <v/>
      </c>
      <c r="AO157" s="117">
        <f>IF(N157="","",IF(N157&gt;=$AO$1/100,"O","X"))</f>
        <v/>
      </c>
      <c r="AP157" s="117">
        <f>IF(I157="","",IF(I157&lt;=$AP$1,"O","X"))</f>
        <v/>
      </c>
      <c r="AQ157" s="117">
        <f>IF(O157="","",IF(O157&lt;=$AQ$1,"O","X"))</f>
        <v/>
      </c>
      <c r="AR157" s="117">
        <f>IF(M157="","",IF(M157&lt;=$AR$1,"O","X"))</f>
        <v/>
      </c>
      <c r="AS157" s="117" t="inlineStr">
        <is>
          <t>X</t>
        </is>
      </c>
      <c r="AT157" s="117">
        <f>IF(OR(F157="",AI157=""),"",IF(AND((F157&lt;=85),(AI157&gt;=15)),"O","X"))</f>
        <v/>
      </c>
      <c r="AU157" s="117">
        <f>IF(C157="","",IF(C157&gt;=$AU$1,"O","X"))</f>
        <v/>
      </c>
      <c r="AV157" s="117">
        <f>IF(AO157="","",IF(AND(AO157="O",AP157="O",AR157="O",AT157="O",AU157="O"),"후보","X"))</f>
        <v/>
      </c>
    </row>
    <row r="158" ht="12" customFormat="1" customHeight="1" s="38">
      <c r="A158" s="120" t="inlineStr">
        <is>
          <t>병방동 진달래2차</t>
        </is>
      </c>
      <c r="B158" s="121" t="inlineStr">
        <is>
          <t>89.08.</t>
        </is>
      </c>
      <c r="C158" s="129" t="n">
        <v>204</v>
      </c>
      <c r="D158" s="130" t="n">
        <v>62</v>
      </c>
      <c r="E158" s="131" t="n">
        <v>19</v>
      </c>
      <c r="F158" s="130" t="n">
        <v>47.8</v>
      </c>
      <c r="G158" s="17" t="n">
        <v>14</v>
      </c>
      <c r="H158" s="132" t="n">
        <v>72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61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17">
        <f>S158</f>
        <v/>
      </c>
      <c r="AF158" s="117">
        <f>Q158&amp;"/"&amp;R158</f>
        <v/>
      </c>
      <c r="AH158" s="20">
        <f>IF(A158="","",A158)</f>
        <v/>
      </c>
      <c r="AI158" s="131">
        <f>IF(E158="","",E158)</f>
        <v/>
      </c>
      <c r="AJ158" s="117">
        <f>IF(AI158="","",$AJ$2)</f>
        <v/>
      </c>
      <c r="AK158" s="117" t="inlineStr">
        <is>
          <t>A</t>
        </is>
      </c>
      <c r="AL158" s="117" t="inlineStr">
        <is>
          <t>A+</t>
        </is>
      </c>
      <c r="AM158" s="117" t="inlineStr">
        <is>
          <t>B+</t>
        </is>
      </c>
      <c r="AN158" s="117">
        <f>IF(AI158="","",$AN$2)</f>
        <v/>
      </c>
      <c r="AO158" s="117">
        <f>IF(N158="","",IF(N158&gt;=$AO$1/100,"O","X"))</f>
        <v/>
      </c>
      <c r="AP158" s="117">
        <f>IF(I158="","",IF(I158&lt;=$AP$1,"O","X"))</f>
        <v/>
      </c>
      <c r="AQ158" s="117">
        <f>IF(O158="","",IF(O158&lt;=$AQ$1,"O","X"))</f>
        <v/>
      </c>
      <c r="AR158" s="117">
        <f>IF(M158="","",IF(M158&lt;=$AR$1,"O","X"))</f>
        <v/>
      </c>
      <c r="AS158" s="117" t="inlineStr">
        <is>
          <t>X</t>
        </is>
      </c>
      <c r="AT158" s="117">
        <f>IF(OR(F158="",AI158=""),"",IF(AND((F158&lt;=85),(AI158&gt;=15)),"O","X"))</f>
        <v/>
      </c>
      <c r="AU158" s="117">
        <f>IF(C158="","",IF(C158&gt;=$AU$1,"O","X"))</f>
        <v/>
      </c>
      <c r="AV158" s="117">
        <f>IF(AO158="","",IF(AND(AO158="O",AP158="O",AR158="O",AT158="O",AU158="O"),"후보","X"))</f>
        <v/>
      </c>
    </row>
    <row r="159" ht="12" customFormat="1" customHeight="1" s="38">
      <c r="A159" s="120" t="inlineStr">
        <is>
          <t>병방동 학마을영남</t>
        </is>
      </c>
      <c r="B159" s="121" t="inlineStr">
        <is>
          <t>97.10.</t>
        </is>
      </c>
      <c r="C159" s="129" t="n">
        <v>1047</v>
      </c>
      <c r="D159" s="130" t="n">
        <v>39.8</v>
      </c>
      <c r="E159" s="131" t="n">
        <v>12</v>
      </c>
      <c r="F159" s="130" t="n">
        <v>26</v>
      </c>
      <c r="G159" s="17" t="n">
        <v>8</v>
      </c>
      <c r="H159" s="132" t="n">
        <v>347</v>
      </c>
      <c r="I159" s="133" t="n">
        <v>13700</v>
      </c>
      <c r="J159" s="133" t="inlineStr">
        <is>
          <t>중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39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17">
        <f>S159</f>
        <v/>
      </c>
      <c r="AF159" s="117">
        <f>Q159&amp;"/"&amp;R159</f>
        <v/>
      </c>
      <c r="AH159" s="20">
        <f>IF(A159="","",A159)</f>
        <v/>
      </c>
      <c r="AI159" s="131">
        <f>IF(E159="","",E159)</f>
        <v/>
      </c>
      <c r="AJ159" s="117">
        <f>IF(AI159="","",$AJ$2)</f>
        <v/>
      </c>
      <c r="AK159" s="117" t="inlineStr">
        <is>
          <t>A</t>
        </is>
      </c>
      <c r="AL159" s="117" t="inlineStr">
        <is>
          <t>A+</t>
        </is>
      </c>
      <c r="AM159" s="117" t="inlineStr">
        <is>
          <t>B+</t>
        </is>
      </c>
      <c r="AN159" s="117">
        <f>IF(AI159="","",$AN$2)</f>
        <v/>
      </c>
      <c r="AO159" s="117">
        <f>IF(N159="","",IF(N159&gt;=$AO$1/100,"O","X"))</f>
        <v/>
      </c>
      <c r="AP159" s="117">
        <f>IF(I159="","",IF(I159&lt;=$AP$1,"O","X"))</f>
        <v/>
      </c>
      <c r="AQ159" s="117">
        <f>IF(O159="","",IF(O159&lt;=$AQ$1,"O","X"))</f>
        <v/>
      </c>
      <c r="AR159" s="117">
        <f>IF(M159="","",IF(M159&lt;=$AR$1,"O","X"))</f>
        <v/>
      </c>
      <c r="AS159" s="117" t="inlineStr">
        <is>
          <t>X</t>
        </is>
      </c>
      <c r="AT159" s="117">
        <f>IF(OR(F159="",AI159=""),"",IF(AND((F159&lt;=85),(AI159&gt;=15)),"O","X"))</f>
        <v/>
      </c>
      <c r="AU159" s="117">
        <f>IF(C159="","",IF(C159&gt;=$AU$1,"O","X"))</f>
        <v/>
      </c>
      <c r="AV159" s="117">
        <f>IF(AO159="","",IF(AND(AO159="O",AP159="O",AR159="O",AT159="O",AU159="O"),"후보","X"))</f>
        <v/>
      </c>
    </row>
    <row r="160" ht="12" customFormat="1" customHeight="1" s="38">
      <c r="A160" s="120" t="inlineStr">
        <is>
          <t>병방동 학마을영남</t>
        </is>
      </c>
      <c r="B160" s="121" t="inlineStr">
        <is>
          <t>97.10.</t>
        </is>
      </c>
      <c r="C160" s="129" t="n">
        <v>1047</v>
      </c>
      <c r="D160" s="130" t="n">
        <v>81.40000000000001</v>
      </c>
      <c r="E160" s="131" t="n">
        <v>25</v>
      </c>
      <c r="F160" s="130" t="n">
        <v>59.9</v>
      </c>
      <c r="G160" s="17" t="n">
        <v>18</v>
      </c>
      <c r="H160" s="132" t="n">
        <v>700</v>
      </c>
      <c r="I160" s="133" t="n">
        <v>40000</v>
      </c>
      <c r="J160" s="133" t="inlineStr">
        <is>
          <t>9</t>
        </is>
      </c>
      <c r="K160" s="133" t="n">
        <v>32000</v>
      </c>
      <c r="L160" s="133" t="inlineStr">
        <is>
          <t>12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n">
        <v>81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17">
        <f>S160</f>
        <v/>
      </c>
      <c r="AF160" s="117">
        <f>Q160&amp;"/"&amp;R160</f>
        <v/>
      </c>
      <c r="AH160" s="20">
        <f>IF(A160="","",A160)</f>
        <v/>
      </c>
      <c r="AI160" s="131">
        <f>IF(E160="","",E160)</f>
        <v/>
      </c>
      <c r="AJ160" s="117">
        <f>IF(AI160="","",$AJ$2)</f>
        <v/>
      </c>
      <c r="AK160" s="117" t="inlineStr">
        <is>
          <t>A</t>
        </is>
      </c>
      <c r="AL160" s="117" t="inlineStr">
        <is>
          <t>A+</t>
        </is>
      </c>
      <c r="AM160" s="117" t="inlineStr">
        <is>
          <t>B+</t>
        </is>
      </c>
      <c r="AN160" s="117">
        <f>IF(AI160="","",$AN$2)</f>
        <v/>
      </c>
      <c r="AO160" s="117">
        <f>IF(N160="","",IF(N160&gt;=$AO$1/100,"O","X"))</f>
        <v/>
      </c>
      <c r="AP160" s="117">
        <f>IF(I160="","",IF(I160&lt;=$AP$1,"O","X"))</f>
        <v/>
      </c>
      <c r="AQ160" s="117">
        <f>IF(O160="","",IF(O160&lt;=$AQ$1,"O","X"))</f>
        <v/>
      </c>
      <c r="AR160" s="117">
        <f>IF(M160="","",IF(M160&lt;=$AR$1,"O","X"))</f>
        <v/>
      </c>
      <c r="AS160" s="117" t="inlineStr">
        <is>
          <t>X</t>
        </is>
      </c>
      <c r="AT160" s="117">
        <f>IF(OR(F160="",AI160=""),"",IF(AND((F160&lt;=85),(AI160&gt;=15)),"O","X"))</f>
        <v/>
      </c>
      <c r="AU160" s="117">
        <f>IF(C160="","",IF(C160&gt;=$AU$1,"O","X"))</f>
        <v/>
      </c>
      <c r="AV160" s="117">
        <f>IF(AO160="","",IF(AND(AO160="O",AP160="O",AR160="O",AT160="O",AU160="O"),"후보","X"))</f>
        <v/>
      </c>
    </row>
    <row r="161" ht="12" customFormat="1" customHeight="1" s="38">
      <c r="A161" s="120" t="inlineStr">
        <is>
          <t>병방동 학마을서원</t>
        </is>
      </c>
      <c r="B161" s="121" t="inlineStr">
        <is>
          <t>97.05.</t>
        </is>
      </c>
      <c r="C161" s="129" t="n">
        <v>688</v>
      </c>
      <c r="D161" s="130" t="n">
        <v>49.3</v>
      </c>
      <c r="E161" s="131" t="n">
        <v>15</v>
      </c>
      <c r="F161" s="130" t="n">
        <v>34.4</v>
      </c>
      <c r="G161" s="17" t="n">
        <v>10</v>
      </c>
      <c r="H161" s="132" t="n">
        <v>176</v>
      </c>
      <c r="I161" s="133" t="n">
        <v>20000</v>
      </c>
      <c r="J161" s="133" t="inlineStr">
        <is>
          <t>15</t>
        </is>
      </c>
      <c r="K161" s="133" t="n">
        <v>16000</v>
      </c>
      <c r="L161" s="133" t="inlineStr">
        <is>
          <t>12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2</v>
      </c>
      <c r="R161" s="117" t="n">
        <v>1</v>
      </c>
      <c r="S161" s="117" t="inlineStr">
        <is>
          <t>복</t>
        </is>
      </c>
      <c r="T161" s="5" t="inlineStr">
        <is>
          <t>49A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17">
        <f>S161</f>
        <v/>
      </c>
      <c r="AF161" s="117">
        <f>Q161&amp;"/"&amp;R161</f>
        <v/>
      </c>
      <c r="AH161" s="20">
        <f>IF(A161="","",A161)</f>
        <v/>
      </c>
      <c r="AI161" s="131">
        <f>IF(E161="","",E161)</f>
        <v/>
      </c>
      <c r="AJ161" s="117">
        <f>IF(AI161="","",$AJ$2)</f>
        <v/>
      </c>
      <c r="AK161" s="117" t="inlineStr">
        <is>
          <t>A</t>
        </is>
      </c>
      <c r="AL161" s="117" t="inlineStr">
        <is>
          <t>A+</t>
        </is>
      </c>
      <c r="AM161" s="117" t="inlineStr">
        <is>
          <t>B+</t>
        </is>
      </c>
      <c r="AN161" s="117">
        <f>IF(AI161="","",$AN$2)</f>
        <v/>
      </c>
      <c r="AO161" s="117">
        <f>IF(N161="","",IF(N161&gt;=$AO$1/100,"O","X"))</f>
        <v/>
      </c>
      <c r="AP161" s="117">
        <f>IF(I161="","",IF(I161&lt;=$AP$1,"O","X"))</f>
        <v/>
      </c>
      <c r="AQ161" s="117">
        <f>IF(O161="","",IF(O161&lt;=$AQ$1,"O","X"))</f>
        <v/>
      </c>
      <c r="AR161" s="117">
        <f>IF(M161="","",IF(M161&lt;=$AR$1,"O","X"))</f>
        <v/>
      </c>
      <c r="AS161" s="117" t="inlineStr">
        <is>
          <t>X</t>
        </is>
      </c>
      <c r="AT161" s="117">
        <f>IF(OR(F161="",AI161=""),"",IF(AND((F161&lt;=85),(AI161&gt;=15)),"O","X"))</f>
        <v/>
      </c>
      <c r="AU161" s="117">
        <f>IF(C161="","",IF(C161&gt;=$AU$1,"O","X"))</f>
        <v/>
      </c>
      <c r="AV161" s="117">
        <f>IF(AO161="","",IF(AND(AO161="O",AP161="O",AR161="O",AT161="O",AU161="O"),"후보","X"))</f>
        <v/>
      </c>
    </row>
    <row r="162" ht="12" customFormat="1" customHeight="1" s="38">
      <c r="A162" s="120" t="inlineStr">
        <is>
          <t>병방동 학마을서원</t>
        </is>
      </c>
      <c r="B162" s="121" t="inlineStr">
        <is>
          <t>97.05.</t>
        </is>
      </c>
      <c r="C162" s="129" t="n">
        <v>688</v>
      </c>
      <c r="D162" s="130" t="n">
        <v>49.3</v>
      </c>
      <c r="E162" s="131" t="n">
        <v>15</v>
      </c>
      <c r="F162" s="130" t="n">
        <v>34.4</v>
      </c>
      <c r="G162" s="17" t="n">
        <v>10</v>
      </c>
      <c r="H162" s="132" t="n">
        <v>64</v>
      </c>
      <c r="I162" s="133" t="n">
        <v>20000</v>
      </c>
      <c r="J162" s="133" t="inlineStr">
        <is>
          <t>15</t>
        </is>
      </c>
      <c r="K162" s="133" t="n">
        <v>16000</v>
      </c>
      <c r="L162" s="133" t="inlineStr">
        <is>
          <t>12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inlineStr">
        <is>
          <t>49B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17">
        <f>S162</f>
        <v/>
      </c>
      <c r="AF162" s="117">
        <f>Q162&amp;"/"&amp;R162</f>
        <v/>
      </c>
      <c r="AH162" s="20">
        <f>IF(A162="","",A162)</f>
        <v/>
      </c>
      <c r="AI162" s="131">
        <f>IF(E162="","",E162)</f>
        <v/>
      </c>
      <c r="AJ162" s="117">
        <f>IF(AI162="","",$AJ$2)</f>
        <v/>
      </c>
      <c r="AK162" s="117" t="inlineStr">
        <is>
          <t>A</t>
        </is>
      </c>
      <c r="AL162" s="117" t="inlineStr">
        <is>
          <t>A+</t>
        </is>
      </c>
      <c r="AM162" s="117" t="inlineStr">
        <is>
          <t>B+</t>
        </is>
      </c>
      <c r="AN162" s="117">
        <f>IF(AI162="","",$AN$2)</f>
        <v/>
      </c>
      <c r="AO162" s="117">
        <f>IF(N162="","",IF(N162&gt;=$AO$1/100,"O","X"))</f>
        <v/>
      </c>
      <c r="AP162" s="117">
        <f>IF(I162="","",IF(I162&lt;=$AP$1,"O","X"))</f>
        <v/>
      </c>
      <c r="AQ162" s="117">
        <f>IF(O162="","",IF(O162&lt;=$AQ$1,"O","X"))</f>
        <v/>
      </c>
      <c r="AR162" s="117">
        <f>IF(M162="","",IF(M162&lt;=$AR$1,"O","X"))</f>
        <v/>
      </c>
      <c r="AS162" s="117" t="inlineStr">
        <is>
          <t>X</t>
        </is>
      </c>
      <c r="AT162" s="117">
        <f>IF(OR(F162="",AI162=""),"",IF(AND((F162&lt;=85),(AI162&gt;=15)),"O","X"))</f>
        <v/>
      </c>
      <c r="AU162" s="117">
        <f>IF(C162="","",IF(C162&gt;=$AU$1,"O","X"))</f>
        <v/>
      </c>
      <c r="AV162" s="117">
        <f>IF(AO162="","",IF(AND(AO162="O",AP162="O",AR162="O",AT162="O",AU162="O"),"후보","X"))</f>
        <v/>
      </c>
    </row>
    <row r="163" ht="12" customFormat="1" customHeight="1" s="38">
      <c r="A163" s="120" t="inlineStr">
        <is>
          <t>병방동 학마을서원</t>
        </is>
      </c>
      <c r="B163" s="121" t="inlineStr">
        <is>
          <t>97.05.</t>
        </is>
      </c>
      <c r="C163" s="129" t="n">
        <v>688</v>
      </c>
      <c r="D163" s="130" t="n">
        <v>81.09999999999999</v>
      </c>
      <c r="E163" s="131" t="n">
        <v>25</v>
      </c>
      <c r="F163" s="130" t="n">
        <v>59.9</v>
      </c>
      <c r="G163" s="17" t="n">
        <v>18</v>
      </c>
      <c r="H163" s="132" t="n">
        <v>448</v>
      </c>
      <c r="I163" s="133" t="n">
        <v>37500</v>
      </c>
      <c r="J163" s="133" t="inlineStr">
        <is>
          <t>11</t>
        </is>
      </c>
      <c r="K163" s="133" t="n">
        <v>28000</v>
      </c>
      <c r="L163" s="133" t="inlineStr">
        <is>
          <t>11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81</v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17">
        <f>S163</f>
        <v/>
      </c>
      <c r="AF163" s="117">
        <f>Q163&amp;"/"&amp;R163</f>
        <v/>
      </c>
      <c r="AH163" s="20">
        <f>IF(A163="","",A163)</f>
        <v/>
      </c>
      <c r="AI163" s="131">
        <f>IF(E163="","",E163)</f>
        <v/>
      </c>
      <c r="AJ163" s="117">
        <f>IF(AI163="","",$AJ$2)</f>
        <v/>
      </c>
      <c r="AK163" s="117" t="inlineStr">
        <is>
          <t>A</t>
        </is>
      </c>
      <c r="AL163" s="117" t="inlineStr">
        <is>
          <t>A+</t>
        </is>
      </c>
      <c r="AM163" s="117" t="inlineStr">
        <is>
          <t>B+</t>
        </is>
      </c>
      <c r="AN163" s="117">
        <f>IF(AI163="","",$AN$2)</f>
        <v/>
      </c>
      <c r="AO163" s="117">
        <f>IF(N163="","",IF(N163&gt;=$AO$1/100,"O","X"))</f>
        <v/>
      </c>
      <c r="AP163" s="117">
        <f>IF(I163="","",IF(I163&lt;=$AP$1,"O","X"))</f>
        <v/>
      </c>
      <c r="AQ163" s="117">
        <f>IF(O163="","",IF(O163&lt;=$AQ$1,"O","X"))</f>
        <v/>
      </c>
      <c r="AR163" s="117">
        <f>IF(M163="","",IF(M163&lt;=$AR$1,"O","X"))</f>
        <v/>
      </c>
      <c r="AS163" s="117" t="inlineStr">
        <is>
          <t>X</t>
        </is>
      </c>
      <c r="AT163" s="117">
        <f>IF(OR(F163="",AI163=""),"",IF(AND((F163&lt;=85),(AI163&gt;=15)),"O","X"))</f>
        <v/>
      </c>
      <c r="AU163" s="117">
        <f>IF(C163="","",IF(C163&gt;=$AU$1,"O","X"))</f>
        <v/>
      </c>
      <c r="AV163" s="117">
        <f>IF(AO163="","",IF(AND(AO163="O",AP163="O",AR163="O",AT163="O",AU163="O"),"후보","X"))</f>
        <v/>
      </c>
    </row>
    <row r="164" ht="12" customFormat="1" customHeight="1" s="38">
      <c r="A164" s="120" t="inlineStr">
        <is>
          <t>병방동 신명진달래1차</t>
        </is>
      </c>
      <c r="B164" s="121" t="inlineStr">
        <is>
          <t>88.12.</t>
        </is>
      </c>
      <c r="C164" s="129" t="n">
        <v>258</v>
      </c>
      <c r="D164" s="130" t="n">
        <v>49.8</v>
      </c>
      <c r="E164" s="131" t="n">
        <v>15</v>
      </c>
      <c r="F164" s="130" t="n">
        <v>41.6</v>
      </c>
      <c r="G164" s="17" t="n">
        <v>13</v>
      </c>
      <c r="H164" s="132" t="n">
        <v>96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49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17">
        <f>S164</f>
        <v/>
      </c>
      <c r="AF164" s="117">
        <f>Q164&amp;"/"&amp;R164</f>
        <v/>
      </c>
      <c r="AH164" s="20">
        <f>IF(A164="","",A164)</f>
        <v/>
      </c>
      <c r="AI164" s="131">
        <f>IF(E164="","",E164)</f>
        <v/>
      </c>
      <c r="AJ164" s="117">
        <f>IF(AI164="","",$AJ$2)</f>
        <v/>
      </c>
      <c r="AK164" s="117" t="inlineStr">
        <is>
          <t>A</t>
        </is>
      </c>
      <c r="AL164" s="117" t="inlineStr">
        <is>
          <t>A+</t>
        </is>
      </c>
      <c r="AM164" s="117" t="inlineStr">
        <is>
          <t>B+</t>
        </is>
      </c>
      <c r="AN164" s="117">
        <f>IF(AI164="","",$AN$2)</f>
        <v/>
      </c>
      <c r="AO164" s="117">
        <f>IF(N164="","",IF(N164&gt;=$AO$1/100,"O","X"))</f>
        <v/>
      </c>
      <c r="AP164" s="117">
        <f>IF(I164="","",IF(I164&lt;=$AP$1,"O","X"))</f>
        <v/>
      </c>
      <c r="AQ164" s="117">
        <f>IF(O164="","",IF(O164&lt;=$AQ$1,"O","X"))</f>
        <v/>
      </c>
      <c r="AR164" s="117">
        <f>IF(M164="","",IF(M164&lt;=$AR$1,"O","X"))</f>
        <v/>
      </c>
      <c r="AS164" s="117" t="inlineStr">
        <is>
          <t>X</t>
        </is>
      </c>
      <c r="AT164" s="117">
        <f>IF(OR(F164="",AI164=""),"",IF(AND((F164&lt;=85),(AI164&gt;=15)),"O","X"))</f>
        <v/>
      </c>
      <c r="AU164" s="117">
        <f>IF(C164="","",IF(C164&gt;=$AU$1,"O","X"))</f>
        <v/>
      </c>
      <c r="AV164" s="117">
        <f>IF(AO164="","",IF(AND(AO164="O",AP164="O",AR164="O",AT164="O",AU164="O"),"후보","X"))</f>
        <v/>
      </c>
    </row>
    <row r="165" ht="12" customFormat="1" customHeight="1" s="38">
      <c r="A165" s="120" t="inlineStr">
        <is>
          <t>병방동 신명진달래1차</t>
        </is>
      </c>
      <c r="B165" s="121" t="inlineStr">
        <is>
          <t>88.12.</t>
        </is>
      </c>
      <c r="C165" s="129" t="n">
        <v>258</v>
      </c>
      <c r="D165" s="130" t="n">
        <v>62</v>
      </c>
      <c r="E165" s="131" t="n">
        <v>19</v>
      </c>
      <c r="F165" s="130" t="n">
        <v>48.2</v>
      </c>
      <c r="G165" s="17" t="n">
        <v>15</v>
      </c>
      <c r="H165" s="132" t="n">
        <v>156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61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17">
        <f>S165</f>
        <v/>
      </c>
      <c r="AF165" s="117">
        <f>Q165&amp;"/"&amp;R165</f>
        <v/>
      </c>
      <c r="AH165" s="20">
        <f>IF(A165="","",A165)</f>
        <v/>
      </c>
      <c r="AI165" s="131">
        <f>IF(E165="","",E165)</f>
        <v/>
      </c>
      <c r="AJ165" s="117">
        <f>IF(AI165="","",$AJ$2)</f>
        <v/>
      </c>
      <c r="AK165" s="117" t="inlineStr">
        <is>
          <t>A</t>
        </is>
      </c>
      <c r="AL165" s="117" t="inlineStr">
        <is>
          <t>A+</t>
        </is>
      </c>
      <c r="AM165" s="117" t="inlineStr">
        <is>
          <t>B+</t>
        </is>
      </c>
      <c r="AN165" s="117">
        <f>IF(AI165="","",$AN$2)</f>
        <v/>
      </c>
      <c r="AO165" s="117">
        <f>IF(N165="","",IF(N165&gt;=$AO$1/100,"O","X"))</f>
        <v/>
      </c>
      <c r="AP165" s="117">
        <f>IF(I165="","",IF(I165&lt;=$AP$1,"O","X"))</f>
        <v/>
      </c>
      <c r="AQ165" s="117">
        <f>IF(O165="","",IF(O165&lt;=$AQ$1,"O","X"))</f>
        <v/>
      </c>
      <c r="AR165" s="117">
        <f>IF(M165="","",IF(M165&lt;=$AR$1,"O","X"))</f>
        <v/>
      </c>
      <c r="AS165" s="117" t="inlineStr">
        <is>
          <t>X</t>
        </is>
      </c>
      <c r="AT165" s="117">
        <f>IF(OR(F165="",AI165=""),"",IF(AND((F165&lt;=85),(AI165&gt;=15)),"O","X"))</f>
        <v/>
      </c>
      <c r="AU165" s="117">
        <f>IF(C165="","",IF(C165&gt;=$AU$1,"O","X"))</f>
        <v/>
      </c>
      <c r="AV165" s="117">
        <f>IF(AO165="","",IF(AND(AO165="O",AP165="O",AR165="O",AT165="O",AU165="O"),"후보","X"))</f>
        <v/>
      </c>
    </row>
    <row r="166" ht="12" customFormat="1" customHeight="1" s="38">
      <c r="A166" s="120" t="inlineStr">
        <is>
          <t>병방동 신명진달래1차</t>
        </is>
      </c>
      <c r="B166" s="121" t="inlineStr">
        <is>
          <t>88.12.</t>
        </is>
      </c>
      <c r="C166" s="129" t="n">
        <v>258</v>
      </c>
      <c r="D166" s="130" t="n">
        <v>85</v>
      </c>
      <c r="E166" s="131" t="n">
        <v>26</v>
      </c>
      <c r="F166" s="130" t="n">
        <v>63.2</v>
      </c>
      <c r="G166" s="17" t="n">
        <v>19</v>
      </c>
      <c r="H166" s="132" t="n">
        <v>6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3</v>
      </c>
      <c r="R166" s="117" t="n">
        <v>1</v>
      </c>
      <c r="S166" s="117" t="inlineStr">
        <is>
          <t>계</t>
        </is>
      </c>
      <c r="T166" s="5" t="n">
        <v>85</v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17">
        <f>S166</f>
        <v/>
      </c>
      <c r="AF166" s="117">
        <f>Q166&amp;"/"&amp;R166</f>
        <v/>
      </c>
      <c r="AH166" s="20">
        <f>IF(A166="","",A166)</f>
        <v/>
      </c>
      <c r="AI166" s="131">
        <f>IF(E166="","",E166)</f>
        <v/>
      </c>
      <c r="AJ166" s="117">
        <f>IF(AI166="","",$AJ$2)</f>
        <v/>
      </c>
      <c r="AK166" s="117" t="inlineStr">
        <is>
          <t>A</t>
        </is>
      </c>
      <c r="AL166" s="117" t="inlineStr">
        <is>
          <t>A+</t>
        </is>
      </c>
      <c r="AM166" s="117" t="inlineStr">
        <is>
          <t>B+</t>
        </is>
      </c>
      <c r="AN166" s="117">
        <f>IF(AI166="","",$AN$2)</f>
        <v/>
      </c>
      <c r="AO166" s="117">
        <f>IF(N166="","",IF(N166&gt;=$AO$1/100,"O","X"))</f>
        <v/>
      </c>
      <c r="AP166" s="117">
        <f>IF(I166="","",IF(I166&lt;=$AP$1,"O","X"))</f>
        <v/>
      </c>
      <c r="AQ166" s="117">
        <f>IF(O166="","",IF(O166&lt;=$AQ$1,"O","X"))</f>
        <v/>
      </c>
      <c r="AR166" s="117">
        <f>IF(M166="","",IF(M166&lt;=$AR$1,"O","X"))</f>
        <v/>
      </c>
      <c r="AS166" s="117" t="inlineStr">
        <is>
          <t>X</t>
        </is>
      </c>
      <c r="AT166" s="117">
        <f>IF(OR(F166="",AI166=""),"",IF(AND((F166&lt;=85),(AI166&gt;=15)),"O","X"))</f>
        <v/>
      </c>
      <c r="AU166" s="117">
        <f>IF(C166="","",IF(C166&gt;=$AU$1,"O","X"))</f>
        <v/>
      </c>
      <c r="AV166" s="117">
        <f>IF(AO166="","",IF(AND(AO166="O",AP166="O",AR166="O",AT166="O",AU166="O"),"후보","X"))</f>
        <v/>
      </c>
    </row>
    <row r="167" ht="12" customFormat="1" customHeight="1" s="38">
      <c r="A167" s="120" t="inlineStr">
        <is>
          <t>병방동 아주</t>
        </is>
      </c>
      <c r="B167" s="121" t="inlineStr">
        <is>
          <t>89.09.</t>
        </is>
      </c>
      <c r="C167" s="129" t="n">
        <v>468</v>
      </c>
      <c r="D167" s="130" t="n">
        <v>52.3</v>
      </c>
      <c r="E167" s="131" t="n">
        <v>16</v>
      </c>
      <c r="F167" s="130" t="n">
        <v>41.6</v>
      </c>
      <c r="G167" s="17" t="n">
        <v>13</v>
      </c>
      <c r="H167" s="132" t="n">
        <v>204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2</v>
      </c>
      <c r="R167" s="117" t="n">
        <v>1</v>
      </c>
      <c r="S167" s="117" t="inlineStr">
        <is>
          <t>계</t>
        </is>
      </c>
      <c r="T167" s="5" t="n">
        <v>52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17">
        <f>S167</f>
        <v/>
      </c>
      <c r="AF167" s="117">
        <f>Q167&amp;"/"&amp;R167</f>
        <v/>
      </c>
      <c r="AH167" s="20">
        <f>IF(A167="","",A167)</f>
        <v/>
      </c>
      <c r="AI167" s="131">
        <f>IF(E167="","",E167)</f>
        <v/>
      </c>
      <c r="AJ167" s="117">
        <f>IF(AI167="","",$AJ$2)</f>
        <v/>
      </c>
      <c r="AK167" s="117" t="inlineStr">
        <is>
          <t>A</t>
        </is>
      </c>
      <c r="AL167" s="117" t="inlineStr">
        <is>
          <t>A+</t>
        </is>
      </c>
      <c r="AM167" s="117" t="inlineStr">
        <is>
          <t>B+</t>
        </is>
      </c>
      <c r="AN167" s="117">
        <f>IF(AI167="","",$AN$2)</f>
        <v/>
      </c>
      <c r="AO167" s="117">
        <f>IF(N167="","",IF(N167&gt;=$AO$1/100,"O","X"))</f>
        <v/>
      </c>
      <c r="AP167" s="117">
        <f>IF(I167="","",IF(I167&lt;=$AP$1,"O","X"))</f>
        <v/>
      </c>
      <c r="AQ167" s="117">
        <f>IF(O167="","",IF(O167&lt;=$AQ$1,"O","X"))</f>
        <v/>
      </c>
      <c r="AR167" s="117">
        <f>IF(M167="","",IF(M167&lt;=$AR$1,"O","X"))</f>
        <v/>
      </c>
      <c r="AS167" s="117" t="inlineStr">
        <is>
          <t>X</t>
        </is>
      </c>
      <c r="AT167" s="117">
        <f>IF(OR(F167="",AI167=""),"",IF(AND((F167&lt;=85),(AI167&gt;=15)),"O","X"))</f>
        <v/>
      </c>
      <c r="AU167" s="117">
        <f>IF(C167="","",IF(C167&gt;=$AU$1,"O","X"))</f>
        <v/>
      </c>
      <c r="AV167" s="117">
        <f>IF(AO167="","",IF(AND(AO167="O",AP167="O",AR167="O",AT167="O",AU167="O"),"후보","X"))</f>
        <v/>
      </c>
    </row>
    <row r="168" ht="12" customFormat="1" customHeight="1" s="38">
      <c r="A168" s="120" t="inlineStr">
        <is>
          <t>병방동 아주</t>
        </is>
      </c>
      <c r="B168" s="121" t="inlineStr">
        <is>
          <t>89.09.</t>
        </is>
      </c>
      <c r="C168" s="129" t="n">
        <v>468</v>
      </c>
      <c r="D168" s="130" t="n">
        <v>59.8</v>
      </c>
      <c r="E168" s="131" t="n">
        <v>18</v>
      </c>
      <c r="F168" s="130" t="n">
        <v>48.2</v>
      </c>
      <c r="G168" s="17" t="n">
        <v>15</v>
      </c>
      <c r="H168" s="132" t="n">
        <v>144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59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17">
        <f>S168</f>
        <v/>
      </c>
      <c r="AF168" s="117">
        <f>Q168&amp;"/"&amp;R168</f>
        <v/>
      </c>
      <c r="AH168" s="20">
        <f>IF(A168="","",A168)</f>
        <v/>
      </c>
      <c r="AI168" s="131">
        <f>IF(E168="","",E168)</f>
        <v/>
      </c>
      <c r="AJ168" s="117">
        <f>IF(AI168="","",$AJ$2)</f>
        <v/>
      </c>
      <c r="AK168" s="117" t="inlineStr">
        <is>
          <t>A</t>
        </is>
      </c>
      <c r="AL168" s="117" t="inlineStr">
        <is>
          <t>A+</t>
        </is>
      </c>
      <c r="AM168" s="117" t="inlineStr">
        <is>
          <t>B+</t>
        </is>
      </c>
      <c r="AN168" s="117">
        <f>IF(AI168="","",$AN$2)</f>
        <v/>
      </c>
      <c r="AO168" s="117">
        <f>IF(N168="","",IF(N168&gt;=$AO$1/100,"O","X"))</f>
        <v/>
      </c>
      <c r="AP168" s="117">
        <f>IF(I168="","",IF(I168&lt;=$AP$1,"O","X"))</f>
        <v/>
      </c>
      <c r="AQ168" s="117">
        <f>IF(O168="","",IF(O168&lt;=$AQ$1,"O","X"))</f>
        <v/>
      </c>
      <c r="AR168" s="117">
        <f>IF(M168="","",IF(M168&lt;=$AR$1,"O","X"))</f>
        <v/>
      </c>
      <c r="AS168" s="117" t="inlineStr">
        <is>
          <t>X</t>
        </is>
      </c>
      <c r="AT168" s="117">
        <f>IF(OR(F168="",AI168=""),"",IF(AND((F168&lt;=85),(AI168&gt;=15)),"O","X"))</f>
        <v/>
      </c>
      <c r="AU168" s="117">
        <f>IF(C168="","",IF(C168&gt;=$AU$1,"O","X"))</f>
        <v/>
      </c>
      <c r="AV168" s="117">
        <f>IF(AO168="","",IF(AND(AO168="O",AP168="O",AR168="O",AT168="O",AU168="O"),"후보","X"))</f>
        <v/>
      </c>
    </row>
    <row r="169" ht="12" customFormat="1" customHeight="1" s="38">
      <c r="A169" s="120" t="inlineStr">
        <is>
          <t>병방동 아주</t>
        </is>
      </c>
      <c r="B169" s="121" t="inlineStr">
        <is>
          <t>89.09.</t>
        </is>
      </c>
      <c r="C169" s="129" t="n">
        <v>468</v>
      </c>
      <c r="D169" s="130" t="n">
        <v>63.6</v>
      </c>
      <c r="E169" s="131" t="n">
        <v>19</v>
      </c>
      <c r="F169" s="130" t="n">
        <v>51.6</v>
      </c>
      <c r="G169" s="17" t="n">
        <v>16</v>
      </c>
      <c r="H169" s="132" t="n">
        <v>36</v>
      </c>
      <c r="I169" s="133" t="n">
        <v>20000</v>
      </c>
      <c r="J169" s="133" t="inlineStr">
        <is>
          <t>5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63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17">
        <f>S169</f>
        <v/>
      </c>
      <c r="AF169" s="117">
        <f>Q169&amp;"/"&amp;R169</f>
        <v/>
      </c>
      <c r="AH169" s="20">
        <f>IF(A169="","",A169)</f>
        <v/>
      </c>
      <c r="AI169" s="131">
        <f>IF(E169="","",E169)</f>
        <v/>
      </c>
      <c r="AJ169" s="117">
        <f>IF(AI169="","",$AJ$2)</f>
        <v/>
      </c>
      <c r="AK169" s="117" t="inlineStr">
        <is>
          <t>A</t>
        </is>
      </c>
      <c r="AL169" s="117" t="inlineStr">
        <is>
          <t>A+</t>
        </is>
      </c>
      <c r="AM169" s="117" t="inlineStr">
        <is>
          <t>B+</t>
        </is>
      </c>
      <c r="AN169" s="117">
        <f>IF(AI169="","",$AN$2)</f>
        <v/>
      </c>
      <c r="AO169" s="117">
        <f>IF(N169="","",IF(N169&gt;=$AO$1/100,"O","X"))</f>
        <v/>
      </c>
      <c r="AP169" s="117">
        <f>IF(I169="","",IF(I169&lt;=$AP$1,"O","X"))</f>
        <v/>
      </c>
      <c r="AQ169" s="117">
        <f>IF(O169="","",IF(O169&lt;=$AQ$1,"O","X"))</f>
        <v/>
      </c>
      <c r="AR169" s="117">
        <f>IF(M169="","",IF(M169&lt;=$AR$1,"O","X"))</f>
        <v/>
      </c>
      <c r="AS169" s="117" t="inlineStr">
        <is>
          <t>X</t>
        </is>
      </c>
      <c r="AT169" s="117">
        <f>IF(OR(F169="",AI169=""),"",IF(AND((F169&lt;=85),(AI169&gt;=15)),"O","X"))</f>
        <v/>
      </c>
      <c r="AU169" s="117">
        <f>IF(C169="","",IF(C169&gt;=$AU$1,"O","X"))</f>
        <v/>
      </c>
      <c r="AV169" s="117">
        <f>IF(AO169="","",IF(AND(AO169="O",AP169="O",AR169="O",AT169="O",AU169="O"),"후보","X"))</f>
        <v/>
      </c>
    </row>
    <row r="170" ht="12" customFormat="1" customHeight="1" s="38">
      <c r="A170" s="120" t="inlineStr">
        <is>
          <t>병방동 아주</t>
        </is>
      </c>
      <c r="B170" s="121" t="inlineStr">
        <is>
          <t>89.09.</t>
        </is>
      </c>
      <c r="C170" s="129" t="n">
        <v>468</v>
      </c>
      <c r="D170" s="130" t="n">
        <v>67.5</v>
      </c>
      <c r="E170" s="131" t="n">
        <v>20</v>
      </c>
      <c r="F170" s="130" t="n">
        <v>55</v>
      </c>
      <c r="G170" s="17" t="n">
        <v>17</v>
      </c>
      <c r="H170" s="132" t="n">
        <v>84</v>
      </c>
      <c r="I170" s="133" t="n">
        <v>21500</v>
      </c>
      <c r="J170" s="133" t="inlineStr">
        <is>
          <t>5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67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17">
        <f>S170</f>
        <v/>
      </c>
      <c r="AF170" s="117">
        <f>Q170&amp;"/"&amp;R170</f>
        <v/>
      </c>
      <c r="AH170" s="20">
        <f>IF(A170="","",A170)</f>
        <v/>
      </c>
      <c r="AI170" s="131">
        <f>IF(E170="","",E170)</f>
        <v/>
      </c>
      <c r="AJ170" s="117">
        <f>IF(AI170="","",$AJ$2)</f>
        <v/>
      </c>
      <c r="AK170" s="117" t="inlineStr">
        <is>
          <t>A</t>
        </is>
      </c>
      <c r="AL170" s="117" t="inlineStr">
        <is>
          <t>A+</t>
        </is>
      </c>
      <c r="AM170" s="117" t="inlineStr">
        <is>
          <t>B+</t>
        </is>
      </c>
      <c r="AN170" s="117">
        <f>IF(AI170="","",$AN$2)</f>
        <v/>
      </c>
      <c r="AO170" s="117">
        <f>IF(N170="","",IF(N170&gt;=$AO$1/100,"O","X"))</f>
        <v/>
      </c>
      <c r="AP170" s="117">
        <f>IF(I170="","",IF(I170&lt;=$AP$1,"O","X"))</f>
        <v/>
      </c>
      <c r="AQ170" s="117">
        <f>IF(O170="","",IF(O170&lt;=$AQ$1,"O","X"))</f>
        <v/>
      </c>
      <c r="AR170" s="117">
        <f>IF(M170="","",IF(M170&lt;=$AR$1,"O","X"))</f>
        <v/>
      </c>
      <c r="AS170" s="117" t="inlineStr">
        <is>
          <t>X</t>
        </is>
      </c>
      <c r="AT170" s="117">
        <f>IF(OR(F170="",AI170=""),"",IF(AND((F170&lt;=85),(AI170&gt;=15)),"O","X"))</f>
        <v/>
      </c>
      <c r="AU170" s="117">
        <f>IF(C170="","",IF(C170&gt;=$AU$1,"O","X"))</f>
        <v/>
      </c>
      <c r="AV170" s="117">
        <f>IF(AO170="","",IF(AND(AO170="O",AP170="O",AR170="O",AT170="O",AU170="O"),"후보","X"))</f>
        <v/>
      </c>
    </row>
    <row r="171" ht="12" customFormat="1" customHeight="1" s="38">
      <c r="A171" s="120" t="inlineStr">
        <is>
          <t>병방동 학마을한진</t>
        </is>
      </c>
      <c r="B171" s="121" t="inlineStr">
        <is>
          <t>98.11.</t>
        </is>
      </c>
      <c r="C171" s="129" t="n">
        <v>1500</v>
      </c>
      <c r="D171" s="130" t="n">
        <v>54.5</v>
      </c>
      <c r="E171" s="131" t="n">
        <v>16</v>
      </c>
      <c r="F171" s="130" t="n">
        <v>39.8</v>
      </c>
      <c r="G171" s="17" t="n">
        <v>12</v>
      </c>
      <c r="H171" s="132" t="n">
        <v>200</v>
      </c>
      <c r="I171" s="133" t="n">
        <v>20000</v>
      </c>
      <c r="J171" s="133" t="inlineStr">
        <is>
          <t>5</t>
        </is>
      </c>
      <c r="K171" s="133" t="n">
        <v>17000</v>
      </c>
      <c r="L171" s="133" t="inlineStr">
        <is>
          <t>15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54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17">
        <f>S171</f>
        <v/>
      </c>
      <c r="AF171" s="117">
        <f>Q171&amp;"/"&amp;R171</f>
        <v/>
      </c>
      <c r="AH171" s="20">
        <f>IF(A171="","",A171)</f>
        <v/>
      </c>
      <c r="AI171" s="131">
        <f>IF(E171="","",E171)</f>
        <v/>
      </c>
      <c r="AJ171" s="117">
        <f>IF(AI171="","",$AJ$2)</f>
        <v/>
      </c>
      <c r="AK171" s="117" t="inlineStr">
        <is>
          <t>A</t>
        </is>
      </c>
      <c r="AL171" s="117" t="inlineStr">
        <is>
          <t>A+</t>
        </is>
      </c>
      <c r="AM171" s="117" t="inlineStr">
        <is>
          <t>B+</t>
        </is>
      </c>
      <c r="AN171" s="117">
        <f>IF(AI171="","",$AN$2)</f>
        <v/>
      </c>
      <c r="AO171" s="117">
        <f>IF(N171="","",IF(N171&gt;=$AO$1/100,"O","X"))</f>
        <v/>
      </c>
      <c r="AP171" s="117">
        <f>IF(I171="","",IF(I171&lt;=$AP$1,"O","X"))</f>
        <v/>
      </c>
      <c r="AQ171" s="117">
        <f>IF(O171="","",IF(O171&lt;=$AQ$1,"O","X"))</f>
        <v/>
      </c>
      <c r="AR171" s="117">
        <f>IF(M171="","",IF(M171&lt;=$AR$1,"O","X"))</f>
        <v/>
      </c>
      <c r="AS171" s="117" t="inlineStr">
        <is>
          <t>X</t>
        </is>
      </c>
      <c r="AT171" s="117">
        <f>IF(OR(F171="",AI171=""),"",IF(AND((F171&lt;=85),(AI171&gt;=15)),"O","X"))</f>
        <v/>
      </c>
      <c r="AU171" s="117">
        <f>IF(C171="","",IF(C171&gt;=$AU$1,"O","X"))</f>
        <v/>
      </c>
      <c r="AV171" s="117">
        <f>IF(AO171="","",IF(AND(AO171="O",AP171="O",AR171="O",AT171="O",AU171="O"),"후보","X"))</f>
        <v/>
      </c>
    </row>
    <row r="172" ht="12" customFormat="1" customHeight="1" s="38">
      <c r="A172" s="120" t="inlineStr">
        <is>
          <t>병방동 학마을한진</t>
        </is>
      </c>
      <c r="B172" s="121" t="inlineStr">
        <is>
          <t>98.11.</t>
        </is>
      </c>
      <c r="C172" s="129" t="n">
        <v>1500</v>
      </c>
      <c r="D172" s="130" t="n">
        <v>68.5</v>
      </c>
      <c r="E172" s="131" t="n">
        <v>21</v>
      </c>
      <c r="F172" s="130" t="n">
        <v>49.8</v>
      </c>
      <c r="G172" s="17" t="n">
        <v>15</v>
      </c>
      <c r="H172" s="132" t="n">
        <v>900</v>
      </c>
      <c r="I172" s="133" t="n">
        <v>28000</v>
      </c>
      <c r="J172" s="133" t="inlineStr">
        <is>
          <t>5</t>
        </is>
      </c>
      <c r="K172" s="133" t="n">
        <v>20000</v>
      </c>
      <c r="L172" s="133" t="inlineStr">
        <is>
          <t>10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1</v>
      </c>
      <c r="S172" s="117" t="inlineStr">
        <is>
          <t>복</t>
        </is>
      </c>
      <c r="T172" s="5" t="n">
        <v>68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17">
        <f>S172</f>
        <v/>
      </c>
      <c r="AF172" s="117">
        <f>Q172&amp;"/"&amp;R172</f>
        <v/>
      </c>
      <c r="AH172" s="20">
        <f>IF(A172="","",A172)</f>
        <v/>
      </c>
      <c r="AI172" s="131">
        <f>IF(E172="","",E172)</f>
        <v/>
      </c>
      <c r="AJ172" s="117">
        <f>IF(AI172="","",$AJ$2)</f>
        <v/>
      </c>
      <c r="AK172" s="117" t="inlineStr">
        <is>
          <t>A</t>
        </is>
      </c>
      <c r="AL172" s="117" t="inlineStr">
        <is>
          <t>A+</t>
        </is>
      </c>
      <c r="AM172" s="117" t="inlineStr">
        <is>
          <t>B+</t>
        </is>
      </c>
      <c r="AN172" s="117">
        <f>IF(AI172="","",$AN$2)</f>
        <v/>
      </c>
      <c r="AO172" s="117">
        <f>IF(N172="","",IF(N172&gt;=$AO$1/100,"O","X"))</f>
        <v/>
      </c>
      <c r="AP172" s="117">
        <f>IF(I172="","",IF(I172&lt;=$AP$1,"O","X"))</f>
        <v/>
      </c>
      <c r="AQ172" s="117">
        <f>IF(O172="","",IF(O172&lt;=$AQ$1,"O","X"))</f>
        <v/>
      </c>
      <c r="AR172" s="117">
        <f>IF(M172="","",IF(M172&lt;=$AR$1,"O","X"))</f>
        <v/>
      </c>
      <c r="AS172" s="117" t="inlineStr">
        <is>
          <t>X</t>
        </is>
      </c>
      <c r="AT172" s="117">
        <f>IF(OR(F172="",AI172=""),"",IF(AND((F172&lt;=85),(AI172&gt;=15)),"O","X"))</f>
        <v/>
      </c>
      <c r="AU172" s="117">
        <f>IF(C172="","",IF(C172&gt;=$AU$1,"O","X"))</f>
        <v/>
      </c>
      <c r="AV172" s="117">
        <f>IF(AO172="","",IF(AND(AO172="O",AP172="O",AR172="O",AT172="O",AU172="O"),"후보","X"))</f>
        <v/>
      </c>
    </row>
    <row r="173" ht="12" customFormat="1" customHeight="1" s="38">
      <c r="A173" s="120" t="inlineStr">
        <is>
          <t>병방동 학마을한진</t>
        </is>
      </c>
      <c r="B173" s="121" t="inlineStr">
        <is>
          <t>98.11.</t>
        </is>
      </c>
      <c r="C173" s="129" t="n">
        <v>1500</v>
      </c>
      <c r="D173" s="130" t="n">
        <v>79.5</v>
      </c>
      <c r="E173" s="131" t="n">
        <v>24</v>
      </c>
      <c r="F173" s="130" t="n">
        <v>59.7</v>
      </c>
      <c r="G173" s="17" t="n">
        <v>18</v>
      </c>
      <c r="H173" s="132" t="n">
        <v>400</v>
      </c>
      <c r="I173" s="133" t="n">
        <v>33500</v>
      </c>
      <c r="J173" s="133" t="inlineStr">
        <is>
          <t>9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1</v>
      </c>
      <c r="S173" s="117" t="inlineStr">
        <is>
          <t>복</t>
        </is>
      </c>
      <c r="T173" s="5" t="n">
        <v>79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17">
        <f>S173</f>
        <v/>
      </c>
      <c r="AF173" s="117">
        <f>Q173&amp;"/"&amp;R173</f>
        <v/>
      </c>
      <c r="AH173" s="20">
        <f>IF(A173="","",A173)</f>
        <v/>
      </c>
      <c r="AI173" s="131">
        <f>IF(E173="","",E173)</f>
        <v/>
      </c>
      <c r="AJ173" s="117">
        <f>IF(AI173="","",$AJ$2)</f>
        <v/>
      </c>
      <c r="AK173" s="117" t="inlineStr">
        <is>
          <t>A</t>
        </is>
      </c>
      <c r="AL173" s="117" t="inlineStr">
        <is>
          <t>A+</t>
        </is>
      </c>
      <c r="AM173" s="117" t="inlineStr">
        <is>
          <t>B+</t>
        </is>
      </c>
      <c r="AN173" s="117">
        <f>IF(AI173="","",$AN$2)</f>
        <v/>
      </c>
      <c r="AO173" s="117">
        <f>IF(N173="","",IF(N173&gt;=$AO$1/100,"O","X"))</f>
        <v/>
      </c>
      <c r="AP173" s="117">
        <f>IF(I173="","",IF(I173&lt;=$AP$1,"O","X"))</f>
        <v/>
      </c>
      <c r="AQ173" s="117">
        <f>IF(O173="","",IF(O173&lt;=$AQ$1,"O","X"))</f>
        <v/>
      </c>
      <c r="AR173" s="117">
        <f>IF(M173="","",IF(M173&lt;=$AR$1,"O","X"))</f>
        <v/>
      </c>
      <c r="AS173" s="117" t="inlineStr">
        <is>
          <t>X</t>
        </is>
      </c>
      <c r="AT173" s="117">
        <f>IF(OR(F173="",AI173=""),"",IF(AND((F173&lt;=85),(AI173&gt;=15)),"O","X"))</f>
        <v/>
      </c>
      <c r="AU173" s="117">
        <f>IF(C173="","",IF(C173&gt;=$AU$1,"O","X"))</f>
        <v/>
      </c>
      <c r="AV173" s="117">
        <f>IF(AO173="","",IF(AND(AO173="O",AP173="O",AR173="O",AT173="O",AU173="O"),"후보","X"))</f>
        <v/>
      </c>
    </row>
    <row r="174" ht="12" customFormat="1" customHeight="1" s="38">
      <c r="A174" s="120" t="inlineStr">
        <is>
          <t>서운동 계양임광그대가</t>
        </is>
      </c>
      <c r="B174" s="121" t="inlineStr">
        <is>
          <t>09.10.</t>
        </is>
      </c>
      <c r="C174" s="129" t="n">
        <v>373</v>
      </c>
      <c r="D174" s="130" t="n">
        <v>112.6</v>
      </c>
      <c r="E174" s="131" t="n">
        <v>34</v>
      </c>
      <c r="F174" s="130" t="n">
        <v>84.90000000000001</v>
      </c>
      <c r="G174" s="17" t="n">
        <v>26</v>
      </c>
      <c r="H174" s="132" t="n">
        <v>93</v>
      </c>
      <c r="I174" s="133" t="n">
        <v>61000</v>
      </c>
      <c r="J174" s="133" t="inlineStr">
        <is>
          <t>17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3</v>
      </c>
      <c r="R174" s="117" t="n">
        <v>2</v>
      </c>
      <c r="S174" s="117" t="inlineStr">
        <is>
          <t>계</t>
        </is>
      </c>
      <c r="T174" s="5" t="inlineStr">
        <is>
          <t>112B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17">
        <f>S174</f>
        <v/>
      </c>
      <c r="AF174" s="117">
        <f>Q174&amp;"/"&amp;R174</f>
        <v/>
      </c>
      <c r="AH174" s="20">
        <f>IF(A174="","",A174)</f>
        <v/>
      </c>
      <c r="AI174" s="131">
        <f>IF(E174="","",E174)</f>
        <v/>
      </c>
      <c r="AJ174" s="117">
        <f>IF(AI174="","",$AJ$2)</f>
        <v/>
      </c>
      <c r="AK174" s="117" t="inlineStr">
        <is>
          <t>A</t>
        </is>
      </c>
      <c r="AL174" s="117" t="inlineStr">
        <is>
          <t>A+</t>
        </is>
      </c>
      <c r="AM174" s="117" t="inlineStr">
        <is>
          <t>B+</t>
        </is>
      </c>
      <c r="AN174" s="117">
        <f>IF(AI174="","",$AN$2)</f>
        <v/>
      </c>
      <c r="AO174" s="117">
        <f>IF(N174="","",IF(N174&gt;=$AO$1/100,"O","X"))</f>
        <v/>
      </c>
      <c r="AP174" s="117">
        <f>IF(I174="","",IF(I174&lt;=$AP$1,"O","X"))</f>
        <v/>
      </c>
      <c r="AQ174" s="117">
        <f>IF(O174="","",IF(O174&lt;=$AQ$1,"O","X"))</f>
        <v/>
      </c>
      <c r="AR174" s="117">
        <f>IF(M174="","",IF(M174&lt;=$AR$1,"O","X"))</f>
        <v/>
      </c>
      <c r="AS174" s="117" t="inlineStr">
        <is>
          <t>X</t>
        </is>
      </c>
      <c r="AT174" s="117">
        <f>IF(OR(F174="",AI174=""),"",IF(AND((F174&lt;=85),(AI174&gt;=15)),"O","X"))</f>
        <v/>
      </c>
      <c r="AU174" s="117">
        <f>IF(C174="","",IF(C174&gt;=$AU$1,"O","X"))</f>
        <v/>
      </c>
      <c r="AV174" s="117">
        <f>IF(AO174="","",IF(AND(AO174="O",AP174="O",AR174="O",AT174="O",AU174="O"),"후보","X"))</f>
        <v/>
      </c>
    </row>
    <row r="175" ht="12" customFormat="1" customHeight="1" s="38">
      <c r="A175" s="120" t="inlineStr">
        <is>
          <t>서운동 계양임광그대가</t>
        </is>
      </c>
      <c r="B175" s="121" t="inlineStr">
        <is>
          <t>09.10.</t>
        </is>
      </c>
      <c r="C175" s="129" t="n">
        <v>373</v>
      </c>
      <c r="D175" s="130" t="n">
        <v>112.8</v>
      </c>
      <c r="E175" s="131" t="n">
        <v>34</v>
      </c>
      <c r="F175" s="130" t="n">
        <v>84.90000000000001</v>
      </c>
      <c r="G175" s="17" t="n">
        <v>26</v>
      </c>
      <c r="H175" s="132" t="n">
        <v>62</v>
      </c>
      <c r="I175" s="133" t="n">
        <v>59000</v>
      </c>
      <c r="J175" s="133" t="inlineStr">
        <is>
          <t>12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inlineStr">
        <is>
          <t>112A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17">
        <f>S175</f>
        <v/>
      </c>
      <c r="AF175" s="117">
        <f>Q175&amp;"/"&amp;R175</f>
        <v/>
      </c>
      <c r="AH175" s="20">
        <f>IF(A175="","",A175)</f>
        <v/>
      </c>
      <c r="AI175" s="131">
        <f>IF(E175="","",E175)</f>
        <v/>
      </c>
      <c r="AJ175" s="117">
        <f>IF(AI175="","",$AJ$2)</f>
        <v/>
      </c>
      <c r="AK175" s="117" t="inlineStr">
        <is>
          <t>A</t>
        </is>
      </c>
      <c r="AL175" s="117" t="inlineStr">
        <is>
          <t>A+</t>
        </is>
      </c>
      <c r="AM175" s="117" t="inlineStr">
        <is>
          <t>B+</t>
        </is>
      </c>
      <c r="AN175" s="117">
        <f>IF(AI175="","",$AN$2)</f>
        <v/>
      </c>
      <c r="AO175" s="117">
        <f>IF(N175="","",IF(N175&gt;=$AO$1/100,"O","X"))</f>
        <v/>
      </c>
      <c r="AP175" s="117">
        <f>IF(I175="","",IF(I175&lt;=$AP$1,"O","X"))</f>
        <v/>
      </c>
      <c r="AQ175" s="117">
        <f>IF(O175="","",IF(O175&lt;=$AQ$1,"O","X"))</f>
        <v/>
      </c>
      <c r="AR175" s="117">
        <f>IF(M175="","",IF(M175&lt;=$AR$1,"O","X"))</f>
        <v/>
      </c>
      <c r="AS175" s="117" t="inlineStr">
        <is>
          <t>X</t>
        </is>
      </c>
      <c r="AT175" s="117">
        <f>IF(OR(F175="",AI175=""),"",IF(AND((F175&lt;=85),(AI175&gt;=15)),"O","X"))</f>
        <v/>
      </c>
      <c r="AU175" s="117">
        <f>IF(C175="","",IF(C175&gt;=$AU$1,"O","X"))</f>
        <v/>
      </c>
      <c r="AV175" s="117">
        <f>IF(AO175="","",IF(AND(AO175="O",AP175="O",AR175="O",AT175="O",AU175="O"),"후보","X"))</f>
        <v/>
      </c>
    </row>
    <row r="176" ht="12" customFormat="1" customHeight="1" s="38">
      <c r="A176" s="120" t="inlineStr">
        <is>
          <t>서운동 계양임광그대가</t>
        </is>
      </c>
      <c r="B176" s="121" t="inlineStr">
        <is>
          <t>09.10.</t>
        </is>
      </c>
      <c r="C176" s="129" t="n">
        <v>373</v>
      </c>
      <c r="D176" s="130" t="n">
        <v>112.8</v>
      </c>
      <c r="E176" s="131" t="n">
        <v>34</v>
      </c>
      <c r="F176" s="130" t="n">
        <v>84.90000000000001</v>
      </c>
      <c r="G176" s="17" t="n">
        <v>26</v>
      </c>
      <c r="H176" s="132" t="n">
        <v>26</v>
      </c>
      <c r="I176" s="133" t="n">
        <v>59000</v>
      </c>
      <c r="J176" s="133" t="inlineStr">
        <is>
          <t>12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3</v>
      </c>
      <c r="R176" s="117" t="n">
        <v>2</v>
      </c>
      <c r="S176" s="117" t="inlineStr">
        <is>
          <t>계</t>
        </is>
      </c>
      <c r="T176" s="5" t="inlineStr">
        <is>
          <t>112C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17">
        <f>S176</f>
        <v/>
      </c>
      <c r="AF176" s="117">
        <f>Q176&amp;"/"&amp;R176</f>
        <v/>
      </c>
      <c r="AH176" s="20">
        <f>IF(A176="","",A176)</f>
        <v/>
      </c>
      <c r="AI176" s="131">
        <f>IF(E176="","",E176)</f>
        <v/>
      </c>
      <c r="AJ176" s="117">
        <f>IF(AI176="","",$AJ$2)</f>
        <v/>
      </c>
      <c r="AK176" s="117" t="inlineStr">
        <is>
          <t>A</t>
        </is>
      </c>
      <c r="AL176" s="117" t="inlineStr">
        <is>
          <t>A+</t>
        </is>
      </c>
      <c r="AM176" s="117" t="inlineStr">
        <is>
          <t>B+</t>
        </is>
      </c>
      <c r="AN176" s="117">
        <f>IF(AI176="","",$AN$2)</f>
        <v/>
      </c>
      <c r="AO176" s="117">
        <f>IF(N176="","",IF(N176&gt;=$AO$1/100,"O","X"))</f>
        <v/>
      </c>
      <c r="AP176" s="117">
        <f>IF(I176="","",IF(I176&lt;=$AP$1,"O","X"))</f>
        <v/>
      </c>
      <c r="AQ176" s="117">
        <f>IF(O176="","",IF(O176&lt;=$AQ$1,"O","X"))</f>
        <v/>
      </c>
      <c r="AR176" s="117">
        <f>IF(M176="","",IF(M176&lt;=$AR$1,"O","X"))</f>
        <v/>
      </c>
      <c r="AS176" s="117" t="inlineStr">
        <is>
          <t>X</t>
        </is>
      </c>
      <c r="AT176" s="117">
        <f>IF(OR(F176="",AI176=""),"",IF(AND((F176&lt;=85),(AI176&gt;=15)),"O","X"))</f>
        <v/>
      </c>
      <c r="AU176" s="117">
        <f>IF(C176="","",IF(C176&gt;=$AU$1,"O","X"))</f>
        <v/>
      </c>
      <c r="AV176" s="117">
        <f>IF(AO176="","",IF(AND(AO176="O",AP176="O",AR176="O",AT176="O",AU176="O"),"후보","X"))</f>
        <v/>
      </c>
    </row>
    <row r="177" ht="12" customFormat="1" customHeight="1" s="38">
      <c r="A177" s="120" t="inlineStr">
        <is>
          <t>서운동 계양임광그대가</t>
        </is>
      </c>
      <c r="B177" s="121" t="inlineStr">
        <is>
          <t>09.10.</t>
        </is>
      </c>
      <c r="C177" s="129" t="n">
        <v>373</v>
      </c>
      <c r="D177" s="130" t="n">
        <v>144.8</v>
      </c>
      <c r="E177" s="131" t="n">
        <v>44</v>
      </c>
      <c r="F177" s="130" t="n">
        <v>116.5</v>
      </c>
      <c r="G177" s="17" t="n">
        <v>35</v>
      </c>
      <c r="H177" s="132" t="n">
        <v>97</v>
      </c>
      <c r="I177" s="133" t="n">
        <v>70000</v>
      </c>
      <c r="J177" s="133" t="inlineStr">
        <is>
          <t>8</t>
        </is>
      </c>
      <c r="K177" s="133" t="n">
        <v>44000</v>
      </c>
      <c r="L177" s="133" t="inlineStr">
        <is>
          <t>11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inlineStr">
        <is>
          <t>144A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17">
        <f>S177</f>
        <v/>
      </c>
      <c r="AF177" s="117">
        <f>Q177&amp;"/"&amp;R177</f>
        <v/>
      </c>
      <c r="AH177" s="20">
        <f>IF(A177="","",A177)</f>
        <v/>
      </c>
      <c r="AI177" s="131">
        <f>IF(E177="","",E177)</f>
        <v/>
      </c>
      <c r="AJ177" s="117">
        <f>IF(AI177="","",$AJ$2)</f>
        <v/>
      </c>
      <c r="AK177" s="117" t="inlineStr">
        <is>
          <t>A</t>
        </is>
      </c>
      <c r="AL177" s="117" t="inlineStr">
        <is>
          <t>A+</t>
        </is>
      </c>
      <c r="AM177" s="117" t="inlineStr">
        <is>
          <t>B+</t>
        </is>
      </c>
      <c r="AN177" s="117">
        <f>IF(AI177="","",$AN$2)</f>
        <v/>
      </c>
      <c r="AO177" s="117">
        <f>IF(N177="","",IF(N177&gt;=$AO$1/100,"O","X"))</f>
        <v/>
      </c>
      <c r="AP177" s="117">
        <f>IF(I177="","",IF(I177&lt;=$AP$1,"O","X"))</f>
        <v/>
      </c>
      <c r="AQ177" s="117">
        <f>IF(O177="","",IF(O177&lt;=$AQ$1,"O","X"))</f>
        <v/>
      </c>
      <c r="AR177" s="117">
        <f>IF(M177="","",IF(M177&lt;=$AR$1,"O","X"))</f>
        <v/>
      </c>
      <c r="AS177" s="117" t="inlineStr">
        <is>
          <t>X</t>
        </is>
      </c>
      <c r="AT177" s="117">
        <f>IF(OR(F177="",AI177=""),"",IF(AND((F177&lt;=85),(AI177&gt;=15)),"O","X"))</f>
        <v/>
      </c>
      <c r="AU177" s="117">
        <f>IF(C177="","",IF(C177&gt;=$AU$1,"O","X"))</f>
        <v/>
      </c>
      <c r="AV177" s="117">
        <f>IF(AO177="","",IF(AND(AO177="O",AP177="O",AR177="O",AT177="O",AU177="O"),"후보","X"))</f>
        <v/>
      </c>
    </row>
    <row r="178" ht="12" customFormat="1" customHeight="1" s="38">
      <c r="A178" s="120" t="inlineStr">
        <is>
          <t>서운동 계양임광그대가</t>
        </is>
      </c>
      <c r="B178" s="121" t="inlineStr">
        <is>
          <t>09.10.</t>
        </is>
      </c>
      <c r="C178" s="129" t="n">
        <v>373</v>
      </c>
      <c r="D178" s="130" t="n">
        <v>144.9</v>
      </c>
      <c r="E178" s="131" t="n">
        <v>44</v>
      </c>
      <c r="F178" s="130" t="n">
        <v>116.5</v>
      </c>
      <c r="G178" s="17" t="n">
        <v>35</v>
      </c>
      <c r="H178" s="132" t="n">
        <v>95</v>
      </c>
      <c r="I178" s="133" t="n">
        <v>68000</v>
      </c>
      <c r="J178" s="133" t="inlineStr">
        <is>
          <t>중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4</v>
      </c>
      <c r="R178" s="117" t="n">
        <v>2</v>
      </c>
      <c r="S178" s="117" t="inlineStr">
        <is>
          <t>계</t>
        </is>
      </c>
      <c r="T178" s="5" t="inlineStr">
        <is>
          <t>144B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17">
        <f>S178</f>
        <v/>
      </c>
      <c r="AF178" s="117">
        <f>Q178&amp;"/"&amp;R178</f>
        <v/>
      </c>
      <c r="AH178" s="20">
        <f>IF(A178="","",A178)</f>
        <v/>
      </c>
      <c r="AI178" s="131">
        <f>IF(E178="","",E178)</f>
        <v/>
      </c>
      <c r="AJ178" s="117">
        <f>IF(AI178="","",$AJ$2)</f>
        <v/>
      </c>
      <c r="AK178" s="117" t="inlineStr">
        <is>
          <t>A</t>
        </is>
      </c>
      <c r="AL178" s="117" t="inlineStr">
        <is>
          <t>A+</t>
        </is>
      </c>
      <c r="AM178" s="117" t="inlineStr">
        <is>
          <t>B+</t>
        </is>
      </c>
      <c r="AN178" s="117">
        <f>IF(AI178="","",$AN$2)</f>
        <v/>
      </c>
      <c r="AO178" s="117">
        <f>IF(N178="","",IF(N178&gt;=$AO$1/100,"O","X"))</f>
        <v/>
      </c>
      <c r="AP178" s="117">
        <f>IF(I178="","",IF(I178&lt;=$AP$1,"O","X"))</f>
        <v/>
      </c>
      <c r="AQ178" s="117">
        <f>IF(O178="","",IF(O178&lt;=$AQ$1,"O","X"))</f>
        <v/>
      </c>
      <c r="AR178" s="117">
        <f>IF(M178="","",IF(M178&lt;=$AR$1,"O","X"))</f>
        <v/>
      </c>
      <c r="AS178" s="117" t="inlineStr">
        <is>
          <t>X</t>
        </is>
      </c>
      <c r="AT178" s="117">
        <f>IF(OR(F178="",AI178=""),"",IF(AND((F178&lt;=85),(AI178&gt;=15)),"O","X"))</f>
        <v/>
      </c>
      <c r="AU178" s="117">
        <f>IF(C178="","",IF(C178&gt;=$AU$1,"O","X"))</f>
        <v/>
      </c>
      <c r="AV178" s="117">
        <f>IF(AO178="","",IF(AND(AO178="O",AP178="O",AR178="O",AT178="O",AU178="O"),"후보","X"))</f>
        <v/>
      </c>
    </row>
    <row r="179" ht="12" customFormat="1" customHeight="1" s="38">
      <c r="A179" s="120" t="inlineStr">
        <is>
          <t>서운동 계양효성해링턴플레이스</t>
        </is>
      </c>
      <c r="B179" s="121" t="inlineStr">
        <is>
          <t>21.02.</t>
        </is>
      </c>
      <c r="C179" s="129" t="n">
        <v>1669</v>
      </c>
      <c r="D179" s="130" t="n">
        <v>55.3</v>
      </c>
      <c r="E179" s="131" t="n">
        <v>17</v>
      </c>
      <c r="F179" s="130" t="n">
        <v>39.9</v>
      </c>
      <c r="G179" s="17" t="n">
        <v>12</v>
      </c>
      <c r="H179" s="132" t="n">
        <v>19</v>
      </c>
      <c r="I179" s="133" t="n"/>
      <c r="J179" s="133" t="n"/>
      <c r="K179" s="133" t="n">
        <v>21000</v>
      </c>
      <c r="L179" s="133" t="inlineStr">
        <is>
          <t>9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2</v>
      </c>
      <c r="R179" s="117" t="n">
        <v>1</v>
      </c>
      <c r="S179" s="117" t="inlineStr">
        <is>
          <t>계</t>
        </is>
      </c>
      <c r="T179" s="5" t="n">
        <v>55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17">
        <f>S179</f>
        <v/>
      </c>
      <c r="AF179" s="117">
        <f>Q179&amp;"/"&amp;R179</f>
        <v/>
      </c>
      <c r="AH179" s="20">
        <f>IF(A179="","",A179)</f>
        <v/>
      </c>
      <c r="AI179" s="131">
        <f>IF(E179="","",E179)</f>
        <v/>
      </c>
      <c r="AJ179" s="117">
        <f>IF(AI179="","",$AJ$2)</f>
        <v/>
      </c>
      <c r="AK179" s="117" t="inlineStr">
        <is>
          <t>A</t>
        </is>
      </c>
      <c r="AL179" s="117" t="inlineStr">
        <is>
          <t>A+</t>
        </is>
      </c>
      <c r="AM179" s="117" t="inlineStr">
        <is>
          <t>B+</t>
        </is>
      </c>
      <c r="AN179" s="117">
        <f>IF(AI179="","",$AN$2)</f>
        <v/>
      </c>
      <c r="AO179" s="117">
        <f>IF(N179="","",IF(N179&gt;=$AO$1/100,"O","X"))</f>
        <v/>
      </c>
      <c r="AP179" s="117">
        <f>IF(I179="","",IF(I179&lt;=$AP$1,"O","X"))</f>
        <v/>
      </c>
      <c r="AQ179" s="117">
        <f>IF(O179="","",IF(O179&lt;=$AQ$1,"O","X"))</f>
        <v/>
      </c>
      <c r="AR179" s="117">
        <f>IF(M179="","",IF(M179&lt;=$AR$1,"O","X"))</f>
        <v/>
      </c>
      <c r="AS179" s="117" t="inlineStr">
        <is>
          <t>X</t>
        </is>
      </c>
      <c r="AT179" s="117">
        <f>IF(OR(F179="",AI179=""),"",IF(AND((F179&lt;=85),(AI179&gt;=15)),"O","X"))</f>
        <v/>
      </c>
      <c r="AU179" s="117">
        <f>IF(C179="","",IF(C179&gt;=$AU$1,"O","X"))</f>
        <v/>
      </c>
      <c r="AV179" s="117">
        <f>IF(AO179="","",IF(AND(AO179="O",AP179="O",AR179="O",AT179="O",AU179="O"),"후보","X"))</f>
        <v/>
      </c>
    </row>
    <row r="180" ht="12" customFormat="1" customHeight="1" s="38">
      <c r="A180" s="120" t="inlineStr">
        <is>
          <t>서운동 계양효성해링턴플레이스</t>
        </is>
      </c>
      <c r="B180" s="121" t="inlineStr">
        <is>
          <t>21.02.</t>
        </is>
      </c>
      <c r="C180" s="129" t="n">
        <v>1669</v>
      </c>
      <c r="D180" s="130" t="n">
        <v>82.3</v>
      </c>
      <c r="E180" s="131" t="n">
        <v>25</v>
      </c>
      <c r="F180" s="130" t="n">
        <v>60</v>
      </c>
      <c r="G180" s="17" t="n">
        <v>18</v>
      </c>
      <c r="H180" s="132" t="n">
        <v>405</v>
      </c>
      <c r="I180" s="133" t="n">
        <v>60000</v>
      </c>
      <c r="J180" s="133" t="inlineStr">
        <is>
          <t>중</t>
        </is>
      </c>
      <c r="K180" s="133" t="n">
        <v>39000</v>
      </c>
      <c r="L180" s="133" t="inlineStr">
        <is>
          <t>고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2</v>
      </c>
      <c r="S180" s="117" t="inlineStr">
        <is>
          <t>계</t>
        </is>
      </c>
      <c r="T180" s="5" t="inlineStr">
        <is>
          <t>82A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17">
        <f>S180</f>
        <v/>
      </c>
      <c r="AF180" s="117">
        <f>Q180&amp;"/"&amp;R180</f>
        <v/>
      </c>
      <c r="AH180" s="20">
        <f>IF(A180="","",A180)</f>
        <v/>
      </c>
      <c r="AI180" s="131">
        <f>IF(E180="","",E180)</f>
        <v/>
      </c>
      <c r="AJ180" s="117">
        <f>IF(AI180="","",$AJ$2)</f>
        <v/>
      </c>
      <c r="AK180" s="117" t="inlineStr">
        <is>
          <t>A</t>
        </is>
      </c>
      <c r="AL180" s="117" t="inlineStr">
        <is>
          <t>A+</t>
        </is>
      </c>
      <c r="AM180" s="117" t="inlineStr">
        <is>
          <t>B+</t>
        </is>
      </c>
      <c r="AN180" s="117">
        <f>IF(AI180="","",$AN$2)</f>
        <v/>
      </c>
      <c r="AO180" s="117">
        <f>IF(N180="","",IF(N180&gt;=$AO$1/100,"O","X"))</f>
        <v/>
      </c>
      <c r="AP180" s="117">
        <f>IF(I180="","",IF(I180&lt;=$AP$1,"O","X"))</f>
        <v/>
      </c>
      <c r="AQ180" s="117">
        <f>IF(O180="","",IF(O180&lt;=$AQ$1,"O","X"))</f>
        <v/>
      </c>
      <c r="AR180" s="117">
        <f>IF(M180="","",IF(M180&lt;=$AR$1,"O","X"))</f>
        <v/>
      </c>
      <c r="AS180" s="117" t="inlineStr">
        <is>
          <t>X</t>
        </is>
      </c>
      <c r="AT180" s="117">
        <f>IF(OR(F180="",AI180=""),"",IF(AND((F180&lt;=85),(AI180&gt;=15)),"O","X"))</f>
        <v/>
      </c>
      <c r="AU180" s="117">
        <f>IF(C180="","",IF(C180&gt;=$AU$1,"O","X"))</f>
        <v/>
      </c>
      <c r="AV180" s="117">
        <f>IF(AO180="","",IF(AND(AO180="O",AP180="O",AR180="O",AT180="O",AU180="O"),"후보","X"))</f>
        <v/>
      </c>
    </row>
    <row r="181" ht="12" customFormat="1" customHeight="1" s="38">
      <c r="A181" s="120" t="inlineStr">
        <is>
          <t>서운동 계양효성해링턴플레이스</t>
        </is>
      </c>
      <c r="B181" s="121" t="inlineStr">
        <is>
          <t>21.02.</t>
        </is>
      </c>
      <c r="C181" s="129" t="n">
        <v>1669</v>
      </c>
      <c r="D181" s="130" t="n">
        <v>82.8</v>
      </c>
      <c r="E181" s="131" t="n">
        <v>25</v>
      </c>
      <c r="F181" s="130" t="n">
        <v>60</v>
      </c>
      <c r="G181" s="17" t="n">
        <v>18</v>
      </c>
      <c r="H181" s="132" t="n">
        <v>96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3</v>
      </c>
      <c r="R181" s="117" t="n">
        <v>2</v>
      </c>
      <c r="S181" s="117" t="inlineStr">
        <is>
          <t>계</t>
        </is>
      </c>
      <c r="T181" s="5" t="inlineStr">
        <is>
          <t>82B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17">
        <f>S181</f>
        <v/>
      </c>
      <c r="AF181" s="117">
        <f>Q181&amp;"/"&amp;R181</f>
        <v/>
      </c>
      <c r="AH181" s="20">
        <f>IF(A181="","",A181)</f>
        <v/>
      </c>
      <c r="AI181" s="131">
        <f>IF(E181="","",E181)</f>
        <v/>
      </c>
      <c r="AJ181" s="117">
        <f>IF(AI181="","",$AJ$2)</f>
        <v/>
      </c>
      <c r="AK181" s="117" t="inlineStr">
        <is>
          <t>A</t>
        </is>
      </c>
      <c r="AL181" s="117" t="inlineStr">
        <is>
          <t>A+</t>
        </is>
      </c>
      <c r="AM181" s="117" t="inlineStr">
        <is>
          <t>B+</t>
        </is>
      </c>
      <c r="AN181" s="117">
        <f>IF(AI181="","",$AN$2)</f>
        <v/>
      </c>
      <c r="AO181" s="117">
        <f>IF(N181="","",IF(N181&gt;=$AO$1/100,"O","X"))</f>
        <v/>
      </c>
      <c r="AP181" s="117">
        <f>IF(I181="","",IF(I181&lt;=$AP$1,"O","X"))</f>
        <v/>
      </c>
      <c r="AQ181" s="117">
        <f>IF(O181="","",IF(O181&lt;=$AQ$1,"O","X"))</f>
        <v/>
      </c>
      <c r="AR181" s="117">
        <f>IF(M181="","",IF(M181&lt;=$AR$1,"O","X"))</f>
        <v/>
      </c>
      <c r="AS181" s="117" t="inlineStr">
        <is>
          <t>X</t>
        </is>
      </c>
      <c r="AT181" s="117">
        <f>IF(OR(F181="",AI181=""),"",IF(AND((F181&lt;=85),(AI181&gt;=15)),"O","X"))</f>
        <v/>
      </c>
      <c r="AU181" s="117">
        <f>IF(C181="","",IF(C181&gt;=$AU$1,"O","X"))</f>
        <v/>
      </c>
      <c r="AV181" s="117">
        <f>IF(AO181="","",IF(AND(AO181="O",AP181="O",AR181="O",AT181="O",AU181="O"),"후보","X"))</f>
        <v/>
      </c>
    </row>
    <row r="182" ht="12" customFormat="1" customHeight="1" s="38">
      <c r="A182" s="120" t="inlineStr">
        <is>
          <t>서운동 계양효성해링턴플레이스</t>
        </is>
      </c>
      <c r="B182" s="121" t="inlineStr">
        <is>
          <t>21.02.</t>
        </is>
      </c>
      <c r="C182" s="129" t="n">
        <v>1669</v>
      </c>
      <c r="D182" s="130" t="n">
        <v>99.90000000000001</v>
      </c>
      <c r="E182" s="131" t="n">
        <v>30</v>
      </c>
      <c r="F182" s="130" t="n">
        <v>73</v>
      </c>
      <c r="G182" s="17" t="n">
        <v>22</v>
      </c>
      <c r="H182" s="132" t="n">
        <v>230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inlineStr">
        <is>
          <t>99A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17">
        <f>S182</f>
        <v/>
      </c>
      <c r="AF182" s="117">
        <f>Q182&amp;"/"&amp;R182</f>
        <v/>
      </c>
      <c r="AH182" s="20">
        <f>IF(A182="","",A182)</f>
        <v/>
      </c>
      <c r="AI182" s="131">
        <f>IF(E182="","",E182)</f>
        <v/>
      </c>
      <c r="AJ182" s="117">
        <f>IF(AI182="","",$AJ$2)</f>
        <v/>
      </c>
      <c r="AK182" s="117" t="inlineStr">
        <is>
          <t>A</t>
        </is>
      </c>
      <c r="AL182" s="117" t="inlineStr">
        <is>
          <t>A+</t>
        </is>
      </c>
      <c r="AM182" s="117" t="inlineStr">
        <is>
          <t>B+</t>
        </is>
      </c>
      <c r="AN182" s="117">
        <f>IF(AI182="","",$AN$2)</f>
        <v/>
      </c>
      <c r="AO182" s="117">
        <f>IF(N182="","",IF(N182&gt;=$AO$1/100,"O","X"))</f>
        <v/>
      </c>
      <c r="AP182" s="117">
        <f>IF(I182="","",IF(I182&lt;=$AP$1,"O","X"))</f>
        <v/>
      </c>
      <c r="AQ182" s="117">
        <f>IF(O182="","",IF(O182&lt;=$AQ$1,"O","X"))</f>
        <v/>
      </c>
      <c r="AR182" s="117">
        <f>IF(M182="","",IF(M182&lt;=$AR$1,"O","X"))</f>
        <v/>
      </c>
      <c r="AS182" s="117" t="inlineStr">
        <is>
          <t>X</t>
        </is>
      </c>
      <c r="AT182" s="117">
        <f>IF(OR(F182="",AI182=""),"",IF(AND((F182&lt;=85),(AI182&gt;=15)),"O","X"))</f>
        <v/>
      </c>
      <c r="AU182" s="117">
        <f>IF(C182="","",IF(C182&gt;=$AU$1,"O","X"))</f>
        <v/>
      </c>
      <c r="AV182" s="117">
        <f>IF(AO182="","",IF(AND(AO182="O",AP182="O",AR182="O",AT182="O",AU182="O"),"후보","X"))</f>
        <v/>
      </c>
    </row>
    <row r="183" ht="12" customFormat="1" customHeight="1" s="38">
      <c r="A183" s="120" t="inlineStr">
        <is>
          <t>서운동 계양효성해링턴플레이스</t>
        </is>
      </c>
      <c r="B183" s="121" t="inlineStr">
        <is>
          <t>21.02.</t>
        </is>
      </c>
      <c r="C183" s="129" t="n">
        <v>1669</v>
      </c>
      <c r="D183" s="130" t="n">
        <v>99.90000000000001</v>
      </c>
      <c r="E183" s="131" t="n">
        <v>30</v>
      </c>
      <c r="F183" s="130" t="n">
        <v>73</v>
      </c>
      <c r="G183" s="17" t="n">
        <v>22</v>
      </c>
      <c r="H183" s="132" t="n">
        <v>194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inlineStr">
        <is>
          <t>99B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17">
        <f>S183</f>
        <v/>
      </c>
      <c r="AF183" s="117">
        <f>Q183&amp;"/"&amp;R183</f>
        <v/>
      </c>
      <c r="AH183" s="20">
        <f>IF(A183="","",A183)</f>
        <v/>
      </c>
      <c r="AI183" s="131">
        <f>IF(E183="","",E183)</f>
        <v/>
      </c>
      <c r="AJ183" s="117">
        <f>IF(AI183="","",$AJ$2)</f>
        <v/>
      </c>
      <c r="AK183" s="117" t="inlineStr">
        <is>
          <t>A</t>
        </is>
      </c>
      <c r="AL183" s="117" t="inlineStr">
        <is>
          <t>A+</t>
        </is>
      </c>
      <c r="AM183" s="117" t="inlineStr">
        <is>
          <t>B+</t>
        </is>
      </c>
      <c r="AN183" s="117">
        <f>IF(AI183="","",$AN$2)</f>
        <v/>
      </c>
      <c r="AO183" s="117">
        <f>IF(N183="","",IF(N183&gt;=$AO$1/100,"O","X"))</f>
        <v/>
      </c>
      <c r="AP183" s="117">
        <f>IF(I183="","",IF(I183&lt;=$AP$1,"O","X"))</f>
        <v/>
      </c>
      <c r="AQ183" s="117">
        <f>IF(O183="","",IF(O183&lt;=$AQ$1,"O","X"))</f>
        <v/>
      </c>
      <c r="AR183" s="117">
        <f>IF(M183="","",IF(M183&lt;=$AR$1,"O","X"))</f>
        <v/>
      </c>
      <c r="AS183" s="117" t="inlineStr">
        <is>
          <t>X</t>
        </is>
      </c>
      <c r="AT183" s="117">
        <f>IF(OR(F183="",AI183=""),"",IF(AND((F183&lt;=85),(AI183&gt;=15)),"O","X"))</f>
        <v/>
      </c>
      <c r="AU183" s="117">
        <f>IF(C183="","",IF(C183&gt;=$AU$1,"O","X"))</f>
        <v/>
      </c>
      <c r="AV183" s="117">
        <f>IF(AO183="","",IF(AND(AO183="O",AP183="O",AR183="O",AT183="O",AU183="O"),"후보","X"))</f>
        <v/>
      </c>
    </row>
    <row r="184" ht="12" customFormat="1" customHeight="1" s="38">
      <c r="A184" s="120" t="inlineStr">
        <is>
          <t>서운동 계양효성해링턴플레이스</t>
        </is>
      </c>
      <c r="B184" s="121" t="inlineStr">
        <is>
          <t>21.02.</t>
        </is>
      </c>
      <c r="C184" s="129" t="n">
        <v>1669</v>
      </c>
      <c r="D184" s="130" t="n">
        <v>115.8</v>
      </c>
      <c r="E184" s="131" t="n">
        <v>35</v>
      </c>
      <c r="F184" s="130" t="n">
        <v>85</v>
      </c>
      <c r="G184" s="17" t="n">
        <v>26</v>
      </c>
      <c r="H184" s="132" t="n">
        <v>497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3</v>
      </c>
      <c r="R184" s="117" t="n">
        <v>2</v>
      </c>
      <c r="S184" s="117" t="inlineStr">
        <is>
          <t>계</t>
        </is>
      </c>
      <c r="T184" s="5" t="inlineStr">
        <is>
          <t>115A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17">
        <f>S184</f>
        <v/>
      </c>
      <c r="AF184" s="117">
        <f>Q184&amp;"/"&amp;R184</f>
        <v/>
      </c>
      <c r="AH184" s="20">
        <f>IF(A184="","",A184)</f>
        <v/>
      </c>
      <c r="AI184" s="131">
        <f>IF(E184="","",E184)</f>
        <v/>
      </c>
      <c r="AJ184" s="117">
        <f>IF(AI184="","",$AJ$2)</f>
        <v/>
      </c>
      <c r="AK184" s="117" t="inlineStr">
        <is>
          <t>A</t>
        </is>
      </c>
      <c r="AL184" s="117" t="inlineStr">
        <is>
          <t>A+</t>
        </is>
      </c>
      <c r="AM184" s="117" t="inlineStr">
        <is>
          <t>B+</t>
        </is>
      </c>
      <c r="AN184" s="117">
        <f>IF(AI184="","",$AN$2)</f>
        <v/>
      </c>
      <c r="AO184" s="117">
        <f>IF(N184="","",IF(N184&gt;=$AO$1/100,"O","X"))</f>
        <v/>
      </c>
      <c r="AP184" s="117">
        <f>IF(I184="","",IF(I184&lt;=$AP$1,"O","X"))</f>
        <v/>
      </c>
      <c r="AQ184" s="117">
        <f>IF(O184="","",IF(O184&lt;=$AQ$1,"O","X"))</f>
        <v/>
      </c>
      <c r="AR184" s="117">
        <f>IF(M184="","",IF(M184&lt;=$AR$1,"O","X"))</f>
        <v/>
      </c>
      <c r="AS184" s="117" t="inlineStr">
        <is>
          <t>X</t>
        </is>
      </c>
      <c r="AT184" s="117">
        <f>IF(OR(F184="",AI184=""),"",IF(AND((F184&lt;=85),(AI184&gt;=15)),"O","X"))</f>
        <v/>
      </c>
      <c r="AU184" s="117">
        <f>IF(C184="","",IF(C184&gt;=$AU$1,"O","X"))</f>
        <v/>
      </c>
      <c r="AV184" s="117">
        <f>IF(AO184="","",IF(AND(AO184="O",AP184="O",AR184="O",AT184="O",AU184="O"),"후보","X"))</f>
        <v/>
      </c>
    </row>
    <row r="185" ht="12" customFormat="1" customHeight="1" s="38">
      <c r="A185" s="120" t="inlineStr">
        <is>
          <t>서운동 계양효성해링턴플레이스</t>
        </is>
      </c>
      <c r="B185" s="121" t="inlineStr">
        <is>
          <t>21.02.</t>
        </is>
      </c>
      <c r="C185" s="129" t="n">
        <v>1669</v>
      </c>
      <c r="D185" s="130" t="n">
        <v>116.3</v>
      </c>
      <c r="E185" s="131" t="n">
        <v>35</v>
      </c>
      <c r="F185" s="130" t="n">
        <v>85</v>
      </c>
      <c r="G185" s="17" t="n">
        <v>26</v>
      </c>
      <c r="H185" s="132" t="n">
        <v>85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inlineStr">
        <is>
          <t>116B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17">
        <f>S185</f>
        <v/>
      </c>
      <c r="AF185" s="117">
        <f>Q185&amp;"/"&amp;R185</f>
        <v/>
      </c>
      <c r="AH185" s="20">
        <f>IF(A185="","",A185)</f>
        <v/>
      </c>
      <c r="AI185" s="131">
        <f>IF(E185="","",E185)</f>
        <v/>
      </c>
      <c r="AJ185" s="117">
        <f>IF(AI185="","",$AJ$2)</f>
        <v/>
      </c>
      <c r="AK185" s="117" t="inlineStr">
        <is>
          <t>A</t>
        </is>
      </c>
      <c r="AL185" s="117" t="inlineStr">
        <is>
          <t>A+</t>
        </is>
      </c>
      <c r="AM185" s="117" t="inlineStr">
        <is>
          <t>B+</t>
        </is>
      </c>
      <c r="AN185" s="117">
        <f>IF(AI185="","",$AN$2)</f>
        <v/>
      </c>
      <c r="AO185" s="117">
        <f>IF(N185="","",IF(N185&gt;=$AO$1/100,"O","X"))</f>
        <v/>
      </c>
      <c r="AP185" s="117">
        <f>IF(I185="","",IF(I185&lt;=$AP$1,"O","X"))</f>
        <v/>
      </c>
      <c r="AQ185" s="117">
        <f>IF(O185="","",IF(O185&lt;=$AQ$1,"O","X"))</f>
        <v/>
      </c>
      <c r="AR185" s="117">
        <f>IF(M185="","",IF(M185&lt;=$AR$1,"O","X"))</f>
        <v/>
      </c>
      <c r="AS185" s="117" t="inlineStr">
        <is>
          <t>X</t>
        </is>
      </c>
      <c r="AT185" s="117">
        <f>IF(OR(F185="",AI185=""),"",IF(AND((F185&lt;=85),(AI185&gt;=15)),"O","X"))</f>
        <v/>
      </c>
      <c r="AU185" s="117">
        <f>IF(C185="","",IF(C185&gt;=$AU$1,"O","X"))</f>
        <v/>
      </c>
      <c r="AV185" s="117">
        <f>IF(AO185="","",IF(AND(AO185="O",AP185="O",AR185="O",AT185="O",AU185="O"),"후보","X"))</f>
        <v/>
      </c>
    </row>
    <row r="186" ht="12" customFormat="1" customHeight="1" s="38">
      <c r="A186" s="120" t="inlineStr">
        <is>
          <t>서운동 계양효성해링턴플레이스</t>
        </is>
      </c>
      <c r="B186" s="121" t="inlineStr">
        <is>
          <t>21.02.</t>
        </is>
      </c>
      <c r="C186" s="129" t="n">
        <v>1669</v>
      </c>
      <c r="D186" s="130" t="n">
        <v>135.5</v>
      </c>
      <c r="E186" s="131" t="n">
        <v>41</v>
      </c>
      <c r="F186" s="130" t="n">
        <v>99.90000000000001</v>
      </c>
      <c r="G186" s="17" t="n">
        <v>30</v>
      </c>
      <c r="H186" s="132" t="n">
        <v>59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4</v>
      </c>
      <c r="R186" s="117" t="n">
        <v>2</v>
      </c>
      <c r="S186" s="117" t="inlineStr">
        <is>
          <t>계</t>
        </is>
      </c>
      <c r="T186" s="5" t="n">
        <v>135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17">
        <f>S186</f>
        <v/>
      </c>
      <c r="AF186" s="117">
        <f>Q186&amp;"/"&amp;R186</f>
        <v/>
      </c>
      <c r="AH186" s="20">
        <f>IF(A186="","",A186)</f>
        <v/>
      </c>
      <c r="AI186" s="131">
        <f>IF(E186="","",E186)</f>
        <v/>
      </c>
      <c r="AJ186" s="117">
        <f>IF(AI186="","",$AJ$2)</f>
        <v/>
      </c>
      <c r="AK186" s="117" t="inlineStr">
        <is>
          <t>A</t>
        </is>
      </c>
      <c r="AL186" s="117" t="inlineStr">
        <is>
          <t>A+</t>
        </is>
      </c>
      <c r="AM186" s="117" t="inlineStr">
        <is>
          <t>B+</t>
        </is>
      </c>
      <c r="AN186" s="117">
        <f>IF(AI186="","",$AN$2)</f>
        <v/>
      </c>
      <c r="AO186" s="117">
        <f>IF(N186="","",IF(N186&gt;=$AO$1/100,"O","X"))</f>
        <v/>
      </c>
      <c r="AP186" s="117">
        <f>IF(I186="","",IF(I186&lt;=$AP$1,"O","X"))</f>
        <v/>
      </c>
      <c r="AQ186" s="117">
        <f>IF(O186="","",IF(O186&lt;=$AQ$1,"O","X"))</f>
        <v/>
      </c>
      <c r="AR186" s="117">
        <f>IF(M186="","",IF(M186&lt;=$AR$1,"O","X"))</f>
        <v/>
      </c>
      <c r="AS186" s="117" t="inlineStr">
        <is>
          <t>X</t>
        </is>
      </c>
      <c r="AT186" s="117">
        <f>IF(OR(F186="",AI186=""),"",IF(AND((F186&lt;=85),(AI186&gt;=15)),"O","X"))</f>
        <v/>
      </c>
      <c r="AU186" s="117">
        <f>IF(C186="","",IF(C186&gt;=$AU$1,"O","X"))</f>
        <v/>
      </c>
      <c r="AV186" s="117">
        <f>IF(AO186="","",IF(AND(AO186="O",AP186="O",AR186="O",AT186="O",AU186="O"),"후보","X"))</f>
        <v/>
      </c>
    </row>
    <row r="187" ht="12" customFormat="1" customHeight="1" s="38">
      <c r="A187" s="120" t="inlineStr">
        <is>
          <t>서운동 서운경남아너스빌</t>
        </is>
      </c>
      <c r="B187" s="121" t="inlineStr">
        <is>
          <t>07.09.</t>
        </is>
      </c>
      <c r="C187" s="129" t="n">
        <v>255</v>
      </c>
      <c r="D187" s="130" t="n">
        <v>130.9</v>
      </c>
      <c r="E187" s="131" t="n">
        <v>40</v>
      </c>
      <c r="F187" s="130" t="n">
        <v>101.8</v>
      </c>
      <c r="G187" s="17" t="n">
        <v>31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130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17">
        <f>S187</f>
        <v/>
      </c>
      <c r="AF187" s="117">
        <f>Q187&amp;"/"&amp;R187</f>
        <v/>
      </c>
      <c r="AH187" s="20">
        <f>IF(A187="","",A187)</f>
        <v/>
      </c>
      <c r="AI187" s="131">
        <f>IF(E187="","",E187)</f>
        <v/>
      </c>
      <c r="AJ187" s="117">
        <f>IF(AI187="","",$AJ$2)</f>
        <v/>
      </c>
      <c r="AK187" s="117" t="inlineStr">
        <is>
          <t>A</t>
        </is>
      </c>
      <c r="AL187" s="117" t="inlineStr">
        <is>
          <t>A+</t>
        </is>
      </c>
      <c r="AM187" s="117" t="inlineStr">
        <is>
          <t>B+</t>
        </is>
      </c>
      <c r="AN187" s="117">
        <f>IF(AI187="","",$AN$2)</f>
        <v/>
      </c>
      <c r="AO187" s="117">
        <f>IF(N187="","",IF(N187&gt;=$AO$1/100,"O","X"))</f>
        <v/>
      </c>
      <c r="AP187" s="117">
        <f>IF(I187="","",IF(I187&lt;=$AP$1,"O","X"))</f>
        <v/>
      </c>
      <c r="AQ187" s="117">
        <f>IF(O187="","",IF(O187&lt;=$AQ$1,"O","X"))</f>
        <v/>
      </c>
      <c r="AR187" s="117">
        <f>IF(M187="","",IF(M187&lt;=$AR$1,"O","X"))</f>
        <v/>
      </c>
      <c r="AS187" s="117" t="inlineStr">
        <is>
          <t>X</t>
        </is>
      </c>
      <c r="AT187" s="117">
        <f>IF(OR(F187="",AI187=""),"",IF(AND((F187&lt;=85),(AI187&gt;=15)),"O","X"))</f>
        <v/>
      </c>
      <c r="AU187" s="117">
        <f>IF(C187="","",IF(C187&gt;=$AU$1,"O","X"))</f>
        <v/>
      </c>
      <c r="AV187" s="117">
        <f>IF(AO187="","",IF(AND(AO187="O",AP187="O",AR187="O",AT187="O",AU187="O"),"후보","X"))</f>
        <v/>
      </c>
    </row>
    <row r="188" ht="12" customFormat="1" customHeight="1" s="38">
      <c r="A188" s="120" t="inlineStr">
        <is>
          <t>서운동 서운경남아너스빌</t>
        </is>
      </c>
      <c r="B188" s="121" t="inlineStr">
        <is>
          <t>07.09.</t>
        </is>
      </c>
      <c r="C188" s="129" t="n">
        <v>255</v>
      </c>
      <c r="D188" s="130" t="n">
        <v>162.9</v>
      </c>
      <c r="E188" s="131" t="n">
        <v>49</v>
      </c>
      <c r="F188" s="130" t="n">
        <v>133.3</v>
      </c>
      <c r="G188" s="17" t="n">
        <v>40</v>
      </c>
      <c r="H188" s="132" t="n">
        <v>75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162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17">
        <f>S188</f>
        <v/>
      </c>
      <c r="AF188" s="117">
        <f>Q188&amp;"/"&amp;R188</f>
        <v/>
      </c>
      <c r="AH188" s="20">
        <f>IF(A188="","",A188)</f>
        <v/>
      </c>
      <c r="AI188" s="131">
        <f>IF(E188="","",E188)</f>
        <v/>
      </c>
      <c r="AJ188" s="117">
        <f>IF(AI188="","",$AJ$2)</f>
        <v/>
      </c>
      <c r="AK188" s="117" t="inlineStr">
        <is>
          <t>A</t>
        </is>
      </c>
      <c r="AL188" s="117" t="inlineStr">
        <is>
          <t>A+</t>
        </is>
      </c>
      <c r="AM188" s="117" t="inlineStr">
        <is>
          <t>B+</t>
        </is>
      </c>
      <c r="AN188" s="117">
        <f>IF(AI188="","",$AN$2)</f>
        <v/>
      </c>
      <c r="AO188" s="117">
        <f>IF(N188="","",IF(N188&gt;=$AO$1/100,"O","X"))</f>
        <v/>
      </c>
      <c r="AP188" s="117">
        <f>IF(I188="","",IF(I188&lt;=$AP$1,"O","X"))</f>
        <v/>
      </c>
      <c r="AQ188" s="117">
        <f>IF(O188="","",IF(O188&lt;=$AQ$1,"O","X"))</f>
        <v/>
      </c>
      <c r="AR188" s="117">
        <f>IF(M188="","",IF(M188&lt;=$AR$1,"O","X"))</f>
        <v/>
      </c>
      <c r="AS188" s="117" t="inlineStr">
        <is>
          <t>X</t>
        </is>
      </c>
      <c r="AT188" s="117">
        <f>IF(OR(F188="",AI188=""),"",IF(AND((F188&lt;=85),(AI188&gt;=15)),"O","X"))</f>
        <v/>
      </c>
      <c r="AU188" s="117">
        <f>IF(C188="","",IF(C188&gt;=$AU$1,"O","X"))</f>
        <v/>
      </c>
      <c r="AV188" s="117">
        <f>IF(AO188="","",IF(AND(AO188="O",AP188="O",AR188="O",AT188="O",AU188="O"),"후보","X"))</f>
        <v/>
      </c>
    </row>
    <row r="189" ht="12" customFormat="1" customHeight="1" s="38">
      <c r="A189" s="120" t="inlineStr">
        <is>
          <t>오류동 신동아</t>
        </is>
      </c>
      <c r="B189" s="121" t="inlineStr">
        <is>
          <t>97.03.</t>
        </is>
      </c>
      <c r="C189" s="129" t="n">
        <v>1192</v>
      </c>
      <c r="D189" s="130" t="n">
        <v>78</v>
      </c>
      <c r="E189" s="131" t="n">
        <v>24</v>
      </c>
      <c r="F189" s="130" t="n">
        <v>60</v>
      </c>
      <c r="G189" s="17" t="n">
        <v>18</v>
      </c>
      <c r="H189" s="132" t="n">
        <v>536</v>
      </c>
      <c r="I189" s="133" t="n">
        <v>29000</v>
      </c>
      <c r="J189" s="133" t="inlineStr">
        <is>
          <t>9</t>
        </is>
      </c>
      <c r="K189" s="133" t="n">
        <v>25000</v>
      </c>
      <c r="L189" s="133" t="inlineStr">
        <is>
          <t>11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1</v>
      </c>
      <c r="S189" s="117" t="inlineStr">
        <is>
          <t>계</t>
        </is>
      </c>
      <c r="T189" s="5" t="n">
        <v>78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17">
        <f>S189</f>
        <v/>
      </c>
      <c r="AF189" s="117">
        <f>Q189&amp;"/"&amp;R189</f>
        <v/>
      </c>
      <c r="AH189" s="20">
        <f>IF(A189="","",A189)</f>
        <v/>
      </c>
      <c r="AI189" s="131">
        <f>IF(E189="","",E189)</f>
        <v/>
      </c>
      <c r="AJ189" s="117">
        <f>IF(AI189="","",$AJ$2)</f>
        <v/>
      </c>
      <c r="AK189" s="117" t="inlineStr">
        <is>
          <t>A</t>
        </is>
      </c>
      <c r="AL189" s="117" t="inlineStr">
        <is>
          <t>A+</t>
        </is>
      </c>
      <c r="AM189" s="117" t="inlineStr">
        <is>
          <t>B+</t>
        </is>
      </c>
      <c r="AN189" s="117">
        <f>IF(AI189="","",$AN$2)</f>
        <v/>
      </c>
      <c r="AO189" s="117">
        <f>IF(N189="","",IF(N189&gt;=$AO$1/100,"O","X"))</f>
        <v/>
      </c>
      <c r="AP189" s="117">
        <f>IF(I189="","",IF(I189&lt;=$AP$1,"O","X"))</f>
        <v/>
      </c>
      <c r="AQ189" s="117">
        <f>IF(O189="","",IF(O189&lt;=$AQ$1,"O","X"))</f>
        <v/>
      </c>
      <c r="AR189" s="117">
        <f>IF(M189="","",IF(M189&lt;=$AR$1,"O","X"))</f>
        <v/>
      </c>
      <c r="AS189" s="117" t="inlineStr">
        <is>
          <t>X</t>
        </is>
      </c>
      <c r="AT189" s="117">
        <f>IF(OR(F189="",AI189=""),"",IF(AND((F189&lt;=85),(AI189&gt;=15)),"O","X"))</f>
        <v/>
      </c>
      <c r="AU189" s="117">
        <f>IF(C189="","",IF(C189&gt;=$AU$1,"O","X"))</f>
        <v/>
      </c>
      <c r="AV189" s="117">
        <f>IF(AO189="","",IF(AND(AO189="O",AP189="O",AR189="O",AT189="O",AU189="O"),"후보","X"))</f>
        <v/>
      </c>
    </row>
    <row r="190" ht="12" customFormat="1" customHeight="1" s="38">
      <c r="A190" s="120" t="inlineStr">
        <is>
          <t>오류동 신동아</t>
        </is>
      </c>
      <c r="B190" s="121" t="inlineStr">
        <is>
          <t>97.03.</t>
        </is>
      </c>
      <c r="C190" s="129" t="n">
        <v>1192</v>
      </c>
      <c r="D190" s="130" t="n">
        <v>105.3</v>
      </c>
      <c r="E190" s="131" t="n">
        <v>32</v>
      </c>
      <c r="F190" s="130" t="n">
        <v>85</v>
      </c>
      <c r="G190" s="17" t="n">
        <v>26</v>
      </c>
      <c r="H190" s="132" t="n">
        <v>560</v>
      </c>
      <c r="I190" s="133" t="n">
        <v>37000</v>
      </c>
      <c r="J190" s="133" t="inlineStr">
        <is>
          <t>10</t>
        </is>
      </c>
      <c r="K190" s="133" t="n">
        <v>25000</v>
      </c>
      <c r="L190" s="133" t="inlineStr">
        <is>
          <t>7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105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17">
        <f>S190</f>
        <v/>
      </c>
      <c r="AF190" s="117">
        <f>Q190&amp;"/"&amp;R190</f>
        <v/>
      </c>
      <c r="AH190" s="20">
        <f>IF(A190="","",A190)</f>
        <v/>
      </c>
      <c r="AI190" s="131">
        <f>IF(E190="","",E190)</f>
        <v/>
      </c>
      <c r="AJ190" s="117">
        <f>IF(AI190="","",$AJ$2)</f>
        <v/>
      </c>
      <c r="AK190" s="117" t="inlineStr">
        <is>
          <t>A</t>
        </is>
      </c>
      <c r="AL190" s="117" t="inlineStr">
        <is>
          <t>A+</t>
        </is>
      </c>
      <c r="AM190" s="117" t="inlineStr">
        <is>
          <t>B+</t>
        </is>
      </c>
      <c r="AN190" s="117">
        <f>IF(AI190="","",$AN$2)</f>
        <v/>
      </c>
      <c r="AO190" s="117">
        <f>IF(N190="","",IF(N190&gt;=$AO$1/100,"O","X"))</f>
        <v/>
      </c>
      <c r="AP190" s="117">
        <f>IF(I190="","",IF(I190&lt;=$AP$1,"O","X"))</f>
        <v/>
      </c>
      <c r="AQ190" s="117">
        <f>IF(O190="","",IF(O190&lt;=$AQ$1,"O","X"))</f>
        <v/>
      </c>
      <c r="AR190" s="117">
        <f>IF(M190="","",IF(M190&lt;=$AR$1,"O","X"))</f>
        <v/>
      </c>
      <c r="AS190" s="117" t="inlineStr">
        <is>
          <t>X</t>
        </is>
      </c>
      <c r="AT190" s="117">
        <f>IF(OR(F190="",AI190=""),"",IF(AND((F190&lt;=85),(AI190&gt;=15)),"O","X"))</f>
        <v/>
      </c>
      <c r="AU190" s="117">
        <f>IF(C190="","",IF(C190&gt;=$AU$1,"O","X"))</f>
        <v/>
      </c>
      <c r="AV190" s="117">
        <f>IF(AO190="","",IF(AND(AO190="O",AP190="O",AR190="O",AT190="O",AU190="O"),"후보","X"))</f>
        <v/>
      </c>
    </row>
    <row r="191" ht="12" customFormat="1" customHeight="1" s="38">
      <c r="A191" s="120" t="inlineStr">
        <is>
          <t>오류동 신동아</t>
        </is>
      </c>
      <c r="B191" s="121" t="inlineStr">
        <is>
          <t>97.03.</t>
        </is>
      </c>
      <c r="C191" s="129" t="n">
        <v>1192</v>
      </c>
      <c r="D191" s="130" t="n">
        <v>138</v>
      </c>
      <c r="E191" s="131" t="n">
        <v>42</v>
      </c>
      <c r="F191" s="130" t="n">
        <v>115</v>
      </c>
      <c r="G191" s="17" t="n">
        <v>35</v>
      </c>
      <c r="H191" s="132" t="n">
        <v>96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n">
        <v>137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17">
        <f>S191</f>
        <v/>
      </c>
      <c r="AF191" s="117">
        <f>Q191&amp;"/"&amp;R191</f>
        <v/>
      </c>
      <c r="AH191" s="20">
        <f>IF(A191="","",A191)</f>
        <v/>
      </c>
      <c r="AI191" s="131">
        <f>IF(E191="","",E191)</f>
        <v/>
      </c>
      <c r="AJ191" s="117">
        <f>IF(AI191="","",$AJ$2)</f>
        <v/>
      </c>
      <c r="AK191" s="117" t="inlineStr">
        <is>
          <t>A</t>
        </is>
      </c>
      <c r="AL191" s="117" t="inlineStr">
        <is>
          <t>A+</t>
        </is>
      </c>
      <c r="AM191" s="117" t="inlineStr">
        <is>
          <t>B+</t>
        </is>
      </c>
      <c r="AN191" s="117">
        <f>IF(AI191="","",$AN$2)</f>
        <v/>
      </c>
      <c r="AO191" s="117">
        <f>IF(N191="","",IF(N191&gt;=$AO$1/100,"O","X"))</f>
        <v/>
      </c>
      <c r="AP191" s="117">
        <f>IF(I191="","",IF(I191&lt;=$AP$1,"O","X"))</f>
        <v/>
      </c>
      <c r="AQ191" s="117">
        <f>IF(O191="","",IF(O191&lt;=$AQ$1,"O","X"))</f>
        <v/>
      </c>
      <c r="AR191" s="117">
        <f>IF(M191="","",IF(M191&lt;=$AR$1,"O","X"))</f>
        <v/>
      </c>
      <c r="AS191" s="117" t="inlineStr">
        <is>
          <t>X</t>
        </is>
      </c>
      <c r="AT191" s="117">
        <f>IF(OR(F191="",AI191=""),"",IF(AND((F191&lt;=85),(AI191&gt;=15)),"O","X"))</f>
        <v/>
      </c>
      <c r="AU191" s="117">
        <f>IF(C191="","",IF(C191&gt;=$AU$1,"O","X"))</f>
        <v/>
      </c>
      <c r="AV191" s="117">
        <f>IF(AO191="","",IF(AND(AO191="O",AP191="O",AR191="O",AT191="O",AU191="O"),"후보","X"))</f>
        <v/>
      </c>
    </row>
    <row r="192" ht="12" customFormat="1" customHeight="1" s="38">
      <c r="A192" s="120" t="inlineStr">
        <is>
          <t>용종동 초정마을하나</t>
        </is>
      </c>
      <c r="B192" s="121" t="inlineStr">
        <is>
          <t>97.08.</t>
        </is>
      </c>
      <c r="C192" s="129" t="n">
        <v>972</v>
      </c>
      <c r="D192" s="130" t="n">
        <v>35.9</v>
      </c>
      <c r="E192" s="131" t="n">
        <v>11</v>
      </c>
      <c r="F192" s="130" t="n">
        <v>26.4</v>
      </c>
      <c r="G192" s="17" t="n">
        <v>8</v>
      </c>
      <c r="H192" s="132" t="n">
        <v>168</v>
      </c>
      <c r="I192" s="133" t="n">
        <v>13000</v>
      </c>
      <c r="J192" s="133" t="inlineStr">
        <is>
          <t>11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1</v>
      </c>
      <c r="R192" s="117" t="n">
        <v>1</v>
      </c>
      <c r="S192" s="117" t="inlineStr">
        <is>
          <t>복</t>
        </is>
      </c>
      <c r="T192" s="5" t="n">
        <v>35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17">
        <f>S192</f>
        <v/>
      </c>
      <c r="AF192" s="117">
        <f>Q192&amp;"/"&amp;R192</f>
        <v/>
      </c>
      <c r="AH192" s="20">
        <f>IF(A192="","",A192)</f>
        <v/>
      </c>
      <c r="AI192" s="131">
        <f>IF(E192="","",E192)</f>
        <v/>
      </c>
      <c r="AJ192" s="117">
        <f>IF(AI192="","",$AJ$2)</f>
        <v/>
      </c>
      <c r="AK192" s="117" t="inlineStr">
        <is>
          <t>A</t>
        </is>
      </c>
      <c r="AL192" s="117" t="inlineStr">
        <is>
          <t>A+</t>
        </is>
      </c>
      <c r="AM192" s="117" t="inlineStr">
        <is>
          <t>B+</t>
        </is>
      </c>
      <c r="AN192" s="117">
        <f>IF(AI192="","",$AN$2)</f>
        <v/>
      </c>
      <c r="AO192" s="117">
        <f>IF(N192="","",IF(N192&gt;=$AO$1/100,"O","X"))</f>
        <v/>
      </c>
      <c r="AP192" s="117">
        <f>IF(I192="","",IF(I192&lt;=$AP$1,"O","X"))</f>
        <v/>
      </c>
      <c r="AQ192" s="117">
        <f>IF(O192="","",IF(O192&lt;=$AQ$1,"O","X"))</f>
        <v/>
      </c>
      <c r="AR192" s="117">
        <f>IF(M192="","",IF(M192&lt;=$AR$1,"O","X"))</f>
        <v/>
      </c>
      <c r="AS192" s="117" t="inlineStr">
        <is>
          <t>X</t>
        </is>
      </c>
      <c r="AT192" s="117">
        <f>IF(OR(F192="",AI192=""),"",IF(AND((F192&lt;=85),(AI192&gt;=15)),"O","X"))</f>
        <v/>
      </c>
      <c r="AU192" s="117">
        <f>IF(C192="","",IF(C192&gt;=$AU$1,"O","X"))</f>
        <v/>
      </c>
      <c r="AV192" s="117">
        <f>IF(AO192="","",IF(AND(AO192="O",AP192="O",AR192="O",AT192="O",AU192="O"),"후보","X"))</f>
        <v/>
      </c>
    </row>
    <row r="193" ht="12" customFormat="1" customHeight="1" s="38">
      <c r="A193" s="120" t="inlineStr">
        <is>
          <t>용종동 초정마을하나</t>
        </is>
      </c>
      <c r="B193" s="121" t="inlineStr">
        <is>
          <t>97.08.</t>
        </is>
      </c>
      <c r="C193" s="129" t="n">
        <v>972</v>
      </c>
      <c r="D193" s="130" t="n">
        <v>107.5</v>
      </c>
      <c r="E193" s="131" t="n">
        <v>33</v>
      </c>
      <c r="F193" s="130" t="n">
        <v>85</v>
      </c>
      <c r="G193" s="17" t="n">
        <v>26</v>
      </c>
      <c r="H193" s="132" t="n">
        <v>804</v>
      </c>
      <c r="I193" s="133" t="n">
        <v>45500</v>
      </c>
      <c r="J193" s="133" t="inlineStr">
        <is>
          <t>18</t>
        </is>
      </c>
      <c r="K193" s="133" t="n">
        <v>33000</v>
      </c>
      <c r="L193" s="133" t="inlineStr">
        <is>
          <t>15</t>
        </is>
      </c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107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17">
        <f>S193</f>
        <v/>
      </c>
      <c r="AF193" s="117">
        <f>Q193&amp;"/"&amp;R193</f>
        <v/>
      </c>
      <c r="AH193" s="20">
        <f>IF(A193="","",A193)</f>
        <v/>
      </c>
      <c r="AI193" s="131">
        <f>IF(E193="","",E193)</f>
        <v/>
      </c>
      <c r="AJ193" s="117">
        <f>IF(AI193="","",$AJ$2)</f>
        <v/>
      </c>
      <c r="AK193" s="117" t="inlineStr">
        <is>
          <t>A</t>
        </is>
      </c>
      <c r="AL193" s="117" t="inlineStr">
        <is>
          <t>A+</t>
        </is>
      </c>
      <c r="AM193" s="117" t="inlineStr">
        <is>
          <t>B+</t>
        </is>
      </c>
      <c r="AN193" s="117">
        <f>IF(AI193="","",$AN$2)</f>
        <v/>
      </c>
      <c r="AO193" s="117">
        <f>IF(N193="","",IF(N193&gt;=$AO$1/100,"O","X"))</f>
        <v/>
      </c>
      <c r="AP193" s="117">
        <f>IF(I193="","",IF(I193&lt;=$AP$1,"O","X"))</f>
        <v/>
      </c>
      <c r="AQ193" s="117">
        <f>IF(O193="","",IF(O193&lt;=$AQ$1,"O","X"))</f>
        <v/>
      </c>
      <c r="AR193" s="117">
        <f>IF(M193="","",IF(M193&lt;=$AR$1,"O","X"))</f>
        <v/>
      </c>
      <c r="AS193" s="117" t="inlineStr">
        <is>
          <t>X</t>
        </is>
      </c>
      <c r="AT193" s="117">
        <f>IF(OR(F193="",AI193=""),"",IF(AND((F193&lt;=85),(AI193&gt;=15)),"O","X"))</f>
        <v/>
      </c>
      <c r="AU193" s="117">
        <f>IF(C193="","",IF(C193&gt;=$AU$1,"O","X"))</f>
        <v/>
      </c>
      <c r="AV193" s="117">
        <f>IF(AO193="","",IF(AND(AO193="O",AP193="O",AR193="O",AT193="O",AU193="O"),"후보","X"))</f>
        <v/>
      </c>
    </row>
    <row r="194" ht="12" customFormat="1" customHeight="1" s="38">
      <c r="A194" s="120" t="inlineStr">
        <is>
          <t>용종동 초정마을두산쌍용</t>
        </is>
      </c>
      <c r="B194" s="121" t="inlineStr">
        <is>
          <t>97.10.</t>
        </is>
      </c>
      <c r="C194" s="129" t="n">
        <v>798</v>
      </c>
      <c r="D194" s="130" t="n">
        <v>120.5</v>
      </c>
      <c r="E194" s="131" t="n">
        <v>36</v>
      </c>
      <c r="F194" s="130" t="n">
        <v>96.2</v>
      </c>
      <c r="G194" s="17" t="n">
        <v>29</v>
      </c>
      <c r="H194" s="132" t="n">
        <v>288</v>
      </c>
      <c r="I194" s="133" t="n">
        <v>58000</v>
      </c>
      <c r="J194" s="133" t="inlineStr">
        <is>
          <t>19</t>
        </is>
      </c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inlineStr">
        <is>
          <t>120(두산)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17">
        <f>S194</f>
        <v/>
      </c>
      <c r="AF194" s="117">
        <f>Q194&amp;"/"&amp;R194</f>
        <v/>
      </c>
      <c r="AH194" s="20">
        <f>IF(A194="","",A194)</f>
        <v/>
      </c>
      <c r="AI194" s="131">
        <f>IF(E194="","",E194)</f>
        <v/>
      </c>
      <c r="AJ194" s="117">
        <f>IF(AI194="","",$AJ$2)</f>
        <v/>
      </c>
      <c r="AK194" s="117" t="inlineStr">
        <is>
          <t>A</t>
        </is>
      </c>
      <c r="AL194" s="117" t="inlineStr">
        <is>
          <t>A+</t>
        </is>
      </c>
      <c r="AM194" s="117" t="inlineStr">
        <is>
          <t>B+</t>
        </is>
      </c>
      <c r="AN194" s="117">
        <f>IF(AI194="","",$AN$2)</f>
        <v/>
      </c>
      <c r="AO194" s="117">
        <f>IF(N194="","",IF(N194&gt;=$AO$1/100,"O","X"))</f>
        <v/>
      </c>
      <c r="AP194" s="117">
        <f>IF(I194="","",IF(I194&lt;=$AP$1,"O","X"))</f>
        <v/>
      </c>
      <c r="AQ194" s="117">
        <f>IF(O194="","",IF(O194&lt;=$AQ$1,"O","X"))</f>
        <v/>
      </c>
      <c r="AR194" s="117">
        <f>IF(M194="","",IF(M194&lt;=$AR$1,"O","X"))</f>
        <v/>
      </c>
      <c r="AS194" s="117" t="inlineStr">
        <is>
          <t>X</t>
        </is>
      </c>
      <c r="AT194" s="117">
        <f>IF(OR(F194="",AI194=""),"",IF(AND((F194&lt;=85),(AI194&gt;=15)),"O","X"))</f>
        <v/>
      </c>
      <c r="AU194" s="117">
        <f>IF(C194="","",IF(C194&gt;=$AU$1,"O","X"))</f>
        <v/>
      </c>
      <c r="AV194" s="117">
        <f>IF(AO194="","",IF(AND(AO194="O",AP194="O",AR194="O",AT194="O",AU194="O"),"후보","X"))</f>
        <v/>
      </c>
    </row>
    <row r="195" ht="12" customFormat="1" customHeight="1" s="38">
      <c r="A195" s="120" t="inlineStr">
        <is>
          <t>용종동 초정마을두산쌍용</t>
        </is>
      </c>
      <c r="B195" s="121" t="inlineStr">
        <is>
          <t>97.10.</t>
        </is>
      </c>
      <c r="C195" s="129" t="n">
        <v>798</v>
      </c>
      <c r="D195" s="130" t="n">
        <v>120.5</v>
      </c>
      <c r="E195" s="131" t="n">
        <v>36</v>
      </c>
      <c r="F195" s="130" t="n">
        <v>96.2</v>
      </c>
      <c r="G195" s="17" t="n">
        <v>29</v>
      </c>
      <c r="H195" s="132" t="n">
        <v>228</v>
      </c>
      <c r="I195" s="133" t="n">
        <v>58000</v>
      </c>
      <c r="J195" s="133" t="inlineStr">
        <is>
          <t>19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inlineStr">
        <is>
          <t>120(쌍용)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17">
        <f>S195</f>
        <v/>
      </c>
      <c r="AF195" s="117">
        <f>Q195&amp;"/"&amp;R195</f>
        <v/>
      </c>
      <c r="AH195" s="20">
        <f>IF(A195="","",A195)</f>
        <v/>
      </c>
      <c r="AI195" s="131">
        <f>IF(E195="","",E195)</f>
        <v/>
      </c>
      <c r="AJ195" s="117">
        <f>IF(AI195="","",$AJ$2)</f>
        <v/>
      </c>
      <c r="AK195" s="117" t="inlineStr">
        <is>
          <t>A</t>
        </is>
      </c>
      <c r="AL195" s="117" t="inlineStr">
        <is>
          <t>A+</t>
        </is>
      </c>
      <c r="AM195" s="117" t="inlineStr">
        <is>
          <t>B+</t>
        </is>
      </c>
      <c r="AN195" s="117">
        <f>IF(AI195="","",$AN$2)</f>
        <v/>
      </c>
      <c r="AO195" s="117">
        <f>IF(N195="","",IF(N195&gt;=$AO$1/100,"O","X"))</f>
        <v/>
      </c>
      <c r="AP195" s="117">
        <f>IF(I195="","",IF(I195&lt;=$AP$1,"O","X"))</f>
        <v/>
      </c>
      <c r="AQ195" s="117">
        <f>IF(O195="","",IF(O195&lt;=$AQ$1,"O","X"))</f>
        <v/>
      </c>
      <c r="AR195" s="117">
        <f>IF(M195="","",IF(M195&lt;=$AR$1,"O","X"))</f>
        <v/>
      </c>
      <c r="AS195" s="117" t="inlineStr">
        <is>
          <t>X</t>
        </is>
      </c>
      <c r="AT195" s="117">
        <f>IF(OR(F195="",AI195=""),"",IF(AND((F195&lt;=85),(AI195&gt;=15)),"O","X"))</f>
        <v/>
      </c>
      <c r="AU195" s="117">
        <f>IF(C195="","",IF(C195&gt;=$AU$1,"O","X"))</f>
        <v/>
      </c>
      <c r="AV195" s="117">
        <f>IF(AO195="","",IF(AND(AO195="O",AP195="O",AR195="O",AT195="O",AU195="O"),"후보","X"))</f>
        <v/>
      </c>
    </row>
    <row r="196" ht="12" customFormat="1" customHeight="1" s="38">
      <c r="A196" s="120" t="inlineStr">
        <is>
          <t>용종동 초정마을두산쌍용</t>
        </is>
      </c>
      <c r="B196" s="121" t="inlineStr">
        <is>
          <t>97.10.</t>
        </is>
      </c>
      <c r="C196" s="129" t="n">
        <v>798</v>
      </c>
      <c r="D196" s="130" t="n">
        <v>149.8</v>
      </c>
      <c r="E196" s="131" t="n">
        <v>45</v>
      </c>
      <c r="F196" s="130" t="n">
        <v>122</v>
      </c>
      <c r="G196" s="17" t="n">
        <v>37</v>
      </c>
      <c r="H196" s="132" t="n">
        <v>156</v>
      </c>
      <c r="I196" s="133" t="n">
        <v>69000</v>
      </c>
      <c r="J196" s="133" t="inlineStr">
        <is>
          <t>15</t>
        </is>
      </c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4</v>
      </c>
      <c r="R196" s="117" t="n">
        <v>2</v>
      </c>
      <c r="S196" s="117" t="inlineStr">
        <is>
          <t>계</t>
        </is>
      </c>
      <c r="T196" s="5" t="inlineStr">
        <is>
          <t>149(쌍용)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17">
        <f>S196</f>
        <v/>
      </c>
      <c r="AF196" s="117">
        <f>Q196&amp;"/"&amp;R196</f>
        <v/>
      </c>
      <c r="AH196" s="20">
        <f>IF(A196="","",A196)</f>
        <v/>
      </c>
      <c r="AI196" s="131">
        <f>IF(E196="","",E196)</f>
        <v/>
      </c>
      <c r="AJ196" s="117">
        <f>IF(AI196="","",$AJ$2)</f>
        <v/>
      </c>
      <c r="AK196" s="117" t="inlineStr">
        <is>
          <t>A</t>
        </is>
      </c>
      <c r="AL196" s="117" t="inlineStr">
        <is>
          <t>A+</t>
        </is>
      </c>
      <c r="AM196" s="117" t="inlineStr">
        <is>
          <t>B+</t>
        </is>
      </c>
      <c r="AN196" s="117">
        <f>IF(AI196="","",$AN$2)</f>
        <v/>
      </c>
      <c r="AO196" s="117">
        <f>IF(N196="","",IF(N196&gt;=$AO$1/100,"O","X"))</f>
        <v/>
      </c>
      <c r="AP196" s="117">
        <f>IF(I196="","",IF(I196&lt;=$AP$1,"O","X"))</f>
        <v/>
      </c>
      <c r="AQ196" s="117">
        <f>IF(O196="","",IF(O196&lt;=$AQ$1,"O","X"))</f>
        <v/>
      </c>
      <c r="AR196" s="117">
        <f>IF(M196="","",IF(M196&lt;=$AR$1,"O","X"))</f>
        <v/>
      </c>
      <c r="AS196" s="117" t="inlineStr">
        <is>
          <t>X</t>
        </is>
      </c>
      <c r="AT196" s="117">
        <f>IF(OR(F196="",AI196=""),"",IF(AND((F196&lt;=85),(AI196&gt;=15)),"O","X"))</f>
        <v/>
      </c>
      <c r="AU196" s="117">
        <f>IF(C196="","",IF(C196&gt;=$AU$1,"O","X"))</f>
        <v/>
      </c>
      <c r="AV196" s="117">
        <f>IF(AO196="","",IF(AND(AO196="O",AP196="O",AR196="O",AT196="O",AU196="O"),"후보","X"))</f>
        <v/>
      </c>
    </row>
    <row r="197" ht="12" customFormat="1" customHeight="1" s="38">
      <c r="A197" s="120" t="inlineStr">
        <is>
          <t>용종동 초정마을두산쌍용</t>
        </is>
      </c>
      <c r="B197" s="121" t="inlineStr">
        <is>
          <t>97.10.</t>
        </is>
      </c>
      <c r="C197" s="129" t="n">
        <v>798</v>
      </c>
      <c r="D197" s="130" t="n">
        <v>149.8</v>
      </c>
      <c r="E197" s="131" t="n">
        <v>45</v>
      </c>
      <c r="F197" s="130" t="n">
        <v>122</v>
      </c>
      <c r="G197" s="17" t="n">
        <v>37</v>
      </c>
      <c r="H197" s="132" t="n">
        <v>126</v>
      </c>
      <c r="I197" s="133" t="n">
        <v>69000</v>
      </c>
      <c r="J197" s="133" t="inlineStr">
        <is>
          <t>15</t>
        </is>
      </c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inlineStr">
        <is>
          <t>149(두산)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17">
        <f>S197</f>
        <v/>
      </c>
      <c r="AF197" s="117">
        <f>Q197&amp;"/"&amp;R197</f>
        <v/>
      </c>
      <c r="AH197" s="20">
        <f>IF(A197="","",A197)</f>
        <v/>
      </c>
      <c r="AI197" s="131">
        <f>IF(E197="","",E197)</f>
        <v/>
      </c>
      <c r="AJ197" s="117">
        <f>IF(AI197="","",$AJ$2)</f>
        <v/>
      </c>
      <c r="AK197" s="117" t="inlineStr">
        <is>
          <t>A</t>
        </is>
      </c>
      <c r="AL197" s="117" t="inlineStr">
        <is>
          <t>A+</t>
        </is>
      </c>
      <c r="AM197" s="117" t="inlineStr">
        <is>
          <t>B+</t>
        </is>
      </c>
      <c r="AN197" s="117">
        <f>IF(AI197="","",$AN$2)</f>
        <v/>
      </c>
      <c r="AO197" s="117">
        <f>IF(N197="","",IF(N197&gt;=$AO$1/100,"O","X"))</f>
        <v/>
      </c>
      <c r="AP197" s="117">
        <f>IF(I197="","",IF(I197&lt;=$AP$1,"O","X"))</f>
        <v/>
      </c>
      <c r="AQ197" s="117">
        <f>IF(O197="","",IF(O197&lt;=$AQ$1,"O","X"))</f>
        <v/>
      </c>
      <c r="AR197" s="117">
        <f>IF(M197="","",IF(M197&lt;=$AR$1,"O","X"))</f>
        <v/>
      </c>
      <c r="AS197" s="117" t="inlineStr">
        <is>
          <t>X</t>
        </is>
      </c>
      <c r="AT197" s="117">
        <f>IF(OR(F197="",AI197=""),"",IF(AND((F197&lt;=85),(AI197&gt;=15)),"O","X"))</f>
        <v/>
      </c>
      <c r="AU197" s="117">
        <f>IF(C197="","",IF(C197&gt;=$AU$1,"O","X"))</f>
        <v/>
      </c>
      <c r="AV197" s="117">
        <f>IF(AO197="","",IF(AND(AO197="O",AP197="O",AR197="O",AT197="O",AU197="O"),"후보","X"))</f>
        <v/>
      </c>
    </row>
    <row r="198" ht="12" customFormat="1" customHeight="1" s="38">
      <c r="A198" s="120" t="inlineStr">
        <is>
          <t>용종동 용종마을신대진</t>
        </is>
      </c>
      <c r="B198" s="121" t="inlineStr">
        <is>
          <t>97.08.</t>
        </is>
      </c>
      <c r="C198" s="129" t="n">
        <v>562</v>
      </c>
      <c r="D198" s="130" t="n">
        <v>51.4</v>
      </c>
      <c r="E198" s="131" t="n">
        <v>16</v>
      </c>
      <c r="F198" s="130" t="n">
        <v>37.2</v>
      </c>
      <c r="G198" s="17" t="n">
        <v>11</v>
      </c>
      <c r="H198" s="132" t="n">
        <v>160</v>
      </c>
      <c r="I198" s="133" t="n">
        <v>20500</v>
      </c>
      <c r="J198" s="133" t="inlineStr">
        <is>
          <t>14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2</v>
      </c>
      <c r="R198" s="117" t="n">
        <v>1</v>
      </c>
      <c r="S198" s="117" t="inlineStr">
        <is>
          <t>복</t>
        </is>
      </c>
      <c r="T198" s="5" t="n">
        <v>51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17">
        <f>S198</f>
        <v/>
      </c>
      <c r="AF198" s="117">
        <f>Q198&amp;"/"&amp;R198</f>
        <v/>
      </c>
      <c r="AH198" s="20">
        <f>IF(A198="","",A198)</f>
        <v/>
      </c>
      <c r="AI198" s="131">
        <f>IF(E198="","",E198)</f>
        <v/>
      </c>
      <c r="AJ198" s="117">
        <f>IF(AI198="","",$AJ$2)</f>
        <v/>
      </c>
      <c r="AK198" s="117" t="inlineStr">
        <is>
          <t>A</t>
        </is>
      </c>
      <c r="AL198" s="117" t="inlineStr">
        <is>
          <t>A+</t>
        </is>
      </c>
      <c r="AM198" s="117" t="inlineStr">
        <is>
          <t>B+</t>
        </is>
      </c>
      <c r="AN198" s="117">
        <f>IF(AI198="","",$AN$2)</f>
        <v/>
      </c>
      <c r="AO198" s="117">
        <f>IF(N198="","",IF(N198&gt;=$AO$1/100,"O","X"))</f>
        <v/>
      </c>
      <c r="AP198" s="117">
        <f>IF(I198="","",IF(I198&lt;=$AP$1,"O","X"))</f>
        <v/>
      </c>
      <c r="AQ198" s="117">
        <f>IF(O198="","",IF(O198&lt;=$AQ$1,"O","X"))</f>
        <v/>
      </c>
      <c r="AR198" s="117">
        <f>IF(M198="","",IF(M198&lt;=$AR$1,"O","X"))</f>
        <v/>
      </c>
      <c r="AS198" s="117" t="inlineStr">
        <is>
          <t>X</t>
        </is>
      </c>
      <c r="AT198" s="117">
        <f>IF(OR(F198="",AI198=""),"",IF(AND((F198&lt;=85),(AI198&gt;=15)),"O","X"))</f>
        <v/>
      </c>
      <c r="AU198" s="117">
        <f>IF(C198="","",IF(C198&gt;=$AU$1,"O","X"))</f>
        <v/>
      </c>
      <c r="AV198" s="117">
        <f>IF(AO198="","",IF(AND(AO198="O",AP198="O",AR198="O",AT198="O",AU198="O"),"후보","X"))</f>
        <v/>
      </c>
    </row>
    <row r="199" ht="12" customFormat="1" customHeight="1" s="38">
      <c r="A199" s="120" t="inlineStr">
        <is>
          <t>용종동 용종마을신대진</t>
        </is>
      </c>
      <c r="B199" s="121" t="inlineStr">
        <is>
          <t>97.08.</t>
        </is>
      </c>
      <c r="C199" s="129" t="n">
        <v>562</v>
      </c>
      <c r="D199" s="130" t="n">
        <v>105.5</v>
      </c>
      <c r="E199" s="131" t="n">
        <v>32</v>
      </c>
      <c r="F199" s="130" t="n">
        <v>85</v>
      </c>
      <c r="G199" s="17" t="n">
        <v>26</v>
      </c>
      <c r="H199" s="132" t="n">
        <v>402</v>
      </c>
      <c r="I199" s="133" t="n">
        <v>49000</v>
      </c>
      <c r="J199" s="133" t="inlineStr">
        <is>
          <t>17</t>
        </is>
      </c>
      <c r="K199" s="133" t="n">
        <v>36000</v>
      </c>
      <c r="L199" s="133" t="inlineStr">
        <is>
          <t>14</t>
        </is>
      </c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105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17">
        <f>S199</f>
        <v/>
      </c>
      <c r="AF199" s="117">
        <f>Q199&amp;"/"&amp;R199</f>
        <v/>
      </c>
      <c r="AH199" s="20">
        <f>IF(A199="","",A199)</f>
        <v/>
      </c>
      <c r="AI199" s="131">
        <f>IF(E199="","",E199)</f>
        <v/>
      </c>
      <c r="AJ199" s="117">
        <f>IF(AI199="","",$AJ$2)</f>
        <v/>
      </c>
      <c r="AK199" s="117" t="inlineStr">
        <is>
          <t>A</t>
        </is>
      </c>
      <c r="AL199" s="117" t="inlineStr">
        <is>
          <t>A+</t>
        </is>
      </c>
      <c r="AM199" s="117" t="inlineStr">
        <is>
          <t>B+</t>
        </is>
      </c>
      <c r="AN199" s="117">
        <f>IF(AI199="","",$AN$2)</f>
        <v/>
      </c>
      <c r="AO199" s="117">
        <f>IF(N199="","",IF(N199&gt;=$AO$1/100,"O","X"))</f>
        <v/>
      </c>
      <c r="AP199" s="117">
        <f>IF(I199="","",IF(I199&lt;=$AP$1,"O","X"))</f>
        <v/>
      </c>
      <c r="AQ199" s="117">
        <f>IF(O199="","",IF(O199&lt;=$AQ$1,"O","X"))</f>
        <v/>
      </c>
      <c r="AR199" s="117">
        <f>IF(M199="","",IF(M199&lt;=$AR$1,"O","X"))</f>
        <v/>
      </c>
      <c r="AS199" s="117" t="inlineStr">
        <is>
          <t>X</t>
        </is>
      </c>
      <c r="AT199" s="117">
        <f>IF(OR(F199="",AI199=""),"",IF(AND((F199&lt;=85),(AI199&gt;=15)),"O","X"))</f>
        <v/>
      </c>
      <c r="AU199" s="117">
        <f>IF(C199="","",IF(C199&gt;=$AU$1,"O","X"))</f>
        <v/>
      </c>
      <c r="AV199" s="117">
        <f>IF(AO199="","",IF(AND(AO199="O",AP199="O",AR199="O",AT199="O",AU199="O"),"후보","X"))</f>
        <v/>
      </c>
    </row>
    <row r="200" ht="12" customFormat="1" customHeight="1" s="38">
      <c r="A200" s="120" t="inlineStr">
        <is>
          <t>용종동 초정마을동아</t>
        </is>
      </c>
      <c r="B200" s="121" t="inlineStr">
        <is>
          <t>98.01.</t>
        </is>
      </c>
      <c r="C200" s="129" t="n">
        <v>616</v>
      </c>
      <c r="D200" s="130" t="n">
        <v>120.4</v>
      </c>
      <c r="E200" s="131" t="n">
        <v>36</v>
      </c>
      <c r="F200" s="130" t="n">
        <v>95.5</v>
      </c>
      <c r="G200" s="17" t="n">
        <v>29</v>
      </c>
      <c r="H200" s="132" t="n">
        <v>440</v>
      </c>
      <c r="I200" s="133" t="n">
        <v>57000</v>
      </c>
      <c r="J200" s="133" t="inlineStr">
        <is>
          <t>12</t>
        </is>
      </c>
      <c r="K200" s="133" t="n">
        <v>31500</v>
      </c>
      <c r="L200" s="133" t="inlineStr">
        <is>
          <t>9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2</v>
      </c>
      <c r="S200" s="117" t="inlineStr">
        <is>
          <t>계</t>
        </is>
      </c>
      <c r="T200" s="5" t="n">
        <v>120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17">
        <f>S200</f>
        <v/>
      </c>
      <c r="AF200" s="117">
        <f>Q200&amp;"/"&amp;R200</f>
        <v/>
      </c>
      <c r="AH200" s="20">
        <f>IF(A200="","",A200)</f>
        <v/>
      </c>
      <c r="AI200" s="131">
        <f>IF(E200="","",E200)</f>
        <v/>
      </c>
      <c r="AJ200" s="117">
        <f>IF(AI200="","",$AJ$2)</f>
        <v/>
      </c>
      <c r="AK200" s="117" t="inlineStr">
        <is>
          <t>A</t>
        </is>
      </c>
      <c r="AL200" s="117" t="inlineStr">
        <is>
          <t>A+</t>
        </is>
      </c>
      <c r="AM200" s="117" t="inlineStr">
        <is>
          <t>B+</t>
        </is>
      </c>
      <c r="AN200" s="117">
        <f>IF(AI200="","",$AN$2)</f>
        <v/>
      </c>
      <c r="AO200" s="117">
        <f>IF(N200="","",IF(N200&gt;=$AO$1/100,"O","X"))</f>
        <v/>
      </c>
      <c r="AP200" s="117">
        <f>IF(I200="","",IF(I200&lt;=$AP$1,"O","X"))</f>
        <v/>
      </c>
      <c r="AQ200" s="117">
        <f>IF(O200="","",IF(O200&lt;=$AQ$1,"O","X"))</f>
        <v/>
      </c>
      <c r="AR200" s="117">
        <f>IF(M200="","",IF(M200&lt;=$AR$1,"O","X"))</f>
        <v/>
      </c>
      <c r="AS200" s="117" t="inlineStr">
        <is>
          <t>X</t>
        </is>
      </c>
      <c r="AT200" s="117">
        <f>IF(OR(F200="",AI200=""),"",IF(AND((F200&lt;=85),(AI200&gt;=15)),"O","X"))</f>
        <v/>
      </c>
      <c r="AU200" s="117">
        <f>IF(C200="","",IF(C200&gt;=$AU$1,"O","X"))</f>
        <v/>
      </c>
      <c r="AV200" s="117">
        <f>IF(AO200="","",IF(AND(AO200="O",AP200="O",AR200="O",AT200="O",AU200="O"),"후보","X"))</f>
        <v/>
      </c>
    </row>
    <row r="201" ht="12" customFormat="1" customHeight="1" s="38">
      <c r="A201" s="120" t="inlineStr">
        <is>
          <t>용종동 초정마을동아</t>
        </is>
      </c>
      <c r="B201" s="121" t="inlineStr">
        <is>
          <t>98.01.</t>
        </is>
      </c>
      <c r="C201" s="129" t="n">
        <v>616</v>
      </c>
      <c r="D201" s="130" t="n">
        <v>155.1</v>
      </c>
      <c r="E201" s="131" t="n">
        <v>47</v>
      </c>
      <c r="F201" s="130" t="n">
        <v>127.1</v>
      </c>
      <c r="G201" s="17" t="n">
        <v>38</v>
      </c>
      <c r="H201" s="132" t="n">
        <v>176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17">
        <f>S201</f>
        <v/>
      </c>
      <c r="AF201" s="117">
        <f>Q201&amp;"/"&amp;R201</f>
        <v/>
      </c>
      <c r="AH201" s="20">
        <f>IF(A201="","",A201)</f>
        <v/>
      </c>
      <c r="AI201" s="131">
        <f>IF(E201="","",E201)</f>
        <v/>
      </c>
      <c r="AJ201" s="117">
        <f>IF(AI201="","",$AJ$2)</f>
        <v/>
      </c>
      <c r="AK201" s="117" t="inlineStr">
        <is>
          <t>A</t>
        </is>
      </c>
      <c r="AL201" s="117" t="inlineStr">
        <is>
          <t>A+</t>
        </is>
      </c>
      <c r="AM201" s="117" t="inlineStr">
        <is>
          <t>B+</t>
        </is>
      </c>
      <c r="AN201" s="117">
        <f>IF(AI201="","",$AN$2)</f>
        <v/>
      </c>
      <c r="AO201" s="117">
        <f>IF(N201="","",IF(N201&gt;=$AO$1/100,"O","X"))</f>
        <v/>
      </c>
      <c r="AP201" s="117">
        <f>IF(I201="","",IF(I201&lt;=$AP$1,"O","X"))</f>
        <v/>
      </c>
      <c r="AQ201" s="117">
        <f>IF(O201="","",IF(O201&lt;=$AQ$1,"O","X"))</f>
        <v/>
      </c>
      <c r="AR201" s="117">
        <f>IF(M201="","",IF(M201&lt;=$AR$1,"O","X"))</f>
        <v/>
      </c>
      <c r="AS201" s="117" t="inlineStr">
        <is>
          <t>X</t>
        </is>
      </c>
      <c r="AT201" s="117">
        <f>IF(OR(F201="",AI201=""),"",IF(AND((F201&lt;=85),(AI201&gt;=15)),"O","X"))</f>
        <v/>
      </c>
      <c r="AU201" s="117">
        <f>IF(C201="","",IF(C201&gt;=$AU$1,"O","X"))</f>
        <v/>
      </c>
      <c r="AV201" s="117">
        <f>IF(AO201="","",IF(AND(AO201="O",AP201="O",AR201="O",AT201="O",AU201="O"),"후보","X"))</f>
        <v/>
      </c>
    </row>
    <row r="202" ht="12" customFormat="1" customHeight="1" s="38">
      <c r="A202" s="120" t="inlineStr">
        <is>
          <t>용종동 인천계양코아루센트럴파크</t>
        </is>
      </c>
      <c r="B202" s="121" t="inlineStr">
        <is>
          <t>17.06.</t>
        </is>
      </c>
      <c r="C202" s="129" t="n">
        <v>724</v>
      </c>
      <c r="D202" s="130" t="n">
        <v>83.5</v>
      </c>
      <c r="E202" s="131" t="n">
        <v>25</v>
      </c>
      <c r="F202" s="130" t="n">
        <v>60</v>
      </c>
      <c r="G202" s="17" t="n">
        <v>18</v>
      </c>
      <c r="H202" s="132" t="n">
        <v>56</v>
      </c>
      <c r="I202" s="133" t="n">
        <v>59000</v>
      </c>
      <c r="J202" s="133" t="inlineStr">
        <is>
          <t>10</t>
        </is>
      </c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2</v>
      </c>
      <c r="S202" s="117" t="inlineStr">
        <is>
          <t>계</t>
        </is>
      </c>
      <c r="T202" s="5" t="inlineStr">
        <is>
          <t>83B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17">
        <f>S202</f>
        <v/>
      </c>
      <c r="AF202" s="117">
        <f>Q202&amp;"/"&amp;R202</f>
        <v/>
      </c>
      <c r="AH202" s="20">
        <f>IF(A202="","",A202)</f>
        <v/>
      </c>
      <c r="AI202" s="131">
        <f>IF(E202="","",E202)</f>
        <v/>
      </c>
      <c r="AJ202" s="117">
        <f>IF(AI202="","",$AJ$2)</f>
        <v/>
      </c>
      <c r="AK202" s="117" t="inlineStr">
        <is>
          <t>A</t>
        </is>
      </c>
      <c r="AL202" s="117" t="inlineStr">
        <is>
          <t>A+</t>
        </is>
      </c>
      <c r="AM202" s="117" t="inlineStr">
        <is>
          <t>B+</t>
        </is>
      </c>
      <c r="AN202" s="117">
        <f>IF(AI202="","",$AN$2)</f>
        <v/>
      </c>
      <c r="AO202" s="117">
        <f>IF(N202="","",IF(N202&gt;=$AO$1/100,"O","X"))</f>
        <v/>
      </c>
      <c r="AP202" s="117">
        <f>IF(I202="","",IF(I202&lt;=$AP$1,"O","X"))</f>
        <v/>
      </c>
      <c r="AQ202" s="117">
        <f>IF(O202="","",IF(O202&lt;=$AQ$1,"O","X"))</f>
        <v/>
      </c>
      <c r="AR202" s="117">
        <f>IF(M202="","",IF(M202&lt;=$AR$1,"O","X"))</f>
        <v/>
      </c>
      <c r="AS202" s="117" t="inlineStr">
        <is>
          <t>X</t>
        </is>
      </c>
      <c r="AT202" s="117">
        <f>IF(OR(F202="",AI202=""),"",IF(AND((F202&lt;=85),(AI202&gt;=15)),"O","X"))</f>
        <v/>
      </c>
      <c r="AU202" s="117">
        <f>IF(C202="","",IF(C202&gt;=$AU$1,"O","X"))</f>
        <v/>
      </c>
      <c r="AV202" s="117">
        <f>IF(AO202="","",IF(AND(AO202="O",AP202="O",AR202="O",AT202="O",AU202="O"),"후보","X"))</f>
        <v/>
      </c>
    </row>
    <row r="203" ht="12" customFormat="1" customHeight="1" s="38">
      <c r="A203" s="120" t="inlineStr">
        <is>
          <t>용종동 인천계양코아루센트럴파크</t>
        </is>
      </c>
      <c r="B203" s="121" t="inlineStr">
        <is>
          <t>17.06.</t>
        </is>
      </c>
      <c r="C203" s="129" t="n">
        <v>724</v>
      </c>
      <c r="D203" s="130" t="n">
        <v>84.2</v>
      </c>
      <c r="E203" s="131" t="n">
        <v>25</v>
      </c>
      <c r="F203" s="130" t="n">
        <v>60</v>
      </c>
      <c r="G203" s="17" t="n">
        <v>18</v>
      </c>
      <c r="H203" s="132" t="n">
        <v>57</v>
      </c>
      <c r="I203" s="133" t="n">
        <v>56000</v>
      </c>
      <c r="J203" s="133" t="inlineStr">
        <is>
          <t>11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3</v>
      </c>
      <c r="R203" s="117" t="n">
        <v>2</v>
      </c>
      <c r="S203" s="117" t="inlineStr">
        <is>
          <t>계</t>
        </is>
      </c>
      <c r="T203" s="5" t="inlineStr">
        <is>
          <t>84A</t>
        </is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17">
        <f>S203</f>
        <v/>
      </c>
      <c r="AF203" s="117">
        <f>Q203&amp;"/"&amp;R203</f>
        <v/>
      </c>
      <c r="AH203" s="20">
        <f>IF(A203="","",A203)</f>
        <v/>
      </c>
      <c r="AI203" s="131">
        <f>IF(E203="","",E203)</f>
        <v/>
      </c>
      <c r="AJ203" s="117">
        <f>IF(AI203="","",$AJ$2)</f>
        <v/>
      </c>
      <c r="AK203" s="117" t="inlineStr">
        <is>
          <t>A</t>
        </is>
      </c>
      <c r="AL203" s="117" t="inlineStr">
        <is>
          <t>A+</t>
        </is>
      </c>
      <c r="AM203" s="117" t="inlineStr">
        <is>
          <t>B+</t>
        </is>
      </c>
      <c r="AN203" s="117">
        <f>IF(AI203="","",$AN$2)</f>
        <v/>
      </c>
      <c r="AO203" s="117">
        <f>IF(N203="","",IF(N203&gt;=$AO$1/100,"O","X"))</f>
        <v/>
      </c>
      <c r="AP203" s="117">
        <f>IF(I203="","",IF(I203&lt;=$AP$1,"O","X"))</f>
        <v/>
      </c>
      <c r="AQ203" s="117">
        <f>IF(O203="","",IF(O203&lt;=$AQ$1,"O","X"))</f>
        <v/>
      </c>
      <c r="AR203" s="117">
        <f>IF(M203="","",IF(M203&lt;=$AR$1,"O","X"))</f>
        <v/>
      </c>
      <c r="AS203" s="117" t="inlineStr">
        <is>
          <t>X</t>
        </is>
      </c>
      <c r="AT203" s="117">
        <f>IF(OR(F203="",AI203=""),"",IF(AND((F203&lt;=85),(AI203&gt;=15)),"O","X"))</f>
        <v/>
      </c>
      <c r="AU203" s="117">
        <f>IF(C203="","",IF(C203&gt;=$AU$1,"O","X"))</f>
        <v/>
      </c>
      <c r="AV203" s="117">
        <f>IF(AO203="","",IF(AND(AO203="O",AP203="O",AR203="O",AT203="O",AU203="O"),"후보","X"))</f>
        <v/>
      </c>
    </row>
    <row r="204" ht="12" customFormat="1" customHeight="1" s="38">
      <c r="A204" s="120" t="inlineStr">
        <is>
          <t>용종동 인천계양코아루센트럴파크</t>
        </is>
      </c>
      <c r="B204" s="121" t="inlineStr">
        <is>
          <t>17.06.</t>
        </is>
      </c>
      <c r="C204" s="129" t="n">
        <v>724</v>
      </c>
      <c r="D204" s="130" t="n">
        <v>84.09999999999999</v>
      </c>
      <c r="E204" s="131" t="n">
        <v>25</v>
      </c>
      <c r="F204" s="130" t="n">
        <v>59.9</v>
      </c>
      <c r="G204" s="17" t="n">
        <v>18</v>
      </c>
      <c r="H204" s="132" t="n">
        <v>37</v>
      </c>
      <c r="I204" s="133" t="n">
        <v>60000</v>
      </c>
      <c r="J204" s="133" t="inlineStr">
        <is>
          <t>17</t>
        </is>
      </c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2</v>
      </c>
      <c r="S204" s="117" t="inlineStr">
        <is>
          <t>계</t>
        </is>
      </c>
      <c r="T204" s="5" t="inlineStr">
        <is>
          <t>84C</t>
        </is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17">
        <f>S204</f>
        <v/>
      </c>
      <c r="AF204" s="117">
        <f>Q204&amp;"/"&amp;R204</f>
        <v/>
      </c>
      <c r="AH204" s="20">
        <f>IF(A204="","",A204)</f>
        <v/>
      </c>
      <c r="AI204" s="131">
        <f>IF(E204="","",E204)</f>
        <v/>
      </c>
      <c r="AJ204" s="117">
        <f>IF(AI204="","",$AJ$2)</f>
        <v/>
      </c>
      <c r="AK204" s="117" t="inlineStr">
        <is>
          <t>A</t>
        </is>
      </c>
      <c r="AL204" s="117" t="inlineStr">
        <is>
          <t>A+</t>
        </is>
      </c>
      <c r="AM204" s="117" t="inlineStr">
        <is>
          <t>B+</t>
        </is>
      </c>
      <c r="AN204" s="117">
        <f>IF(AI204="","",$AN$2)</f>
        <v/>
      </c>
      <c r="AO204" s="117">
        <f>IF(N204="","",IF(N204&gt;=$AO$1/100,"O","X"))</f>
        <v/>
      </c>
      <c r="AP204" s="117">
        <f>IF(I204="","",IF(I204&lt;=$AP$1,"O","X"))</f>
        <v/>
      </c>
      <c r="AQ204" s="117">
        <f>IF(O204="","",IF(O204&lt;=$AQ$1,"O","X"))</f>
        <v/>
      </c>
      <c r="AR204" s="117">
        <f>IF(M204="","",IF(M204&lt;=$AR$1,"O","X"))</f>
        <v/>
      </c>
      <c r="AS204" s="117" t="inlineStr">
        <is>
          <t>X</t>
        </is>
      </c>
      <c r="AT204" s="117">
        <f>IF(OR(F204="",AI204=""),"",IF(AND((F204&lt;=85),(AI204&gt;=15)),"O","X"))</f>
        <v/>
      </c>
      <c r="AU204" s="117">
        <f>IF(C204="","",IF(C204&gt;=$AU$1,"O","X"))</f>
        <v/>
      </c>
      <c r="AV204" s="117">
        <f>IF(AO204="","",IF(AND(AO204="O",AP204="O",AR204="O",AT204="O",AU204="O"),"후보","X"))</f>
        <v/>
      </c>
    </row>
    <row r="205" ht="12" customFormat="1" customHeight="1" s="38">
      <c r="A205" s="120" t="inlineStr">
        <is>
          <t>용종동 인천계양코아루센트럴파크</t>
        </is>
      </c>
      <c r="B205" s="121" t="inlineStr">
        <is>
          <t>17.06.</t>
        </is>
      </c>
      <c r="C205" s="129" t="n">
        <v>724</v>
      </c>
      <c r="D205" s="130" t="n">
        <v>103.5</v>
      </c>
      <c r="E205" s="131" t="n">
        <v>31</v>
      </c>
      <c r="F205" s="130" t="n">
        <v>74.59999999999999</v>
      </c>
      <c r="G205" s="17" t="n">
        <v>23</v>
      </c>
      <c r="H205" s="132" t="n">
        <v>82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3</v>
      </c>
      <c r="R205" s="117" t="n">
        <v>2</v>
      </c>
      <c r="S205" s="117" t="inlineStr">
        <is>
          <t>계</t>
        </is>
      </c>
      <c r="T205" s="5" t="n">
        <v>103</v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17">
        <f>S205</f>
        <v/>
      </c>
      <c r="AF205" s="117">
        <f>Q205&amp;"/"&amp;R205</f>
        <v/>
      </c>
      <c r="AH205" s="20">
        <f>IF(A205="","",A205)</f>
        <v/>
      </c>
      <c r="AI205" s="131">
        <f>IF(E205="","",E205)</f>
        <v/>
      </c>
      <c r="AJ205" s="117">
        <f>IF(AI205="","",$AJ$2)</f>
        <v/>
      </c>
      <c r="AK205" s="117" t="inlineStr">
        <is>
          <t>A</t>
        </is>
      </c>
      <c r="AL205" s="117" t="inlineStr">
        <is>
          <t>A+</t>
        </is>
      </c>
      <c r="AM205" s="117" t="inlineStr">
        <is>
          <t>B+</t>
        </is>
      </c>
      <c r="AN205" s="117">
        <f>IF(AI205="","",$AN$2)</f>
        <v/>
      </c>
      <c r="AO205" s="117">
        <f>IF(N205="","",IF(N205&gt;=$AO$1/100,"O","X"))</f>
        <v/>
      </c>
      <c r="AP205" s="117">
        <f>IF(I205="","",IF(I205&lt;=$AP$1,"O","X"))</f>
        <v/>
      </c>
      <c r="AQ205" s="117">
        <f>IF(O205="","",IF(O205&lt;=$AQ$1,"O","X"))</f>
        <v/>
      </c>
      <c r="AR205" s="117">
        <f>IF(M205="","",IF(M205&lt;=$AR$1,"O","X"))</f>
        <v/>
      </c>
      <c r="AS205" s="117" t="inlineStr">
        <is>
          <t>X</t>
        </is>
      </c>
      <c r="AT205" s="117">
        <f>IF(OR(F205="",AI205=""),"",IF(AND((F205&lt;=85),(AI205&gt;=15)),"O","X"))</f>
        <v/>
      </c>
      <c r="AU205" s="117">
        <f>IF(C205="","",IF(C205&gt;=$AU$1,"O","X"))</f>
        <v/>
      </c>
      <c r="AV205" s="117">
        <f>IF(AO205="","",IF(AND(AO205="O",AP205="O",AR205="O",AT205="O",AU205="O"),"후보","X"))</f>
        <v/>
      </c>
    </row>
    <row r="206" ht="12" customFormat="1" customHeight="1" s="38">
      <c r="A206" s="120" t="inlineStr">
        <is>
          <t>용종동 인천계양코아루센트럴파크</t>
        </is>
      </c>
      <c r="B206" s="121" t="inlineStr">
        <is>
          <t>17.06.</t>
        </is>
      </c>
      <c r="C206" s="129" t="n">
        <v>724</v>
      </c>
      <c r="D206" s="130" t="n">
        <v>116.7</v>
      </c>
      <c r="E206" s="131" t="n">
        <v>35</v>
      </c>
      <c r="F206" s="130" t="n">
        <v>84.5</v>
      </c>
      <c r="G206" s="17" t="n">
        <v>26</v>
      </c>
      <c r="H206" s="132" t="n">
        <v>99</v>
      </c>
      <c r="I206" s="133" t="n">
        <v>77000</v>
      </c>
      <c r="J206" s="133" t="inlineStr">
        <is>
          <t>10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2</v>
      </c>
      <c r="S206" s="117" t="inlineStr">
        <is>
          <t>계</t>
        </is>
      </c>
      <c r="T206" s="5" t="inlineStr">
        <is>
          <t>116C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17">
        <f>S206</f>
        <v/>
      </c>
      <c r="AF206" s="117">
        <f>Q206&amp;"/"&amp;R206</f>
        <v/>
      </c>
      <c r="AH206" s="20">
        <f>IF(A206="","",A206)</f>
        <v/>
      </c>
      <c r="AI206" s="131">
        <f>IF(E206="","",E206)</f>
        <v/>
      </c>
      <c r="AJ206" s="117">
        <f>IF(AI206="","",$AJ$2)</f>
        <v/>
      </c>
      <c r="AK206" s="117" t="inlineStr">
        <is>
          <t>A</t>
        </is>
      </c>
      <c r="AL206" s="117" t="inlineStr">
        <is>
          <t>A+</t>
        </is>
      </c>
      <c r="AM206" s="117" t="inlineStr">
        <is>
          <t>B+</t>
        </is>
      </c>
      <c r="AN206" s="117">
        <f>IF(AI206="","",$AN$2)</f>
        <v/>
      </c>
      <c r="AO206" s="117">
        <f>IF(N206="","",IF(N206&gt;=$AO$1/100,"O","X"))</f>
        <v/>
      </c>
      <c r="AP206" s="117">
        <f>IF(I206="","",IF(I206&lt;=$AP$1,"O","X"))</f>
        <v/>
      </c>
      <c r="AQ206" s="117">
        <f>IF(O206="","",IF(O206&lt;=$AQ$1,"O","X"))</f>
        <v/>
      </c>
      <c r="AR206" s="117">
        <f>IF(M206="","",IF(M206&lt;=$AR$1,"O","X"))</f>
        <v/>
      </c>
      <c r="AS206" s="117" t="inlineStr">
        <is>
          <t>X</t>
        </is>
      </c>
      <c r="AT206" s="117">
        <f>IF(OR(F206="",AI206=""),"",IF(AND((F206&lt;=85),(AI206&gt;=15)),"O","X"))</f>
        <v/>
      </c>
      <c r="AU206" s="117">
        <f>IF(C206="","",IF(C206&gt;=$AU$1,"O","X"))</f>
        <v/>
      </c>
      <c r="AV206" s="117">
        <f>IF(AO206="","",IF(AND(AO206="O",AP206="O",AR206="O",AT206="O",AU206="O"),"후보","X"))</f>
        <v/>
      </c>
    </row>
    <row r="207" ht="12" customFormat="1" customHeight="1" s="38">
      <c r="A207" s="120" t="inlineStr">
        <is>
          <t>용종동 인천계양코아루센트럴파크</t>
        </is>
      </c>
      <c r="B207" s="121" t="inlineStr">
        <is>
          <t>17.06.</t>
        </is>
      </c>
      <c r="C207" s="129" t="n">
        <v>724</v>
      </c>
      <c r="D207" s="130" t="n">
        <v>117.5</v>
      </c>
      <c r="E207" s="131" t="n">
        <v>36</v>
      </c>
      <c r="F207" s="130" t="n">
        <v>84.8</v>
      </c>
      <c r="G207" s="17" t="n">
        <v>26</v>
      </c>
      <c r="H207" s="132" t="n">
        <v>198</v>
      </c>
      <c r="I207" s="133" t="n">
        <v>75000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117B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17">
        <f>S207</f>
        <v/>
      </c>
      <c r="AF207" s="117">
        <f>Q207&amp;"/"&amp;R207</f>
        <v/>
      </c>
      <c r="AH207" s="20">
        <f>IF(A207="","",A207)</f>
        <v/>
      </c>
      <c r="AI207" s="131">
        <f>IF(E207="","",E207)</f>
        <v/>
      </c>
      <c r="AJ207" s="117">
        <f>IF(AI207="","",$AJ$2)</f>
        <v/>
      </c>
      <c r="AK207" s="117" t="inlineStr">
        <is>
          <t>A</t>
        </is>
      </c>
      <c r="AL207" s="117" t="inlineStr">
        <is>
          <t>A+</t>
        </is>
      </c>
      <c r="AM207" s="117" t="inlineStr">
        <is>
          <t>B+</t>
        </is>
      </c>
      <c r="AN207" s="117">
        <f>IF(AI207="","",$AN$2)</f>
        <v/>
      </c>
      <c r="AO207" s="117">
        <f>IF(N207="","",IF(N207&gt;=$AO$1/100,"O","X"))</f>
        <v/>
      </c>
      <c r="AP207" s="117">
        <f>IF(I207="","",IF(I207&lt;=$AP$1,"O","X"))</f>
        <v/>
      </c>
      <c r="AQ207" s="117">
        <f>IF(O207="","",IF(O207&lt;=$AQ$1,"O","X"))</f>
        <v/>
      </c>
      <c r="AR207" s="117">
        <f>IF(M207="","",IF(M207&lt;=$AR$1,"O","X"))</f>
        <v/>
      </c>
      <c r="AS207" s="117" t="inlineStr">
        <is>
          <t>X</t>
        </is>
      </c>
      <c r="AT207" s="117">
        <f>IF(OR(F207="",AI207=""),"",IF(AND((F207&lt;=85),(AI207&gt;=15)),"O","X"))</f>
        <v/>
      </c>
      <c r="AU207" s="117">
        <f>IF(C207="","",IF(C207&gt;=$AU$1,"O","X"))</f>
        <v/>
      </c>
      <c r="AV207" s="117">
        <f>IF(AO207="","",IF(AND(AO207="O",AP207="O",AR207="O",AT207="O",AU207="O"),"후보","X"))</f>
        <v/>
      </c>
    </row>
    <row r="208" ht="12" customFormat="1" customHeight="1" s="38">
      <c r="A208" s="120" t="inlineStr">
        <is>
          <t>용종동 인천계양코아루센트럴파크</t>
        </is>
      </c>
      <c r="B208" s="121" t="inlineStr">
        <is>
          <t>17.06.</t>
        </is>
      </c>
      <c r="C208" s="129" t="n">
        <v>724</v>
      </c>
      <c r="D208" s="130" t="n">
        <v>117.5</v>
      </c>
      <c r="E208" s="131" t="n">
        <v>36</v>
      </c>
      <c r="F208" s="130" t="n">
        <v>85</v>
      </c>
      <c r="G208" s="17" t="n">
        <v>26</v>
      </c>
      <c r="H208" s="132" t="n">
        <v>99</v>
      </c>
      <c r="I208" s="133" t="n">
        <v>79500</v>
      </c>
      <c r="J208" s="133" t="inlineStr">
        <is>
          <t>19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117D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17">
        <f>S208</f>
        <v/>
      </c>
      <c r="AF208" s="117">
        <f>Q208&amp;"/"&amp;R208</f>
        <v/>
      </c>
      <c r="AH208" s="20">
        <f>IF(A208="","",A208)</f>
        <v/>
      </c>
      <c r="AI208" s="131">
        <f>IF(E208="","",E208)</f>
        <v/>
      </c>
      <c r="AJ208" s="117">
        <f>IF(AI208="","",$AJ$2)</f>
        <v/>
      </c>
      <c r="AK208" s="117" t="inlineStr">
        <is>
          <t>A</t>
        </is>
      </c>
      <c r="AL208" s="117" t="inlineStr">
        <is>
          <t>A+</t>
        </is>
      </c>
      <c r="AM208" s="117" t="inlineStr">
        <is>
          <t>B+</t>
        </is>
      </c>
      <c r="AN208" s="117">
        <f>IF(AI208="","",$AN$2)</f>
        <v/>
      </c>
      <c r="AO208" s="117">
        <f>IF(N208="","",IF(N208&gt;=$AO$1/100,"O","X"))</f>
        <v/>
      </c>
      <c r="AP208" s="117">
        <f>IF(I208="","",IF(I208&lt;=$AP$1,"O","X"))</f>
        <v/>
      </c>
      <c r="AQ208" s="117">
        <f>IF(O208="","",IF(O208&lt;=$AQ$1,"O","X"))</f>
        <v/>
      </c>
      <c r="AR208" s="117">
        <f>IF(M208="","",IF(M208&lt;=$AR$1,"O","X"))</f>
        <v/>
      </c>
      <c r="AS208" s="117" t="inlineStr">
        <is>
          <t>X</t>
        </is>
      </c>
      <c r="AT208" s="117">
        <f>IF(OR(F208="",AI208=""),"",IF(AND((F208&lt;=85),(AI208&gt;=15)),"O","X"))</f>
        <v/>
      </c>
      <c r="AU208" s="117">
        <f>IF(C208="","",IF(C208&gt;=$AU$1,"O","X"))</f>
        <v/>
      </c>
      <c r="AV208" s="117">
        <f>IF(AO208="","",IF(AND(AO208="O",AP208="O",AR208="O",AT208="O",AU208="O"),"후보","X"))</f>
        <v/>
      </c>
    </row>
    <row r="209" ht="12" customFormat="1" customHeight="1" s="38">
      <c r="A209" s="120" t="inlineStr">
        <is>
          <t>용종동 인천계양코아루센트럴파크</t>
        </is>
      </c>
      <c r="B209" s="121" t="inlineStr">
        <is>
          <t>17.06.</t>
        </is>
      </c>
      <c r="C209" s="129" t="n">
        <v>724</v>
      </c>
      <c r="D209" s="130" t="n">
        <v>118.1</v>
      </c>
      <c r="E209" s="131" t="n">
        <v>36</v>
      </c>
      <c r="F209" s="130" t="n">
        <v>85</v>
      </c>
      <c r="G209" s="17" t="n">
        <v>26</v>
      </c>
      <c r="H209" s="132" t="n">
        <v>96</v>
      </c>
      <c r="I209" s="133" t="n">
        <v>75000</v>
      </c>
      <c r="J209" s="133" t="inlineStr">
        <is>
          <t>19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inlineStr">
        <is>
          <t>118A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17">
        <f>S209</f>
        <v/>
      </c>
      <c r="AF209" s="117">
        <f>Q209&amp;"/"&amp;R209</f>
        <v/>
      </c>
      <c r="AH209" s="20">
        <f>IF(A209="","",A209)</f>
        <v/>
      </c>
      <c r="AI209" s="131">
        <f>IF(E209="","",E209)</f>
        <v/>
      </c>
      <c r="AJ209" s="117">
        <f>IF(AI209="","",$AJ$2)</f>
        <v/>
      </c>
      <c r="AK209" s="117" t="inlineStr">
        <is>
          <t>A</t>
        </is>
      </c>
      <c r="AL209" s="117" t="inlineStr">
        <is>
          <t>A+</t>
        </is>
      </c>
      <c r="AM209" s="117" t="inlineStr">
        <is>
          <t>B+</t>
        </is>
      </c>
      <c r="AN209" s="117">
        <f>IF(AI209="","",$AN$2)</f>
        <v/>
      </c>
      <c r="AO209" s="117">
        <f>IF(N209="","",IF(N209&gt;=$AO$1/100,"O","X"))</f>
        <v/>
      </c>
      <c r="AP209" s="117">
        <f>IF(I209="","",IF(I209&lt;=$AP$1,"O","X"))</f>
        <v/>
      </c>
      <c r="AQ209" s="117">
        <f>IF(O209="","",IF(O209&lt;=$AQ$1,"O","X"))</f>
        <v/>
      </c>
      <c r="AR209" s="117">
        <f>IF(M209="","",IF(M209&lt;=$AR$1,"O","X"))</f>
        <v/>
      </c>
      <c r="AS209" s="117" t="inlineStr">
        <is>
          <t>X</t>
        </is>
      </c>
      <c r="AT209" s="117">
        <f>IF(OR(F209="",AI209=""),"",IF(AND((F209&lt;=85),(AI209&gt;=15)),"O","X"))</f>
        <v/>
      </c>
      <c r="AU209" s="117">
        <f>IF(C209="","",IF(C209&gt;=$AU$1,"O","X"))</f>
        <v/>
      </c>
      <c r="AV209" s="117">
        <f>IF(AO209="","",IF(AND(AO209="O",AP209="O",AR209="O",AT209="O",AU209="O"),"후보","X"))</f>
        <v/>
      </c>
    </row>
    <row r="210" ht="12" customFormat="1" customHeight="1" s="38">
      <c r="A210" s="120" t="inlineStr">
        <is>
          <t>용종동 용종마을중앙</t>
        </is>
      </c>
      <c r="B210" s="121" t="inlineStr">
        <is>
          <t>97.10.</t>
        </is>
      </c>
      <c r="C210" s="129" t="n">
        <v>428</v>
      </c>
      <c r="D210" s="130" t="n">
        <v>56.2</v>
      </c>
      <c r="E210" s="131" t="n">
        <v>17</v>
      </c>
      <c r="F210" s="130" t="n">
        <v>39.8</v>
      </c>
      <c r="G210" s="17" t="n">
        <v>12</v>
      </c>
      <c r="H210" s="132" t="n">
        <v>128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2</v>
      </c>
      <c r="R210" s="117" t="n">
        <v>1</v>
      </c>
      <c r="S210" s="117" t="inlineStr">
        <is>
          <t>복</t>
        </is>
      </c>
      <c r="T210" s="5" t="n">
        <v>56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17">
        <f>S210</f>
        <v/>
      </c>
      <c r="AF210" s="117">
        <f>Q210&amp;"/"&amp;R210</f>
        <v/>
      </c>
      <c r="AH210" s="20">
        <f>IF(A210="","",A210)</f>
        <v/>
      </c>
      <c r="AI210" s="131">
        <f>IF(E210="","",E210)</f>
        <v/>
      </c>
      <c r="AJ210" s="117">
        <f>IF(AI210="","",$AJ$2)</f>
        <v/>
      </c>
      <c r="AK210" s="117" t="inlineStr">
        <is>
          <t>A</t>
        </is>
      </c>
      <c r="AL210" s="117" t="inlineStr">
        <is>
          <t>A+</t>
        </is>
      </c>
      <c r="AM210" s="117" t="inlineStr">
        <is>
          <t>B+</t>
        </is>
      </c>
      <c r="AN210" s="117">
        <f>IF(AI210="","",$AN$2)</f>
        <v/>
      </c>
      <c r="AO210" s="117">
        <f>IF(N210="","",IF(N210&gt;=$AO$1/100,"O","X"))</f>
        <v/>
      </c>
      <c r="AP210" s="117">
        <f>IF(I210="","",IF(I210&lt;=$AP$1,"O","X"))</f>
        <v/>
      </c>
      <c r="AQ210" s="117">
        <f>IF(O210="","",IF(O210&lt;=$AQ$1,"O","X"))</f>
        <v/>
      </c>
      <c r="AR210" s="117">
        <f>IF(M210="","",IF(M210&lt;=$AR$1,"O","X"))</f>
        <v/>
      </c>
      <c r="AS210" s="117" t="inlineStr">
        <is>
          <t>X</t>
        </is>
      </c>
      <c r="AT210" s="117">
        <f>IF(OR(F210="",AI210=""),"",IF(AND((F210&lt;=85),(AI210&gt;=15)),"O","X"))</f>
        <v/>
      </c>
      <c r="AU210" s="117">
        <f>IF(C210="","",IF(C210&gt;=$AU$1,"O","X"))</f>
        <v/>
      </c>
      <c r="AV210" s="117">
        <f>IF(AO210="","",IF(AND(AO210="O",AP210="O",AR210="O",AT210="O",AU210="O"),"후보","X"))</f>
        <v/>
      </c>
    </row>
    <row r="211" ht="12" customFormat="1" customHeight="1" s="38">
      <c r="A211" s="120" t="inlineStr">
        <is>
          <t>용종동 용종마을중앙</t>
        </is>
      </c>
      <c r="B211" s="121" t="inlineStr">
        <is>
          <t>97.10.</t>
        </is>
      </c>
      <c r="C211" s="129" t="n">
        <v>428</v>
      </c>
      <c r="D211" s="130" t="n">
        <v>105.7</v>
      </c>
      <c r="E211" s="131" t="n">
        <v>32</v>
      </c>
      <c r="F211" s="130" t="n">
        <v>84.8</v>
      </c>
      <c r="G211" s="17" t="n">
        <v>26</v>
      </c>
      <c r="H211" s="132" t="n">
        <v>300</v>
      </c>
      <c r="I211" s="133" t="n">
        <v>48000</v>
      </c>
      <c r="J211" s="133" t="inlineStr">
        <is>
          <t>17</t>
        </is>
      </c>
      <c r="K211" s="133" t="n">
        <v>39000</v>
      </c>
      <c r="L211" s="133" t="inlineStr">
        <is>
          <t>7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3</v>
      </c>
      <c r="R211" s="117" t="n">
        <v>2</v>
      </c>
      <c r="S211" s="117" t="inlineStr">
        <is>
          <t>계</t>
        </is>
      </c>
      <c r="T211" s="5" t="n">
        <v>105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17">
        <f>S211</f>
        <v/>
      </c>
      <c r="AF211" s="117">
        <f>Q211&amp;"/"&amp;R211</f>
        <v/>
      </c>
      <c r="AH211" s="20">
        <f>IF(A211="","",A211)</f>
        <v/>
      </c>
      <c r="AI211" s="131">
        <f>IF(E211="","",E211)</f>
        <v/>
      </c>
      <c r="AJ211" s="117">
        <f>IF(AI211="","",$AJ$2)</f>
        <v/>
      </c>
      <c r="AK211" s="117" t="inlineStr">
        <is>
          <t>A</t>
        </is>
      </c>
      <c r="AL211" s="117" t="inlineStr">
        <is>
          <t>A+</t>
        </is>
      </c>
      <c r="AM211" s="117" t="inlineStr">
        <is>
          <t>B+</t>
        </is>
      </c>
      <c r="AN211" s="117">
        <f>IF(AI211="","",$AN$2)</f>
        <v/>
      </c>
      <c r="AO211" s="117">
        <f>IF(N211="","",IF(N211&gt;=$AO$1/100,"O","X"))</f>
        <v/>
      </c>
      <c r="AP211" s="117">
        <f>IF(I211="","",IF(I211&lt;=$AP$1,"O","X"))</f>
        <v/>
      </c>
      <c r="AQ211" s="117">
        <f>IF(O211="","",IF(O211&lt;=$AQ$1,"O","X"))</f>
        <v/>
      </c>
      <c r="AR211" s="117">
        <f>IF(M211="","",IF(M211&lt;=$AR$1,"O","X"))</f>
        <v/>
      </c>
      <c r="AS211" s="117" t="inlineStr">
        <is>
          <t>X</t>
        </is>
      </c>
      <c r="AT211" s="117">
        <f>IF(OR(F211="",AI211=""),"",IF(AND((F211&lt;=85),(AI211&gt;=15)),"O","X"))</f>
        <v/>
      </c>
      <c r="AU211" s="117">
        <f>IF(C211="","",IF(C211&gt;=$AU$1,"O","X"))</f>
        <v/>
      </c>
      <c r="AV211" s="117">
        <f>IF(AO211="","",IF(AND(AO211="O",AP211="O",AR211="O",AT211="O",AU211="O"),"후보","X"))</f>
        <v/>
      </c>
    </row>
    <row r="212" ht="12" customFormat="1" customHeight="1" s="38">
      <c r="A212" s="120" t="inlineStr">
        <is>
          <t>이화동 이화신동아파밀리에</t>
        </is>
      </c>
      <c r="B212" s="121" t="inlineStr">
        <is>
          <t>07.07.</t>
        </is>
      </c>
      <c r="C212" s="129" t="n">
        <v>399</v>
      </c>
      <c r="D212" s="130" t="n">
        <v>112.5</v>
      </c>
      <c r="E212" s="131" t="n">
        <v>34</v>
      </c>
      <c r="F212" s="130" t="n">
        <v>84.90000000000001</v>
      </c>
      <c r="G212" s="17" t="n">
        <v>26</v>
      </c>
      <c r="H212" s="132" t="n">
        <v>146</v>
      </c>
      <c r="I212" s="133" t="n">
        <v>45000</v>
      </c>
      <c r="J212" s="133" t="inlineStr">
        <is>
          <t>6</t>
        </is>
      </c>
      <c r="K212" s="133" t="n">
        <v>27000</v>
      </c>
      <c r="L212" s="133" t="inlineStr">
        <is>
          <t>7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inlineStr">
        <is>
          <t>112A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17">
        <f>S212</f>
        <v/>
      </c>
      <c r="AF212" s="117">
        <f>Q212&amp;"/"&amp;R212</f>
        <v/>
      </c>
      <c r="AH212" s="20">
        <f>IF(A212="","",A212)</f>
        <v/>
      </c>
      <c r="AI212" s="131">
        <f>IF(E212="","",E212)</f>
        <v/>
      </c>
      <c r="AJ212" s="117">
        <f>IF(AI212="","",$AJ$2)</f>
        <v/>
      </c>
      <c r="AK212" s="117" t="inlineStr">
        <is>
          <t>A</t>
        </is>
      </c>
      <c r="AL212" s="117" t="inlineStr">
        <is>
          <t>A+</t>
        </is>
      </c>
      <c r="AM212" s="117" t="inlineStr">
        <is>
          <t>B+</t>
        </is>
      </c>
      <c r="AN212" s="117">
        <f>IF(AI212="","",$AN$2)</f>
        <v/>
      </c>
      <c r="AO212" s="117">
        <f>IF(N212="","",IF(N212&gt;=$AO$1/100,"O","X"))</f>
        <v/>
      </c>
      <c r="AP212" s="117">
        <f>IF(I212="","",IF(I212&lt;=$AP$1,"O","X"))</f>
        <v/>
      </c>
      <c r="AQ212" s="117">
        <f>IF(O212="","",IF(O212&lt;=$AQ$1,"O","X"))</f>
        <v/>
      </c>
      <c r="AR212" s="117">
        <f>IF(M212="","",IF(M212&lt;=$AR$1,"O","X"))</f>
        <v/>
      </c>
      <c r="AS212" s="117" t="inlineStr">
        <is>
          <t>X</t>
        </is>
      </c>
      <c r="AT212" s="117">
        <f>IF(OR(F212="",AI212=""),"",IF(AND((F212&lt;=85),(AI212&gt;=15)),"O","X"))</f>
        <v/>
      </c>
      <c r="AU212" s="117">
        <f>IF(C212="","",IF(C212&gt;=$AU$1,"O","X"))</f>
        <v/>
      </c>
      <c r="AV212" s="117">
        <f>IF(AO212="","",IF(AND(AO212="O",AP212="O",AR212="O",AT212="O",AU212="O"),"후보","X"))</f>
        <v/>
      </c>
    </row>
    <row r="213" ht="12" customFormat="1" customHeight="1" s="38">
      <c r="A213" s="120" t="inlineStr">
        <is>
          <t>이화동 이화신동아파밀리에</t>
        </is>
      </c>
      <c r="B213" s="121" t="inlineStr">
        <is>
          <t>07.07.</t>
        </is>
      </c>
      <c r="C213" s="129" t="n">
        <v>399</v>
      </c>
      <c r="D213" s="130" t="n">
        <v>112.9</v>
      </c>
      <c r="E213" s="131" t="n">
        <v>34</v>
      </c>
      <c r="F213" s="130" t="n">
        <v>84.90000000000001</v>
      </c>
      <c r="G213" s="17" t="n">
        <v>26</v>
      </c>
      <c r="H213" s="132" t="n">
        <v>127</v>
      </c>
      <c r="I213" s="133" t="n">
        <v>45000</v>
      </c>
      <c r="J213" s="133" t="inlineStr">
        <is>
          <t>5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inlineStr">
        <is>
          <t>112C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17">
        <f>S213</f>
        <v/>
      </c>
      <c r="AF213" s="117">
        <f>Q213&amp;"/"&amp;R213</f>
        <v/>
      </c>
      <c r="AH213" s="20">
        <f>IF(A213="","",A213)</f>
        <v/>
      </c>
      <c r="AI213" s="131">
        <f>IF(E213="","",E213)</f>
        <v/>
      </c>
      <c r="AJ213" s="117">
        <f>IF(AI213="","",$AJ$2)</f>
        <v/>
      </c>
      <c r="AK213" s="117" t="inlineStr">
        <is>
          <t>A</t>
        </is>
      </c>
      <c r="AL213" s="117" t="inlineStr">
        <is>
          <t>A+</t>
        </is>
      </c>
      <c r="AM213" s="117" t="inlineStr">
        <is>
          <t>B+</t>
        </is>
      </c>
      <c r="AN213" s="117">
        <f>IF(AI213="","",$AN$2)</f>
        <v/>
      </c>
      <c r="AO213" s="117">
        <f>IF(N213="","",IF(N213&gt;=$AO$1/100,"O","X"))</f>
        <v/>
      </c>
      <c r="AP213" s="117">
        <f>IF(I213="","",IF(I213&lt;=$AP$1,"O","X"))</f>
        <v/>
      </c>
      <c r="AQ213" s="117">
        <f>IF(O213="","",IF(O213&lt;=$AQ$1,"O","X"))</f>
        <v/>
      </c>
      <c r="AR213" s="117">
        <f>IF(M213="","",IF(M213&lt;=$AR$1,"O","X"))</f>
        <v/>
      </c>
      <c r="AS213" s="117" t="inlineStr">
        <is>
          <t>X</t>
        </is>
      </c>
      <c r="AT213" s="117">
        <f>IF(OR(F213="",AI213=""),"",IF(AND((F213&lt;=85),(AI213&gt;=15)),"O","X"))</f>
        <v/>
      </c>
      <c r="AU213" s="117">
        <f>IF(C213="","",IF(C213&gt;=$AU$1,"O","X"))</f>
        <v/>
      </c>
      <c r="AV213" s="117">
        <f>IF(AO213="","",IF(AND(AO213="O",AP213="O",AR213="O",AT213="O",AU213="O"),"후보","X"))</f>
        <v/>
      </c>
    </row>
    <row r="214" ht="12" customFormat="1" customHeight="1" s="38">
      <c r="A214" s="120" t="inlineStr">
        <is>
          <t>이화동 이화신동아파밀리에</t>
        </is>
      </c>
      <c r="B214" s="121" t="inlineStr">
        <is>
          <t>07.07.</t>
        </is>
      </c>
      <c r="C214" s="129" t="n">
        <v>399</v>
      </c>
      <c r="D214" s="130" t="n">
        <v>112.5</v>
      </c>
      <c r="E214" s="131" t="n">
        <v>34</v>
      </c>
      <c r="F214" s="130" t="n">
        <v>84.90000000000001</v>
      </c>
      <c r="G214" s="17" t="n">
        <v>26</v>
      </c>
      <c r="H214" s="132" t="n">
        <v>61</v>
      </c>
      <c r="I214" s="133" t="n">
        <v>45000</v>
      </c>
      <c r="J214" s="133" t="inlineStr">
        <is>
          <t>6</t>
        </is>
      </c>
      <c r="K214" s="133" t="n">
        <v>27000</v>
      </c>
      <c r="L214" s="133" t="inlineStr">
        <is>
          <t>7</t>
        </is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inlineStr">
        <is>
          <t>112B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17">
        <f>S214</f>
        <v/>
      </c>
      <c r="AF214" s="117">
        <f>Q214&amp;"/"&amp;R214</f>
        <v/>
      </c>
      <c r="AH214" s="20">
        <f>IF(A214="","",A214)</f>
        <v/>
      </c>
      <c r="AI214" s="131">
        <f>IF(E214="","",E214)</f>
        <v/>
      </c>
      <c r="AJ214" s="117">
        <f>IF(AI214="","",$AJ$2)</f>
        <v/>
      </c>
      <c r="AK214" s="117" t="inlineStr">
        <is>
          <t>A</t>
        </is>
      </c>
      <c r="AL214" s="117" t="inlineStr">
        <is>
          <t>A+</t>
        </is>
      </c>
      <c r="AM214" s="117" t="inlineStr">
        <is>
          <t>B+</t>
        </is>
      </c>
      <c r="AN214" s="117">
        <f>IF(AI214="","",$AN$2)</f>
        <v/>
      </c>
      <c r="AO214" s="117">
        <f>IF(N214="","",IF(N214&gt;=$AO$1/100,"O","X"))</f>
        <v/>
      </c>
      <c r="AP214" s="117">
        <f>IF(I214="","",IF(I214&lt;=$AP$1,"O","X"))</f>
        <v/>
      </c>
      <c r="AQ214" s="117">
        <f>IF(O214="","",IF(O214&lt;=$AQ$1,"O","X"))</f>
        <v/>
      </c>
      <c r="AR214" s="117">
        <f>IF(M214="","",IF(M214&lt;=$AR$1,"O","X"))</f>
        <v/>
      </c>
      <c r="AS214" s="117" t="inlineStr">
        <is>
          <t>X</t>
        </is>
      </c>
      <c r="AT214" s="117">
        <f>IF(OR(F214="",AI214=""),"",IF(AND((F214&lt;=85),(AI214&gt;=15)),"O","X"))</f>
        <v/>
      </c>
      <c r="AU214" s="117">
        <f>IF(C214="","",IF(C214&gt;=$AU$1,"O","X"))</f>
        <v/>
      </c>
      <c r="AV214" s="117">
        <f>IF(AO214="","",IF(AND(AO214="O",AP214="O",AR214="O",AT214="O",AU214="O"),"후보","X"))</f>
        <v/>
      </c>
    </row>
    <row r="215" ht="12" customFormat="1" customHeight="1" s="38">
      <c r="A215" s="120" t="inlineStr">
        <is>
          <t>이화동 이화신동아파밀리에</t>
        </is>
      </c>
      <c r="B215" s="121" t="inlineStr">
        <is>
          <t>07.07.</t>
        </is>
      </c>
      <c r="C215" s="129" t="n">
        <v>399</v>
      </c>
      <c r="D215" s="130" t="n">
        <v>135.9</v>
      </c>
      <c r="E215" s="131" t="n">
        <v>41</v>
      </c>
      <c r="F215" s="130" t="n">
        <v>108.2</v>
      </c>
      <c r="G215" s="17" t="n">
        <v>33</v>
      </c>
      <c r="H215" s="132" t="n">
        <v>13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inlineStr">
        <is>
          <t>135B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17">
        <f>S215</f>
        <v/>
      </c>
      <c r="AF215" s="117">
        <f>Q215&amp;"/"&amp;R215</f>
        <v/>
      </c>
      <c r="AH215" s="20">
        <f>IF(A215="","",A215)</f>
        <v/>
      </c>
      <c r="AI215" s="131">
        <f>IF(E215="","",E215)</f>
        <v/>
      </c>
      <c r="AJ215" s="117">
        <f>IF(AI215="","",$AJ$2)</f>
        <v/>
      </c>
      <c r="AK215" s="117" t="inlineStr">
        <is>
          <t>A</t>
        </is>
      </c>
      <c r="AL215" s="117" t="inlineStr">
        <is>
          <t>A+</t>
        </is>
      </c>
      <c r="AM215" s="117" t="inlineStr">
        <is>
          <t>B+</t>
        </is>
      </c>
      <c r="AN215" s="117">
        <f>IF(AI215="","",$AN$2)</f>
        <v/>
      </c>
      <c r="AO215" s="117">
        <f>IF(N215="","",IF(N215&gt;=$AO$1/100,"O","X"))</f>
        <v/>
      </c>
      <c r="AP215" s="117">
        <f>IF(I215="","",IF(I215&lt;=$AP$1,"O","X"))</f>
        <v/>
      </c>
      <c r="AQ215" s="117">
        <f>IF(O215="","",IF(O215&lt;=$AQ$1,"O","X"))</f>
        <v/>
      </c>
      <c r="AR215" s="117">
        <f>IF(M215="","",IF(M215&lt;=$AR$1,"O","X"))</f>
        <v/>
      </c>
      <c r="AS215" s="117" t="inlineStr">
        <is>
          <t>X</t>
        </is>
      </c>
      <c r="AT215" s="117">
        <f>IF(OR(F215="",AI215=""),"",IF(AND((F215&lt;=85),(AI215&gt;=15)),"O","X"))</f>
        <v/>
      </c>
      <c r="AU215" s="117">
        <f>IF(C215="","",IF(C215&gt;=$AU$1,"O","X"))</f>
        <v/>
      </c>
      <c r="AV215" s="117">
        <f>IF(AO215="","",IF(AND(AO215="O",AP215="O",AR215="O",AT215="O",AU215="O"),"후보","X"))</f>
        <v/>
      </c>
    </row>
    <row r="216" ht="12" customFormat="1" customHeight="1" s="38">
      <c r="A216" s="120" t="inlineStr">
        <is>
          <t>이화동 이화신동아파밀리에</t>
        </is>
      </c>
      <c r="B216" s="121" t="inlineStr">
        <is>
          <t>07.07.</t>
        </is>
      </c>
      <c r="C216" s="129" t="n">
        <v>399</v>
      </c>
      <c r="D216" s="130" t="n">
        <v>136.1</v>
      </c>
      <c r="E216" s="131" t="n">
        <v>41</v>
      </c>
      <c r="F216" s="130" t="n">
        <v>108.4</v>
      </c>
      <c r="G216" s="17" t="n">
        <v>33</v>
      </c>
      <c r="H216" s="132" t="n">
        <v>52</v>
      </c>
      <c r="I216" s="133" t="n">
        <v>60000</v>
      </c>
      <c r="J216" s="133" t="inlineStr">
        <is>
          <t>8</t>
        </is>
      </c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inlineStr">
        <is>
          <t>136A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17">
        <f>S216</f>
        <v/>
      </c>
      <c r="AF216" s="117">
        <f>Q216&amp;"/"&amp;R216</f>
        <v/>
      </c>
      <c r="AH216" s="20">
        <f>IF(A216="","",A216)</f>
        <v/>
      </c>
      <c r="AI216" s="131">
        <f>IF(E216="","",E216)</f>
        <v/>
      </c>
      <c r="AJ216" s="117">
        <f>IF(AI216="","",$AJ$2)</f>
        <v/>
      </c>
      <c r="AK216" s="117" t="inlineStr">
        <is>
          <t>A</t>
        </is>
      </c>
      <c r="AL216" s="117" t="inlineStr">
        <is>
          <t>A+</t>
        </is>
      </c>
      <c r="AM216" s="117" t="inlineStr">
        <is>
          <t>B+</t>
        </is>
      </c>
      <c r="AN216" s="117">
        <f>IF(AI216="","",$AN$2)</f>
        <v/>
      </c>
      <c r="AO216" s="117">
        <f>IF(N216="","",IF(N216&gt;=$AO$1/100,"O","X"))</f>
        <v/>
      </c>
      <c r="AP216" s="117">
        <f>IF(I216="","",IF(I216&lt;=$AP$1,"O","X"))</f>
        <v/>
      </c>
      <c r="AQ216" s="117">
        <f>IF(O216="","",IF(O216&lt;=$AQ$1,"O","X"))</f>
        <v/>
      </c>
      <c r="AR216" s="117">
        <f>IF(M216="","",IF(M216&lt;=$AR$1,"O","X"))</f>
        <v/>
      </c>
      <c r="AS216" s="117" t="inlineStr">
        <is>
          <t>X</t>
        </is>
      </c>
      <c r="AT216" s="117">
        <f>IF(OR(F216="",AI216=""),"",IF(AND((F216&lt;=85),(AI216&gt;=15)),"O","X"))</f>
        <v/>
      </c>
      <c r="AU216" s="117">
        <f>IF(C216="","",IF(C216&gt;=$AU$1,"O","X"))</f>
        <v/>
      </c>
      <c r="AV216" s="117">
        <f>IF(AO216="","",IF(AND(AO216="O",AP216="O",AR216="O",AT216="O",AU216="O"),"후보","X"))</f>
        <v/>
      </c>
    </row>
    <row r="217" ht="12" customFormat="1" customHeight="1" s="38">
      <c r="A217" s="120" t="inlineStr">
        <is>
          <t>작전동 도두리마을동남,롯데</t>
        </is>
      </c>
      <c r="B217" s="121" t="inlineStr">
        <is>
          <t>97.10.</t>
        </is>
      </c>
      <c r="C217" s="129" t="n">
        <v>1282</v>
      </c>
      <c r="D217" s="130" t="n">
        <v>55.8</v>
      </c>
      <c r="E217" s="131" t="n">
        <v>17</v>
      </c>
      <c r="F217" s="130" t="n">
        <v>40.3</v>
      </c>
      <c r="G217" s="17" t="n">
        <v>12</v>
      </c>
      <c r="H217" s="132" t="n">
        <v>658</v>
      </c>
      <c r="I217" s="133" t="n">
        <v>19000</v>
      </c>
      <c r="J217" s="133" t="inlineStr">
        <is>
          <t>11</t>
        </is>
      </c>
      <c r="K217" s="133" t="n">
        <v>15000</v>
      </c>
      <c r="L217" s="133" t="inlineStr">
        <is>
          <t>7</t>
        </is>
      </c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2</v>
      </c>
      <c r="R217" s="117" t="n">
        <v>1</v>
      </c>
      <c r="S217" s="117" t="inlineStr">
        <is>
          <t>복</t>
        </is>
      </c>
      <c r="T217" s="5" t="n">
        <v>55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17">
        <f>S217</f>
        <v/>
      </c>
      <c r="AF217" s="117">
        <f>Q217&amp;"/"&amp;R217</f>
        <v/>
      </c>
      <c r="AH217" s="20">
        <f>IF(A217="","",A217)</f>
        <v/>
      </c>
      <c r="AI217" s="131">
        <f>IF(E217="","",E217)</f>
        <v/>
      </c>
      <c r="AJ217" s="117">
        <f>IF(AI217="","",$AJ$2)</f>
        <v/>
      </c>
      <c r="AK217" s="117" t="inlineStr">
        <is>
          <t>A</t>
        </is>
      </c>
      <c r="AL217" s="117" t="inlineStr">
        <is>
          <t>A+</t>
        </is>
      </c>
      <c r="AM217" s="117" t="inlineStr">
        <is>
          <t>B+</t>
        </is>
      </c>
      <c r="AN217" s="117">
        <f>IF(AI217="","",$AN$2)</f>
        <v/>
      </c>
      <c r="AO217" s="117">
        <f>IF(N217="","",IF(N217&gt;=$AO$1/100,"O","X"))</f>
        <v/>
      </c>
      <c r="AP217" s="117">
        <f>IF(I217="","",IF(I217&lt;=$AP$1,"O","X"))</f>
        <v/>
      </c>
      <c r="AQ217" s="117">
        <f>IF(O217="","",IF(O217&lt;=$AQ$1,"O","X"))</f>
        <v/>
      </c>
      <c r="AR217" s="117">
        <f>IF(M217="","",IF(M217&lt;=$AR$1,"O","X"))</f>
        <v/>
      </c>
      <c r="AS217" s="117" t="inlineStr">
        <is>
          <t>X</t>
        </is>
      </c>
      <c r="AT217" s="117">
        <f>IF(OR(F217="",AI217=""),"",IF(AND((F217&lt;=85),(AI217&gt;=15)),"O","X"))</f>
        <v/>
      </c>
      <c r="AU217" s="117">
        <f>IF(C217="","",IF(C217&gt;=$AU$1,"O","X"))</f>
        <v/>
      </c>
      <c r="AV217" s="117">
        <f>IF(AO217="","",IF(AND(AO217="O",AP217="O",AR217="O",AT217="O",AU217="O"),"후보","X"))</f>
        <v/>
      </c>
    </row>
    <row r="218" ht="12" customFormat="1" customHeight="1" s="38">
      <c r="A218" s="120" t="inlineStr">
        <is>
          <t>작전동 도두리마을동남,롯데</t>
        </is>
      </c>
      <c r="B218" s="121" t="inlineStr">
        <is>
          <t>97.10.</t>
        </is>
      </c>
      <c r="C218" s="129" t="n">
        <v>1282</v>
      </c>
      <c r="D218" s="130" t="n">
        <v>78.3</v>
      </c>
      <c r="E218" s="131" t="n">
        <v>24</v>
      </c>
      <c r="F218" s="130" t="n">
        <v>59.5</v>
      </c>
      <c r="G218" s="17" t="n">
        <v>18</v>
      </c>
      <c r="H218" s="132" t="n">
        <v>624</v>
      </c>
      <c r="I218" s="133" t="n">
        <v>33000</v>
      </c>
      <c r="J218" s="133" t="inlineStr">
        <is>
          <t>15</t>
        </is>
      </c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3</v>
      </c>
      <c r="R218" s="117" t="n">
        <v>1</v>
      </c>
      <c r="S218" s="117" t="inlineStr">
        <is>
          <t>계</t>
        </is>
      </c>
      <c r="T218" s="5" t="n">
        <v>78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17">
        <f>S218</f>
        <v/>
      </c>
      <c r="AF218" s="117">
        <f>Q218&amp;"/"&amp;R218</f>
        <v/>
      </c>
      <c r="AH218" s="20">
        <f>IF(A218="","",A218)</f>
        <v/>
      </c>
      <c r="AI218" s="131">
        <f>IF(E218="","",E218)</f>
        <v/>
      </c>
      <c r="AJ218" s="117">
        <f>IF(AI218="","",$AJ$2)</f>
        <v/>
      </c>
      <c r="AK218" s="117" t="inlineStr">
        <is>
          <t>A</t>
        </is>
      </c>
      <c r="AL218" s="117" t="inlineStr">
        <is>
          <t>A+</t>
        </is>
      </c>
      <c r="AM218" s="117" t="inlineStr">
        <is>
          <t>B+</t>
        </is>
      </c>
      <c r="AN218" s="117">
        <f>IF(AI218="","",$AN$2)</f>
        <v/>
      </c>
      <c r="AO218" s="117">
        <f>IF(N218="","",IF(N218&gt;=$AO$1/100,"O","X"))</f>
        <v/>
      </c>
      <c r="AP218" s="117">
        <f>IF(I218="","",IF(I218&lt;=$AP$1,"O","X"))</f>
        <v/>
      </c>
      <c r="AQ218" s="117">
        <f>IF(O218="","",IF(O218&lt;=$AQ$1,"O","X"))</f>
        <v/>
      </c>
      <c r="AR218" s="117">
        <f>IF(M218="","",IF(M218&lt;=$AR$1,"O","X"))</f>
        <v/>
      </c>
      <c r="AS218" s="117" t="inlineStr">
        <is>
          <t>X</t>
        </is>
      </c>
      <c r="AT218" s="117">
        <f>IF(OR(F218="",AI218=""),"",IF(AND((F218&lt;=85),(AI218&gt;=15)),"O","X"))</f>
        <v/>
      </c>
      <c r="AU218" s="117">
        <f>IF(C218="","",IF(C218&gt;=$AU$1,"O","X"))</f>
        <v/>
      </c>
      <c r="AV218" s="117">
        <f>IF(AO218="","",IF(AND(AO218="O",AP218="O",AR218="O",AT218="O",AU218="O"),"후보","X"))</f>
        <v/>
      </c>
    </row>
    <row r="219" ht="12" customFormat="1" customHeight="1" s="38">
      <c r="A219" s="120" t="inlineStr">
        <is>
          <t>작전동 삼천리</t>
        </is>
      </c>
      <c r="B219" s="121" t="inlineStr">
        <is>
          <t>88.12.</t>
        </is>
      </c>
      <c r="C219" s="129" t="n">
        <v>540</v>
      </c>
      <c r="D219" s="130" t="n">
        <v>48.3</v>
      </c>
      <c r="E219" s="131" t="n">
        <v>15</v>
      </c>
      <c r="F219" s="130" t="n">
        <v>35.7</v>
      </c>
      <c r="G219" s="17" t="n">
        <v>11</v>
      </c>
      <c r="H219" s="132" t="n">
        <v>72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48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17">
        <f>S219</f>
        <v/>
      </c>
      <c r="AF219" s="117">
        <f>Q219&amp;"/"&amp;R219</f>
        <v/>
      </c>
      <c r="AH219" s="20">
        <f>IF(A219="","",A219)</f>
        <v/>
      </c>
      <c r="AI219" s="131">
        <f>IF(E219="","",E219)</f>
        <v/>
      </c>
      <c r="AJ219" s="117">
        <f>IF(AI219="","",$AJ$2)</f>
        <v/>
      </c>
      <c r="AK219" s="117" t="inlineStr">
        <is>
          <t>A</t>
        </is>
      </c>
      <c r="AL219" s="117" t="inlineStr">
        <is>
          <t>A+</t>
        </is>
      </c>
      <c r="AM219" s="117" t="inlineStr">
        <is>
          <t>B+</t>
        </is>
      </c>
      <c r="AN219" s="117">
        <f>IF(AI219="","",$AN$2)</f>
        <v/>
      </c>
      <c r="AO219" s="117">
        <f>IF(N219="","",IF(N219&gt;=$AO$1/100,"O","X"))</f>
        <v/>
      </c>
      <c r="AP219" s="117">
        <f>IF(I219="","",IF(I219&lt;=$AP$1,"O","X"))</f>
        <v/>
      </c>
      <c r="AQ219" s="117">
        <f>IF(O219="","",IF(O219&lt;=$AQ$1,"O","X"))</f>
        <v/>
      </c>
      <c r="AR219" s="117">
        <f>IF(M219="","",IF(M219&lt;=$AR$1,"O","X"))</f>
        <v/>
      </c>
      <c r="AS219" s="117" t="inlineStr">
        <is>
          <t>X</t>
        </is>
      </c>
      <c r="AT219" s="117">
        <f>IF(OR(F219="",AI219=""),"",IF(AND((F219&lt;=85),(AI219&gt;=15)),"O","X"))</f>
        <v/>
      </c>
      <c r="AU219" s="117">
        <f>IF(C219="","",IF(C219&gt;=$AU$1,"O","X"))</f>
        <v/>
      </c>
      <c r="AV219" s="117">
        <f>IF(AO219="","",IF(AND(AO219="O",AP219="O",AR219="O",AT219="O",AU219="O"),"후보","X"))</f>
        <v/>
      </c>
    </row>
    <row r="220" ht="12" customFormat="1" customHeight="1" s="38">
      <c r="A220" s="120" t="inlineStr">
        <is>
          <t>작전동 삼천리</t>
        </is>
      </c>
      <c r="B220" s="121" t="inlineStr">
        <is>
          <t>88.12.</t>
        </is>
      </c>
      <c r="C220" s="129" t="n">
        <v>540</v>
      </c>
      <c r="D220" s="130" t="n">
        <v>54.8</v>
      </c>
      <c r="E220" s="131" t="n">
        <v>17</v>
      </c>
      <c r="F220" s="130" t="n">
        <v>41.9</v>
      </c>
      <c r="G220" s="17" t="n">
        <v>13</v>
      </c>
      <c r="H220" s="132" t="n">
        <v>324</v>
      </c>
      <c r="I220" s="133" t="n">
        <v>19500</v>
      </c>
      <c r="J220" s="133" t="inlineStr">
        <is>
          <t>6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2</v>
      </c>
      <c r="R220" s="117" t="n">
        <v>1</v>
      </c>
      <c r="S220" s="117" t="inlineStr">
        <is>
          <t>계</t>
        </is>
      </c>
      <c r="T220" s="5" t="n">
        <v>54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17">
        <f>S220</f>
        <v/>
      </c>
      <c r="AF220" s="117">
        <f>Q220&amp;"/"&amp;R220</f>
        <v/>
      </c>
      <c r="AH220" s="20">
        <f>IF(A220="","",A220)</f>
        <v/>
      </c>
      <c r="AI220" s="131">
        <f>IF(E220="","",E220)</f>
        <v/>
      </c>
      <c r="AJ220" s="117">
        <f>IF(AI220="","",$AJ$2)</f>
        <v/>
      </c>
      <c r="AK220" s="117" t="inlineStr">
        <is>
          <t>A</t>
        </is>
      </c>
      <c r="AL220" s="117" t="inlineStr">
        <is>
          <t>A+</t>
        </is>
      </c>
      <c r="AM220" s="117" t="inlineStr">
        <is>
          <t>B+</t>
        </is>
      </c>
      <c r="AN220" s="117">
        <f>IF(AI220="","",$AN$2)</f>
        <v/>
      </c>
      <c r="AO220" s="117">
        <f>IF(N220="","",IF(N220&gt;=$AO$1/100,"O","X"))</f>
        <v/>
      </c>
      <c r="AP220" s="117">
        <f>IF(I220="","",IF(I220&lt;=$AP$1,"O","X"))</f>
        <v/>
      </c>
      <c r="AQ220" s="117">
        <f>IF(O220="","",IF(O220&lt;=$AQ$1,"O","X"))</f>
        <v/>
      </c>
      <c r="AR220" s="117">
        <f>IF(M220="","",IF(M220&lt;=$AR$1,"O","X"))</f>
        <v/>
      </c>
      <c r="AS220" s="117" t="inlineStr">
        <is>
          <t>X</t>
        </is>
      </c>
      <c r="AT220" s="117">
        <f>IF(OR(F220="",AI220=""),"",IF(AND((F220&lt;=85),(AI220&gt;=15)),"O","X"))</f>
        <v/>
      </c>
      <c r="AU220" s="117">
        <f>IF(C220="","",IF(C220&gt;=$AU$1,"O","X"))</f>
        <v/>
      </c>
      <c r="AV220" s="117">
        <f>IF(AO220="","",IF(AND(AO220="O",AP220="O",AR220="O",AT220="O",AU220="O"),"후보","X"))</f>
        <v/>
      </c>
    </row>
    <row r="221" ht="12" customFormat="1" customHeight="1" s="38">
      <c r="A221" s="120" t="inlineStr">
        <is>
          <t>작전동 삼천리</t>
        </is>
      </c>
      <c r="B221" s="121" t="inlineStr">
        <is>
          <t>88.12.</t>
        </is>
      </c>
      <c r="C221" s="129" t="n">
        <v>540</v>
      </c>
      <c r="D221" s="130" t="n">
        <v>58.6</v>
      </c>
      <c r="E221" s="131" t="n">
        <v>18</v>
      </c>
      <c r="F221" s="130" t="n">
        <v>44.7</v>
      </c>
      <c r="G221" s="17" t="n">
        <v>14</v>
      </c>
      <c r="H221" s="132" t="n">
        <v>108</v>
      </c>
      <c r="I221" s="133" t="n">
        <v>27000</v>
      </c>
      <c r="J221" s="133" t="inlineStr">
        <is>
          <t>5</t>
        </is>
      </c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58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17">
        <f>S221</f>
        <v/>
      </c>
      <c r="AF221" s="117">
        <f>Q221&amp;"/"&amp;R221</f>
        <v/>
      </c>
      <c r="AH221" s="20">
        <f>IF(A221="","",A221)</f>
        <v/>
      </c>
      <c r="AI221" s="131">
        <f>IF(E221="","",E221)</f>
        <v/>
      </c>
      <c r="AJ221" s="117">
        <f>IF(AI221="","",$AJ$2)</f>
        <v/>
      </c>
      <c r="AK221" s="117" t="inlineStr">
        <is>
          <t>A</t>
        </is>
      </c>
      <c r="AL221" s="117" t="inlineStr">
        <is>
          <t>A+</t>
        </is>
      </c>
      <c r="AM221" s="117" t="inlineStr">
        <is>
          <t>B+</t>
        </is>
      </c>
      <c r="AN221" s="117">
        <f>IF(AI221="","",$AN$2)</f>
        <v/>
      </c>
      <c r="AO221" s="117">
        <f>IF(N221="","",IF(N221&gt;=$AO$1/100,"O","X"))</f>
        <v/>
      </c>
      <c r="AP221" s="117">
        <f>IF(I221="","",IF(I221&lt;=$AP$1,"O","X"))</f>
        <v/>
      </c>
      <c r="AQ221" s="117">
        <f>IF(O221="","",IF(O221&lt;=$AQ$1,"O","X"))</f>
        <v/>
      </c>
      <c r="AR221" s="117">
        <f>IF(M221="","",IF(M221&lt;=$AR$1,"O","X"))</f>
        <v/>
      </c>
      <c r="AS221" s="117" t="inlineStr">
        <is>
          <t>X</t>
        </is>
      </c>
      <c r="AT221" s="117">
        <f>IF(OR(F221="",AI221=""),"",IF(AND((F221&lt;=85),(AI221&gt;=15)),"O","X"))</f>
        <v/>
      </c>
      <c r="AU221" s="117">
        <f>IF(C221="","",IF(C221&gt;=$AU$1,"O","X"))</f>
        <v/>
      </c>
      <c r="AV221" s="117">
        <f>IF(AO221="","",IF(AND(AO221="O",AP221="O",AR221="O",AT221="O",AU221="O"),"후보","X"))</f>
        <v/>
      </c>
    </row>
    <row r="222" ht="12" customFormat="1" customHeight="1" s="38">
      <c r="A222" s="120" t="inlineStr">
        <is>
          <t>작전동 삼천리</t>
        </is>
      </c>
      <c r="B222" s="121" t="inlineStr">
        <is>
          <t>88.12.</t>
        </is>
      </c>
      <c r="C222" s="129" t="n">
        <v>540</v>
      </c>
      <c r="D222" s="130" t="n">
        <v>65</v>
      </c>
      <c r="E222" s="131" t="n">
        <v>20</v>
      </c>
      <c r="F222" s="130" t="n">
        <v>50.6</v>
      </c>
      <c r="G222" s="17" t="n">
        <v>15</v>
      </c>
      <c r="H222" s="132" t="n">
        <v>36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계</t>
        </is>
      </c>
      <c r="T222" s="5" t="n">
        <v>64</v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17">
        <f>S222</f>
        <v/>
      </c>
      <c r="AF222" s="117">
        <f>Q222&amp;"/"&amp;R222</f>
        <v/>
      </c>
      <c r="AH222" s="20">
        <f>IF(A222="","",A222)</f>
        <v/>
      </c>
      <c r="AI222" s="131">
        <f>IF(E222="","",E222)</f>
        <v/>
      </c>
      <c r="AJ222" s="117">
        <f>IF(AI222="","",$AJ$2)</f>
        <v/>
      </c>
      <c r="AK222" s="117" t="inlineStr">
        <is>
          <t>A</t>
        </is>
      </c>
      <c r="AL222" s="117" t="inlineStr">
        <is>
          <t>A+</t>
        </is>
      </c>
      <c r="AM222" s="117" t="inlineStr">
        <is>
          <t>B+</t>
        </is>
      </c>
      <c r="AN222" s="117">
        <f>IF(AI222="","",$AN$2)</f>
        <v/>
      </c>
      <c r="AO222" s="117">
        <f>IF(N222="","",IF(N222&gt;=$AO$1/100,"O","X"))</f>
        <v/>
      </c>
      <c r="AP222" s="117">
        <f>IF(I222="","",IF(I222&lt;=$AP$1,"O","X"))</f>
        <v/>
      </c>
      <c r="AQ222" s="117">
        <f>IF(O222="","",IF(O222&lt;=$AQ$1,"O","X"))</f>
        <v/>
      </c>
      <c r="AR222" s="117">
        <f>IF(M222="","",IF(M222&lt;=$AR$1,"O","X"))</f>
        <v/>
      </c>
      <c r="AS222" s="117" t="inlineStr">
        <is>
          <t>X</t>
        </is>
      </c>
      <c r="AT222" s="117">
        <f>IF(OR(F222="",AI222=""),"",IF(AND((F222&lt;=85),(AI222&gt;=15)),"O","X"))</f>
        <v/>
      </c>
      <c r="AU222" s="117">
        <f>IF(C222="","",IF(C222&gt;=$AU$1,"O","X"))</f>
        <v/>
      </c>
      <c r="AV222" s="117">
        <f>IF(AO222="","",IF(AND(AO222="O",AP222="O",AR222="O",AT222="O",AU222="O"),"후보","X"))</f>
        <v/>
      </c>
    </row>
    <row r="223" ht="12" customFormat="1" customHeight="1" s="38">
      <c r="A223" s="120" t="inlineStr">
        <is>
          <t>작전동 광명</t>
        </is>
      </c>
      <c r="B223" s="121" t="inlineStr">
        <is>
          <t>89.12.</t>
        </is>
      </c>
      <c r="C223" s="129" t="n">
        <v>288</v>
      </c>
      <c r="D223" s="130" t="n">
        <v>61.1</v>
      </c>
      <c r="E223" s="131" t="n">
        <v>18</v>
      </c>
      <c r="F223" s="130" t="n">
        <v>47.3</v>
      </c>
      <c r="G223" s="17" t="n">
        <v>14</v>
      </c>
      <c r="H223" s="132" t="n">
        <v>108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2</v>
      </c>
      <c r="R223" s="117" t="n">
        <v>1</v>
      </c>
      <c r="S223" s="117" t="inlineStr">
        <is>
          <t>계</t>
        </is>
      </c>
      <c r="T223" s="5" t="n">
        <v>61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17">
        <f>S223</f>
        <v/>
      </c>
      <c r="AF223" s="117">
        <f>Q223&amp;"/"&amp;R223</f>
        <v/>
      </c>
      <c r="AH223" s="20">
        <f>IF(A223="","",A223)</f>
        <v/>
      </c>
      <c r="AI223" s="131">
        <f>IF(E223="","",E223)</f>
        <v/>
      </c>
      <c r="AJ223" s="117">
        <f>IF(AI223="","",$AJ$2)</f>
        <v/>
      </c>
      <c r="AK223" s="117" t="inlineStr">
        <is>
          <t>A</t>
        </is>
      </c>
      <c r="AL223" s="117" t="inlineStr">
        <is>
          <t>A+</t>
        </is>
      </c>
      <c r="AM223" s="117" t="inlineStr">
        <is>
          <t>B+</t>
        </is>
      </c>
      <c r="AN223" s="117">
        <f>IF(AI223="","",$AN$2)</f>
        <v/>
      </c>
      <c r="AO223" s="117">
        <f>IF(N223="","",IF(N223&gt;=$AO$1/100,"O","X"))</f>
        <v/>
      </c>
      <c r="AP223" s="117">
        <f>IF(I223="","",IF(I223&lt;=$AP$1,"O","X"))</f>
        <v/>
      </c>
      <c r="AQ223" s="117">
        <f>IF(O223="","",IF(O223&lt;=$AQ$1,"O","X"))</f>
        <v/>
      </c>
      <c r="AR223" s="117">
        <f>IF(M223="","",IF(M223&lt;=$AR$1,"O","X"))</f>
        <v/>
      </c>
      <c r="AS223" s="117" t="inlineStr">
        <is>
          <t>X</t>
        </is>
      </c>
      <c r="AT223" s="117">
        <f>IF(OR(F223="",AI223=""),"",IF(AND((F223&lt;=85),(AI223&gt;=15)),"O","X"))</f>
        <v/>
      </c>
      <c r="AU223" s="117">
        <f>IF(C223="","",IF(C223&gt;=$AU$1,"O","X"))</f>
        <v/>
      </c>
      <c r="AV223" s="117">
        <f>IF(AO223="","",IF(AND(AO223="O",AP223="O",AR223="O",AT223="O",AU223="O"),"후보","X"))</f>
        <v/>
      </c>
    </row>
    <row r="224" ht="12" customFormat="1" customHeight="1" s="38">
      <c r="A224" s="120" t="inlineStr">
        <is>
          <t>작전동 광명</t>
        </is>
      </c>
      <c r="B224" s="121" t="inlineStr">
        <is>
          <t>89.12.</t>
        </is>
      </c>
      <c r="C224" s="129" t="n">
        <v>288</v>
      </c>
      <c r="D224" s="130" t="n">
        <v>74.3</v>
      </c>
      <c r="E224" s="131" t="n">
        <v>22</v>
      </c>
      <c r="F224" s="130" t="n">
        <v>58.6</v>
      </c>
      <c r="G224" s="17" t="n">
        <v>18</v>
      </c>
      <c r="H224" s="132" t="n">
        <v>84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17">
        <f>S224</f>
        <v/>
      </c>
      <c r="AF224" s="117">
        <f>Q224&amp;"/"&amp;R224</f>
        <v/>
      </c>
      <c r="AH224" s="20">
        <f>IF(A224="","",A224)</f>
        <v/>
      </c>
      <c r="AI224" s="131">
        <f>IF(E224="","",E224)</f>
        <v/>
      </c>
      <c r="AJ224" s="117">
        <f>IF(AI224="","",$AJ$2)</f>
        <v/>
      </c>
      <c r="AK224" s="117" t="inlineStr">
        <is>
          <t>A</t>
        </is>
      </c>
      <c r="AL224" s="117" t="inlineStr">
        <is>
          <t>A+</t>
        </is>
      </c>
      <c r="AM224" s="117" t="inlineStr">
        <is>
          <t>B+</t>
        </is>
      </c>
      <c r="AN224" s="117">
        <f>IF(AI224="","",$AN$2)</f>
        <v/>
      </c>
      <c r="AO224" s="117">
        <f>IF(N224="","",IF(N224&gt;=$AO$1/100,"O","X"))</f>
        <v/>
      </c>
      <c r="AP224" s="117">
        <f>IF(I224="","",IF(I224&lt;=$AP$1,"O","X"))</f>
        <v/>
      </c>
      <c r="AQ224" s="117">
        <f>IF(O224="","",IF(O224&lt;=$AQ$1,"O","X"))</f>
        <v/>
      </c>
      <c r="AR224" s="117">
        <f>IF(M224="","",IF(M224&lt;=$AR$1,"O","X"))</f>
        <v/>
      </c>
      <c r="AS224" s="117" t="inlineStr">
        <is>
          <t>X</t>
        </is>
      </c>
      <c r="AT224" s="117">
        <f>IF(OR(F224="",AI224=""),"",IF(AND((F224&lt;=85),(AI224&gt;=15)),"O","X"))</f>
        <v/>
      </c>
      <c r="AU224" s="117">
        <f>IF(C224="","",IF(C224&gt;=$AU$1,"O","X"))</f>
        <v/>
      </c>
      <c r="AV224" s="117">
        <f>IF(AO224="","",IF(AND(AO224="O",AP224="O",AR224="O",AT224="O",AU224="O"),"후보","X"))</f>
        <v/>
      </c>
    </row>
    <row r="225" ht="12" customFormat="1" customHeight="1" s="38">
      <c r="A225" s="120" t="inlineStr">
        <is>
          <t>작전동 광명</t>
        </is>
      </c>
      <c r="B225" s="121" t="inlineStr">
        <is>
          <t>89.12.</t>
        </is>
      </c>
      <c r="C225" s="129" t="n">
        <v>288</v>
      </c>
      <c r="D225" s="130" t="n">
        <v>77.5</v>
      </c>
      <c r="E225" s="131" t="n">
        <v>23</v>
      </c>
      <c r="F225" s="130" t="n">
        <v>61.3</v>
      </c>
      <c r="G225" s="17" t="n">
        <v>19</v>
      </c>
      <c r="H225" s="132" t="n">
        <v>72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3</v>
      </c>
      <c r="R225" s="117" t="n">
        <v>1</v>
      </c>
      <c r="S225" s="117" t="inlineStr">
        <is>
          <t>계</t>
        </is>
      </c>
      <c r="T225" s="5" t="n">
        <v>77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17">
        <f>S225</f>
        <v/>
      </c>
      <c r="AF225" s="117">
        <f>Q225&amp;"/"&amp;R225</f>
        <v/>
      </c>
      <c r="AH225" s="20">
        <f>IF(A225="","",A225)</f>
        <v/>
      </c>
      <c r="AI225" s="131">
        <f>IF(E225="","",E225)</f>
        <v/>
      </c>
      <c r="AJ225" s="117">
        <f>IF(AI225="","",$AJ$2)</f>
        <v/>
      </c>
      <c r="AK225" s="117" t="inlineStr">
        <is>
          <t>A</t>
        </is>
      </c>
      <c r="AL225" s="117" t="inlineStr">
        <is>
          <t>A+</t>
        </is>
      </c>
      <c r="AM225" s="117" t="inlineStr">
        <is>
          <t>B+</t>
        </is>
      </c>
      <c r="AN225" s="117">
        <f>IF(AI225="","",$AN$2)</f>
        <v/>
      </c>
      <c r="AO225" s="117">
        <f>IF(N225="","",IF(N225&gt;=$AO$1/100,"O","X"))</f>
        <v/>
      </c>
      <c r="AP225" s="117">
        <f>IF(I225="","",IF(I225&lt;=$AP$1,"O","X"))</f>
        <v/>
      </c>
      <c r="AQ225" s="117">
        <f>IF(O225="","",IF(O225&lt;=$AQ$1,"O","X"))</f>
        <v/>
      </c>
      <c r="AR225" s="117">
        <f>IF(M225="","",IF(M225&lt;=$AR$1,"O","X"))</f>
        <v/>
      </c>
      <c r="AS225" s="117" t="inlineStr">
        <is>
          <t>X</t>
        </is>
      </c>
      <c r="AT225" s="117">
        <f>IF(OR(F225="",AI225=""),"",IF(AND((F225&lt;=85),(AI225&gt;=15)),"O","X"))</f>
        <v/>
      </c>
      <c r="AU225" s="117">
        <f>IF(C225="","",IF(C225&gt;=$AU$1,"O","X"))</f>
        <v/>
      </c>
      <c r="AV225" s="117">
        <f>IF(AO225="","",IF(AND(AO225="O",AP225="O",AR225="O",AT225="O",AU225="O"),"후보","X"))</f>
        <v/>
      </c>
    </row>
    <row r="226" ht="12" customFormat="1" customHeight="1" s="38">
      <c r="A226" s="120" t="inlineStr">
        <is>
          <t>작전동 광명</t>
        </is>
      </c>
      <c r="B226" s="121" t="inlineStr">
        <is>
          <t>89.12.</t>
        </is>
      </c>
      <c r="C226" s="129" t="n">
        <v>288</v>
      </c>
      <c r="D226" s="130" t="n">
        <v>81.09999999999999</v>
      </c>
      <c r="E226" s="131" t="n">
        <v>25</v>
      </c>
      <c r="F226" s="130" t="n">
        <v>64.40000000000001</v>
      </c>
      <c r="G226" s="17" t="n">
        <v>19</v>
      </c>
      <c r="H226" s="132" t="n">
        <v>24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3</v>
      </c>
      <c r="R226" s="117" t="n">
        <v>1</v>
      </c>
      <c r="S226" s="117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17">
        <f>S226</f>
        <v/>
      </c>
      <c r="AF226" s="117">
        <f>Q226&amp;"/"&amp;R226</f>
        <v/>
      </c>
      <c r="AH226" s="20">
        <f>IF(A226="","",A226)</f>
        <v/>
      </c>
      <c r="AI226" s="131">
        <f>IF(E226="","",E226)</f>
        <v/>
      </c>
      <c r="AJ226" s="117">
        <f>IF(AI226="","",$AJ$2)</f>
        <v/>
      </c>
      <c r="AK226" s="117" t="inlineStr">
        <is>
          <t>A</t>
        </is>
      </c>
      <c r="AL226" s="117" t="inlineStr">
        <is>
          <t>A+</t>
        </is>
      </c>
      <c r="AM226" s="117" t="inlineStr">
        <is>
          <t>B+</t>
        </is>
      </c>
      <c r="AN226" s="117">
        <f>IF(AI226="","",$AN$2)</f>
        <v/>
      </c>
      <c r="AO226" s="117">
        <f>IF(N226="","",IF(N226&gt;=$AO$1/100,"O","X"))</f>
        <v/>
      </c>
      <c r="AP226" s="117">
        <f>IF(I226="","",IF(I226&lt;=$AP$1,"O","X"))</f>
        <v/>
      </c>
      <c r="AQ226" s="117">
        <f>IF(O226="","",IF(O226&lt;=$AQ$1,"O","X"))</f>
        <v/>
      </c>
      <c r="AR226" s="117">
        <f>IF(M226="","",IF(M226&lt;=$AR$1,"O","X"))</f>
        <v/>
      </c>
      <c r="AS226" s="117" t="inlineStr">
        <is>
          <t>X</t>
        </is>
      </c>
      <c r="AT226" s="117">
        <f>IF(OR(F226="",AI226=""),"",IF(AND((F226&lt;=85),(AI226&gt;=15)),"O","X"))</f>
        <v/>
      </c>
      <c r="AU226" s="117">
        <f>IF(C226="","",IF(C226&gt;=$AU$1,"O","X"))</f>
        <v/>
      </c>
      <c r="AV226" s="117">
        <f>IF(AO226="","",IF(AND(AO226="O",AP226="O",AR226="O",AT226="O",AU226="O"),"후보","X"))</f>
        <v/>
      </c>
    </row>
    <row r="227" ht="12" customFormat="1" customHeight="1" s="38">
      <c r="A227" s="120" t="inlineStr">
        <is>
          <t>작전동 현대1차</t>
        </is>
      </c>
      <c r="B227" s="121" t="inlineStr">
        <is>
          <t>90.09.</t>
        </is>
      </c>
      <c r="C227" s="129" t="n">
        <v>570</v>
      </c>
      <c r="D227" s="130" t="n">
        <v>86.40000000000001</v>
      </c>
      <c r="E227" s="131" t="n">
        <v>26</v>
      </c>
      <c r="F227" s="130" t="n">
        <v>71.2</v>
      </c>
      <c r="G227" s="17" t="n">
        <v>22</v>
      </c>
      <c r="H227" s="132" t="n">
        <v>150</v>
      </c>
      <c r="I227" s="133" t="n">
        <v>38500</v>
      </c>
      <c r="J227" s="133" t="inlineStr">
        <is>
          <t>8</t>
        </is>
      </c>
      <c r="K227" s="133" t="n">
        <v>29000</v>
      </c>
      <c r="L227" s="133" t="inlineStr">
        <is>
          <t>8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계</t>
        </is>
      </c>
      <c r="T227" s="5" t="n">
        <v>86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17">
        <f>S227</f>
        <v/>
      </c>
      <c r="AF227" s="117">
        <f>Q227&amp;"/"&amp;R227</f>
        <v/>
      </c>
      <c r="AH227" s="20">
        <f>IF(A227="","",A227)</f>
        <v/>
      </c>
      <c r="AI227" s="131">
        <f>IF(E227="","",E227)</f>
        <v/>
      </c>
      <c r="AJ227" s="117">
        <f>IF(AI227="","",$AJ$2)</f>
        <v/>
      </c>
      <c r="AK227" s="117" t="inlineStr">
        <is>
          <t>A</t>
        </is>
      </c>
      <c r="AL227" s="117" t="inlineStr">
        <is>
          <t>A+</t>
        </is>
      </c>
      <c r="AM227" s="117" t="inlineStr">
        <is>
          <t>B+</t>
        </is>
      </c>
      <c r="AN227" s="117">
        <f>IF(AI227="","",$AN$2)</f>
        <v/>
      </c>
      <c r="AO227" s="117">
        <f>IF(N227="","",IF(N227&gt;=$AO$1/100,"O","X"))</f>
        <v/>
      </c>
      <c r="AP227" s="117">
        <f>IF(I227="","",IF(I227&lt;=$AP$1,"O","X"))</f>
        <v/>
      </c>
      <c r="AQ227" s="117">
        <f>IF(O227="","",IF(O227&lt;=$AQ$1,"O","X"))</f>
        <v/>
      </c>
      <c r="AR227" s="117">
        <f>IF(M227="","",IF(M227&lt;=$AR$1,"O","X"))</f>
        <v/>
      </c>
      <c r="AS227" s="117" t="inlineStr">
        <is>
          <t>X</t>
        </is>
      </c>
      <c r="AT227" s="117">
        <f>IF(OR(F227="",AI227=""),"",IF(AND((F227&lt;=85),(AI227&gt;=15)),"O","X"))</f>
        <v/>
      </c>
      <c r="AU227" s="117">
        <f>IF(C227="","",IF(C227&gt;=$AU$1,"O","X"))</f>
        <v/>
      </c>
      <c r="AV227" s="117">
        <f>IF(AO227="","",IF(AND(AO227="O",AP227="O",AR227="O",AT227="O",AU227="O"),"후보","X"))</f>
        <v/>
      </c>
    </row>
    <row r="228" ht="12" customFormat="1" customHeight="1" s="38">
      <c r="A228" s="120" t="inlineStr">
        <is>
          <t>작전동 현대1차</t>
        </is>
      </c>
      <c r="B228" s="121" t="inlineStr">
        <is>
          <t>90.09.</t>
        </is>
      </c>
      <c r="C228" s="129" t="n">
        <v>570</v>
      </c>
      <c r="D228" s="130" t="n">
        <v>103.1</v>
      </c>
      <c r="E228" s="131" t="n">
        <v>31</v>
      </c>
      <c r="F228" s="130" t="n">
        <v>84.90000000000001</v>
      </c>
      <c r="G228" s="17" t="n">
        <v>26</v>
      </c>
      <c r="H228" s="132" t="n">
        <v>420</v>
      </c>
      <c r="I228" s="133" t="n">
        <v>43000</v>
      </c>
      <c r="J228" s="133" t="inlineStr">
        <is>
          <t>9</t>
        </is>
      </c>
      <c r="K228" s="133" t="n">
        <v>33000</v>
      </c>
      <c r="L228" s="133" t="inlineStr">
        <is>
          <t>13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103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17">
        <f>S228</f>
        <v/>
      </c>
      <c r="AF228" s="117">
        <f>Q228&amp;"/"&amp;R228</f>
        <v/>
      </c>
      <c r="AH228" s="20">
        <f>IF(A228="","",A228)</f>
        <v/>
      </c>
      <c r="AI228" s="131">
        <f>IF(E228="","",E228)</f>
        <v/>
      </c>
      <c r="AJ228" s="117">
        <f>IF(AI228="","",$AJ$2)</f>
        <v/>
      </c>
      <c r="AK228" s="117" t="inlineStr">
        <is>
          <t>A</t>
        </is>
      </c>
      <c r="AL228" s="117" t="inlineStr">
        <is>
          <t>A+</t>
        </is>
      </c>
      <c r="AM228" s="117" t="inlineStr">
        <is>
          <t>B+</t>
        </is>
      </c>
      <c r="AN228" s="117">
        <f>IF(AI228="","",$AN$2)</f>
        <v/>
      </c>
      <c r="AO228" s="117">
        <f>IF(N228="","",IF(N228&gt;=$AO$1/100,"O","X"))</f>
        <v/>
      </c>
      <c r="AP228" s="117">
        <f>IF(I228="","",IF(I228&lt;=$AP$1,"O","X"))</f>
        <v/>
      </c>
      <c r="AQ228" s="117">
        <f>IF(O228="","",IF(O228&lt;=$AQ$1,"O","X"))</f>
        <v/>
      </c>
      <c r="AR228" s="117">
        <f>IF(M228="","",IF(M228&lt;=$AR$1,"O","X"))</f>
        <v/>
      </c>
      <c r="AS228" s="117" t="inlineStr">
        <is>
          <t>X</t>
        </is>
      </c>
      <c r="AT228" s="117">
        <f>IF(OR(F228="",AI228=""),"",IF(AND((F228&lt;=85),(AI228&gt;=15)),"O","X"))</f>
        <v/>
      </c>
      <c r="AU228" s="117">
        <f>IF(C228="","",IF(C228&gt;=$AU$1,"O","X"))</f>
        <v/>
      </c>
      <c r="AV228" s="117">
        <f>IF(AO228="","",IF(AND(AO228="O",AP228="O",AR228="O",AT228="O",AU228="O"),"후보","X"))</f>
        <v/>
      </c>
    </row>
    <row r="229" ht="12" customFormat="1" customHeight="1" s="38">
      <c r="A229" s="120" t="inlineStr">
        <is>
          <t>작전동 현대3차</t>
        </is>
      </c>
      <c r="B229" s="121" t="inlineStr">
        <is>
          <t>92.11.</t>
        </is>
      </c>
      <c r="C229" s="129" t="n">
        <v>390</v>
      </c>
      <c r="D229" s="130" t="n">
        <v>74.8</v>
      </c>
      <c r="E229" s="131" t="n">
        <v>23</v>
      </c>
      <c r="F229" s="130" t="n">
        <v>59.4</v>
      </c>
      <c r="G229" s="17" t="n">
        <v>18</v>
      </c>
      <c r="H229" s="132" t="n">
        <v>153</v>
      </c>
      <c r="I229" s="133" t="n">
        <v>29000</v>
      </c>
      <c r="J229" s="133" t="inlineStr">
        <is>
          <t>14</t>
        </is>
      </c>
      <c r="K229" s="133" t="n">
        <v>23000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74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17">
        <f>S229</f>
        <v/>
      </c>
      <c r="AF229" s="117">
        <f>Q229&amp;"/"&amp;R229</f>
        <v/>
      </c>
      <c r="AH229" s="20">
        <f>IF(A229="","",A229)</f>
        <v/>
      </c>
      <c r="AI229" s="131">
        <f>IF(E229="","",E229)</f>
        <v/>
      </c>
      <c r="AJ229" s="117">
        <f>IF(AI229="","",$AJ$2)</f>
        <v/>
      </c>
      <c r="AK229" s="117" t="inlineStr">
        <is>
          <t>A</t>
        </is>
      </c>
      <c r="AL229" s="117" t="inlineStr">
        <is>
          <t>A+</t>
        </is>
      </c>
      <c r="AM229" s="117" t="inlineStr">
        <is>
          <t>B+</t>
        </is>
      </c>
      <c r="AN229" s="117">
        <f>IF(AI229="","",$AN$2)</f>
        <v/>
      </c>
      <c r="AO229" s="117">
        <f>IF(N229="","",IF(N229&gt;=$AO$1/100,"O","X"))</f>
        <v/>
      </c>
      <c r="AP229" s="117">
        <f>IF(I229="","",IF(I229&lt;=$AP$1,"O","X"))</f>
        <v/>
      </c>
      <c r="AQ229" s="117">
        <f>IF(O229="","",IF(O229&lt;=$AQ$1,"O","X"))</f>
        <v/>
      </c>
      <c r="AR229" s="117">
        <f>IF(M229="","",IF(M229&lt;=$AR$1,"O","X"))</f>
        <v/>
      </c>
      <c r="AS229" s="117" t="inlineStr">
        <is>
          <t>X</t>
        </is>
      </c>
      <c r="AT229" s="117">
        <f>IF(OR(F229="",AI229=""),"",IF(AND((F229&lt;=85),(AI229&gt;=15)),"O","X"))</f>
        <v/>
      </c>
      <c r="AU229" s="117">
        <f>IF(C229="","",IF(C229&gt;=$AU$1,"O","X"))</f>
        <v/>
      </c>
      <c r="AV229" s="117">
        <f>IF(AO229="","",IF(AND(AO229="O",AP229="O",AR229="O",AT229="O",AU229="O"),"후보","X"))</f>
        <v/>
      </c>
    </row>
    <row r="230" ht="12" customFormat="1" customHeight="1" s="38">
      <c r="A230" s="120" t="inlineStr">
        <is>
          <t>작전동 현대3차</t>
        </is>
      </c>
      <c r="B230" s="121" t="inlineStr">
        <is>
          <t>92.11.</t>
        </is>
      </c>
      <c r="C230" s="129" t="n">
        <v>390</v>
      </c>
      <c r="D230" s="130" t="n">
        <v>95.90000000000001</v>
      </c>
      <c r="E230" s="131" t="n">
        <v>29</v>
      </c>
      <c r="F230" s="130" t="n">
        <v>76.09999999999999</v>
      </c>
      <c r="G230" s="17" t="n">
        <v>23</v>
      </c>
      <c r="H230" s="132" t="n">
        <v>54</v>
      </c>
      <c r="I230" s="133" t="n">
        <v>42000</v>
      </c>
      <c r="J230" s="133" t="inlineStr">
        <is>
          <t>13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3</v>
      </c>
      <c r="R230" s="117" t="n">
        <v>1</v>
      </c>
      <c r="S230" s="117" t="inlineStr">
        <is>
          <t>계</t>
        </is>
      </c>
      <c r="T230" s="5" t="inlineStr">
        <is>
          <t>95A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17">
        <f>S230</f>
        <v/>
      </c>
      <c r="AF230" s="117">
        <f>Q230&amp;"/"&amp;R230</f>
        <v/>
      </c>
      <c r="AH230" s="20">
        <f>IF(A230="","",A230)</f>
        <v/>
      </c>
      <c r="AI230" s="131">
        <f>IF(E230="","",E230)</f>
        <v/>
      </c>
      <c r="AJ230" s="117">
        <f>IF(AI230="","",$AJ$2)</f>
        <v/>
      </c>
      <c r="AK230" s="117" t="inlineStr">
        <is>
          <t>A</t>
        </is>
      </c>
      <c r="AL230" s="117" t="inlineStr">
        <is>
          <t>A+</t>
        </is>
      </c>
      <c r="AM230" s="117" t="inlineStr">
        <is>
          <t>B+</t>
        </is>
      </c>
      <c r="AN230" s="117">
        <f>IF(AI230="","",$AN$2)</f>
        <v/>
      </c>
      <c r="AO230" s="117">
        <f>IF(N230="","",IF(N230&gt;=$AO$1/100,"O","X"))</f>
        <v/>
      </c>
      <c r="AP230" s="117">
        <f>IF(I230="","",IF(I230&lt;=$AP$1,"O","X"))</f>
        <v/>
      </c>
      <c r="AQ230" s="117">
        <f>IF(O230="","",IF(O230&lt;=$AQ$1,"O","X"))</f>
        <v/>
      </c>
      <c r="AR230" s="117">
        <f>IF(M230="","",IF(M230&lt;=$AR$1,"O","X"))</f>
        <v/>
      </c>
      <c r="AS230" s="117" t="inlineStr">
        <is>
          <t>X</t>
        </is>
      </c>
      <c r="AT230" s="117">
        <f>IF(OR(F230="",AI230=""),"",IF(AND((F230&lt;=85),(AI230&gt;=15)),"O","X"))</f>
        <v/>
      </c>
      <c r="AU230" s="117">
        <f>IF(C230="","",IF(C230&gt;=$AU$1,"O","X"))</f>
        <v/>
      </c>
      <c r="AV230" s="117">
        <f>IF(AO230="","",IF(AND(AO230="O",AP230="O",AR230="O",AT230="O",AU230="O"),"후보","X"))</f>
        <v/>
      </c>
    </row>
    <row r="231" ht="12" customFormat="1" customHeight="1" s="38">
      <c r="A231" s="120" t="inlineStr">
        <is>
          <t>작전동 현대3차</t>
        </is>
      </c>
      <c r="B231" s="121" t="inlineStr">
        <is>
          <t>92.11.</t>
        </is>
      </c>
      <c r="C231" s="129" t="n">
        <v>390</v>
      </c>
      <c r="D231" s="130" t="n">
        <v>97.5</v>
      </c>
      <c r="E231" s="131" t="n">
        <v>29</v>
      </c>
      <c r="F231" s="130" t="n">
        <v>77.40000000000001</v>
      </c>
      <c r="G231" s="17" t="n">
        <v>23</v>
      </c>
      <c r="H231" s="132" t="n">
        <v>17</v>
      </c>
      <c r="I231" s="133" t="n">
        <v>38000</v>
      </c>
      <c r="J231" s="133" t="inlineStr">
        <is>
          <t>13</t>
        </is>
      </c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inlineStr">
        <is>
          <t>97B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17">
        <f>S231</f>
        <v/>
      </c>
      <c r="AF231" s="117">
        <f>Q231&amp;"/"&amp;R231</f>
        <v/>
      </c>
      <c r="AH231" s="20">
        <f>IF(A231="","",A231)</f>
        <v/>
      </c>
      <c r="AI231" s="131">
        <f>IF(E231="","",E231)</f>
        <v/>
      </c>
      <c r="AJ231" s="117">
        <f>IF(AI231="","",$AJ$2)</f>
        <v/>
      </c>
      <c r="AK231" s="117" t="inlineStr">
        <is>
          <t>A</t>
        </is>
      </c>
      <c r="AL231" s="117" t="inlineStr">
        <is>
          <t>A+</t>
        </is>
      </c>
      <c r="AM231" s="117" t="inlineStr">
        <is>
          <t>B+</t>
        </is>
      </c>
      <c r="AN231" s="117">
        <f>IF(AI231="","",$AN$2)</f>
        <v/>
      </c>
      <c r="AO231" s="117">
        <f>IF(N231="","",IF(N231&gt;=$AO$1/100,"O","X"))</f>
        <v/>
      </c>
      <c r="AP231" s="117">
        <f>IF(I231="","",IF(I231&lt;=$AP$1,"O","X"))</f>
        <v/>
      </c>
      <c r="AQ231" s="117">
        <f>IF(O231="","",IF(O231&lt;=$AQ$1,"O","X"))</f>
        <v/>
      </c>
      <c r="AR231" s="117">
        <f>IF(M231="","",IF(M231&lt;=$AR$1,"O","X"))</f>
        <v/>
      </c>
      <c r="AS231" s="117" t="inlineStr">
        <is>
          <t>X</t>
        </is>
      </c>
      <c r="AT231" s="117">
        <f>IF(OR(F231="",AI231=""),"",IF(AND((F231&lt;=85),(AI231&gt;=15)),"O","X"))</f>
        <v/>
      </c>
      <c r="AU231" s="117">
        <f>IF(C231="","",IF(C231&gt;=$AU$1,"O","X"))</f>
        <v/>
      </c>
      <c r="AV231" s="117">
        <f>IF(AO231="","",IF(AND(AO231="O",AP231="O",AR231="O",AT231="O",AU231="O"),"후보","X"))</f>
        <v/>
      </c>
    </row>
    <row r="232" ht="12" customFormat="1" customHeight="1" s="38">
      <c r="A232" s="120" t="inlineStr">
        <is>
          <t>작전동 현대3차</t>
        </is>
      </c>
      <c r="B232" s="121" t="inlineStr">
        <is>
          <t>92.11.</t>
        </is>
      </c>
      <c r="C232" s="129" t="n">
        <v>390</v>
      </c>
      <c r="D232" s="130" t="n">
        <v>106.8</v>
      </c>
      <c r="E232" s="131" t="n">
        <v>32</v>
      </c>
      <c r="F232" s="130" t="n">
        <v>84.8</v>
      </c>
      <c r="G232" s="17" t="n">
        <v>26</v>
      </c>
      <c r="H232" s="132" t="n">
        <v>166</v>
      </c>
      <c r="I232" s="133" t="n">
        <v>48000</v>
      </c>
      <c r="J232" s="133" t="inlineStr">
        <is>
          <t>16</t>
        </is>
      </c>
      <c r="K232" s="133" t="n">
        <v>27000</v>
      </c>
      <c r="L232" s="133" t="inlineStr">
        <is>
          <t>고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2</v>
      </c>
      <c r="S232" s="117" t="inlineStr">
        <is>
          <t>계</t>
        </is>
      </c>
      <c r="T232" s="5" t="n">
        <v>106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17">
        <f>S232</f>
        <v/>
      </c>
      <c r="AF232" s="117">
        <f>Q232&amp;"/"&amp;R232</f>
        <v/>
      </c>
      <c r="AH232" s="20">
        <f>IF(A232="","",A232)</f>
        <v/>
      </c>
      <c r="AI232" s="131">
        <f>IF(E232="","",E232)</f>
        <v/>
      </c>
      <c r="AJ232" s="117">
        <f>IF(AI232="","",$AJ$2)</f>
        <v/>
      </c>
      <c r="AK232" s="117" t="inlineStr">
        <is>
          <t>A</t>
        </is>
      </c>
      <c r="AL232" s="117" t="inlineStr">
        <is>
          <t>A+</t>
        </is>
      </c>
      <c r="AM232" s="117" t="inlineStr">
        <is>
          <t>B+</t>
        </is>
      </c>
      <c r="AN232" s="117">
        <f>IF(AI232="","",$AN$2)</f>
        <v/>
      </c>
      <c r="AO232" s="117">
        <f>IF(N232="","",IF(N232&gt;=$AO$1/100,"O","X"))</f>
        <v/>
      </c>
      <c r="AP232" s="117">
        <f>IF(I232="","",IF(I232&lt;=$AP$1,"O","X"))</f>
        <v/>
      </c>
      <c r="AQ232" s="117">
        <f>IF(O232="","",IF(O232&lt;=$AQ$1,"O","X"))</f>
        <v/>
      </c>
      <c r="AR232" s="117">
        <f>IF(M232="","",IF(M232&lt;=$AR$1,"O","X"))</f>
        <v/>
      </c>
      <c r="AS232" s="117" t="inlineStr">
        <is>
          <t>X</t>
        </is>
      </c>
      <c r="AT232" s="117">
        <f>IF(OR(F232="",AI232=""),"",IF(AND((F232&lt;=85),(AI232&gt;=15)),"O","X"))</f>
        <v/>
      </c>
      <c r="AU232" s="117">
        <f>IF(C232="","",IF(C232&gt;=$AU$1,"O","X"))</f>
        <v/>
      </c>
      <c r="AV232" s="117">
        <f>IF(AO232="","",IF(AND(AO232="O",AP232="O",AR232="O",AT232="O",AU232="O"),"후보","X"))</f>
        <v/>
      </c>
    </row>
    <row r="233" ht="12" customFormat="1" customHeight="1" s="38">
      <c r="A233" s="120" t="inlineStr">
        <is>
          <t>작전동 선우</t>
        </is>
      </c>
      <c r="B233" s="121" t="inlineStr">
        <is>
          <t>86.02.</t>
        </is>
      </c>
      <c r="C233" s="129" t="n">
        <v>210</v>
      </c>
      <c r="D233" s="130" t="n">
        <v>64.59999999999999</v>
      </c>
      <c r="E233" s="131" t="n">
        <v>20</v>
      </c>
      <c r="F233" s="130" t="n">
        <v>49</v>
      </c>
      <c r="G233" s="17" t="n">
        <v>15</v>
      </c>
      <c r="H233" s="132" t="n">
        <v>60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3</v>
      </c>
      <c r="R233" s="117" t="n">
        <v>1</v>
      </c>
      <c r="S233" s="117" t="inlineStr">
        <is>
          <t>계</t>
        </is>
      </c>
      <c r="T233" s="5" t="n">
        <v>64</v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17">
        <f>S233</f>
        <v/>
      </c>
      <c r="AF233" s="117">
        <f>Q233&amp;"/"&amp;R233</f>
        <v/>
      </c>
      <c r="AH233" s="20">
        <f>IF(A233="","",A233)</f>
        <v/>
      </c>
      <c r="AI233" s="131">
        <f>IF(E233="","",E233)</f>
        <v/>
      </c>
      <c r="AJ233" s="117">
        <f>IF(AI233="","",$AJ$2)</f>
        <v/>
      </c>
      <c r="AK233" s="117" t="inlineStr">
        <is>
          <t>A</t>
        </is>
      </c>
      <c r="AL233" s="117" t="inlineStr">
        <is>
          <t>A+</t>
        </is>
      </c>
      <c r="AM233" s="117" t="inlineStr">
        <is>
          <t>B+</t>
        </is>
      </c>
      <c r="AN233" s="117">
        <f>IF(AI233="","",$AN$2)</f>
        <v/>
      </c>
      <c r="AO233" s="117">
        <f>IF(N233="","",IF(N233&gt;=$AO$1/100,"O","X"))</f>
        <v/>
      </c>
      <c r="AP233" s="117">
        <f>IF(I233="","",IF(I233&lt;=$AP$1,"O","X"))</f>
        <v/>
      </c>
      <c r="AQ233" s="117">
        <f>IF(O233="","",IF(O233&lt;=$AQ$1,"O","X"))</f>
        <v/>
      </c>
      <c r="AR233" s="117">
        <f>IF(M233="","",IF(M233&lt;=$AR$1,"O","X"))</f>
        <v/>
      </c>
      <c r="AS233" s="117" t="inlineStr">
        <is>
          <t>X</t>
        </is>
      </c>
      <c r="AT233" s="117">
        <f>IF(OR(F233="",AI233=""),"",IF(AND((F233&lt;=85),(AI233&gt;=15)),"O","X"))</f>
        <v/>
      </c>
      <c r="AU233" s="117">
        <f>IF(C233="","",IF(C233&gt;=$AU$1,"O","X"))</f>
        <v/>
      </c>
      <c r="AV233" s="117">
        <f>IF(AO233="","",IF(AND(AO233="O",AP233="O",AR233="O",AT233="O",AU233="O"),"후보","X"))</f>
        <v/>
      </c>
    </row>
    <row r="234" ht="12" customFormat="1" customHeight="1" s="38">
      <c r="A234" s="120" t="inlineStr">
        <is>
          <t>작전동 선우</t>
        </is>
      </c>
      <c r="B234" s="121" t="inlineStr">
        <is>
          <t>86.02.</t>
        </is>
      </c>
      <c r="C234" s="129" t="n">
        <v>210</v>
      </c>
      <c r="D234" s="130" t="n">
        <v>76.09999999999999</v>
      </c>
      <c r="E234" s="131" t="n">
        <v>23</v>
      </c>
      <c r="F234" s="130" t="n">
        <v>58.6</v>
      </c>
      <c r="G234" s="17" t="n">
        <v>18</v>
      </c>
      <c r="H234" s="132" t="n">
        <v>150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76</v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17">
        <f>S234</f>
        <v/>
      </c>
      <c r="AF234" s="117">
        <f>Q234&amp;"/"&amp;R234</f>
        <v/>
      </c>
      <c r="AH234" s="20">
        <f>IF(A234="","",A234)</f>
        <v/>
      </c>
      <c r="AI234" s="131">
        <f>IF(E234="","",E234)</f>
        <v/>
      </c>
      <c r="AJ234" s="117">
        <f>IF(AI234="","",$AJ$2)</f>
        <v/>
      </c>
      <c r="AK234" s="117" t="inlineStr">
        <is>
          <t>A</t>
        </is>
      </c>
      <c r="AL234" s="117" t="inlineStr">
        <is>
          <t>A+</t>
        </is>
      </c>
      <c r="AM234" s="117" t="inlineStr">
        <is>
          <t>B+</t>
        </is>
      </c>
      <c r="AN234" s="117">
        <f>IF(AI234="","",$AN$2)</f>
        <v/>
      </c>
      <c r="AO234" s="117">
        <f>IF(N234="","",IF(N234&gt;=$AO$1/100,"O","X"))</f>
        <v/>
      </c>
      <c r="AP234" s="117">
        <f>IF(I234="","",IF(I234&lt;=$AP$1,"O","X"))</f>
        <v/>
      </c>
      <c r="AQ234" s="117">
        <f>IF(O234="","",IF(O234&lt;=$AQ$1,"O","X"))</f>
        <v/>
      </c>
      <c r="AR234" s="117">
        <f>IF(M234="","",IF(M234&lt;=$AR$1,"O","X"))</f>
        <v/>
      </c>
      <c r="AS234" s="117" t="inlineStr">
        <is>
          <t>X</t>
        </is>
      </c>
      <c r="AT234" s="117">
        <f>IF(OR(F234="",AI234=""),"",IF(AND((F234&lt;=85),(AI234&gt;=15)),"O","X"))</f>
        <v/>
      </c>
      <c r="AU234" s="117">
        <f>IF(C234="","",IF(C234&gt;=$AU$1,"O","X"))</f>
        <v/>
      </c>
      <c r="AV234" s="117">
        <f>IF(AO234="","",IF(AND(AO234="O",AP234="O",AR234="O",AT234="O",AU234="O"),"후보","X"))</f>
        <v/>
      </c>
    </row>
    <row r="235" ht="12" customFormat="1" customHeight="1" s="38">
      <c r="A235" s="120" t="inlineStr">
        <is>
          <t>작전동 도두리마을동보</t>
        </is>
      </c>
      <c r="B235" s="121" t="inlineStr">
        <is>
          <t>96.12.</t>
        </is>
      </c>
      <c r="C235" s="129" t="n">
        <v>1276</v>
      </c>
      <c r="D235" s="130" t="n">
        <v>35.6</v>
      </c>
      <c r="E235" s="131" t="n">
        <v>11</v>
      </c>
      <c r="F235" s="130" t="n">
        <v>23.9</v>
      </c>
      <c r="G235" s="17" t="n">
        <v>7</v>
      </c>
      <c r="H235" s="132" t="n">
        <v>208</v>
      </c>
      <c r="I235" s="133" t="n">
        <v>11000</v>
      </c>
      <c r="J235" s="133" t="inlineStr">
        <is>
          <t>13</t>
        </is>
      </c>
      <c r="K235" s="133" t="n">
        <v>10500</v>
      </c>
      <c r="L235" s="133" t="inlineStr">
        <is>
          <t>고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1</v>
      </c>
      <c r="R235" s="117" t="n">
        <v>1</v>
      </c>
      <c r="S235" s="117" t="inlineStr">
        <is>
          <t>복</t>
        </is>
      </c>
      <c r="T235" s="5" t="n">
        <v>35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17">
        <f>S235</f>
        <v/>
      </c>
      <c r="AF235" s="117">
        <f>Q235&amp;"/"&amp;R235</f>
        <v/>
      </c>
      <c r="AH235" s="20">
        <f>IF(A235="","",A235)</f>
        <v/>
      </c>
      <c r="AI235" s="131">
        <f>IF(E235="","",E235)</f>
        <v/>
      </c>
      <c r="AJ235" s="117">
        <f>IF(AI235="","",$AJ$2)</f>
        <v/>
      </c>
      <c r="AK235" s="117" t="inlineStr">
        <is>
          <t>A</t>
        </is>
      </c>
      <c r="AL235" s="117" t="inlineStr">
        <is>
          <t>A+</t>
        </is>
      </c>
      <c r="AM235" s="117" t="inlineStr">
        <is>
          <t>B+</t>
        </is>
      </c>
      <c r="AN235" s="117">
        <f>IF(AI235="","",$AN$2)</f>
        <v/>
      </c>
      <c r="AO235" s="117">
        <f>IF(N235="","",IF(N235&gt;=$AO$1/100,"O","X"))</f>
        <v/>
      </c>
      <c r="AP235" s="117">
        <f>IF(I235="","",IF(I235&lt;=$AP$1,"O","X"))</f>
        <v/>
      </c>
      <c r="AQ235" s="117">
        <f>IF(O235="","",IF(O235&lt;=$AQ$1,"O","X"))</f>
        <v/>
      </c>
      <c r="AR235" s="117">
        <f>IF(M235="","",IF(M235&lt;=$AR$1,"O","X"))</f>
        <v/>
      </c>
      <c r="AS235" s="117" t="inlineStr">
        <is>
          <t>X</t>
        </is>
      </c>
      <c r="AT235" s="117">
        <f>IF(OR(F235="",AI235=""),"",IF(AND((F235&lt;=85),(AI235&gt;=15)),"O","X"))</f>
        <v/>
      </c>
      <c r="AU235" s="117">
        <f>IF(C235="","",IF(C235&gt;=$AU$1,"O","X"))</f>
        <v/>
      </c>
      <c r="AV235" s="117">
        <f>IF(AO235="","",IF(AND(AO235="O",AP235="O",AR235="O",AT235="O",AU235="O"),"후보","X"))</f>
        <v/>
      </c>
    </row>
    <row r="236" ht="12" customFormat="1" customHeight="1" s="38">
      <c r="A236" s="120" t="inlineStr">
        <is>
          <t>작전동 도두리마을동보</t>
        </is>
      </c>
      <c r="B236" s="121" t="inlineStr">
        <is>
          <t>96.12.</t>
        </is>
      </c>
      <c r="C236" s="129" t="n">
        <v>1276</v>
      </c>
      <c r="D236" s="130" t="n">
        <v>79.7</v>
      </c>
      <c r="E236" s="131" t="n">
        <v>24</v>
      </c>
      <c r="F236" s="130" t="n">
        <v>59.9</v>
      </c>
      <c r="G236" s="17" t="n">
        <v>18</v>
      </c>
      <c r="H236" s="132" t="n">
        <v>1068</v>
      </c>
      <c r="I236" s="133" t="n">
        <v>35000</v>
      </c>
      <c r="J236" s="133" t="inlineStr">
        <is>
          <t>10</t>
        </is>
      </c>
      <c r="K236" s="133" t="n">
        <v>25000</v>
      </c>
      <c r="L236" s="133" t="inlineStr">
        <is>
          <t>18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1</v>
      </c>
      <c r="S236" s="117" t="inlineStr">
        <is>
          <t>계</t>
        </is>
      </c>
      <c r="T236" s="5" t="n">
        <v>79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17">
        <f>S236</f>
        <v/>
      </c>
      <c r="AF236" s="117">
        <f>Q236&amp;"/"&amp;R236</f>
        <v/>
      </c>
      <c r="AH236" s="20">
        <f>IF(A236="","",A236)</f>
        <v/>
      </c>
      <c r="AI236" s="131">
        <f>IF(E236="","",E236)</f>
        <v/>
      </c>
      <c r="AJ236" s="117">
        <f>IF(AI236="","",$AJ$2)</f>
        <v/>
      </c>
      <c r="AK236" s="117" t="inlineStr">
        <is>
          <t>A</t>
        </is>
      </c>
      <c r="AL236" s="117" t="inlineStr">
        <is>
          <t>A+</t>
        </is>
      </c>
      <c r="AM236" s="117" t="inlineStr">
        <is>
          <t>B+</t>
        </is>
      </c>
      <c r="AN236" s="117">
        <f>IF(AI236="","",$AN$2)</f>
        <v/>
      </c>
      <c r="AO236" s="117">
        <f>IF(N236="","",IF(N236&gt;=$AO$1/100,"O","X"))</f>
        <v/>
      </c>
      <c r="AP236" s="117">
        <f>IF(I236="","",IF(I236&lt;=$AP$1,"O","X"))</f>
        <v/>
      </c>
      <c r="AQ236" s="117">
        <f>IF(O236="","",IF(O236&lt;=$AQ$1,"O","X"))</f>
        <v/>
      </c>
      <c r="AR236" s="117">
        <f>IF(M236="","",IF(M236&lt;=$AR$1,"O","X"))</f>
        <v/>
      </c>
      <c r="AS236" s="117" t="inlineStr">
        <is>
          <t>X</t>
        </is>
      </c>
      <c r="AT236" s="117">
        <f>IF(OR(F236="",AI236=""),"",IF(AND((F236&lt;=85),(AI236&gt;=15)),"O","X"))</f>
        <v/>
      </c>
      <c r="AU236" s="117">
        <f>IF(C236="","",IF(C236&gt;=$AU$1,"O","X"))</f>
        <v/>
      </c>
      <c r="AV236" s="117">
        <f>IF(AO236="","",IF(AND(AO236="O",AP236="O",AR236="O",AT236="O",AU236="O"),"후보","X"))</f>
        <v/>
      </c>
    </row>
    <row r="237" ht="12" customFormat="1" customHeight="1" s="38">
      <c r="A237" s="120" t="inlineStr">
        <is>
          <t>작전동 유호</t>
        </is>
      </c>
      <c r="B237" s="121" t="inlineStr">
        <is>
          <t>95.03.</t>
        </is>
      </c>
      <c r="C237" s="129" t="n">
        <v>299</v>
      </c>
      <c r="D237" s="130" t="n">
        <v>80.09999999999999</v>
      </c>
      <c r="E237" s="131" t="n">
        <v>24</v>
      </c>
      <c r="F237" s="130" t="n">
        <v>59.6</v>
      </c>
      <c r="G237" s="17" t="n">
        <v>18</v>
      </c>
      <c r="H237" s="132" t="n">
        <v>125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1</v>
      </c>
      <c r="S237" s="117" t="inlineStr">
        <is>
          <t>복</t>
        </is>
      </c>
      <c r="T237" s="5" t="n">
        <v>80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17">
        <f>S237</f>
        <v/>
      </c>
      <c r="AF237" s="117">
        <f>Q237&amp;"/"&amp;R237</f>
        <v/>
      </c>
      <c r="AH237" s="20">
        <f>IF(A237="","",A237)</f>
        <v/>
      </c>
      <c r="AI237" s="131">
        <f>IF(E237="","",E237)</f>
        <v/>
      </c>
      <c r="AJ237" s="117">
        <f>IF(AI237="","",$AJ$2)</f>
        <v/>
      </c>
      <c r="AK237" s="117" t="inlineStr">
        <is>
          <t>A</t>
        </is>
      </c>
      <c r="AL237" s="117" t="inlineStr">
        <is>
          <t>A+</t>
        </is>
      </c>
      <c r="AM237" s="117" t="inlineStr">
        <is>
          <t>B+</t>
        </is>
      </c>
      <c r="AN237" s="117">
        <f>IF(AI237="","",$AN$2)</f>
        <v/>
      </c>
      <c r="AO237" s="117">
        <f>IF(N237="","",IF(N237&gt;=$AO$1/100,"O","X"))</f>
        <v/>
      </c>
      <c r="AP237" s="117">
        <f>IF(I237="","",IF(I237&lt;=$AP$1,"O","X"))</f>
        <v/>
      </c>
      <c r="AQ237" s="117">
        <f>IF(O237="","",IF(O237&lt;=$AQ$1,"O","X"))</f>
        <v/>
      </c>
      <c r="AR237" s="117">
        <f>IF(M237="","",IF(M237&lt;=$AR$1,"O","X"))</f>
        <v/>
      </c>
      <c r="AS237" s="117" t="inlineStr">
        <is>
          <t>X</t>
        </is>
      </c>
      <c r="AT237" s="117">
        <f>IF(OR(F237="",AI237=""),"",IF(AND((F237&lt;=85),(AI237&gt;=15)),"O","X"))</f>
        <v/>
      </c>
      <c r="AU237" s="117">
        <f>IF(C237="","",IF(C237&gt;=$AU$1,"O","X"))</f>
        <v/>
      </c>
      <c r="AV237" s="117">
        <f>IF(AO237="","",IF(AND(AO237="O",AP237="O",AR237="O",AT237="O",AU237="O"),"후보","X"))</f>
        <v/>
      </c>
    </row>
    <row r="238" ht="12" customFormat="1" customHeight="1" s="38">
      <c r="A238" s="120" t="inlineStr">
        <is>
          <t>작전동 유호</t>
        </is>
      </c>
      <c r="B238" s="121" t="inlineStr">
        <is>
          <t>95.03.</t>
        </is>
      </c>
      <c r="C238" s="129" t="n">
        <v>299</v>
      </c>
      <c r="D238" s="130" t="n">
        <v>105.6</v>
      </c>
      <c r="E238" s="131" t="n">
        <v>32</v>
      </c>
      <c r="F238" s="130" t="n">
        <v>84.90000000000001</v>
      </c>
      <c r="G238" s="17" t="n">
        <v>26</v>
      </c>
      <c r="H238" s="132" t="n">
        <v>174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105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17">
        <f>S238</f>
        <v/>
      </c>
      <c r="AF238" s="117">
        <f>Q238&amp;"/"&amp;R238</f>
        <v/>
      </c>
      <c r="AH238" s="20">
        <f>IF(A238="","",A238)</f>
        <v/>
      </c>
      <c r="AI238" s="131">
        <f>IF(E238="","",E238)</f>
        <v/>
      </c>
      <c r="AJ238" s="117">
        <f>IF(AI238="","",$AJ$2)</f>
        <v/>
      </c>
      <c r="AK238" s="117" t="inlineStr">
        <is>
          <t>A</t>
        </is>
      </c>
      <c r="AL238" s="117" t="inlineStr">
        <is>
          <t>A+</t>
        </is>
      </c>
      <c r="AM238" s="117" t="inlineStr">
        <is>
          <t>B+</t>
        </is>
      </c>
      <c r="AN238" s="117">
        <f>IF(AI238="","",$AN$2)</f>
        <v/>
      </c>
      <c r="AO238" s="117">
        <f>IF(N238="","",IF(N238&gt;=$AO$1/100,"O","X"))</f>
        <v/>
      </c>
      <c r="AP238" s="117">
        <f>IF(I238="","",IF(I238&lt;=$AP$1,"O","X"))</f>
        <v/>
      </c>
      <c r="AQ238" s="117">
        <f>IF(O238="","",IF(O238&lt;=$AQ$1,"O","X"))</f>
        <v/>
      </c>
      <c r="AR238" s="117">
        <f>IF(M238="","",IF(M238&lt;=$AR$1,"O","X"))</f>
        <v/>
      </c>
      <c r="AS238" s="117" t="inlineStr">
        <is>
          <t>X</t>
        </is>
      </c>
      <c r="AT238" s="117">
        <f>IF(OR(F238="",AI238=""),"",IF(AND((F238&lt;=85),(AI238&gt;=15)),"O","X"))</f>
        <v/>
      </c>
      <c r="AU238" s="117">
        <f>IF(C238="","",IF(C238&gt;=$AU$1,"O","X"))</f>
        <v/>
      </c>
      <c r="AV238" s="117">
        <f>IF(AO238="","",IF(AND(AO238="O",AP238="O",AR238="O",AT238="O",AU238="O"),"후보","X"))</f>
        <v/>
      </c>
    </row>
    <row r="239" ht="12" customFormat="1" customHeight="1" s="38">
      <c r="A239" s="120" t="inlineStr">
        <is>
          <t>작전동 도두리마을대동</t>
        </is>
      </c>
      <c r="B239" s="121" t="inlineStr">
        <is>
          <t>97.09.</t>
        </is>
      </c>
      <c r="C239" s="129" t="n">
        <v>1299</v>
      </c>
      <c r="D239" s="130" t="n">
        <v>56.3</v>
      </c>
      <c r="E239" s="131" t="n">
        <v>17</v>
      </c>
      <c r="F239" s="130" t="n">
        <v>40.1</v>
      </c>
      <c r="G239" s="17" t="n">
        <v>12</v>
      </c>
      <c r="H239" s="132" t="n">
        <v>597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2</v>
      </c>
      <c r="R239" s="117" t="n">
        <v>1</v>
      </c>
      <c r="S239" s="117" t="inlineStr">
        <is>
          <t>복</t>
        </is>
      </c>
      <c r="T239" s="5" t="n">
        <v>56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17">
        <f>S239</f>
        <v/>
      </c>
      <c r="AF239" s="117">
        <f>Q239&amp;"/"&amp;R239</f>
        <v/>
      </c>
      <c r="AH239" s="20">
        <f>IF(A239="","",A239)</f>
        <v/>
      </c>
      <c r="AI239" s="131">
        <f>IF(E239="","",E239)</f>
        <v/>
      </c>
      <c r="AJ239" s="117">
        <f>IF(AI239="","",$AJ$2)</f>
        <v/>
      </c>
      <c r="AK239" s="117" t="inlineStr">
        <is>
          <t>A</t>
        </is>
      </c>
      <c r="AL239" s="117" t="inlineStr">
        <is>
          <t>A+</t>
        </is>
      </c>
      <c r="AM239" s="117" t="inlineStr">
        <is>
          <t>B+</t>
        </is>
      </c>
      <c r="AN239" s="117">
        <f>IF(AI239="","",$AN$2)</f>
        <v/>
      </c>
      <c r="AO239" s="117">
        <f>IF(N239="","",IF(N239&gt;=$AO$1/100,"O","X"))</f>
        <v/>
      </c>
      <c r="AP239" s="117">
        <f>IF(I239="","",IF(I239&lt;=$AP$1,"O","X"))</f>
        <v/>
      </c>
      <c r="AQ239" s="117">
        <f>IF(O239="","",IF(O239&lt;=$AQ$1,"O","X"))</f>
        <v/>
      </c>
      <c r="AR239" s="117">
        <f>IF(M239="","",IF(M239&lt;=$AR$1,"O","X"))</f>
        <v/>
      </c>
      <c r="AS239" s="117" t="inlineStr">
        <is>
          <t>X</t>
        </is>
      </c>
      <c r="AT239" s="117">
        <f>IF(OR(F239="",AI239=""),"",IF(AND((F239&lt;=85),(AI239&gt;=15)),"O","X"))</f>
        <v/>
      </c>
      <c r="AU239" s="117">
        <f>IF(C239="","",IF(C239&gt;=$AU$1,"O","X"))</f>
        <v/>
      </c>
      <c r="AV239" s="117">
        <f>IF(AO239="","",IF(AND(AO239="O",AP239="O",AR239="O",AT239="O",AU239="O"),"후보","X"))</f>
        <v/>
      </c>
    </row>
    <row r="240" ht="12" customFormat="1" customHeight="1" s="38">
      <c r="A240" s="120" t="inlineStr">
        <is>
          <t>작전동 도두리마을대동</t>
        </is>
      </c>
      <c r="B240" s="121" t="inlineStr">
        <is>
          <t>97.09.</t>
        </is>
      </c>
      <c r="C240" s="129" t="n">
        <v>1299</v>
      </c>
      <c r="D240" s="130" t="n">
        <v>80.90000000000001</v>
      </c>
      <c r="E240" s="131" t="n">
        <v>24</v>
      </c>
      <c r="F240" s="130" t="n">
        <v>59.8</v>
      </c>
      <c r="G240" s="17" t="n">
        <v>18</v>
      </c>
      <c r="H240" s="132" t="n">
        <v>702</v>
      </c>
      <c r="I240" s="133" t="n">
        <v>35000</v>
      </c>
      <c r="J240" s="133" t="inlineStr">
        <is>
          <t>14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1</v>
      </c>
      <c r="S240" s="117" t="inlineStr">
        <is>
          <t>계</t>
        </is>
      </c>
      <c r="T240" s="5" t="n">
        <v>80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17">
        <f>S240</f>
        <v/>
      </c>
      <c r="AF240" s="117">
        <f>Q240&amp;"/"&amp;R240</f>
        <v/>
      </c>
      <c r="AH240" s="20">
        <f>IF(A240="","",A240)</f>
        <v/>
      </c>
      <c r="AI240" s="131">
        <f>IF(E240="","",E240)</f>
        <v/>
      </c>
      <c r="AJ240" s="117">
        <f>IF(AI240="","",$AJ$2)</f>
        <v/>
      </c>
      <c r="AK240" s="117" t="inlineStr">
        <is>
          <t>A</t>
        </is>
      </c>
      <c r="AL240" s="117" t="inlineStr">
        <is>
          <t>A+</t>
        </is>
      </c>
      <c r="AM240" s="117" t="inlineStr">
        <is>
          <t>B+</t>
        </is>
      </c>
      <c r="AN240" s="117">
        <f>IF(AI240="","",$AN$2)</f>
        <v/>
      </c>
      <c r="AO240" s="117">
        <f>IF(N240="","",IF(N240&gt;=$AO$1/100,"O","X"))</f>
        <v/>
      </c>
      <c r="AP240" s="117">
        <f>IF(I240="","",IF(I240&lt;=$AP$1,"O","X"))</f>
        <v/>
      </c>
      <c r="AQ240" s="117">
        <f>IF(O240="","",IF(O240&lt;=$AQ$1,"O","X"))</f>
        <v/>
      </c>
      <c r="AR240" s="117">
        <f>IF(M240="","",IF(M240&lt;=$AR$1,"O","X"))</f>
        <v/>
      </c>
      <c r="AS240" s="117" t="inlineStr">
        <is>
          <t>X</t>
        </is>
      </c>
      <c r="AT240" s="117">
        <f>IF(OR(F240="",AI240=""),"",IF(AND((F240&lt;=85),(AI240&gt;=15)),"O","X"))</f>
        <v/>
      </c>
      <c r="AU240" s="117">
        <f>IF(C240="","",IF(C240&gt;=$AU$1,"O","X"))</f>
        <v/>
      </c>
      <c r="AV240" s="117">
        <f>IF(AO240="","",IF(AND(AO240="O",AP240="O",AR240="O",AT240="O",AU240="O"),"후보","X"))</f>
        <v/>
      </c>
    </row>
    <row r="241" ht="12" customFormat="1" customHeight="1" s="38">
      <c r="A241" s="120" t="inlineStr">
        <is>
          <t>작전동 작전동보2차</t>
        </is>
      </c>
      <c r="B241" s="121" t="inlineStr">
        <is>
          <t>00.05.</t>
        </is>
      </c>
      <c r="C241" s="129" t="n">
        <v>502</v>
      </c>
      <c r="D241" s="130" t="n">
        <v>112.3</v>
      </c>
      <c r="E241" s="131" t="n">
        <v>34</v>
      </c>
      <c r="F241" s="130" t="n">
        <v>84.90000000000001</v>
      </c>
      <c r="G241" s="17" t="n">
        <v>26</v>
      </c>
      <c r="H241" s="132" t="n">
        <v>468</v>
      </c>
      <c r="I241" s="133" t="n">
        <v>44000</v>
      </c>
      <c r="J241" s="133" t="inlineStr">
        <is>
          <t>13</t>
        </is>
      </c>
      <c r="K241" s="133" t="n">
        <v>35000</v>
      </c>
      <c r="L241" s="133" t="inlineStr">
        <is>
          <t>18</t>
        </is>
      </c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3</v>
      </c>
      <c r="R241" s="117" t="n">
        <v>2</v>
      </c>
      <c r="S241" s="117" t="inlineStr">
        <is>
          <t>계</t>
        </is>
      </c>
      <c r="T241" s="5" t="n">
        <v>112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17">
        <f>S241</f>
        <v/>
      </c>
      <c r="AF241" s="117">
        <f>Q241&amp;"/"&amp;R241</f>
        <v/>
      </c>
      <c r="AH241" s="20">
        <f>IF(A241="","",A241)</f>
        <v/>
      </c>
      <c r="AI241" s="131">
        <f>IF(E241="","",E241)</f>
        <v/>
      </c>
      <c r="AJ241" s="117">
        <f>IF(AI241="","",$AJ$2)</f>
        <v/>
      </c>
      <c r="AK241" s="117" t="inlineStr">
        <is>
          <t>A</t>
        </is>
      </c>
      <c r="AL241" s="117" t="inlineStr">
        <is>
          <t>A+</t>
        </is>
      </c>
      <c r="AM241" s="117" t="inlineStr">
        <is>
          <t>B+</t>
        </is>
      </c>
      <c r="AN241" s="117">
        <f>IF(AI241="","",$AN$2)</f>
        <v/>
      </c>
      <c r="AO241" s="117">
        <f>IF(N241="","",IF(N241&gt;=$AO$1/100,"O","X"))</f>
        <v/>
      </c>
      <c r="AP241" s="117">
        <f>IF(I241="","",IF(I241&lt;=$AP$1,"O","X"))</f>
        <v/>
      </c>
      <c r="AQ241" s="117">
        <f>IF(O241="","",IF(O241&lt;=$AQ$1,"O","X"))</f>
        <v/>
      </c>
      <c r="AR241" s="117">
        <f>IF(M241="","",IF(M241&lt;=$AR$1,"O","X"))</f>
        <v/>
      </c>
      <c r="AS241" s="117" t="inlineStr">
        <is>
          <t>X</t>
        </is>
      </c>
      <c r="AT241" s="117">
        <f>IF(OR(F241="",AI241=""),"",IF(AND((F241&lt;=85),(AI241&gt;=15)),"O","X"))</f>
        <v/>
      </c>
      <c r="AU241" s="117">
        <f>IF(C241="","",IF(C241&gt;=$AU$1,"O","X"))</f>
        <v/>
      </c>
      <c r="AV241" s="117">
        <f>IF(AO241="","",IF(AND(AO241="O",AP241="O",AR241="O",AT241="O",AU241="O"),"후보","X"))</f>
        <v/>
      </c>
    </row>
    <row r="242" ht="12" customFormat="1" customHeight="1" s="38">
      <c r="A242" s="120" t="inlineStr">
        <is>
          <t>작전동 작전동보2차</t>
        </is>
      </c>
      <c r="B242" s="121" t="inlineStr">
        <is>
          <t>00.05.</t>
        </is>
      </c>
      <c r="C242" s="129" t="n">
        <v>502</v>
      </c>
      <c r="D242" s="130" t="n">
        <v>275.7</v>
      </c>
      <c r="E242" s="131" t="n">
        <v>83</v>
      </c>
      <c r="F242" s="130" t="n">
        <v>234</v>
      </c>
      <c r="G242" s="17" t="n">
        <v>71</v>
      </c>
      <c r="H242" s="132" t="n">
        <v>34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5</v>
      </c>
      <c r="R242" s="117" t="n">
        <v>2</v>
      </c>
      <c r="S242" s="117" t="inlineStr">
        <is>
          <t>계</t>
        </is>
      </c>
      <c r="T242" s="5" t="n">
        <v>275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17">
        <f>S242</f>
        <v/>
      </c>
      <c r="AF242" s="117">
        <f>Q242&amp;"/"&amp;R242</f>
        <v/>
      </c>
      <c r="AH242" s="20">
        <f>IF(A242="","",A242)</f>
        <v/>
      </c>
      <c r="AI242" s="131">
        <f>IF(E242="","",E242)</f>
        <v/>
      </c>
      <c r="AJ242" s="117">
        <f>IF(AI242="","",$AJ$2)</f>
        <v/>
      </c>
      <c r="AK242" s="117" t="inlineStr">
        <is>
          <t>A</t>
        </is>
      </c>
      <c r="AL242" s="117" t="inlineStr">
        <is>
          <t>A+</t>
        </is>
      </c>
      <c r="AM242" s="117" t="inlineStr">
        <is>
          <t>B+</t>
        </is>
      </c>
      <c r="AN242" s="117">
        <f>IF(AI242="","",$AN$2)</f>
        <v/>
      </c>
      <c r="AO242" s="117">
        <f>IF(N242="","",IF(N242&gt;=$AO$1/100,"O","X"))</f>
        <v/>
      </c>
      <c r="AP242" s="117">
        <f>IF(I242="","",IF(I242&lt;=$AP$1,"O","X"))</f>
        <v/>
      </c>
      <c r="AQ242" s="117">
        <f>IF(O242="","",IF(O242&lt;=$AQ$1,"O","X"))</f>
        <v/>
      </c>
      <c r="AR242" s="117">
        <f>IF(M242="","",IF(M242&lt;=$AR$1,"O","X"))</f>
        <v/>
      </c>
      <c r="AS242" s="117" t="inlineStr">
        <is>
          <t>X</t>
        </is>
      </c>
      <c r="AT242" s="117">
        <f>IF(OR(F242="",AI242=""),"",IF(AND((F242&lt;=85),(AI242&gt;=15)),"O","X"))</f>
        <v/>
      </c>
      <c r="AU242" s="117">
        <f>IF(C242="","",IF(C242&gt;=$AU$1,"O","X"))</f>
        <v/>
      </c>
      <c r="AV242" s="117">
        <f>IF(AO242="","",IF(AND(AO242="O",AP242="O",AR242="O",AT242="O",AU242="O"),"후보","X"))</f>
        <v/>
      </c>
    </row>
    <row r="243" ht="12" customFormat="1" customHeight="1" s="38">
      <c r="A243" s="120" t="inlineStr">
        <is>
          <t>작전동 동보1차</t>
        </is>
      </c>
      <c r="B243" s="121" t="inlineStr">
        <is>
          <t>95.04.</t>
        </is>
      </c>
      <c r="C243" s="129" t="n">
        <v>1187</v>
      </c>
      <c r="D243" s="130" t="n">
        <v>82.2</v>
      </c>
      <c r="E243" s="131" t="n">
        <v>25</v>
      </c>
      <c r="F243" s="130" t="n">
        <v>60</v>
      </c>
      <c r="G243" s="17" t="n">
        <v>18</v>
      </c>
      <c r="H243" s="132" t="n">
        <v>475</v>
      </c>
      <c r="I243" s="133" t="n">
        <v>29000</v>
      </c>
      <c r="J243" s="133" t="inlineStr">
        <is>
          <t>19</t>
        </is>
      </c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복</t>
        </is>
      </c>
      <c r="T243" s="5" t="n">
        <v>82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17">
        <f>S243</f>
        <v/>
      </c>
      <c r="AF243" s="117">
        <f>Q243&amp;"/"&amp;R243</f>
        <v/>
      </c>
      <c r="AH243" s="20">
        <f>IF(A243="","",A243)</f>
        <v/>
      </c>
      <c r="AI243" s="131">
        <f>IF(E243="","",E243)</f>
        <v/>
      </c>
      <c r="AJ243" s="117">
        <f>IF(AI243="","",$AJ$2)</f>
        <v/>
      </c>
      <c r="AK243" s="117" t="inlineStr">
        <is>
          <t>A</t>
        </is>
      </c>
      <c r="AL243" s="117" t="inlineStr">
        <is>
          <t>A+</t>
        </is>
      </c>
      <c r="AM243" s="117" t="inlineStr">
        <is>
          <t>B+</t>
        </is>
      </c>
      <c r="AN243" s="117">
        <f>IF(AI243="","",$AN$2)</f>
        <v/>
      </c>
      <c r="AO243" s="117">
        <f>IF(N243="","",IF(N243&gt;=$AO$1/100,"O","X"))</f>
        <v/>
      </c>
      <c r="AP243" s="117">
        <f>IF(I243="","",IF(I243&lt;=$AP$1,"O","X"))</f>
        <v/>
      </c>
      <c r="AQ243" s="117">
        <f>IF(O243="","",IF(O243&lt;=$AQ$1,"O","X"))</f>
        <v/>
      </c>
      <c r="AR243" s="117">
        <f>IF(M243="","",IF(M243&lt;=$AR$1,"O","X"))</f>
        <v/>
      </c>
      <c r="AS243" s="117" t="inlineStr">
        <is>
          <t>X</t>
        </is>
      </c>
      <c r="AT243" s="117">
        <f>IF(OR(F243="",AI243=""),"",IF(AND((F243&lt;=85),(AI243&gt;=15)),"O","X"))</f>
        <v/>
      </c>
      <c r="AU243" s="117">
        <f>IF(C243="","",IF(C243&gt;=$AU$1,"O","X"))</f>
        <v/>
      </c>
      <c r="AV243" s="117">
        <f>IF(AO243="","",IF(AND(AO243="O",AP243="O",AR243="O",AT243="O",AU243="O"),"후보","X"))</f>
        <v/>
      </c>
    </row>
    <row r="244" ht="12" customFormat="1" customHeight="1" s="38">
      <c r="A244" s="120" t="inlineStr">
        <is>
          <t>작전동 동보1차</t>
        </is>
      </c>
      <c r="B244" s="121" t="inlineStr">
        <is>
          <t>95.04.</t>
        </is>
      </c>
      <c r="C244" s="129" t="n">
        <v>1187</v>
      </c>
      <c r="D244" s="130" t="n">
        <v>102.3</v>
      </c>
      <c r="E244" s="131" t="n">
        <v>31</v>
      </c>
      <c r="F244" s="130" t="n">
        <v>84.59999999999999</v>
      </c>
      <c r="G244" s="17" t="n">
        <v>26</v>
      </c>
      <c r="H244" s="132" t="n">
        <v>632</v>
      </c>
      <c r="I244" s="133" t="n">
        <v>41500</v>
      </c>
      <c r="J244" s="133" t="inlineStr">
        <is>
          <t>7</t>
        </is>
      </c>
      <c r="K244" s="133" t="n">
        <v>35000</v>
      </c>
      <c r="L244" s="133" t="inlineStr">
        <is>
          <t>13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n">
        <v>102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17">
        <f>S244</f>
        <v/>
      </c>
      <c r="AF244" s="117">
        <f>Q244&amp;"/"&amp;R244</f>
        <v/>
      </c>
      <c r="AH244" s="20">
        <f>IF(A244="","",A244)</f>
        <v/>
      </c>
      <c r="AI244" s="131">
        <f>IF(E244="","",E244)</f>
        <v/>
      </c>
      <c r="AJ244" s="117">
        <f>IF(AI244="","",$AJ$2)</f>
        <v/>
      </c>
      <c r="AK244" s="117" t="inlineStr">
        <is>
          <t>A</t>
        </is>
      </c>
      <c r="AL244" s="117" t="inlineStr">
        <is>
          <t>A+</t>
        </is>
      </c>
      <c r="AM244" s="117" t="inlineStr">
        <is>
          <t>B+</t>
        </is>
      </c>
      <c r="AN244" s="117">
        <f>IF(AI244="","",$AN$2)</f>
        <v/>
      </c>
      <c r="AO244" s="117">
        <f>IF(N244="","",IF(N244&gt;=$AO$1/100,"O","X"))</f>
        <v/>
      </c>
      <c r="AP244" s="117">
        <f>IF(I244="","",IF(I244&lt;=$AP$1,"O","X"))</f>
        <v/>
      </c>
      <c r="AQ244" s="117">
        <f>IF(O244="","",IF(O244&lt;=$AQ$1,"O","X"))</f>
        <v/>
      </c>
      <c r="AR244" s="117">
        <f>IF(M244="","",IF(M244&lt;=$AR$1,"O","X"))</f>
        <v/>
      </c>
      <c r="AS244" s="117" t="inlineStr">
        <is>
          <t>X</t>
        </is>
      </c>
      <c r="AT244" s="117">
        <f>IF(OR(F244="",AI244=""),"",IF(AND((F244&lt;=85),(AI244&gt;=15)),"O","X"))</f>
        <v/>
      </c>
      <c r="AU244" s="117">
        <f>IF(C244="","",IF(C244&gt;=$AU$1,"O","X"))</f>
        <v/>
      </c>
      <c r="AV244" s="117">
        <f>IF(AO244="","",IF(AND(AO244="O",AP244="O",AR244="O",AT244="O",AU244="O"),"후보","X"))</f>
        <v/>
      </c>
    </row>
    <row r="245" ht="12" customFormat="1" customHeight="1" s="38">
      <c r="A245" s="120" t="inlineStr">
        <is>
          <t>작전동 동보1차</t>
        </is>
      </c>
      <c r="B245" s="121" t="inlineStr">
        <is>
          <t>95.04.</t>
        </is>
      </c>
      <c r="C245" s="129" t="n">
        <v>1187</v>
      </c>
      <c r="D245" s="130" t="n">
        <v>137.7</v>
      </c>
      <c r="E245" s="131" t="n">
        <v>42</v>
      </c>
      <c r="F245" s="130" t="n">
        <v>118.4</v>
      </c>
      <c r="G245" s="17" t="n">
        <v>36</v>
      </c>
      <c r="H245" s="132" t="n">
        <v>80</v>
      </c>
      <c r="I245" s="133" t="n">
        <v>55000</v>
      </c>
      <c r="J245" s="133" t="inlineStr">
        <is>
          <t>10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137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17">
        <f>S245</f>
        <v/>
      </c>
      <c r="AF245" s="117">
        <f>Q245&amp;"/"&amp;R245</f>
        <v/>
      </c>
      <c r="AH245" s="20">
        <f>IF(A245="","",A245)</f>
        <v/>
      </c>
      <c r="AI245" s="131">
        <f>IF(E245="","",E245)</f>
        <v/>
      </c>
      <c r="AJ245" s="117">
        <f>IF(AI245="","",$AJ$2)</f>
        <v/>
      </c>
      <c r="AK245" s="117" t="inlineStr">
        <is>
          <t>A</t>
        </is>
      </c>
      <c r="AL245" s="117" t="inlineStr">
        <is>
          <t>A+</t>
        </is>
      </c>
      <c r="AM245" s="117" t="inlineStr">
        <is>
          <t>B+</t>
        </is>
      </c>
      <c r="AN245" s="117">
        <f>IF(AI245="","",$AN$2)</f>
        <v/>
      </c>
      <c r="AO245" s="117">
        <f>IF(N245="","",IF(N245&gt;=$AO$1/100,"O","X"))</f>
        <v/>
      </c>
      <c r="AP245" s="117">
        <f>IF(I245="","",IF(I245&lt;=$AP$1,"O","X"))</f>
        <v/>
      </c>
      <c r="AQ245" s="117">
        <f>IF(O245="","",IF(O245&lt;=$AQ$1,"O","X"))</f>
        <v/>
      </c>
      <c r="AR245" s="117">
        <f>IF(M245="","",IF(M245&lt;=$AR$1,"O","X"))</f>
        <v/>
      </c>
      <c r="AS245" s="117" t="inlineStr">
        <is>
          <t>X</t>
        </is>
      </c>
      <c r="AT245" s="117">
        <f>IF(OR(F245="",AI245=""),"",IF(AND((F245&lt;=85),(AI245&gt;=15)),"O","X"))</f>
        <v/>
      </c>
      <c r="AU245" s="117">
        <f>IF(C245="","",IF(C245&gt;=$AU$1,"O","X"))</f>
        <v/>
      </c>
      <c r="AV245" s="117">
        <f>IF(AO245="","",IF(AND(AO245="O",AP245="O",AR245="O",AT245="O",AU245="O"),"후보","X"))</f>
        <v/>
      </c>
    </row>
    <row r="246" ht="12" customFormat="1" customHeight="1" s="38">
      <c r="A246" s="120" t="inlineStr">
        <is>
          <t>작전동 신진</t>
        </is>
      </c>
      <c r="B246" s="121" t="inlineStr">
        <is>
          <t>87.12.</t>
        </is>
      </c>
      <c r="C246" s="129" t="n">
        <v>410</v>
      </c>
      <c r="D246" s="130" t="n">
        <v>52.4</v>
      </c>
      <c r="E246" s="131" t="n">
        <v>16</v>
      </c>
      <c r="F246" s="130" t="n">
        <v>40.7</v>
      </c>
      <c r="G246" s="17" t="n">
        <v>12</v>
      </c>
      <c r="H246" s="132" t="n">
        <v>220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2</v>
      </c>
      <c r="R246" s="117" t="n">
        <v>1</v>
      </c>
      <c r="S246" s="117" t="inlineStr">
        <is>
          <t>계</t>
        </is>
      </c>
      <c r="T246" s="5" t="n">
        <v>52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17">
        <f>S246</f>
        <v/>
      </c>
      <c r="AF246" s="117">
        <f>Q246&amp;"/"&amp;R246</f>
        <v/>
      </c>
      <c r="AH246" s="20">
        <f>IF(A246="","",A246)</f>
        <v/>
      </c>
      <c r="AI246" s="131">
        <f>IF(E246="","",E246)</f>
        <v/>
      </c>
      <c r="AJ246" s="117">
        <f>IF(AI246="","",$AJ$2)</f>
        <v/>
      </c>
      <c r="AK246" s="117" t="inlineStr">
        <is>
          <t>A</t>
        </is>
      </c>
      <c r="AL246" s="117" t="inlineStr">
        <is>
          <t>A+</t>
        </is>
      </c>
      <c r="AM246" s="117" t="inlineStr">
        <is>
          <t>B+</t>
        </is>
      </c>
      <c r="AN246" s="117">
        <f>IF(AI246="","",$AN$2)</f>
        <v/>
      </c>
      <c r="AO246" s="117">
        <f>IF(N246="","",IF(N246&gt;=$AO$1/100,"O","X"))</f>
        <v/>
      </c>
      <c r="AP246" s="117">
        <f>IF(I246="","",IF(I246&lt;=$AP$1,"O","X"))</f>
        <v/>
      </c>
      <c r="AQ246" s="117">
        <f>IF(O246="","",IF(O246&lt;=$AQ$1,"O","X"))</f>
        <v/>
      </c>
      <c r="AR246" s="117">
        <f>IF(M246="","",IF(M246&lt;=$AR$1,"O","X"))</f>
        <v/>
      </c>
      <c r="AS246" s="117" t="inlineStr">
        <is>
          <t>X</t>
        </is>
      </c>
      <c r="AT246" s="117">
        <f>IF(OR(F246="",AI246=""),"",IF(AND((F246&lt;=85),(AI246&gt;=15)),"O","X"))</f>
        <v/>
      </c>
      <c r="AU246" s="117">
        <f>IF(C246="","",IF(C246&gt;=$AU$1,"O","X"))</f>
        <v/>
      </c>
      <c r="AV246" s="117">
        <f>IF(AO246="","",IF(AND(AO246="O",AP246="O",AR246="O",AT246="O",AU246="O"),"후보","X"))</f>
        <v/>
      </c>
    </row>
    <row r="247" ht="12" customFormat="1" customHeight="1" s="38">
      <c r="A247" s="120" t="inlineStr">
        <is>
          <t>작전동 신진</t>
        </is>
      </c>
      <c r="B247" s="121" t="inlineStr">
        <is>
          <t>87.12.</t>
        </is>
      </c>
      <c r="C247" s="129" t="n">
        <v>410</v>
      </c>
      <c r="D247" s="130" t="n">
        <v>55.6</v>
      </c>
      <c r="E247" s="131" t="n">
        <v>17</v>
      </c>
      <c r="F247" s="130" t="n">
        <v>43.2</v>
      </c>
      <c r="G247" s="17" t="n">
        <v>13</v>
      </c>
      <c r="H247" s="132" t="n">
        <v>100</v>
      </c>
      <c r="I247" s="133" t="n">
        <v>17800</v>
      </c>
      <c r="J247" s="133" t="inlineStr">
        <is>
          <t>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계</t>
        </is>
      </c>
      <c r="T247" s="5" t="inlineStr">
        <is>
          <t>55A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17">
        <f>S247</f>
        <v/>
      </c>
      <c r="AF247" s="117">
        <f>Q247&amp;"/"&amp;R247</f>
        <v/>
      </c>
      <c r="AH247" s="20">
        <f>IF(A247="","",A247)</f>
        <v/>
      </c>
      <c r="AI247" s="131">
        <f>IF(E247="","",E247)</f>
        <v/>
      </c>
      <c r="AJ247" s="117">
        <f>IF(AI247="","",$AJ$2)</f>
        <v/>
      </c>
      <c r="AK247" s="117" t="inlineStr">
        <is>
          <t>A</t>
        </is>
      </c>
      <c r="AL247" s="117" t="inlineStr">
        <is>
          <t>A+</t>
        </is>
      </c>
      <c r="AM247" s="117" t="inlineStr">
        <is>
          <t>B+</t>
        </is>
      </c>
      <c r="AN247" s="117">
        <f>IF(AI247="","",$AN$2)</f>
        <v/>
      </c>
      <c r="AO247" s="117">
        <f>IF(N247="","",IF(N247&gt;=$AO$1/100,"O","X"))</f>
        <v/>
      </c>
      <c r="AP247" s="117">
        <f>IF(I247="","",IF(I247&lt;=$AP$1,"O","X"))</f>
        <v/>
      </c>
      <c r="AQ247" s="117">
        <f>IF(O247="","",IF(O247&lt;=$AQ$1,"O","X"))</f>
        <v/>
      </c>
      <c r="AR247" s="117">
        <f>IF(M247="","",IF(M247&lt;=$AR$1,"O","X"))</f>
        <v/>
      </c>
      <c r="AS247" s="117" t="inlineStr">
        <is>
          <t>X</t>
        </is>
      </c>
      <c r="AT247" s="117">
        <f>IF(OR(F247="",AI247=""),"",IF(AND((F247&lt;=85),(AI247&gt;=15)),"O","X"))</f>
        <v/>
      </c>
      <c r="AU247" s="117">
        <f>IF(C247="","",IF(C247&gt;=$AU$1,"O","X"))</f>
        <v/>
      </c>
      <c r="AV247" s="117">
        <f>IF(AO247="","",IF(AND(AO247="O",AP247="O",AR247="O",AT247="O",AU247="O"),"후보","X"))</f>
        <v/>
      </c>
    </row>
    <row r="248" ht="12" customFormat="1" customHeight="1" s="38">
      <c r="A248" s="120" t="inlineStr">
        <is>
          <t>작전동 신진</t>
        </is>
      </c>
      <c r="B248" s="121" t="inlineStr">
        <is>
          <t>87.12.</t>
        </is>
      </c>
      <c r="C248" s="129" t="n">
        <v>410</v>
      </c>
      <c r="D248" s="130" t="n">
        <v>55.2</v>
      </c>
      <c r="E248" s="131" t="n">
        <v>17</v>
      </c>
      <c r="F248" s="130" t="n">
        <v>43.4</v>
      </c>
      <c r="G248" s="17" t="n">
        <v>13</v>
      </c>
      <c r="H248" s="132" t="n">
        <v>90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2</v>
      </c>
      <c r="R248" s="117" t="n">
        <v>1</v>
      </c>
      <c r="S248" s="117" t="inlineStr">
        <is>
          <t>계</t>
        </is>
      </c>
      <c r="T248" s="5" t="inlineStr">
        <is>
          <t>55B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17">
        <f>S248</f>
        <v/>
      </c>
      <c r="AF248" s="117">
        <f>Q248&amp;"/"&amp;R248</f>
        <v/>
      </c>
      <c r="AH248" s="20">
        <f>IF(A248="","",A248)</f>
        <v/>
      </c>
      <c r="AI248" s="131">
        <f>IF(E248="","",E248)</f>
        <v/>
      </c>
      <c r="AJ248" s="117">
        <f>IF(AI248="","",$AJ$2)</f>
        <v/>
      </c>
      <c r="AK248" s="117" t="inlineStr">
        <is>
          <t>A</t>
        </is>
      </c>
      <c r="AL248" s="117" t="inlineStr">
        <is>
          <t>A+</t>
        </is>
      </c>
      <c r="AM248" s="117" t="inlineStr">
        <is>
          <t>B+</t>
        </is>
      </c>
      <c r="AN248" s="117">
        <f>IF(AI248="","",$AN$2)</f>
        <v/>
      </c>
      <c r="AO248" s="117">
        <f>IF(N248="","",IF(N248&gt;=$AO$1/100,"O","X"))</f>
        <v/>
      </c>
      <c r="AP248" s="117">
        <f>IF(I248="","",IF(I248&lt;=$AP$1,"O","X"))</f>
        <v/>
      </c>
      <c r="AQ248" s="117">
        <f>IF(O248="","",IF(O248&lt;=$AQ$1,"O","X"))</f>
        <v/>
      </c>
      <c r="AR248" s="117">
        <f>IF(M248="","",IF(M248&lt;=$AR$1,"O","X"))</f>
        <v/>
      </c>
      <c r="AS248" s="117" t="inlineStr">
        <is>
          <t>X</t>
        </is>
      </c>
      <c r="AT248" s="117">
        <f>IF(OR(F248="",AI248=""),"",IF(AND((F248&lt;=85),(AI248&gt;=15)),"O","X"))</f>
        <v/>
      </c>
      <c r="AU248" s="117">
        <f>IF(C248="","",IF(C248&gt;=$AU$1,"O","X"))</f>
        <v/>
      </c>
      <c r="AV248" s="117">
        <f>IF(AO248="","",IF(AND(AO248="O",AP248="O",AR248="O",AT248="O",AU248="O"),"후보","X"))</f>
        <v/>
      </c>
    </row>
    <row r="249" ht="12" customFormat="1" customHeight="1" s="38">
      <c r="A249" s="120" t="inlineStr">
        <is>
          <t>작전동 작전풍림아이원</t>
        </is>
      </c>
      <c r="B249" s="121" t="inlineStr">
        <is>
          <t>03.01.</t>
        </is>
      </c>
      <c r="C249" s="129" t="n">
        <v>468</v>
      </c>
      <c r="D249" s="130" t="n">
        <v>89.59999999999999</v>
      </c>
      <c r="E249" s="131" t="n">
        <v>27</v>
      </c>
      <c r="F249" s="130" t="n">
        <v>68.3</v>
      </c>
      <c r="G249" s="17" t="n">
        <v>21</v>
      </c>
      <c r="H249" s="132" t="n">
        <v>164</v>
      </c>
      <c r="I249" s="133" t="n">
        <v>44500</v>
      </c>
      <c r="J249" s="133" t="inlineStr">
        <is>
          <t>9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2</v>
      </c>
      <c r="S249" s="117" t="inlineStr">
        <is>
          <t>계</t>
        </is>
      </c>
      <c r="T249" s="5" t="n">
        <v>89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17">
        <f>S249</f>
        <v/>
      </c>
      <c r="AF249" s="117">
        <f>Q249&amp;"/"&amp;R249</f>
        <v/>
      </c>
      <c r="AH249" s="20">
        <f>IF(A249="","",A249)</f>
        <v/>
      </c>
      <c r="AI249" s="131">
        <f>IF(E249="","",E249)</f>
        <v/>
      </c>
      <c r="AJ249" s="117">
        <f>IF(AI249="","",$AJ$2)</f>
        <v/>
      </c>
      <c r="AK249" s="117" t="inlineStr">
        <is>
          <t>A</t>
        </is>
      </c>
      <c r="AL249" s="117" t="inlineStr">
        <is>
          <t>A+</t>
        </is>
      </c>
      <c r="AM249" s="117" t="inlineStr">
        <is>
          <t>B+</t>
        </is>
      </c>
      <c r="AN249" s="117">
        <f>IF(AI249="","",$AN$2)</f>
        <v/>
      </c>
      <c r="AO249" s="117">
        <f>IF(N249="","",IF(N249&gt;=$AO$1/100,"O","X"))</f>
        <v/>
      </c>
      <c r="AP249" s="117">
        <f>IF(I249="","",IF(I249&lt;=$AP$1,"O","X"))</f>
        <v/>
      </c>
      <c r="AQ249" s="117">
        <f>IF(O249="","",IF(O249&lt;=$AQ$1,"O","X"))</f>
        <v/>
      </c>
      <c r="AR249" s="117">
        <f>IF(M249="","",IF(M249&lt;=$AR$1,"O","X"))</f>
        <v/>
      </c>
      <c r="AS249" s="117" t="inlineStr">
        <is>
          <t>X</t>
        </is>
      </c>
      <c r="AT249" s="117">
        <f>IF(OR(F249="",AI249=""),"",IF(AND((F249&lt;=85),(AI249&gt;=15)),"O","X"))</f>
        <v/>
      </c>
      <c r="AU249" s="117">
        <f>IF(C249="","",IF(C249&gt;=$AU$1,"O","X"))</f>
        <v/>
      </c>
      <c r="AV249" s="117">
        <f>IF(AO249="","",IF(AND(AO249="O",AP249="O",AR249="O",AT249="O",AU249="O"),"후보","X"))</f>
        <v/>
      </c>
    </row>
    <row r="250" ht="12" customFormat="1" customHeight="1" s="38">
      <c r="A250" s="120" t="inlineStr">
        <is>
          <t>작전동 작전풍림아이원</t>
        </is>
      </c>
      <c r="B250" s="121" t="inlineStr">
        <is>
          <t>03.01.</t>
        </is>
      </c>
      <c r="C250" s="129" t="n">
        <v>468</v>
      </c>
      <c r="D250" s="130" t="n">
        <v>109.6</v>
      </c>
      <c r="E250" s="131" t="n">
        <v>33</v>
      </c>
      <c r="F250" s="130" t="n">
        <v>84.90000000000001</v>
      </c>
      <c r="G250" s="17" t="n">
        <v>26</v>
      </c>
      <c r="H250" s="132" t="n">
        <v>304</v>
      </c>
      <c r="I250" s="133" t="n">
        <v>49000</v>
      </c>
      <c r="J250" s="133" t="inlineStr">
        <is>
          <t>6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n">
        <v>109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17">
        <f>S250</f>
        <v/>
      </c>
      <c r="AF250" s="117">
        <f>Q250&amp;"/"&amp;R250</f>
        <v/>
      </c>
      <c r="AH250" s="20">
        <f>IF(A250="","",A250)</f>
        <v/>
      </c>
      <c r="AI250" s="131">
        <f>IF(E250="","",E250)</f>
        <v/>
      </c>
      <c r="AJ250" s="117">
        <f>IF(AI250="","",$AJ$2)</f>
        <v/>
      </c>
      <c r="AK250" s="117" t="inlineStr">
        <is>
          <t>A</t>
        </is>
      </c>
      <c r="AL250" s="117" t="inlineStr">
        <is>
          <t>A+</t>
        </is>
      </c>
      <c r="AM250" s="117" t="inlineStr">
        <is>
          <t>B+</t>
        </is>
      </c>
      <c r="AN250" s="117">
        <f>IF(AI250="","",$AN$2)</f>
        <v/>
      </c>
      <c r="AO250" s="117">
        <f>IF(N250="","",IF(N250&gt;=$AO$1/100,"O","X"))</f>
        <v/>
      </c>
      <c r="AP250" s="117">
        <f>IF(I250="","",IF(I250&lt;=$AP$1,"O","X"))</f>
        <v/>
      </c>
      <c r="AQ250" s="117">
        <f>IF(O250="","",IF(O250&lt;=$AQ$1,"O","X"))</f>
        <v/>
      </c>
      <c r="AR250" s="117">
        <f>IF(M250="","",IF(M250&lt;=$AR$1,"O","X"))</f>
        <v/>
      </c>
      <c r="AS250" s="117" t="inlineStr">
        <is>
          <t>X</t>
        </is>
      </c>
      <c r="AT250" s="117">
        <f>IF(OR(F250="",AI250=""),"",IF(AND((F250&lt;=85),(AI250&gt;=15)),"O","X"))</f>
        <v/>
      </c>
      <c r="AU250" s="117">
        <f>IF(C250="","",IF(C250&gt;=$AU$1,"O","X"))</f>
        <v/>
      </c>
      <c r="AV250" s="117">
        <f>IF(AO250="","",IF(AND(AO250="O",AP250="O",AR250="O",AT250="O",AU250="O"),"후보","X"))</f>
        <v/>
      </c>
    </row>
    <row r="251" ht="12" customFormat="1" customHeight="1" s="38">
      <c r="A251" s="120" t="inlineStr">
        <is>
          <t>작전동 한국</t>
        </is>
      </c>
      <c r="B251" s="121" t="inlineStr">
        <is>
          <t>98.03.</t>
        </is>
      </c>
      <c r="C251" s="129" t="n">
        <v>250</v>
      </c>
      <c r="D251" s="130" t="n">
        <v>85.40000000000001</v>
      </c>
      <c r="E251" s="131" t="n">
        <v>26</v>
      </c>
      <c r="F251" s="130" t="n">
        <v>60</v>
      </c>
      <c r="G251" s="17" t="n">
        <v>18</v>
      </c>
      <c r="H251" s="132" t="n">
        <v>152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1</v>
      </c>
      <c r="S251" s="117" t="inlineStr">
        <is>
          <t>복</t>
        </is>
      </c>
      <c r="T251" s="5" t="n">
        <v>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17">
        <f>S251</f>
        <v/>
      </c>
      <c r="AF251" s="117">
        <f>Q251&amp;"/"&amp;R251</f>
        <v/>
      </c>
      <c r="AH251" s="20">
        <f>IF(A251="","",A251)</f>
        <v/>
      </c>
      <c r="AI251" s="131">
        <f>IF(E251="","",E251)</f>
        <v/>
      </c>
      <c r="AJ251" s="117">
        <f>IF(AI251="","",$AJ$2)</f>
        <v/>
      </c>
      <c r="AK251" s="117" t="inlineStr">
        <is>
          <t>A</t>
        </is>
      </c>
      <c r="AL251" s="117" t="inlineStr">
        <is>
          <t>A+</t>
        </is>
      </c>
      <c r="AM251" s="117" t="inlineStr">
        <is>
          <t>B+</t>
        </is>
      </c>
      <c r="AN251" s="117">
        <f>IF(AI251="","",$AN$2)</f>
        <v/>
      </c>
      <c r="AO251" s="117">
        <f>IF(N251="","",IF(N251&gt;=$AO$1/100,"O","X"))</f>
        <v/>
      </c>
      <c r="AP251" s="117">
        <f>IF(I251="","",IF(I251&lt;=$AP$1,"O","X"))</f>
        <v/>
      </c>
      <c r="AQ251" s="117">
        <f>IF(O251="","",IF(O251&lt;=$AQ$1,"O","X"))</f>
        <v/>
      </c>
      <c r="AR251" s="117">
        <f>IF(M251="","",IF(M251&lt;=$AR$1,"O","X"))</f>
        <v/>
      </c>
      <c r="AS251" s="117" t="inlineStr">
        <is>
          <t>X</t>
        </is>
      </c>
      <c r="AT251" s="117">
        <f>IF(OR(F251="",AI251=""),"",IF(AND((F251&lt;=85),(AI251&gt;=15)),"O","X"))</f>
        <v/>
      </c>
      <c r="AU251" s="117">
        <f>IF(C251="","",IF(C251&gt;=$AU$1,"O","X"))</f>
        <v/>
      </c>
      <c r="AV251" s="117">
        <f>IF(AO251="","",IF(AND(AO251="O",AP251="O",AR251="O",AT251="O",AU251="O"),"후보","X"))</f>
        <v/>
      </c>
    </row>
    <row r="252" ht="12" customFormat="1" customHeight="1" s="38">
      <c r="A252" s="120" t="inlineStr">
        <is>
          <t>작전동 한국</t>
        </is>
      </c>
      <c r="B252" s="121" t="inlineStr">
        <is>
          <t>98.03.</t>
        </is>
      </c>
      <c r="C252" s="129" t="n">
        <v>250</v>
      </c>
      <c r="D252" s="130" t="n">
        <v>108.7</v>
      </c>
      <c r="E252" s="131" t="n">
        <v>33</v>
      </c>
      <c r="F252" s="130" t="n">
        <v>84.90000000000001</v>
      </c>
      <c r="G252" s="17" t="n">
        <v>26</v>
      </c>
      <c r="H252" s="132" t="n">
        <v>98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n">
        <v>108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17">
        <f>S252</f>
        <v/>
      </c>
      <c r="AF252" s="117">
        <f>Q252&amp;"/"&amp;R252</f>
        <v/>
      </c>
      <c r="AH252" s="20">
        <f>IF(A252="","",A252)</f>
        <v/>
      </c>
      <c r="AI252" s="131">
        <f>IF(E252="","",E252)</f>
        <v/>
      </c>
      <c r="AJ252" s="117">
        <f>IF(AI252="","",$AJ$2)</f>
        <v/>
      </c>
      <c r="AK252" s="117" t="inlineStr">
        <is>
          <t>A</t>
        </is>
      </c>
      <c r="AL252" s="117" t="inlineStr">
        <is>
          <t>A+</t>
        </is>
      </c>
      <c r="AM252" s="117" t="inlineStr">
        <is>
          <t>B+</t>
        </is>
      </c>
      <c r="AN252" s="117">
        <f>IF(AI252="","",$AN$2)</f>
        <v/>
      </c>
      <c r="AO252" s="117">
        <f>IF(N252="","",IF(N252&gt;=$AO$1/100,"O","X"))</f>
        <v/>
      </c>
      <c r="AP252" s="117">
        <f>IF(I252="","",IF(I252&lt;=$AP$1,"O","X"))</f>
        <v/>
      </c>
      <c r="AQ252" s="117">
        <f>IF(O252="","",IF(O252&lt;=$AQ$1,"O","X"))</f>
        <v/>
      </c>
      <c r="AR252" s="117">
        <f>IF(M252="","",IF(M252&lt;=$AR$1,"O","X"))</f>
        <v/>
      </c>
      <c r="AS252" s="117" t="inlineStr">
        <is>
          <t>X</t>
        </is>
      </c>
      <c r="AT252" s="117">
        <f>IF(OR(F252="",AI252=""),"",IF(AND((F252&lt;=85),(AI252&gt;=15)),"O","X"))</f>
        <v/>
      </c>
      <c r="AU252" s="117">
        <f>IF(C252="","",IF(C252&gt;=$AU$1,"O","X"))</f>
        <v/>
      </c>
      <c r="AV252" s="117">
        <f>IF(AO252="","",IF(AND(AO252="O",AP252="O",AR252="O",AT252="O",AU252="O"),"후보","X"))</f>
        <v/>
      </c>
    </row>
    <row r="253" ht="12" customFormat="1" customHeight="1" s="38">
      <c r="A253" s="120" t="inlineStr">
        <is>
          <t>작전동 미도</t>
        </is>
      </c>
      <c r="B253" s="121" t="inlineStr">
        <is>
          <t>90.11.</t>
        </is>
      </c>
      <c r="C253" s="129" t="n">
        <v>480</v>
      </c>
      <c r="D253" s="130" t="n">
        <v>80.3</v>
      </c>
      <c r="E253" s="131" t="n">
        <v>24</v>
      </c>
      <c r="F253" s="130" t="n">
        <v>59.9</v>
      </c>
      <c r="G253" s="17" t="n">
        <v>18</v>
      </c>
      <c r="H253" s="132" t="n">
        <v>90</v>
      </c>
      <c r="I253" s="133" t="n">
        <v>25000</v>
      </c>
      <c r="J253" s="133" t="inlineStr">
        <is>
          <t>14</t>
        </is>
      </c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3</v>
      </c>
      <c r="R253" s="117" t="n">
        <v>1</v>
      </c>
      <c r="S253" s="117" t="inlineStr">
        <is>
          <t>복</t>
        </is>
      </c>
      <c r="T253" s="5" t="n">
        <v>80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17">
        <f>S253</f>
        <v/>
      </c>
      <c r="AF253" s="117">
        <f>Q253&amp;"/"&amp;R253</f>
        <v/>
      </c>
      <c r="AH253" s="20">
        <f>IF(A253="","",A253)</f>
        <v/>
      </c>
      <c r="AI253" s="131">
        <f>IF(E253="","",E253)</f>
        <v/>
      </c>
      <c r="AJ253" s="117">
        <f>IF(AI253="","",$AJ$2)</f>
        <v/>
      </c>
      <c r="AK253" s="117" t="inlineStr">
        <is>
          <t>A</t>
        </is>
      </c>
      <c r="AL253" s="117" t="inlineStr">
        <is>
          <t>A+</t>
        </is>
      </c>
      <c r="AM253" s="117" t="inlineStr">
        <is>
          <t>B+</t>
        </is>
      </c>
      <c r="AN253" s="117">
        <f>IF(AI253="","",$AN$2)</f>
        <v/>
      </c>
      <c r="AO253" s="117">
        <f>IF(N253="","",IF(N253&gt;=$AO$1/100,"O","X"))</f>
        <v/>
      </c>
      <c r="AP253" s="117">
        <f>IF(I253="","",IF(I253&lt;=$AP$1,"O","X"))</f>
        <v/>
      </c>
      <c r="AQ253" s="117">
        <f>IF(O253="","",IF(O253&lt;=$AQ$1,"O","X"))</f>
        <v/>
      </c>
      <c r="AR253" s="117">
        <f>IF(M253="","",IF(M253&lt;=$AR$1,"O","X"))</f>
        <v/>
      </c>
      <c r="AS253" s="117" t="inlineStr">
        <is>
          <t>X</t>
        </is>
      </c>
      <c r="AT253" s="117">
        <f>IF(OR(F253="",AI253=""),"",IF(AND((F253&lt;=85),(AI253&gt;=15)),"O","X"))</f>
        <v/>
      </c>
      <c r="AU253" s="117">
        <f>IF(C253="","",IF(C253&gt;=$AU$1,"O","X"))</f>
        <v/>
      </c>
      <c r="AV253" s="117">
        <f>IF(AO253="","",IF(AND(AO253="O",AP253="O",AR253="O",AT253="O",AU253="O"),"후보","X"))</f>
        <v/>
      </c>
    </row>
    <row r="254" ht="12" customFormat="1" customHeight="1" s="38">
      <c r="A254" s="120" t="inlineStr">
        <is>
          <t>작전동 미도</t>
        </is>
      </c>
      <c r="B254" s="121" t="inlineStr">
        <is>
          <t>90.11.</t>
        </is>
      </c>
      <c r="C254" s="129" t="n">
        <v>480</v>
      </c>
      <c r="D254" s="130" t="n">
        <v>91.3</v>
      </c>
      <c r="E254" s="131" t="n">
        <v>28</v>
      </c>
      <c r="F254" s="130" t="n">
        <v>72.09999999999999</v>
      </c>
      <c r="G254" s="17" t="n">
        <v>22</v>
      </c>
      <c r="H254" s="132" t="n">
        <v>30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91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17">
        <f>S254</f>
        <v/>
      </c>
      <c r="AF254" s="117">
        <f>Q254&amp;"/"&amp;R254</f>
        <v/>
      </c>
      <c r="AH254" s="20">
        <f>IF(A254="","",A254)</f>
        <v/>
      </c>
      <c r="AI254" s="131">
        <f>IF(E254="","",E254)</f>
        <v/>
      </c>
      <c r="AJ254" s="117">
        <f>IF(AI254="","",$AJ$2)</f>
        <v/>
      </c>
      <c r="AK254" s="117" t="inlineStr">
        <is>
          <t>A</t>
        </is>
      </c>
      <c r="AL254" s="117" t="inlineStr">
        <is>
          <t>A+</t>
        </is>
      </c>
      <c r="AM254" s="117" t="inlineStr">
        <is>
          <t>B+</t>
        </is>
      </c>
      <c r="AN254" s="117">
        <f>IF(AI254="","",$AN$2)</f>
        <v/>
      </c>
      <c r="AO254" s="117">
        <f>IF(N254="","",IF(N254&gt;=$AO$1/100,"O","X"))</f>
        <v/>
      </c>
      <c r="AP254" s="117">
        <f>IF(I254="","",IF(I254&lt;=$AP$1,"O","X"))</f>
        <v/>
      </c>
      <c r="AQ254" s="117">
        <f>IF(O254="","",IF(O254&lt;=$AQ$1,"O","X"))</f>
        <v/>
      </c>
      <c r="AR254" s="117">
        <f>IF(M254="","",IF(M254&lt;=$AR$1,"O","X"))</f>
        <v/>
      </c>
      <c r="AS254" s="117" t="inlineStr">
        <is>
          <t>X</t>
        </is>
      </c>
      <c r="AT254" s="117">
        <f>IF(OR(F254="",AI254=""),"",IF(AND((F254&lt;=85),(AI254&gt;=15)),"O","X"))</f>
        <v/>
      </c>
      <c r="AU254" s="117">
        <f>IF(C254="","",IF(C254&gt;=$AU$1,"O","X"))</f>
        <v/>
      </c>
      <c r="AV254" s="117">
        <f>IF(AO254="","",IF(AND(AO254="O",AP254="O",AR254="O",AT254="O",AU254="O"),"후보","X"))</f>
        <v/>
      </c>
    </row>
    <row r="255" ht="12" customFormat="1" customHeight="1" s="38">
      <c r="A255" s="120" t="inlineStr">
        <is>
          <t>작전동 미도</t>
        </is>
      </c>
      <c r="B255" s="121" t="inlineStr">
        <is>
          <t>90.11.</t>
        </is>
      </c>
      <c r="C255" s="129" t="n">
        <v>480</v>
      </c>
      <c r="D255" s="130" t="n">
        <v>97.90000000000001</v>
      </c>
      <c r="E255" s="131" t="n">
        <v>30</v>
      </c>
      <c r="F255" s="130" t="n">
        <v>81.5</v>
      </c>
      <c r="G255" s="17" t="n">
        <v>25</v>
      </c>
      <c r="H255" s="132" t="n">
        <v>180</v>
      </c>
      <c r="I255" s="133" t="n">
        <v>40000</v>
      </c>
      <c r="J255" s="133" t="inlineStr">
        <is>
          <t>8</t>
        </is>
      </c>
      <c r="K255" s="133" t="n">
        <v>29000</v>
      </c>
      <c r="L255" s="133" t="inlineStr">
        <is>
          <t>10</t>
        </is>
      </c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97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17">
        <f>S255</f>
        <v/>
      </c>
      <c r="AF255" s="117">
        <f>Q255&amp;"/"&amp;R255</f>
        <v/>
      </c>
      <c r="AH255" s="20">
        <f>IF(A255="","",A255)</f>
        <v/>
      </c>
      <c r="AI255" s="131">
        <f>IF(E255="","",E255)</f>
        <v/>
      </c>
      <c r="AJ255" s="117">
        <f>IF(AI255="","",$AJ$2)</f>
        <v/>
      </c>
      <c r="AK255" s="117" t="inlineStr">
        <is>
          <t>A</t>
        </is>
      </c>
      <c r="AL255" s="117" t="inlineStr">
        <is>
          <t>A+</t>
        </is>
      </c>
      <c r="AM255" s="117" t="inlineStr">
        <is>
          <t>B+</t>
        </is>
      </c>
      <c r="AN255" s="117">
        <f>IF(AI255="","",$AN$2)</f>
        <v/>
      </c>
      <c r="AO255" s="117">
        <f>IF(N255="","",IF(N255&gt;=$AO$1/100,"O","X"))</f>
        <v/>
      </c>
      <c r="AP255" s="117">
        <f>IF(I255="","",IF(I255&lt;=$AP$1,"O","X"))</f>
        <v/>
      </c>
      <c r="AQ255" s="117">
        <f>IF(O255="","",IF(O255&lt;=$AQ$1,"O","X"))</f>
        <v/>
      </c>
      <c r="AR255" s="117">
        <f>IF(M255="","",IF(M255&lt;=$AR$1,"O","X"))</f>
        <v/>
      </c>
      <c r="AS255" s="117" t="inlineStr">
        <is>
          <t>X</t>
        </is>
      </c>
      <c r="AT255" s="117">
        <f>IF(OR(F255="",AI255=""),"",IF(AND((F255&lt;=85),(AI255&gt;=15)),"O","X"))</f>
        <v/>
      </c>
      <c r="AU255" s="117">
        <f>IF(C255="","",IF(C255&gt;=$AU$1,"O","X"))</f>
        <v/>
      </c>
      <c r="AV255" s="117">
        <f>IF(AO255="","",IF(AND(AO255="O",AP255="O",AR255="O",AT255="O",AU255="O"),"후보","X"))</f>
        <v/>
      </c>
    </row>
    <row r="256" ht="12" customFormat="1" customHeight="1" s="38">
      <c r="A256" s="120" t="inlineStr">
        <is>
          <t>작전동 미도</t>
        </is>
      </c>
      <c r="B256" s="121" t="inlineStr">
        <is>
          <t>90.11.</t>
        </is>
      </c>
      <c r="C256" s="129" t="n">
        <v>480</v>
      </c>
      <c r="D256" s="130" t="n">
        <v>101.2</v>
      </c>
      <c r="E256" s="131" t="n">
        <v>31</v>
      </c>
      <c r="F256" s="130" t="n">
        <v>85</v>
      </c>
      <c r="G256" s="17" t="n">
        <v>26</v>
      </c>
      <c r="H256" s="132" t="n">
        <v>150</v>
      </c>
      <c r="I256" s="133" t="n">
        <v>39000</v>
      </c>
      <c r="J256" s="133" t="inlineStr">
        <is>
          <t>7</t>
        </is>
      </c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inlineStr">
        <is>
          <t>101A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17">
        <f>S256</f>
        <v/>
      </c>
      <c r="AF256" s="117">
        <f>Q256&amp;"/"&amp;R256</f>
        <v/>
      </c>
      <c r="AH256" s="20">
        <f>IF(A256="","",A256)</f>
        <v/>
      </c>
      <c r="AI256" s="131">
        <f>IF(E256="","",E256)</f>
        <v/>
      </c>
      <c r="AJ256" s="117">
        <f>IF(AI256="","",$AJ$2)</f>
        <v/>
      </c>
      <c r="AK256" s="117" t="inlineStr">
        <is>
          <t>A</t>
        </is>
      </c>
      <c r="AL256" s="117" t="inlineStr">
        <is>
          <t>A+</t>
        </is>
      </c>
      <c r="AM256" s="117" t="inlineStr">
        <is>
          <t>B+</t>
        </is>
      </c>
      <c r="AN256" s="117">
        <f>IF(AI256="","",$AN$2)</f>
        <v/>
      </c>
      <c r="AO256" s="117">
        <f>IF(N256="","",IF(N256&gt;=$AO$1/100,"O","X"))</f>
        <v/>
      </c>
      <c r="AP256" s="117">
        <f>IF(I256="","",IF(I256&lt;=$AP$1,"O","X"))</f>
        <v/>
      </c>
      <c r="AQ256" s="117">
        <f>IF(O256="","",IF(O256&lt;=$AQ$1,"O","X"))</f>
        <v/>
      </c>
      <c r="AR256" s="117">
        <f>IF(M256="","",IF(M256&lt;=$AR$1,"O","X"))</f>
        <v/>
      </c>
      <c r="AS256" s="117" t="inlineStr">
        <is>
          <t>X</t>
        </is>
      </c>
      <c r="AT256" s="117">
        <f>IF(OR(F256="",AI256=""),"",IF(AND((F256&lt;=85),(AI256&gt;=15)),"O","X"))</f>
        <v/>
      </c>
      <c r="AU256" s="117">
        <f>IF(C256="","",IF(C256&gt;=$AU$1,"O","X"))</f>
        <v/>
      </c>
      <c r="AV256" s="117">
        <f>IF(AO256="","",IF(AND(AO256="O",AP256="O",AR256="O",AT256="O",AU256="O"),"후보","X"))</f>
        <v/>
      </c>
    </row>
    <row r="257" ht="12" customFormat="1" customHeight="1" s="38">
      <c r="A257" s="120" t="inlineStr">
        <is>
          <t>작전동 미도</t>
        </is>
      </c>
      <c r="B257" s="121" t="inlineStr">
        <is>
          <t>90.11.</t>
        </is>
      </c>
      <c r="C257" s="129" t="n">
        <v>480</v>
      </c>
      <c r="D257" s="130" t="n">
        <v>102.3</v>
      </c>
      <c r="E257" s="131" t="n">
        <v>31</v>
      </c>
      <c r="F257" s="130" t="n">
        <v>80.8</v>
      </c>
      <c r="G257" s="17" t="n">
        <v>24</v>
      </c>
      <c r="H257" s="132" t="n">
        <v>30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복</t>
        </is>
      </c>
      <c r="T257" s="5" t="inlineStr">
        <is>
          <t>102B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17">
        <f>S257</f>
        <v/>
      </c>
      <c r="AF257" s="117">
        <f>Q257&amp;"/"&amp;R257</f>
        <v/>
      </c>
      <c r="AH257" s="20">
        <f>IF(A257="","",A257)</f>
        <v/>
      </c>
      <c r="AI257" s="131">
        <f>IF(E257="","",E257)</f>
        <v/>
      </c>
      <c r="AJ257" s="117">
        <f>IF(AI257="","",$AJ$2)</f>
        <v/>
      </c>
      <c r="AK257" s="117" t="inlineStr">
        <is>
          <t>A</t>
        </is>
      </c>
      <c r="AL257" s="117" t="inlineStr">
        <is>
          <t>A+</t>
        </is>
      </c>
      <c r="AM257" s="117" t="inlineStr">
        <is>
          <t>B+</t>
        </is>
      </c>
      <c r="AN257" s="117">
        <f>IF(AI257="","",$AN$2)</f>
        <v/>
      </c>
      <c r="AO257" s="117">
        <f>IF(N257="","",IF(N257&gt;=$AO$1/100,"O","X"))</f>
        <v/>
      </c>
      <c r="AP257" s="117">
        <f>IF(I257="","",IF(I257&lt;=$AP$1,"O","X"))</f>
        <v/>
      </c>
      <c r="AQ257" s="117">
        <f>IF(O257="","",IF(O257&lt;=$AQ$1,"O","X"))</f>
        <v/>
      </c>
      <c r="AR257" s="117">
        <f>IF(M257="","",IF(M257&lt;=$AR$1,"O","X"))</f>
        <v/>
      </c>
      <c r="AS257" s="117" t="inlineStr">
        <is>
          <t>X</t>
        </is>
      </c>
      <c r="AT257" s="117">
        <f>IF(OR(F257="",AI257=""),"",IF(AND((F257&lt;=85),(AI257&gt;=15)),"O","X"))</f>
        <v/>
      </c>
      <c r="AU257" s="117">
        <f>IF(C257="","",IF(C257&gt;=$AU$1,"O","X"))</f>
        <v/>
      </c>
      <c r="AV257" s="117">
        <f>IF(AO257="","",IF(AND(AO257="O",AP257="O",AR257="O",AT257="O",AU257="O"),"후보","X"))</f>
        <v/>
      </c>
    </row>
    <row r="258" ht="12" customFormat="1" customHeight="1" s="38">
      <c r="A258" s="120" t="inlineStr">
        <is>
          <t>작전동 작전뉴서울2차</t>
        </is>
      </c>
      <c r="B258" s="121" t="inlineStr">
        <is>
          <t>92.11.</t>
        </is>
      </c>
      <c r="C258" s="129" t="n">
        <v>400</v>
      </c>
      <c r="D258" s="130" t="n">
        <v>90.3</v>
      </c>
      <c r="E258" s="131" t="n">
        <v>27</v>
      </c>
      <c r="F258" s="130" t="n">
        <v>74.3</v>
      </c>
      <c r="G258" s="17" t="n">
        <v>22</v>
      </c>
      <c r="H258" s="132" t="n">
        <v>80</v>
      </c>
      <c r="I258" s="133" t="n">
        <v>33000</v>
      </c>
      <c r="J258" s="133" t="inlineStr">
        <is>
          <t>6</t>
        </is>
      </c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90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17">
        <f>S258</f>
        <v/>
      </c>
      <c r="AF258" s="117">
        <f>Q258&amp;"/"&amp;R258</f>
        <v/>
      </c>
      <c r="AH258" s="20">
        <f>IF(A258="","",A258)</f>
        <v/>
      </c>
      <c r="AI258" s="131">
        <f>IF(E258="","",E258)</f>
        <v/>
      </c>
      <c r="AJ258" s="117">
        <f>IF(AI258="","",$AJ$2)</f>
        <v/>
      </c>
      <c r="AK258" s="117" t="inlineStr">
        <is>
          <t>A</t>
        </is>
      </c>
      <c r="AL258" s="117" t="inlineStr">
        <is>
          <t>A+</t>
        </is>
      </c>
      <c r="AM258" s="117" t="inlineStr">
        <is>
          <t>B+</t>
        </is>
      </c>
      <c r="AN258" s="117">
        <f>IF(AI258="","",$AN$2)</f>
        <v/>
      </c>
      <c r="AO258" s="117">
        <f>IF(N258="","",IF(N258&gt;=$AO$1/100,"O","X"))</f>
        <v/>
      </c>
      <c r="AP258" s="117">
        <f>IF(I258="","",IF(I258&lt;=$AP$1,"O","X"))</f>
        <v/>
      </c>
      <c r="AQ258" s="117">
        <f>IF(O258="","",IF(O258&lt;=$AQ$1,"O","X"))</f>
        <v/>
      </c>
      <c r="AR258" s="117">
        <f>IF(M258="","",IF(M258&lt;=$AR$1,"O","X"))</f>
        <v/>
      </c>
      <c r="AS258" s="117" t="inlineStr">
        <is>
          <t>X</t>
        </is>
      </c>
      <c r="AT258" s="117">
        <f>IF(OR(F258="",AI258=""),"",IF(AND((F258&lt;=85),(AI258&gt;=15)),"O","X"))</f>
        <v/>
      </c>
      <c r="AU258" s="117">
        <f>IF(C258="","",IF(C258&gt;=$AU$1,"O","X"))</f>
        <v/>
      </c>
      <c r="AV258" s="117">
        <f>IF(AO258="","",IF(AND(AO258="O",AP258="O",AR258="O",AT258="O",AU258="O"),"후보","X"))</f>
        <v/>
      </c>
    </row>
    <row r="259" ht="12" customFormat="1" customHeight="1" s="38">
      <c r="A259" s="120" t="inlineStr">
        <is>
          <t>작전동 작전뉴서울2차</t>
        </is>
      </c>
      <c r="B259" s="121" t="inlineStr">
        <is>
          <t>92.11.</t>
        </is>
      </c>
      <c r="C259" s="129" t="n">
        <v>400</v>
      </c>
      <c r="D259" s="130" t="n">
        <v>100.2</v>
      </c>
      <c r="E259" s="131" t="n">
        <v>30</v>
      </c>
      <c r="F259" s="130" t="n">
        <v>84.3</v>
      </c>
      <c r="G259" s="17" t="n">
        <v>25</v>
      </c>
      <c r="H259" s="132" t="n">
        <v>320</v>
      </c>
      <c r="I259" s="133" t="n">
        <v>35000</v>
      </c>
      <c r="J259" s="133" t="inlineStr">
        <is>
          <t>고</t>
        </is>
      </c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n">
        <v>100</v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17">
        <f>S259</f>
        <v/>
      </c>
      <c r="AF259" s="117">
        <f>Q259&amp;"/"&amp;R259</f>
        <v/>
      </c>
      <c r="AH259" s="20">
        <f>IF(A259="","",A259)</f>
        <v/>
      </c>
      <c r="AI259" s="131">
        <f>IF(E259="","",E259)</f>
        <v/>
      </c>
      <c r="AJ259" s="117">
        <f>IF(AI259="","",$AJ$2)</f>
        <v/>
      </c>
      <c r="AK259" s="117" t="inlineStr">
        <is>
          <t>A</t>
        </is>
      </c>
      <c r="AL259" s="117" t="inlineStr">
        <is>
          <t>A+</t>
        </is>
      </c>
      <c r="AM259" s="117" t="inlineStr">
        <is>
          <t>B+</t>
        </is>
      </c>
      <c r="AN259" s="117">
        <f>IF(AI259="","",$AN$2)</f>
        <v/>
      </c>
      <c r="AO259" s="117">
        <f>IF(N259="","",IF(N259&gt;=$AO$1/100,"O","X"))</f>
        <v/>
      </c>
      <c r="AP259" s="117">
        <f>IF(I259="","",IF(I259&lt;=$AP$1,"O","X"))</f>
        <v/>
      </c>
      <c r="AQ259" s="117">
        <f>IF(O259="","",IF(O259&lt;=$AQ$1,"O","X"))</f>
        <v/>
      </c>
      <c r="AR259" s="117">
        <f>IF(M259="","",IF(M259&lt;=$AR$1,"O","X"))</f>
        <v/>
      </c>
      <c r="AS259" s="117" t="inlineStr">
        <is>
          <t>X</t>
        </is>
      </c>
      <c r="AT259" s="117">
        <f>IF(OR(F259="",AI259=""),"",IF(AND((F259&lt;=85),(AI259&gt;=15)),"O","X"))</f>
        <v/>
      </c>
      <c r="AU259" s="117">
        <f>IF(C259="","",IF(C259&gt;=$AU$1,"O","X"))</f>
        <v/>
      </c>
      <c r="AV259" s="117">
        <f>IF(AO259="","",IF(AND(AO259="O",AP259="O",AR259="O",AT259="O",AU259="O"),"후보","X"))</f>
        <v/>
      </c>
    </row>
    <row r="260" ht="12" customFormat="1" customHeight="1" s="38">
      <c r="A260" s="120" t="inlineStr">
        <is>
          <t>작전동 현대2-1차</t>
        </is>
      </c>
      <c r="B260" s="121" t="inlineStr">
        <is>
          <t>91.10.</t>
        </is>
      </c>
      <c r="C260" s="129" t="n">
        <v>840</v>
      </c>
      <c r="D260" s="130" t="n">
        <v>94.3</v>
      </c>
      <c r="E260" s="131" t="n">
        <v>29</v>
      </c>
      <c r="F260" s="130" t="n">
        <v>78</v>
      </c>
      <c r="G260" s="17" t="n">
        <v>24</v>
      </c>
      <c r="H260" s="132" t="n">
        <v>240</v>
      </c>
      <c r="I260" s="133" t="n">
        <v>39000</v>
      </c>
      <c r="J260" s="133" t="inlineStr">
        <is>
          <t>7</t>
        </is>
      </c>
      <c r="K260" s="133" t="n">
        <v>28000</v>
      </c>
      <c r="L260" s="133" t="inlineStr">
        <is>
          <t>11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3</v>
      </c>
      <c r="R260" s="117" t="n">
        <v>2</v>
      </c>
      <c r="S260" s="117" t="inlineStr">
        <is>
          <t>계</t>
        </is>
      </c>
      <c r="T260" s="5" t="n">
        <v>94</v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17">
        <f>S260</f>
        <v/>
      </c>
      <c r="AF260" s="117">
        <f>Q260&amp;"/"&amp;R260</f>
        <v/>
      </c>
      <c r="AH260" s="20">
        <f>IF(A260="","",A260)</f>
        <v/>
      </c>
      <c r="AI260" s="131">
        <f>IF(E260="","",E260)</f>
        <v/>
      </c>
      <c r="AJ260" s="117">
        <f>IF(AI260="","",$AJ$2)</f>
        <v/>
      </c>
      <c r="AK260" s="117" t="inlineStr">
        <is>
          <t>A</t>
        </is>
      </c>
      <c r="AL260" s="117" t="inlineStr">
        <is>
          <t>A+</t>
        </is>
      </c>
      <c r="AM260" s="117" t="inlineStr">
        <is>
          <t>B+</t>
        </is>
      </c>
      <c r="AN260" s="117">
        <f>IF(AI260="","",$AN$2)</f>
        <v/>
      </c>
      <c r="AO260" s="117">
        <f>IF(N260="","",IF(N260&gt;=$AO$1/100,"O","X"))</f>
        <v/>
      </c>
      <c r="AP260" s="117">
        <f>IF(I260="","",IF(I260&lt;=$AP$1,"O","X"))</f>
        <v/>
      </c>
      <c r="AQ260" s="117">
        <f>IF(O260="","",IF(O260&lt;=$AQ$1,"O","X"))</f>
        <v/>
      </c>
      <c r="AR260" s="117">
        <f>IF(M260="","",IF(M260&lt;=$AR$1,"O","X"))</f>
        <v/>
      </c>
      <c r="AS260" s="117" t="inlineStr">
        <is>
          <t>X</t>
        </is>
      </c>
      <c r="AT260" s="117">
        <f>IF(OR(F260="",AI260=""),"",IF(AND((F260&lt;=85),(AI260&gt;=15)),"O","X"))</f>
        <v/>
      </c>
      <c r="AU260" s="117">
        <f>IF(C260="","",IF(C260&gt;=$AU$1,"O","X"))</f>
        <v/>
      </c>
      <c r="AV260" s="117">
        <f>IF(AO260="","",IF(AND(AO260="O",AP260="O",AR260="O",AT260="O",AU260="O"),"후보","X"))</f>
        <v/>
      </c>
    </row>
    <row r="261" ht="12" customFormat="1" customHeight="1" s="38">
      <c r="A261" s="120" t="inlineStr">
        <is>
          <t>작전동 현대2-1차</t>
        </is>
      </c>
      <c r="B261" s="121" t="inlineStr">
        <is>
          <t>91.10.</t>
        </is>
      </c>
      <c r="C261" s="129" t="n">
        <v>840</v>
      </c>
      <c r="D261" s="130" t="n">
        <v>101.7</v>
      </c>
      <c r="E261" s="131" t="n">
        <v>31</v>
      </c>
      <c r="F261" s="130" t="n">
        <v>84.90000000000001</v>
      </c>
      <c r="G261" s="17" t="n">
        <v>26</v>
      </c>
      <c r="H261" s="132" t="n">
        <v>120</v>
      </c>
      <c r="I261" s="133" t="n">
        <v>42000</v>
      </c>
      <c r="J261" s="133" t="inlineStr">
        <is>
          <t>11</t>
        </is>
      </c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inlineStr">
        <is>
          <t>101A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17">
        <f>S261</f>
        <v/>
      </c>
      <c r="AF261" s="117">
        <f>Q261&amp;"/"&amp;R261</f>
        <v/>
      </c>
      <c r="AH261" s="20">
        <f>IF(A261="","",A261)</f>
        <v/>
      </c>
      <c r="AI261" s="131">
        <f>IF(E261="","",E261)</f>
        <v/>
      </c>
      <c r="AJ261" s="117">
        <f>IF(AI261="","",$AJ$2)</f>
        <v/>
      </c>
      <c r="AK261" s="117" t="inlineStr">
        <is>
          <t>A</t>
        </is>
      </c>
      <c r="AL261" s="117" t="inlineStr">
        <is>
          <t>A+</t>
        </is>
      </c>
      <c r="AM261" s="117" t="inlineStr">
        <is>
          <t>B+</t>
        </is>
      </c>
      <c r="AN261" s="117">
        <f>IF(AI261="","",$AN$2)</f>
        <v/>
      </c>
      <c r="AO261" s="117">
        <f>IF(N261="","",IF(N261&gt;=$AO$1/100,"O","X"))</f>
        <v/>
      </c>
      <c r="AP261" s="117">
        <f>IF(I261="","",IF(I261&lt;=$AP$1,"O","X"))</f>
        <v/>
      </c>
      <c r="AQ261" s="117">
        <f>IF(O261="","",IF(O261&lt;=$AQ$1,"O","X"))</f>
        <v/>
      </c>
      <c r="AR261" s="117">
        <f>IF(M261="","",IF(M261&lt;=$AR$1,"O","X"))</f>
        <v/>
      </c>
      <c r="AS261" s="117" t="inlineStr">
        <is>
          <t>X</t>
        </is>
      </c>
      <c r="AT261" s="117">
        <f>IF(OR(F261="",AI261=""),"",IF(AND((F261&lt;=85),(AI261&gt;=15)),"O","X"))</f>
        <v/>
      </c>
      <c r="AU261" s="117">
        <f>IF(C261="","",IF(C261&gt;=$AU$1,"O","X"))</f>
        <v/>
      </c>
      <c r="AV261" s="117">
        <f>IF(AO261="","",IF(AND(AO261="O",AP261="O",AR261="O",AT261="O",AU261="O"),"후보","X"))</f>
        <v/>
      </c>
    </row>
    <row r="262" ht="12" customFormat="1" customHeight="1" s="38">
      <c r="A262" s="120" t="inlineStr">
        <is>
          <t>작전동 현대2-1차</t>
        </is>
      </c>
      <c r="B262" s="121" t="inlineStr">
        <is>
          <t>91.10.</t>
        </is>
      </c>
      <c r="C262" s="129" t="n">
        <v>840</v>
      </c>
      <c r="D262" s="130" t="n">
        <v>102.2</v>
      </c>
      <c r="E262" s="131" t="n">
        <v>31</v>
      </c>
      <c r="F262" s="130" t="n">
        <v>85</v>
      </c>
      <c r="G262" s="17" t="n">
        <v>26</v>
      </c>
      <c r="H262" s="132" t="n">
        <v>480</v>
      </c>
      <c r="I262" s="133" t="n">
        <v>40000</v>
      </c>
      <c r="J262" s="133" t="inlineStr">
        <is>
          <t>10</t>
        </is>
      </c>
      <c r="K262" s="133" t="n">
        <v>31000</v>
      </c>
      <c r="L262" s="133" t="inlineStr">
        <is>
          <t>12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2</v>
      </c>
      <c r="S262" s="117" t="inlineStr">
        <is>
          <t>계</t>
        </is>
      </c>
      <c r="T262" s="5" t="inlineStr">
        <is>
          <t>102B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17">
        <f>S262</f>
        <v/>
      </c>
      <c r="AF262" s="117">
        <f>Q262&amp;"/"&amp;R262</f>
        <v/>
      </c>
      <c r="AH262" s="20">
        <f>IF(A262="","",A262)</f>
        <v/>
      </c>
      <c r="AI262" s="131">
        <f>IF(E262="","",E262)</f>
        <v/>
      </c>
      <c r="AJ262" s="117">
        <f>IF(AI262="","",$AJ$2)</f>
        <v/>
      </c>
      <c r="AK262" s="117" t="inlineStr">
        <is>
          <t>A</t>
        </is>
      </c>
      <c r="AL262" s="117" t="inlineStr">
        <is>
          <t>A+</t>
        </is>
      </c>
      <c r="AM262" s="117" t="inlineStr">
        <is>
          <t>B+</t>
        </is>
      </c>
      <c r="AN262" s="117">
        <f>IF(AI262="","",$AN$2)</f>
        <v/>
      </c>
      <c r="AO262" s="117">
        <f>IF(N262="","",IF(N262&gt;=$AO$1/100,"O","X"))</f>
        <v/>
      </c>
      <c r="AP262" s="117">
        <f>IF(I262="","",IF(I262&lt;=$AP$1,"O","X"))</f>
        <v/>
      </c>
      <c r="AQ262" s="117">
        <f>IF(O262="","",IF(O262&lt;=$AQ$1,"O","X"))</f>
        <v/>
      </c>
      <c r="AR262" s="117">
        <f>IF(M262="","",IF(M262&lt;=$AR$1,"O","X"))</f>
        <v/>
      </c>
      <c r="AS262" s="117" t="inlineStr">
        <is>
          <t>X</t>
        </is>
      </c>
      <c r="AT262" s="117">
        <f>IF(OR(F262="",AI262=""),"",IF(AND((F262&lt;=85),(AI262&gt;=15)),"O","X"))</f>
        <v/>
      </c>
      <c r="AU262" s="117">
        <f>IF(C262="","",IF(C262&gt;=$AU$1,"O","X"))</f>
        <v/>
      </c>
      <c r="AV262" s="117">
        <f>IF(AO262="","",IF(AND(AO262="O",AP262="O",AR262="O",AT262="O",AU262="O"),"후보","X"))</f>
        <v/>
      </c>
    </row>
    <row r="263" ht="12" customFormat="1" customHeight="1" s="38">
      <c r="A263" s="120" t="inlineStr">
        <is>
          <t>작전동 삼보</t>
        </is>
      </c>
      <c r="B263" s="121" t="inlineStr">
        <is>
          <t>94.02.</t>
        </is>
      </c>
      <c r="C263" s="129" t="n">
        <v>454</v>
      </c>
      <c r="D263" s="130" t="n">
        <v>84.09999999999999</v>
      </c>
      <c r="E263" s="131" t="n">
        <v>25</v>
      </c>
      <c r="F263" s="130" t="n">
        <v>59.9</v>
      </c>
      <c r="G263" s="17" t="n">
        <v>18</v>
      </c>
      <c r="H263" s="132" t="n">
        <v>216</v>
      </c>
      <c r="I263" s="133" t="n">
        <v>26500</v>
      </c>
      <c r="J263" s="133" t="inlineStr">
        <is>
          <t>10</t>
        </is>
      </c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2</v>
      </c>
      <c r="R263" s="117" t="n">
        <v>1</v>
      </c>
      <c r="S263" s="117" t="inlineStr">
        <is>
          <t>복</t>
        </is>
      </c>
      <c r="T263" s="5" t="n">
        <v>84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17">
        <f>S263</f>
        <v/>
      </c>
      <c r="AF263" s="117">
        <f>Q263&amp;"/"&amp;R263</f>
        <v/>
      </c>
      <c r="AH263" s="20">
        <f>IF(A263="","",A263)</f>
        <v/>
      </c>
      <c r="AI263" s="131">
        <f>IF(E263="","",E263)</f>
        <v/>
      </c>
      <c r="AJ263" s="117">
        <f>IF(AI263="","",$AJ$2)</f>
        <v/>
      </c>
      <c r="AK263" s="117" t="inlineStr">
        <is>
          <t>A</t>
        </is>
      </c>
      <c r="AL263" s="117" t="inlineStr">
        <is>
          <t>A+</t>
        </is>
      </c>
      <c r="AM263" s="117" t="inlineStr">
        <is>
          <t>B+</t>
        </is>
      </c>
      <c r="AN263" s="117">
        <f>IF(AI263="","",$AN$2)</f>
        <v/>
      </c>
      <c r="AO263" s="117">
        <f>IF(N263="","",IF(N263&gt;=$AO$1/100,"O","X"))</f>
        <v/>
      </c>
      <c r="AP263" s="117">
        <f>IF(I263="","",IF(I263&lt;=$AP$1,"O","X"))</f>
        <v/>
      </c>
      <c r="AQ263" s="117">
        <f>IF(O263="","",IF(O263&lt;=$AQ$1,"O","X"))</f>
        <v/>
      </c>
      <c r="AR263" s="117">
        <f>IF(M263="","",IF(M263&lt;=$AR$1,"O","X"))</f>
        <v/>
      </c>
      <c r="AS263" s="117" t="inlineStr">
        <is>
          <t>X</t>
        </is>
      </c>
      <c r="AT263" s="117">
        <f>IF(OR(F263="",AI263=""),"",IF(AND((F263&lt;=85),(AI263&gt;=15)),"O","X"))</f>
        <v/>
      </c>
      <c r="AU263" s="117">
        <f>IF(C263="","",IF(C263&gt;=$AU$1,"O","X"))</f>
        <v/>
      </c>
      <c r="AV263" s="117">
        <f>IF(AO263="","",IF(AND(AO263="O",AP263="O",AR263="O",AT263="O",AU263="O"),"후보","X"))</f>
        <v/>
      </c>
    </row>
    <row r="264" ht="12" customFormat="1" customHeight="1" s="38">
      <c r="A264" s="120" t="inlineStr">
        <is>
          <t>작전동 삼보</t>
        </is>
      </c>
      <c r="B264" s="121" t="inlineStr">
        <is>
          <t>94.02.</t>
        </is>
      </c>
      <c r="C264" s="129" t="n">
        <v>454</v>
      </c>
      <c r="D264" s="130" t="n">
        <v>102.4</v>
      </c>
      <c r="E264" s="131" t="n">
        <v>31</v>
      </c>
      <c r="F264" s="130" t="n">
        <v>84.8</v>
      </c>
      <c r="G264" s="17" t="n">
        <v>26</v>
      </c>
      <c r="H264" s="132" t="n">
        <v>30</v>
      </c>
      <c r="I264" s="133" t="n">
        <v>40000</v>
      </c>
      <c r="J264" s="133" t="inlineStr">
        <is>
          <t>15</t>
        </is>
      </c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n">
        <v>102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17">
        <f>S264</f>
        <v/>
      </c>
      <c r="AF264" s="117">
        <f>Q264&amp;"/"&amp;R264</f>
        <v/>
      </c>
      <c r="AH264" s="20">
        <f>IF(A264="","",A264)</f>
        <v/>
      </c>
      <c r="AI264" s="131">
        <f>IF(E264="","",E264)</f>
        <v/>
      </c>
      <c r="AJ264" s="117">
        <f>IF(AI264="","",$AJ$2)</f>
        <v/>
      </c>
      <c r="AK264" s="117" t="inlineStr">
        <is>
          <t>A</t>
        </is>
      </c>
      <c r="AL264" s="117" t="inlineStr">
        <is>
          <t>A+</t>
        </is>
      </c>
      <c r="AM264" s="117" t="inlineStr">
        <is>
          <t>B+</t>
        </is>
      </c>
      <c r="AN264" s="117">
        <f>IF(AI264="","",$AN$2)</f>
        <v/>
      </c>
      <c r="AO264" s="117">
        <f>IF(N264="","",IF(N264&gt;=$AO$1/100,"O","X"))</f>
        <v/>
      </c>
      <c r="AP264" s="117">
        <f>IF(I264="","",IF(I264&lt;=$AP$1,"O","X"))</f>
        <v/>
      </c>
      <c r="AQ264" s="117">
        <f>IF(O264="","",IF(O264&lt;=$AQ$1,"O","X"))</f>
        <v/>
      </c>
      <c r="AR264" s="117">
        <f>IF(M264="","",IF(M264&lt;=$AR$1,"O","X"))</f>
        <v/>
      </c>
      <c r="AS264" s="117" t="inlineStr">
        <is>
          <t>X</t>
        </is>
      </c>
      <c r="AT264" s="117">
        <f>IF(OR(F264="",AI264=""),"",IF(AND((F264&lt;=85),(AI264&gt;=15)),"O","X"))</f>
        <v/>
      </c>
      <c r="AU264" s="117">
        <f>IF(C264="","",IF(C264&gt;=$AU$1,"O","X"))</f>
        <v/>
      </c>
      <c r="AV264" s="117">
        <f>IF(AO264="","",IF(AND(AO264="O",AP264="O",AR264="O",AT264="O",AU264="O"),"후보","X"))</f>
        <v/>
      </c>
    </row>
    <row r="265" ht="12" customFormat="1" customHeight="1" s="38">
      <c r="A265" s="120" t="inlineStr">
        <is>
          <t>작전동 삼보</t>
        </is>
      </c>
      <c r="B265" s="121" t="inlineStr">
        <is>
          <t>94.02.</t>
        </is>
      </c>
      <c r="C265" s="129" t="n">
        <v>454</v>
      </c>
      <c r="D265" s="130" t="n">
        <v>105</v>
      </c>
      <c r="E265" s="131" t="n">
        <v>32</v>
      </c>
      <c r="F265" s="130" t="n">
        <v>84.8</v>
      </c>
      <c r="G265" s="17" t="n">
        <v>26</v>
      </c>
      <c r="H265" s="132" t="n">
        <v>182</v>
      </c>
      <c r="I265" s="133" t="n">
        <v>35800</v>
      </c>
      <c r="J265" s="133" t="inlineStr">
        <is>
          <t>14</t>
        </is>
      </c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105A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17">
        <f>S265</f>
        <v/>
      </c>
      <c r="AF265" s="117">
        <f>Q265&amp;"/"&amp;R265</f>
        <v/>
      </c>
      <c r="AH265" s="20">
        <f>IF(A265="","",A265)</f>
        <v/>
      </c>
      <c r="AI265" s="131">
        <f>IF(E265="","",E265)</f>
        <v/>
      </c>
      <c r="AJ265" s="117">
        <f>IF(AI265="","",$AJ$2)</f>
        <v/>
      </c>
      <c r="AK265" s="117" t="inlineStr">
        <is>
          <t>A</t>
        </is>
      </c>
      <c r="AL265" s="117" t="inlineStr">
        <is>
          <t>A+</t>
        </is>
      </c>
      <c r="AM265" s="117" t="inlineStr">
        <is>
          <t>B+</t>
        </is>
      </c>
      <c r="AN265" s="117">
        <f>IF(AI265="","",$AN$2)</f>
        <v/>
      </c>
      <c r="AO265" s="117">
        <f>IF(N265="","",IF(N265&gt;=$AO$1/100,"O","X"))</f>
        <v/>
      </c>
      <c r="AP265" s="117">
        <f>IF(I265="","",IF(I265&lt;=$AP$1,"O","X"))</f>
        <v/>
      </c>
      <c r="AQ265" s="117">
        <f>IF(O265="","",IF(O265&lt;=$AQ$1,"O","X"))</f>
        <v/>
      </c>
      <c r="AR265" s="117">
        <f>IF(M265="","",IF(M265&lt;=$AR$1,"O","X"))</f>
        <v/>
      </c>
      <c r="AS265" s="117" t="inlineStr">
        <is>
          <t>X</t>
        </is>
      </c>
      <c r="AT265" s="117">
        <f>IF(OR(F265="",AI265=""),"",IF(AND((F265&lt;=85),(AI265&gt;=15)),"O","X"))</f>
        <v/>
      </c>
      <c r="AU265" s="117">
        <f>IF(C265="","",IF(C265&gt;=$AU$1,"O","X"))</f>
        <v/>
      </c>
      <c r="AV265" s="117">
        <f>IF(AO265="","",IF(AND(AO265="O",AP265="O",AR265="O",AT265="O",AU265="O"),"후보","X"))</f>
        <v/>
      </c>
    </row>
    <row r="266" ht="12" customFormat="1" customHeight="1" s="38">
      <c r="A266" s="120" t="inlineStr">
        <is>
          <t>작전동 삼보</t>
        </is>
      </c>
      <c r="B266" s="121" t="inlineStr">
        <is>
          <t>94.02.</t>
        </is>
      </c>
      <c r="C266" s="129" t="n">
        <v>454</v>
      </c>
      <c r="D266" s="130" t="n">
        <v>105.3</v>
      </c>
      <c r="E266" s="131" t="n">
        <v>32</v>
      </c>
      <c r="F266" s="130" t="n">
        <v>85</v>
      </c>
      <c r="G266" s="17" t="n">
        <v>26</v>
      </c>
      <c r="H266" s="132" t="n">
        <v>26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2</v>
      </c>
      <c r="S266" s="117" t="inlineStr">
        <is>
          <t>계</t>
        </is>
      </c>
      <c r="T266" s="5" t="inlineStr">
        <is>
          <t>105B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17">
        <f>S266</f>
        <v/>
      </c>
      <c r="AF266" s="117">
        <f>Q266&amp;"/"&amp;R266</f>
        <v/>
      </c>
      <c r="AH266" s="20">
        <f>IF(A266="","",A266)</f>
        <v/>
      </c>
      <c r="AI266" s="131">
        <f>IF(E266="","",E266)</f>
        <v/>
      </c>
      <c r="AJ266" s="117">
        <f>IF(AI266="","",$AJ$2)</f>
        <v/>
      </c>
      <c r="AK266" s="117" t="inlineStr">
        <is>
          <t>A</t>
        </is>
      </c>
      <c r="AL266" s="117" t="inlineStr">
        <is>
          <t>A+</t>
        </is>
      </c>
      <c r="AM266" s="117" t="inlineStr">
        <is>
          <t>B+</t>
        </is>
      </c>
      <c r="AN266" s="117">
        <f>IF(AI266="","",$AN$2)</f>
        <v/>
      </c>
      <c r="AO266" s="117">
        <f>IF(N266="","",IF(N266&gt;=$AO$1/100,"O","X"))</f>
        <v/>
      </c>
      <c r="AP266" s="117">
        <f>IF(I266="","",IF(I266&lt;=$AP$1,"O","X"))</f>
        <v/>
      </c>
      <c r="AQ266" s="117">
        <f>IF(O266="","",IF(O266&lt;=$AQ$1,"O","X"))</f>
        <v/>
      </c>
      <c r="AR266" s="117">
        <f>IF(M266="","",IF(M266&lt;=$AR$1,"O","X"))</f>
        <v/>
      </c>
      <c r="AS266" s="117" t="inlineStr">
        <is>
          <t>X</t>
        </is>
      </c>
      <c r="AT266" s="117">
        <f>IF(OR(F266="",AI266=""),"",IF(AND((F266&lt;=85),(AI266&gt;=15)),"O","X"))</f>
        <v/>
      </c>
      <c r="AU266" s="117">
        <f>IF(C266="","",IF(C266&gt;=$AU$1,"O","X"))</f>
        <v/>
      </c>
      <c r="AV266" s="117">
        <f>IF(AO266="","",IF(AND(AO266="O",AP266="O",AR266="O",AT266="O",AU266="O"),"후보","X"))</f>
        <v/>
      </c>
    </row>
    <row r="267" ht="12" customFormat="1" customHeight="1" s="38">
      <c r="A267" s="120" t="inlineStr">
        <is>
          <t>작전동 무지개</t>
        </is>
      </c>
      <c r="B267" s="121" t="inlineStr">
        <is>
          <t>89.06.</t>
        </is>
      </c>
      <c r="C267" s="129" t="n">
        <v>240</v>
      </c>
      <c r="D267" s="130" t="n">
        <v>52</v>
      </c>
      <c r="E267" s="131" t="n">
        <v>16</v>
      </c>
      <c r="F267" s="130" t="n">
        <v>39.2</v>
      </c>
      <c r="G267" s="17" t="n">
        <v>12</v>
      </c>
      <c r="H267" s="132" t="n">
        <v>60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2</v>
      </c>
      <c r="R267" s="117" t="n">
        <v>1</v>
      </c>
      <c r="S267" s="117" t="inlineStr">
        <is>
          <t>복</t>
        </is>
      </c>
      <c r="T267" s="5" t="n">
        <v>51</v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17">
        <f>S267</f>
        <v/>
      </c>
      <c r="AF267" s="117">
        <f>Q267&amp;"/"&amp;R267</f>
        <v/>
      </c>
      <c r="AH267" s="20">
        <f>IF(A267="","",A267)</f>
        <v/>
      </c>
      <c r="AI267" s="131">
        <f>IF(E267="","",E267)</f>
        <v/>
      </c>
      <c r="AJ267" s="117">
        <f>IF(AI267="","",$AJ$2)</f>
        <v/>
      </c>
      <c r="AK267" s="117" t="inlineStr">
        <is>
          <t>A</t>
        </is>
      </c>
      <c r="AL267" s="117" t="inlineStr">
        <is>
          <t>A+</t>
        </is>
      </c>
      <c r="AM267" s="117" t="inlineStr">
        <is>
          <t>B+</t>
        </is>
      </c>
      <c r="AN267" s="117">
        <f>IF(AI267="","",$AN$2)</f>
        <v/>
      </c>
      <c r="AO267" s="117">
        <f>IF(N267="","",IF(N267&gt;=$AO$1/100,"O","X"))</f>
        <v/>
      </c>
      <c r="AP267" s="117">
        <f>IF(I267="","",IF(I267&lt;=$AP$1,"O","X"))</f>
        <v/>
      </c>
      <c r="AQ267" s="117">
        <f>IF(O267="","",IF(O267&lt;=$AQ$1,"O","X"))</f>
        <v/>
      </c>
      <c r="AR267" s="117">
        <f>IF(M267="","",IF(M267&lt;=$AR$1,"O","X"))</f>
        <v/>
      </c>
      <c r="AS267" s="117" t="inlineStr">
        <is>
          <t>X</t>
        </is>
      </c>
      <c r="AT267" s="117">
        <f>IF(OR(F267="",AI267=""),"",IF(AND((F267&lt;=85),(AI267&gt;=15)),"O","X"))</f>
        <v/>
      </c>
      <c r="AU267" s="117">
        <f>IF(C267="","",IF(C267&gt;=$AU$1,"O","X"))</f>
        <v/>
      </c>
      <c r="AV267" s="117">
        <f>IF(AO267="","",IF(AND(AO267="O",AP267="O",AR267="O",AT267="O",AU267="O"),"후보","X"))</f>
        <v/>
      </c>
    </row>
    <row r="268" ht="12" customFormat="1" customHeight="1" s="38">
      <c r="A268" s="120" t="inlineStr">
        <is>
          <t>작전동 무지개</t>
        </is>
      </c>
      <c r="B268" s="121" t="inlineStr">
        <is>
          <t>89.06.</t>
        </is>
      </c>
      <c r="C268" s="129" t="n">
        <v>240</v>
      </c>
      <c r="D268" s="130" t="n">
        <v>56.5</v>
      </c>
      <c r="E268" s="131" t="n">
        <v>17</v>
      </c>
      <c r="F268" s="130" t="n">
        <v>43.2</v>
      </c>
      <c r="G268" s="17" t="n">
        <v>13</v>
      </c>
      <c r="H268" s="132" t="n">
        <v>135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2</v>
      </c>
      <c r="R268" s="117" t="n">
        <v>1</v>
      </c>
      <c r="S268" s="117" t="inlineStr">
        <is>
          <t>복</t>
        </is>
      </c>
      <c r="T268" s="5" t="n">
        <v>56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17">
        <f>S268</f>
        <v/>
      </c>
      <c r="AF268" s="117">
        <f>Q268&amp;"/"&amp;R268</f>
        <v/>
      </c>
      <c r="AH268" s="20">
        <f>IF(A268="","",A268)</f>
        <v/>
      </c>
      <c r="AI268" s="131">
        <f>IF(E268="","",E268)</f>
        <v/>
      </c>
      <c r="AJ268" s="117">
        <f>IF(AI268="","",$AJ$2)</f>
        <v/>
      </c>
      <c r="AK268" s="117" t="inlineStr">
        <is>
          <t>A</t>
        </is>
      </c>
      <c r="AL268" s="117" t="inlineStr">
        <is>
          <t>A+</t>
        </is>
      </c>
      <c r="AM268" s="117" t="inlineStr">
        <is>
          <t>B+</t>
        </is>
      </c>
      <c r="AN268" s="117">
        <f>IF(AI268="","",$AN$2)</f>
        <v/>
      </c>
      <c r="AO268" s="117">
        <f>IF(N268="","",IF(N268&gt;=$AO$1/100,"O","X"))</f>
        <v/>
      </c>
      <c r="AP268" s="117">
        <f>IF(I268="","",IF(I268&lt;=$AP$1,"O","X"))</f>
        <v/>
      </c>
      <c r="AQ268" s="117">
        <f>IF(O268="","",IF(O268&lt;=$AQ$1,"O","X"))</f>
        <v/>
      </c>
      <c r="AR268" s="117">
        <f>IF(M268="","",IF(M268&lt;=$AR$1,"O","X"))</f>
        <v/>
      </c>
      <c r="AS268" s="117" t="inlineStr">
        <is>
          <t>X</t>
        </is>
      </c>
      <c r="AT268" s="117">
        <f>IF(OR(F268="",AI268=""),"",IF(AND((F268&lt;=85),(AI268&gt;=15)),"O","X"))</f>
        <v/>
      </c>
      <c r="AU268" s="117">
        <f>IF(C268="","",IF(C268&gt;=$AU$1,"O","X"))</f>
        <v/>
      </c>
      <c r="AV268" s="117">
        <f>IF(AO268="","",IF(AND(AO268="O",AP268="O",AR268="O",AT268="O",AU268="O"),"후보","X"))</f>
        <v/>
      </c>
    </row>
    <row r="269" ht="12" customFormat="1" customHeight="1" s="38">
      <c r="A269" s="120" t="inlineStr">
        <is>
          <t>작전동 무지개</t>
        </is>
      </c>
      <c r="B269" s="121" t="inlineStr">
        <is>
          <t>89.06.</t>
        </is>
      </c>
      <c r="C269" s="129" t="n">
        <v>240</v>
      </c>
      <c r="D269" s="130" t="n">
        <v>78.59999999999999</v>
      </c>
      <c r="E269" s="131" t="n">
        <v>24</v>
      </c>
      <c r="F269" s="130" t="n">
        <v>59.6</v>
      </c>
      <c r="G269" s="17" t="n">
        <v>18</v>
      </c>
      <c r="H269" s="132" t="n">
        <v>45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복</t>
        </is>
      </c>
      <c r="T269" s="5" t="n">
        <v>78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17">
        <f>S269</f>
        <v/>
      </c>
      <c r="AF269" s="117">
        <f>Q269&amp;"/"&amp;R269</f>
        <v/>
      </c>
      <c r="AH269" s="20">
        <f>IF(A269="","",A269)</f>
        <v/>
      </c>
      <c r="AI269" s="131">
        <f>IF(E269="","",E269)</f>
        <v/>
      </c>
      <c r="AJ269" s="117">
        <f>IF(AI269="","",$AJ$2)</f>
        <v/>
      </c>
      <c r="AK269" s="117" t="inlineStr">
        <is>
          <t>A</t>
        </is>
      </c>
      <c r="AL269" s="117" t="inlineStr">
        <is>
          <t>A+</t>
        </is>
      </c>
      <c r="AM269" s="117" t="inlineStr">
        <is>
          <t>B+</t>
        </is>
      </c>
      <c r="AN269" s="117">
        <f>IF(AI269="","",$AN$2)</f>
        <v/>
      </c>
      <c r="AO269" s="117">
        <f>IF(N269="","",IF(N269&gt;=$AO$1/100,"O","X"))</f>
        <v/>
      </c>
      <c r="AP269" s="117">
        <f>IF(I269="","",IF(I269&lt;=$AP$1,"O","X"))</f>
        <v/>
      </c>
      <c r="AQ269" s="117">
        <f>IF(O269="","",IF(O269&lt;=$AQ$1,"O","X"))</f>
        <v/>
      </c>
      <c r="AR269" s="117">
        <f>IF(M269="","",IF(M269&lt;=$AR$1,"O","X"))</f>
        <v/>
      </c>
      <c r="AS269" s="117" t="inlineStr">
        <is>
          <t>X</t>
        </is>
      </c>
      <c r="AT269" s="117">
        <f>IF(OR(F269="",AI269=""),"",IF(AND((F269&lt;=85),(AI269&gt;=15)),"O","X"))</f>
        <v/>
      </c>
      <c r="AU269" s="117">
        <f>IF(C269="","",IF(C269&gt;=$AU$1,"O","X"))</f>
        <v/>
      </c>
      <c r="AV269" s="117">
        <f>IF(AO269="","",IF(AND(AO269="O",AP269="O",AR269="O",AT269="O",AU269="O"),"후보","X"))</f>
        <v/>
      </c>
    </row>
    <row r="270" ht="12" customFormat="1" customHeight="1" s="38">
      <c r="A270" s="120" t="inlineStr">
        <is>
          <t>작전동 삼우</t>
        </is>
      </c>
      <c r="B270" s="121" t="inlineStr">
        <is>
          <t>89.04.</t>
        </is>
      </c>
      <c r="C270" s="129" t="n">
        <v>264</v>
      </c>
      <c r="D270" s="130" t="n">
        <v>51.2</v>
      </c>
      <c r="E270" s="131" t="n">
        <v>15</v>
      </c>
      <c r="F270" s="130" t="n">
        <v>38.9</v>
      </c>
      <c r="G270" s="17" t="n">
        <v>12</v>
      </c>
      <c r="H270" s="132" t="n">
        <v>156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2</v>
      </c>
      <c r="R270" s="117" t="n">
        <v>1</v>
      </c>
      <c r="S270" s="117" t="inlineStr">
        <is>
          <t>계</t>
        </is>
      </c>
      <c r="T270" s="5" t="inlineStr">
        <is>
          <t>51A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17">
        <f>S270</f>
        <v/>
      </c>
      <c r="AF270" s="117">
        <f>Q270&amp;"/"&amp;R270</f>
        <v/>
      </c>
      <c r="AH270" s="20">
        <f>IF(A270="","",A270)</f>
        <v/>
      </c>
      <c r="AI270" s="131">
        <f>IF(E270="","",E270)</f>
        <v/>
      </c>
      <c r="AJ270" s="117">
        <f>IF(AI270="","",$AJ$2)</f>
        <v/>
      </c>
      <c r="AK270" s="117" t="inlineStr">
        <is>
          <t>A</t>
        </is>
      </c>
      <c r="AL270" s="117" t="inlineStr">
        <is>
          <t>A+</t>
        </is>
      </c>
      <c r="AM270" s="117" t="inlineStr">
        <is>
          <t>B+</t>
        </is>
      </c>
      <c r="AN270" s="117">
        <f>IF(AI270="","",$AN$2)</f>
        <v/>
      </c>
      <c r="AO270" s="117">
        <f>IF(N270="","",IF(N270&gt;=$AO$1/100,"O","X"))</f>
        <v/>
      </c>
      <c r="AP270" s="117">
        <f>IF(I270="","",IF(I270&lt;=$AP$1,"O","X"))</f>
        <v/>
      </c>
      <c r="AQ270" s="117">
        <f>IF(O270="","",IF(O270&lt;=$AQ$1,"O","X"))</f>
        <v/>
      </c>
      <c r="AR270" s="117">
        <f>IF(M270="","",IF(M270&lt;=$AR$1,"O","X"))</f>
        <v/>
      </c>
      <c r="AS270" s="117" t="inlineStr">
        <is>
          <t>X</t>
        </is>
      </c>
      <c r="AT270" s="117">
        <f>IF(OR(F270="",AI270=""),"",IF(AND((F270&lt;=85),(AI270&gt;=15)),"O","X"))</f>
        <v/>
      </c>
      <c r="AU270" s="117">
        <f>IF(C270="","",IF(C270&gt;=$AU$1,"O","X"))</f>
        <v/>
      </c>
      <c r="AV270" s="117">
        <f>IF(AO270="","",IF(AND(AO270="O",AP270="O",AR270="O",AT270="O",AU270="O"),"후보","X"))</f>
        <v/>
      </c>
    </row>
    <row r="271" ht="12" customFormat="1" customHeight="1" s="38">
      <c r="A271" s="120" t="inlineStr">
        <is>
          <t>작전동 삼우</t>
        </is>
      </c>
      <c r="B271" s="121" t="inlineStr">
        <is>
          <t>89.04.</t>
        </is>
      </c>
      <c r="C271" s="129" t="n">
        <v>264</v>
      </c>
      <c r="D271" s="130" t="n">
        <v>52.3</v>
      </c>
      <c r="E271" s="131" t="n">
        <v>16</v>
      </c>
      <c r="F271" s="130" t="n">
        <v>39.8</v>
      </c>
      <c r="G271" s="17" t="n">
        <v>12</v>
      </c>
      <c r="H271" s="132" t="n">
        <v>12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2</v>
      </c>
      <c r="R271" s="117" t="n">
        <v>1</v>
      </c>
      <c r="S271" s="117" t="inlineStr">
        <is>
          <t>계</t>
        </is>
      </c>
      <c r="T271" s="5" t="inlineStr">
        <is>
          <t>52B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17">
        <f>S271</f>
        <v/>
      </c>
      <c r="AF271" s="117">
        <f>Q271&amp;"/"&amp;R271</f>
        <v/>
      </c>
      <c r="AH271" s="20">
        <f>IF(A271="","",A271)</f>
        <v/>
      </c>
      <c r="AI271" s="131">
        <f>IF(E271="","",E271)</f>
        <v/>
      </c>
      <c r="AJ271" s="117">
        <f>IF(AI271="","",$AJ$2)</f>
        <v/>
      </c>
      <c r="AK271" s="117" t="inlineStr">
        <is>
          <t>A</t>
        </is>
      </c>
      <c r="AL271" s="117" t="inlineStr">
        <is>
          <t>A+</t>
        </is>
      </c>
      <c r="AM271" s="117" t="inlineStr">
        <is>
          <t>B+</t>
        </is>
      </c>
      <c r="AN271" s="117">
        <f>IF(AI271="","",$AN$2)</f>
        <v/>
      </c>
      <c r="AO271" s="117">
        <f>IF(N271="","",IF(N271&gt;=$AO$1/100,"O","X"))</f>
        <v/>
      </c>
      <c r="AP271" s="117">
        <f>IF(I271="","",IF(I271&lt;=$AP$1,"O","X"))</f>
        <v/>
      </c>
      <c r="AQ271" s="117">
        <f>IF(O271="","",IF(O271&lt;=$AQ$1,"O","X"))</f>
        <v/>
      </c>
      <c r="AR271" s="117">
        <f>IF(M271="","",IF(M271&lt;=$AR$1,"O","X"))</f>
        <v/>
      </c>
      <c r="AS271" s="117" t="inlineStr">
        <is>
          <t>X</t>
        </is>
      </c>
      <c r="AT271" s="117">
        <f>IF(OR(F271="",AI271=""),"",IF(AND((F271&lt;=85),(AI271&gt;=15)),"O","X"))</f>
        <v/>
      </c>
      <c r="AU271" s="117">
        <f>IF(C271="","",IF(C271&gt;=$AU$1,"O","X"))</f>
        <v/>
      </c>
      <c r="AV271" s="117">
        <f>IF(AO271="","",IF(AND(AO271="O",AP271="O",AR271="O",AT271="O",AU271="O"),"후보","X"))</f>
        <v/>
      </c>
    </row>
    <row r="272" ht="12" customFormat="1" customHeight="1" s="38">
      <c r="A272" s="120" t="inlineStr">
        <is>
          <t>작전동 삼우</t>
        </is>
      </c>
      <c r="B272" s="121" t="inlineStr">
        <is>
          <t>89.04.</t>
        </is>
      </c>
      <c r="C272" s="129" t="n">
        <v>264</v>
      </c>
      <c r="D272" s="130" t="n">
        <v>58.3</v>
      </c>
      <c r="E272" s="131" t="n">
        <v>18</v>
      </c>
      <c r="F272" s="130" t="n">
        <v>45</v>
      </c>
      <c r="G272" s="17" t="n">
        <v>14</v>
      </c>
      <c r="H272" s="132" t="n">
        <v>96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3</v>
      </c>
      <c r="R272" s="117" t="n">
        <v>1</v>
      </c>
      <c r="S272" s="117" t="inlineStr">
        <is>
          <t>계</t>
        </is>
      </c>
      <c r="T272" s="5" t="n">
        <v>58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17">
        <f>S272</f>
        <v/>
      </c>
      <c r="AF272" s="117">
        <f>Q272&amp;"/"&amp;R272</f>
        <v/>
      </c>
      <c r="AH272" s="20">
        <f>IF(A272="","",A272)</f>
        <v/>
      </c>
      <c r="AI272" s="131">
        <f>IF(E272="","",E272)</f>
        <v/>
      </c>
      <c r="AJ272" s="117">
        <f>IF(AI272="","",$AJ$2)</f>
        <v/>
      </c>
      <c r="AK272" s="117" t="inlineStr">
        <is>
          <t>A</t>
        </is>
      </c>
      <c r="AL272" s="117" t="inlineStr">
        <is>
          <t>A+</t>
        </is>
      </c>
      <c r="AM272" s="117" t="inlineStr">
        <is>
          <t>B+</t>
        </is>
      </c>
      <c r="AN272" s="117">
        <f>IF(AI272="","",$AN$2)</f>
        <v/>
      </c>
      <c r="AO272" s="117">
        <f>IF(N272="","",IF(N272&gt;=$AO$1/100,"O","X"))</f>
        <v/>
      </c>
      <c r="AP272" s="117">
        <f>IF(I272="","",IF(I272&lt;=$AP$1,"O","X"))</f>
        <v/>
      </c>
      <c r="AQ272" s="117">
        <f>IF(O272="","",IF(O272&lt;=$AQ$1,"O","X"))</f>
        <v/>
      </c>
      <c r="AR272" s="117">
        <f>IF(M272="","",IF(M272&lt;=$AR$1,"O","X"))</f>
        <v/>
      </c>
      <c r="AS272" s="117" t="inlineStr">
        <is>
          <t>X</t>
        </is>
      </c>
      <c r="AT272" s="117">
        <f>IF(OR(F272="",AI272=""),"",IF(AND((F272&lt;=85),(AI272&gt;=15)),"O","X"))</f>
        <v/>
      </c>
      <c r="AU272" s="117">
        <f>IF(C272="","",IF(C272&gt;=$AU$1,"O","X"))</f>
        <v/>
      </c>
      <c r="AV272" s="117">
        <f>IF(AO272="","",IF(AND(AO272="O",AP272="O",AR272="O",AT272="O",AU272="O"),"후보","X"))</f>
        <v/>
      </c>
    </row>
    <row r="273" ht="12" customFormat="1" customHeight="1" s="38">
      <c r="A273" s="120" t="inlineStr">
        <is>
          <t>작전동 뉴서울1차</t>
        </is>
      </c>
      <c r="B273" s="121" t="inlineStr">
        <is>
          <t>88.05.</t>
        </is>
      </c>
      <c r="C273" s="129" t="n">
        <v>791</v>
      </c>
      <c r="D273" s="130" t="n">
        <v>52.5</v>
      </c>
      <c r="E273" s="131" t="n">
        <v>16</v>
      </c>
      <c r="F273" s="130" t="n">
        <v>39.6</v>
      </c>
      <c r="G273" s="17" t="n">
        <v>12</v>
      </c>
      <c r="H273" s="132" t="n">
        <v>288</v>
      </c>
      <c r="I273" s="133" t="n">
        <v>15500</v>
      </c>
      <c r="J273" s="133" t="inlineStr">
        <is>
          <t>6</t>
        </is>
      </c>
      <c r="K273" s="133" t="n">
        <v>9500</v>
      </c>
      <c r="L273" s="133" t="inlineStr">
        <is>
          <t>5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17" t="n">
        <v>2</v>
      </c>
      <c r="R273" s="117" t="n">
        <v>1</v>
      </c>
      <c r="S273" s="117" t="inlineStr">
        <is>
          <t>복</t>
        </is>
      </c>
      <c r="T273" s="5" t="inlineStr">
        <is>
          <t>52B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17">
        <f>S273</f>
        <v/>
      </c>
      <c r="AF273" s="117">
        <f>Q273&amp;"/"&amp;R273</f>
        <v/>
      </c>
      <c r="AH273" s="20">
        <f>IF(A273="","",A273)</f>
        <v/>
      </c>
      <c r="AI273" s="131">
        <f>IF(E273="","",E273)</f>
        <v/>
      </c>
      <c r="AJ273" s="117">
        <f>IF(AI273="","",$AJ$2)</f>
        <v/>
      </c>
      <c r="AK273" s="117" t="inlineStr">
        <is>
          <t>A</t>
        </is>
      </c>
      <c r="AL273" s="117" t="inlineStr">
        <is>
          <t>A+</t>
        </is>
      </c>
      <c r="AM273" s="117" t="inlineStr">
        <is>
          <t>B+</t>
        </is>
      </c>
      <c r="AN273" s="117">
        <f>IF(AI273="","",$AN$2)</f>
        <v/>
      </c>
      <c r="AO273" s="117">
        <f>IF(N273="","",IF(N273&gt;=$AO$1/100,"O","X"))</f>
        <v/>
      </c>
      <c r="AP273" s="117">
        <f>IF(I273="","",IF(I273&lt;=$AP$1,"O","X"))</f>
        <v/>
      </c>
      <c r="AQ273" s="117">
        <f>IF(O273="","",IF(O273&lt;=$AQ$1,"O","X"))</f>
        <v/>
      </c>
      <c r="AR273" s="117">
        <f>IF(M273="","",IF(M273&lt;=$AR$1,"O","X"))</f>
        <v/>
      </c>
      <c r="AS273" s="117" t="inlineStr">
        <is>
          <t>X</t>
        </is>
      </c>
      <c r="AT273" s="117">
        <f>IF(OR(F273="",AI273=""),"",IF(AND((F273&lt;=85),(AI273&gt;=15)),"O","X"))</f>
        <v/>
      </c>
      <c r="AU273" s="117">
        <f>IF(C273="","",IF(C273&gt;=$AU$1,"O","X"))</f>
        <v/>
      </c>
      <c r="AV273" s="117">
        <f>IF(AO273="","",IF(AND(AO273="O",AP273="O",AR273="O",AT273="O",AU273="O"),"후보","X"))</f>
        <v/>
      </c>
    </row>
    <row r="274" ht="12" customFormat="1" customHeight="1" s="38">
      <c r="A274" s="120" t="inlineStr">
        <is>
          <t>작전동 뉴서울1차</t>
        </is>
      </c>
      <c r="B274" s="121" t="inlineStr">
        <is>
          <t>88.05.</t>
        </is>
      </c>
      <c r="C274" s="129" t="n">
        <v>791</v>
      </c>
      <c r="D274" s="130" t="n">
        <v>57.1</v>
      </c>
      <c r="E274" s="131" t="n">
        <v>17</v>
      </c>
      <c r="F274" s="130" t="n">
        <v>39.2</v>
      </c>
      <c r="G274" s="17" t="n">
        <v>12</v>
      </c>
      <c r="H274" s="132" t="n">
        <v>503</v>
      </c>
      <c r="I274" s="133" t="n">
        <v>19000</v>
      </c>
      <c r="J274" s="133" t="inlineStr">
        <is>
          <t>11</t>
        </is>
      </c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17" t="n">
        <v>2</v>
      </c>
      <c r="R274" s="117" t="n">
        <v>1</v>
      </c>
      <c r="S274" s="117" t="inlineStr">
        <is>
          <t>복</t>
        </is>
      </c>
      <c r="T274" s="5" t="inlineStr">
        <is>
          <t>57A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17">
        <f>S274</f>
        <v/>
      </c>
      <c r="AF274" s="117">
        <f>Q274&amp;"/"&amp;R274</f>
        <v/>
      </c>
      <c r="AH274" s="20">
        <f>IF(A274="","",A274)</f>
        <v/>
      </c>
      <c r="AI274" s="131">
        <f>IF(E274="","",E274)</f>
        <v/>
      </c>
      <c r="AJ274" s="117">
        <f>IF(AI274="","",$AJ$2)</f>
        <v/>
      </c>
      <c r="AK274" s="117" t="inlineStr">
        <is>
          <t>A</t>
        </is>
      </c>
      <c r="AL274" s="117" t="inlineStr">
        <is>
          <t>A+</t>
        </is>
      </c>
      <c r="AM274" s="117" t="inlineStr">
        <is>
          <t>B+</t>
        </is>
      </c>
      <c r="AN274" s="117">
        <f>IF(AI274="","",$AN$2)</f>
        <v/>
      </c>
      <c r="AO274" s="117">
        <f>IF(N274="","",IF(N274&gt;=$AO$1/100,"O","X"))</f>
        <v/>
      </c>
      <c r="AP274" s="117">
        <f>IF(I274="","",IF(I274&lt;=$AP$1,"O","X"))</f>
        <v/>
      </c>
      <c r="AQ274" s="117">
        <f>IF(O274="","",IF(O274&lt;=$AQ$1,"O","X"))</f>
        <v/>
      </c>
      <c r="AR274" s="117">
        <f>IF(M274="","",IF(M274&lt;=$AR$1,"O","X"))</f>
        <v/>
      </c>
      <c r="AS274" s="117" t="inlineStr">
        <is>
          <t>X</t>
        </is>
      </c>
      <c r="AT274" s="117">
        <f>IF(OR(F274="",AI274=""),"",IF(AND((F274&lt;=85),(AI274&gt;=15)),"O","X"))</f>
        <v/>
      </c>
      <c r="AU274" s="117">
        <f>IF(C274="","",IF(C274&gt;=$AU$1,"O","X"))</f>
        <v/>
      </c>
      <c r="AV274" s="117">
        <f>IF(AO274="","",IF(AND(AO274="O",AP274="O",AR274="O",AT274="O",AU274="O"),"후보","X"))</f>
        <v/>
      </c>
    </row>
    <row r="275" ht="12" customFormat="1" customHeight="1" s="38">
      <c r="A275" s="120" t="inlineStr">
        <is>
          <t>작전동 작전현대2-2차</t>
        </is>
      </c>
      <c r="B275" s="121" t="inlineStr">
        <is>
          <t>93.12.</t>
        </is>
      </c>
      <c r="C275" s="129" t="n">
        <v>904</v>
      </c>
      <c r="D275" s="130" t="n">
        <v>104.5</v>
      </c>
      <c r="E275" s="131" t="n">
        <v>32</v>
      </c>
      <c r="F275" s="130" t="n">
        <v>84.90000000000001</v>
      </c>
      <c r="G275" s="17" t="n">
        <v>26</v>
      </c>
      <c r="H275" s="132" t="n">
        <v>648</v>
      </c>
      <c r="I275" s="133" t="n">
        <v>42000</v>
      </c>
      <c r="J275" s="133" t="inlineStr">
        <is>
          <t>6</t>
        </is>
      </c>
      <c r="K275" s="133" t="n">
        <v>32500</v>
      </c>
      <c r="L275" s="133" t="inlineStr">
        <is>
          <t>12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n">
        <v>104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17">
        <f>S275</f>
        <v/>
      </c>
      <c r="AF275" s="117">
        <f>Q275&amp;"/"&amp;R275</f>
        <v/>
      </c>
      <c r="AH275" s="20">
        <f>IF(A275="","",A275)</f>
        <v/>
      </c>
      <c r="AI275" s="131">
        <f>IF(E275="","",E275)</f>
        <v/>
      </c>
      <c r="AJ275" s="117">
        <f>IF(AI275="","",$AJ$2)</f>
        <v/>
      </c>
      <c r="AK275" s="117" t="inlineStr">
        <is>
          <t>A</t>
        </is>
      </c>
      <c r="AL275" s="117" t="inlineStr">
        <is>
          <t>A+</t>
        </is>
      </c>
      <c r="AM275" s="117" t="inlineStr">
        <is>
          <t>B+</t>
        </is>
      </c>
      <c r="AN275" s="117">
        <f>IF(AI275="","",$AN$2)</f>
        <v/>
      </c>
      <c r="AO275" s="117">
        <f>IF(N275="","",IF(N275&gt;=$AO$1/100,"O","X"))</f>
        <v/>
      </c>
      <c r="AP275" s="117">
        <f>IF(I275="","",IF(I275&lt;=$AP$1,"O","X"))</f>
        <v/>
      </c>
      <c r="AQ275" s="117">
        <f>IF(O275="","",IF(O275&lt;=$AQ$1,"O","X"))</f>
        <v/>
      </c>
      <c r="AR275" s="117">
        <f>IF(M275="","",IF(M275&lt;=$AR$1,"O","X"))</f>
        <v/>
      </c>
      <c r="AS275" s="117" t="inlineStr">
        <is>
          <t>X</t>
        </is>
      </c>
      <c r="AT275" s="117">
        <f>IF(OR(F275="",AI275=""),"",IF(AND((F275&lt;=85),(AI275&gt;=15)),"O","X"))</f>
        <v/>
      </c>
      <c r="AU275" s="117">
        <f>IF(C275="","",IF(C275&gt;=$AU$1,"O","X"))</f>
        <v/>
      </c>
      <c r="AV275" s="117">
        <f>IF(AO275="","",IF(AND(AO275="O",AP275="O",AR275="O",AT275="O",AU275="O"),"후보","X"))</f>
        <v/>
      </c>
    </row>
    <row r="276" ht="12" customFormat="1" customHeight="1" s="38">
      <c r="A276" s="120" t="inlineStr">
        <is>
          <t>작전동 작전현대2-2차</t>
        </is>
      </c>
      <c r="B276" s="121" t="inlineStr">
        <is>
          <t>93.12.</t>
        </is>
      </c>
      <c r="C276" s="129" t="n">
        <v>904</v>
      </c>
      <c r="D276" s="130" t="n">
        <v>168.2</v>
      </c>
      <c r="E276" s="131" t="n">
        <v>51</v>
      </c>
      <c r="F276" s="130" t="n">
        <v>136.8</v>
      </c>
      <c r="G276" s="17" t="n">
        <v>41</v>
      </c>
      <c r="H276" s="132" t="n">
        <v>128</v>
      </c>
      <c r="I276" s="133" t="n">
        <v>63000</v>
      </c>
      <c r="J276" s="133" t="inlineStr">
        <is>
          <t>16</t>
        </is>
      </c>
      <c r="K276" s="133" t="n"/>
      <c r="L276" s="133" t="n"/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168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17">
        <f>S276</f>
        <v/>
      </c>
      <c r="AF276" s="117">
        <f>Q276&amp;"/"&amp;R276</f>
        <v/>
      </c>
      <c r="AH276" s="20">
        <f>IF(A276="","",A276)</f>
        <v/>
      </c>
      <c r="AI276" s="131">
        <f>IF(E276="","",E276)</f>
        <v/>
      </c>
      <c r="AJ276" s="117">
        <f>IF(AI276="","",$AJ$2)</f>
        <v/>
      </c>
      <c r="AK276" s="117" t="inlineStr">
        <is>
          <t>A</t>
        </is>
      </c>
      <c r="AL276" s="117" t="inlineStr">
        <is>
          <t>A+</t>
        </is>
      </c>
      <c r="AM276" s="117" t="inlineStr">
        <is>
          <t>B+</t>
        </is>
      </c>
      <c r="AN276" s="117">
        <f>IF(AI276="","",$AN$2)</f>
        <v/>
      </c>
      <c r="AO276" s="117">
        <f>IF(N276="","",IF(N276&gt;=$AO$1/100,"O","X"))</f>
        <v/>
      </c>
      <c r="AP276" s="117">
        <f>IF(I276="","",IF(I276&lt;=$AP$1,"O","X"))</f>
        <v/>
      </c>
      <c r="AQ276" s="117">
        <f>IF(O276="","",IF(O276&lt;=$AQ$1,"O","X"))</f>
        <v/>
      </c>
      <c r="AR276" s="117">
        <f>IF(M276="","",IF(M276&lt;=$AR$1,"O","X"))</f>
        <v/>
      </c>
      <c r="AS276" s="117" t="inlineStr">
        <is>
          <t>X</t>
        </is>
      </c>
      <c r="AT276" s="117">
        <f>IF(OR(F276="",AI276=""),"",IF(AND((F276&lt;=85),(AI276&gt;=15)),"O","X"))</f>
        <v/>
      </c>
      <c r="AU276" s="117">
        <f>IF(C276="","",IF(C276&gt;=$AU$1,"O","X"))</f>
        <v/>
      </c>
      <c r="AV276" s="117">
        <f>IF(AO276="","",IF(AND(AO276="O",AP276="O",AR276="O",AT276="O",AU276="O"),"후보","X"))</f>
        <v/>
      </c>
    </row>
    <row r="277" ht="12" customFormat="1" customHeight="1" s="38">
      <c r="A277" s="120" t="inlineStr">
        <is>
          <t>작전동 작전현대2-2차</t>
        </is>
      </c>
      <c r="B277" s="121" t="inlineStr">
        <is>
          <t>93.12.</t>
        </is>
      </c>
      <c r="C277" s="129" t="n">
        <v>904</v>
      </c>
      <c r="D277" s="130" t="n">
        <v>183.3</v>
      </c>
      <c r="E277" s="131" t="n">
        <v>55</v>
      </c>
      <c r="F277" s="130" t="n">
        <v>149</v>
      </c>
      <c r="G277" s="17" t="n">
        <v>45</v>
      </c>
      <c r="H277" s="132" t="n">
        <v>128</v>
      </c>
      <c r="I277" s="133" t="n">
        <v>68000</v>
      </c>
      <c r="J277" s="133" t="inlineStr">
        <is>
          <t>10</t>
        </is>
      </c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n">
        <v>183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17">
        <f>S277</f>
        <v/>
      </c>
      <c r="AF277" s="117">
        <f>Q277&amp;"/"&amp;R277</f>
        <v/>
      </c>
      <c r="AH277" s="20">
        <f>IF(A277="","",A277)</f>
        <v/>
      </c>
      <c r="AI277" s="131">
        <f>IF(E277="","",E277)</f>
        <v/>
      </c>
      <c r="AJ277" s="117">
        <f>IF(AI277="","",$AJ$2)</f>
        <v/>
      </c>
      <c r="AK277" s="117" t="inlineStr">
        <is>
          <t>A</t>
        </is>
      </c>
      <c r="AL277" s="117" t="inlineStr">
        <is>
          <t>A+</t>
        </is>
      </c>
      <c r="AM277" s="117" t="inlineStr">
        <is>
          <t>B+</t>
        </is>
      </c>
      <c r="AN277" s="117">
        <f>IF(AI277="","",$AN$2)</f>
        <v/>
      </c>
      <c r="AO277" s="117">
        <f>IF(N277="","",IF(N277&gt;=$AO$1/100,"O","X"))</f>
        <v/>
      </c>
      <c r="AP277" s="117">
        <f>IF(I277="","",IF(I277&lt;=$AP$1,"O","X"))</f>
        <v/>
      </c>
      <c r="AQ277" s="117">
        <f>IF(O277="","",IF(O277&lt;=$AQ$1,"O","X"))</f>
        <v/>
      </c>
      <c r="AR277" s="117">
        <f>IF(M277="","",IF(M277&lt;=$AR$1,"O","X"))</f>
        <v/>
      </c>
      <c r="AS277" s="117" t="inlineStr">
        <is>
          <t>X</t>
        </is>
      </c>
      <c r="AT277" s="117">
        <f>IF(OR(F277="",AI277=""),"",IF(AND((F277&lt;=85),(AI277&gt;=15)),"O","X"))</f>
        <v/>
      </c>
      <c r="AU277" s="117">
        <f>IF(C277="","",IF(C277&gt;=$AU$1,"O","X"))</f>
        <v/>
      </c>
      <c r="AV277" s="117">
        <f>IF(AO277="","",IF(AND(AO277="O",AP277="O",AR277="O",AT277="O",AU277="O"),"후보","X"))</f>
        <v/>
      </c>
    </row>
    <row r="278" ht="12" customFormat="1" customHeight="1" s="38">
      <c r="A278" s="120" t="inlineStr">
        <is>
          <t>작전동 작전역서해그랑블</t>
        </is>
      </c>
      <c r="B278" s="121" t="inlineStr">
        <is>
          <t>20.09.</t>
        </is>
      </c>
      <c r="C278" s="129" t="n">
        <v>280</v>
      </c>
      <c r="D278" s="130" t="n">
        <v>66</v>
      </c>
      <c r="E278" s="131" t="n">
        <v>20</v>
      </c>
      <c r="F278" s="130" t="n">
        <v>49.6</v>
      </c>
      <c r="G278" s="17" t="n">
        <v>15</v>
      </c>
      <c r="H278" s="132" t="n">
        <v>32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17" t="n">
        <v>2</v>
      </c>
      <c r="R278" s="117" t="n">
        <v>1</v>
      </c>
      <c r="S278" s="117" t="inlineStr">
        <is>
          <t>계</t>
        </is>
      </c>
      <c r="T278" s="5" t="n">
        <v>65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17">
        <f>S278</f>
        <v/>
      </c>
      <c r="AF278" s="117">
        <f>Q278&amp;"/"&amp;R278</f>
        <v/>
      </c>
      <c r="AH278" s="20">
        <f>IF(A278="","",A278)</f>
        <v/>
      </c>
      <c r="AI278" s="131">
        <f>IF(E278="","",E278)</f>
        <v/>
      </c>
      <c r="AJ278" s="117">
        <f>IF(AI278="","",$AJ$2)</f>
        <v/>
      </c>
      <c r="AK278" s="117" t="inlineStr">
        <is>
          <t>A</t>
        </is>
      </c>
      <c r="AL278" s="117" t="inlineStr">
        <is>
          <t>A+</t>
        </is>
      </c>
      <c r="AM278" s="117" t="inlineStr">
        <is>
          <t>B+</t>
        </is>
      </c>
      <c r="AN278" s="117">
        <f>IF(AI278="","",$AN$2)</f>
        <v/>
      </c>
      <c r="AO278" s="117">
        <f>IF(N278="","",IF(N278&gt;=$AO$1/100,"O","X"))</f>
        <v/>
      </c>
      <c r="AP278" s="117">
        <f>IF(I278="","",IF(I278&lt;=$AP$1,"O","X"))</f>
        <v/>
      </c>
      <c r="AQ278" s="117">
        <f>IF(O278="","",IF(O278&lt;=$AQ$1,"O","X"))</f>
        <v/>
      </c>
      <c r="AR278" s="117">
        <f>IF(M278="","",IF(M278&lt;=$AR$1,"O","X"))</f>
        <v/>
      </c>
      <c r="AS278" s="117" t="inlineStr">
        <is>
          <t>X</t>
        </is>
      </c>
      <c r="AT278" s="117">
        <f>IF(OR(F278="",AI278=""),"",IF(AND((F278&lt;=85),(AI278&gt;=15)),"O","X"))</f>
        <v/>
      </c>
      <c r="AU278" s="117">
        <f>IF(C278="","",IF(C278&gt;=$AU$1,"O","X"))</f>
        <v/>
      </c>
      <c r="AV278" s="117">
        <f>IF(AO278="","",IF(AND(AO278="O",AP278="O",AR278="O",AT278="O",AU278="O"),"후보","X"))</f>
        <v/>
      </c>
    </row>
    <row r="279" ht="12" customFormat="1" customHeight="1" s="38">
      <c r="A279" s="120" t="inlineStr">
        <is>
          <t>작전동 작전역서해그랑블</t>
        </is>
      </c>
      <c r="B279" s="121" t="inlineStr">
        <is>
          <t>20.09.</t>
        </is>
      </c>
      <c r="C279" s="129" t="n">
        <v>280</v>
      </c>
      <c r="D279" s="130" t="n">
        <v>80.09999999999999</v>
      </c>
      <c r="E279" s="131" t="n">
        <v>24</v>
      </c>
      <c r="F279" s="130" t="n">
        <v>60</v>
      </c>
      <c r="G279" s="17" t="n">
        <v>18</v>
      </c>
      <c r="H279" s="132" t="n">
        <v>180</v>
      </c>
      <c r="I279" s="133" t="n"/>
      <c r="J279" s="133" t="n"/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inlineStr">
        <is>
          <t>80A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17">
        <f>S279</f>
        <v/>
      </c>
      <c r="AF279" s="117">
        <f>Q279&amp;"/"&amp;R279</f>
        <v/>
      </c>
      <c r="AH279" s="20">
        <f>IF(A279="","",A279)</f>
        <v/>
      </c>
      <c r="AI279" s="131">
        <f>IF(E279="","",E279)</f>
        <v/>
      </c>
      <c r="AJ279" s="117">
        <f>IF(AI279="","",$AJ$2)</f>
        <v/>
      </c>
      <c r="AK279" s="117" t="inlineStr">
        <is>
          <t>A</t>
        </is>
      </c>
      <c r="AL279" s="117" t="inlineStr">
        <is>
          <t>A+</t>
        </is>
      </c>
      <c r="AM279" s="117" t="inlineStr">
        <is>
          <t>B+</t>
        </is>
      </c>
      <c r="AN279" s="117">
        <f>IF(AI279="","",$AN$2)</f>
        <v/>
      </c>
      <c r="AO279" s="117">
        <f>IF(N279="","",IF(N279&gt;=$AO$1/100,"O","X"))</f>
        <v/>
      </c>
      <c r="AP279" s="117">
        <f>IF(I279="","",IF(I279&lt;=$AP$1,"O","X"))</f>
        <v/>
      </c>
      <c r="AQ279" s="117">
        <f>IF(O279="","",IF(O279&lt;=$AQ$1,"O","X"))</f>
        <v/>
      </c>
      <c r="AR279" s="117">
        <f>IF(M279="","",IF(M279&lt;=$AR$1,"O","X"))</f>
        <v/>
      </c>
      <c r="AS279" s="117" t="inlineStr">
        <is>
          <t>X</t>
        </is>
      </c>
      <c r="AT279" s="117">
        <f>IF(OR(F279="",AI279=""),"",IF(AND((F279&lt;=85),(AI279&gt;=15)),"O","X"))</f>
        <v/>
      </c>
      <c r="AU279" s="117">
        <f>IF(C279="","",IF(C279&gt;=$AU$1,"O","X"))</f>
        <v/>
      </c>
      <c r="AV279" s="117">
        <f>IF(AO279="","",IF(AND(AO279="O",AP279="O",AR279="O",AT279="O",AU279="O"),"후보","X"))</f>
        <v/>
      </c>
    </row>
    <row r="280" ht="12" customFormat="1" customHeight="1" s="38">
      <c r="A280" s="120" t="inlineStr">
        <is>
          <t>작전동 작전역서해그랑블</t>
        </is>
      </c>
      <c r="B280" s="121" t="inlineStr">
        <is>
          <t>20.09.</t>
        </is>
      </c>
      <c r="C280" s="129" t="n">
        <v>280</v>
      </c>
      <c r="D280" s="130" t="n">
        <v>80.09999999999999</v>
      </c>
      <c r="E280" s="131" t="n">
        <v>24</v>
      </c>
      <c r="F280" s="130" t="n">
        <v>60</v>
      </c>
      <c r="G280" s="17" t="n">
        <v>18</v>
      </c>
      <c r="H280" s="132" t="n">
        <v>33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17" t="n">
        <v>3</v>
      </c>
      <c r="R280" s="117" t="n">
        <v>2</v>
      </c>
      <c r="S280" s="117" t="inlineStr">
        <is>
          <t>계</t>
        </is>
      </c>
      <c r="T280" s="5" t="inlineStr">
        <is>
          <t>80B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17">
        <f>S280</f>
        <v/>
      </c>
      <c r="AF280" s="117">
        <f>Q280&amp;"/"&amp;R280</f>
        <v/>
      </c>
      <c r="AH280" s="20">
        <f>IF(A280="","",A280)</f>
        <v/>
      </c>
      <c r="AI280" s="131">
        <f>IF(E280="","",E280)</f>
        <v/>
      </c>
      <c r="AJ280" s="117">
        <f>IF(AI280="","",$AJ$2)</f>
        <v/>
      </c>
      <c r="AK280" s="117" t="inlineStr">
        <is>
          <t>A</t>
        </is>
      </c>
      <c r="AL280" s="117" t="inlineStr">
        <is>
          <t>A+</t>
        </is>
      </c>
      <c r="AM280" s="117" t="inlineStr">
        <is>
          <t>B+</t>
        </is>
      </c>
      <c r="AN280" s="117">
        <f>IF(AI280="","",$AN$2)</f>
        <v/>
      </c>
      <c r="AO280" s="117">
        <f>IF(N280="","",IF(N280&gt;=$AO$1/100,"O","X"))</f>
        <v/>
      </c>
      <c r="AP280" s="117">
        <f>IF(I280="","",IF(I280&lt;=$AP$1,"O","X"))</f>
        <v/>
      </c>
      <c r="AQ280" s="117">
        <f>IF(O280="","",IF(O280&lt;=$AQ$1,"O","X"))</f>
        <v/>
      </c>
      <c r="AR280" s="117">
        <f>IF(M280="","",IF(M280&lt;=$AR$1,"O","X"))</f>
        <v/>
      </c>
      <c r="AS280" s="117" t="inlineStr">
        <is>
          <t>X</t>
        </is>
      </c>
      <c r="AT280" s="117">
        <f>IF(OR(F280="",AI280=""),"",IF(AND((F280&lt;=85),(AI280&gt;=15)),"O","X"))</f>
        <v/>
      </c>
      <c r="AU280" s="117">
        <f>IF(C280="","",IF(C280&gt;=$AU$1,"O","X"))</f>
        <v/>
      </c>
      <c r="AV280" s="117">
        <f>IF(AO280="","",IF(AND(AO280="O",AP280="O",AR280="O",AT280="O",AU280="O"),"후보","X"))</f>
        <v/>
      </c>
    </row>
    <row r="281" ht="12" customFormat="1" customHeight="1" s="38">
      <c r="A281" s="120" t="inlineStr">
        <is>
          <t>작전동 작전역서해그랑블</t>
        </is>
      </c>
      <c r="B281" s="121" t="inlineStr">
        <is>
          <t>20.09.</t>
        </is>
      </c>
      <c r="C281" s="129" t="n">
        <v>280</v>
      </c>
      <c r="D281" s="130" t="n">
        <v>99.09999999999999</v>
      </c>
      <c r="E281" s="131" t="n">
        <v>30</v>
      </c>
      <c r="F281" s="130" t="n">
        <v>75</v>
      </c>
      <c r="G281" s="17" t="n">
        <v>23</v>
      </c>
      <c r="H281" s="132" t="n">
        <v>31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99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17">
        <f>S281</f>
        <v/>
      </c>
      <c r="AF281" s="117">
        <f>Q281&amp;"/"&amp;R281</f>
        <v/>
      </c>
      <c r="AH281" s="20">
        <f>IF(A281="","",A281)</f>
        <v/>
      </c>
      <c r="AI281" s="131">
        <f>IF(E281="","",E281)</f>
        <v/>
      </c>
      <c r="AJ281" s="117">
        <f>IF(AI281="","",$AJ$2)</f>
        <v/>
      </c>
      <c r="AK281" s="117" t="inlineStr">
        <is>
          <t>A</t>
        </is>
      </c>
      <c r="AL281" s="117" t="inlineStr">
        <is>
          <t>A+</t>
        </is>
      </c>
      <c r="AM281" s="117" t="inlineStr">
        <is>
          <t>B+</t>
        </is>
      </c>
      <c r="AN281" s="117">
        <f>IF(AI281="","",$AN$2)</f>
        <v/>
      </c>
      <c r="AO281" s="117">
        <f>IF(N281="","",IF(N281&gt;=$AO$1/100,"O","X"))</f>
        <v/>
      </c>
      <c r="AP281" s="117">
        <f>IF(I281="","",IF(I281&lt;=$AP$1,"O","X"))</f>
        <v/>
      </c>
      <c r="AQ281" s="117">
        <f>IF(O281="","",IF(O281&lt;=$AQ$1,"O","X"))</f>
        <v/>
      </c>
      <c r="AR281" s="117">
        <f>IF(M281="","",IF(M281&lt;=$AR$1,"O","X"))</f>
        <v/>
      </c>
      <c r="AS281" s="117" t="inlineStr">
        <is>
          <t>X</t>
        </is>
      </c>
      <c r="AT281" s="117">
        <f>IF(OR(F281="",AI281=""),"",IF(AND((F281&lt;=85),(AI281&gt;=15)),"O","X"))</f>
        <v/>
      </c>
      <c r="AU281" s="117">
        <f>IF(C281="","",IF(C281&gt;=$AU$1,"O","X"))</f>
        <v/>
      </c>
      <c r="AV281" s="117">
        <f>IF(AO281="","",IF(AND(AO281="O",AP281="O",AR281="O",AT281="O",AU281="O"),"후보","X"))</f>
        <v/>
      </c>
    </row>
    <row r="282" ht="12" customFormat="1" customHeight="1" s="38">
      <c r="A282" s="120" t="inlineStr">
        <is>
          <t>작전동 작전역서해그랑블</t>
        </is>
      </c>
      <c r="B282" s="121" t="inlineStr">
        <is>
          <t>20.09.</t>
        </is>
      </c>
      <c r="C282" s="129" t="n">
        <v>280</v>
      </c>
      <c r="D282" s="130" t="n">
        <v>115.9</v>
      </c>
      <c r="E282" s="131" t="n">
        <v>35</v>
      </c>
      <c r="F282" s="130" t="n">
        <v>85</v>
      </c>
      <c r="G282" s="17" t="n">
        <v>26</v>
      </c>
      <c r="H282" s="132" t="n">
        <v>3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inlineStr">
        <is>
          <t>115A</t>
        </is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17">
        <f>S282</f>
        <v/>
      </c>
      <c r="AF282" s="117">
        <f>Q282&amp;"/"&amp;R282</f>
        <v/>
      </c>
      <c r="AH282" s="20">
        <f>IF(A282="","",A282)</f>
        <v/>
      </c>
      <c r="AI282" s="131">
        <f>IF(E282="","",E282)</f>
        <v/>
      </c>
      <c r="AJ282" s="117">
        <f>IF(AI282="","",$AJ$2)</f>
        <v/>
      </c>
      <c r="AK282" s="117" t="inlineStr">
        <is>
          <t>A</t>
        </is>
      </c>
      <c r="AL282" s="117" t="inlineStr">
        <is>
          <t>A+</t>
        </is>
      </c>
      <c r="AM282" s="117" t="inlineStr">
        <is>
          <t>B+</t>
        </is>
      </c>
      <c r="AN282" s="117">
        <f>IF(AI282="","",$AN$2)</f>
        <v/>
      </c>
      <c r="AO282" s="117">
        <f>IF(N282="","",IF(N282&gt;=$AO$1/100,"O","X"))</f>
        <v/>
      </c>
      <c r="AP282" s="117">
        <f>IF(I282="","",IF(I282&lt;=$AP$1,"O","X"))</f>
        <v/>
      </c>
      <c r="AQ282" s="117">
        <f>IF(O282="","",IF(O282&lt;=$AQ$1,"O","X"))</f>
        <v/>
      </c>
      <c r="AR282" s="117">
        <f>IF(M282="","",IF(M282&lt;=$AR$1,"O","X"))</f>
        <v/>
      </c>
      <c r="AS282" s="117" t="inlineStr">
        <is>
          <t>X</t>
        </is>
      </c>
      <c r="AT282" s="117">
        <f>IF(OR(F282="",AI282=""),"",IF(AND((F282&lt;=85),(AI282&gt;=15)),"O","X"))</f>
        <v/>
      </c>
      <c r="AU282" s="117">
        <f>IF(C282="","",IF(C282&gt;=$AU$1,"O","X"))</f>
        <v/>
      </c>
      <c r="AV282" s="117">
        <f>IF(AO282="","",IF(AND(AO282="O",AP282="O",AR282="O",AT282="O",AU282="O"),"후보","X"))</f>
        <v/>
      </c>
    </row>
    <row r="283" ht="12" customFormat="1" customHeight="1" s="38">
      <c r="A283" s="120" t="inlineStr">
        <is>
          <t>작전동 작전역서해그랑블</t>
        </is>
      </c>
      <c r="B283" s="121" t="inlineStr">
        <is>
          <t>20.09.</t>
        </is>
      </c>
      <c r="C283" s="129" t="n">
        <v>280</v>
      </c>
      <c r="D283" s="130" t="n">
        <v>115.2</v>
      </c>
      <c r="E283" s="131" t="n">
        <v>35</v>
      </c>
      <c r="F283" s="130" t="n">
        <v>85</v>
      </c>
      <c r="G283" s="17" t="n">
        <v>26</v>
      </c>
      <c r="H283" s="132" t="n">
        <v>1</v>
      </c>
      <c r="I283" s="133" t="n"/>
      <c r="J283" s="133" t="n"/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17" t="n">
        <v>4</v>
      </c>
      <c r="R283" s="117" t="n">
        <v>2</v>
      </c>
      <c r="S283" s="117" t="inlineStr">
        <is>
          <t>계</t>
        </is>
      </c>
      <c r="T283" s="5" t="inlineStr">
        <is>
          <t>115B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17">
        <f>S283</f>
        <v/>
      </c>
      <c r="AF283" s="117">
        <f>Q283&amp;"/"&amp;R283</f>
        <v/>
      </c>
      <c r="AH283" s="20">
        <f>IF(A283="","",A283)</f>
        <v/>
      </c>
      <c r="AI283" s="131">
        <f>IF(E283="","",E283)</f>
        <v/>
      </c>
      <c r="AJ283" s="117">
        <f>IF(AI283="","",$AJ$2)</f>
        <v/>
      </c>
      <c r="AK283" s="117" t="inlineStr">
        <is>
          <t>A</t>
        </is>
      </c>
      <c r="AL283" s="117" t="inlineStr">
        <is>
          <t>A+</t>
        </is>
      </c>
      <c r="AM283" s="117" t="inlineStr">
        <is>
          <t>B+</t>
        </is>
      </c>
      <c r="AN283" s="117">
        <f>IF(AI283="","",$AN$2)</f>
        <v/>
      </c>
      <c r="AO283" s="117">
        <f>IF(N283="","",IF(N283&gt;=$AO$1/100,"O","X"))</f>
        <v/>
      </c>
      <c r="AP283" s="117">
        <f>IF(I283="","",IF(I283&lt;=$AP$1,"O","X"))</f>
        <v/>
      </c>
      <c r="AQ283" s="117">
        <f>IF(O283="","",IF(O283&lt;=$AQ$1,"O","X"))</f>
        <v/>
      </c>
      <c r="AR283" s="117">
        <f>IF(M283="","",IF(M283&lt;=$AR$1,"O","X"))</f>
        <v/>
      </c>
      <c r="AS283" s="117" t="inlineStr">
        <is>
          <t>X</t>
        </is>
      </c>
      <c r="AT283" s="117">
        <f>IF(OR(F283="",AI283=""),"",IF(AND((F283&lt;=85),(AI283&gt;=15)),"O","X"))</f>
        <v/>
      </c>
      <c r="AU283" s="117">
        <f>IF(C283="","",IF(C283&gt;=$AU$1,"O","X"))</f>
        <v/>
      </c>
      <c r="AV283" s="117">
        <f>IF(AO283="","",IF(AND(AO283="O",AP283="O",AR283="O",AT283="O",AU283="O"),"후보","X"))</f>
        <v/>
      </c>
    </row>
    <row r="284" ht="12" customFormat="1" customHeight="1" s="38">
      <c r="A284" s="120" t="inlineStr">
        <is>
          <t>작전동 브라운스톤계양스카이</t>
        </is>
      </c>
      <c r="B284" s="121" t="inlineStr">
        <is>
          <t>20.10.</t>
        </is>
      </c>
      <c r="C284" s="129" t="n">
        <v>282</v>
      </c>
      <c r="D284" s="130" t="n">
        <v>85.8</v>
      </c>
      <c r="E284" s="131" t="n">
        <v>26</v>
      </c>
      <c r="F284" s="130" t="n">
        <v>59.9</v>
      </c>
      <c r="G284" s="17" t="n">
        <v>18</v>
      </c>
      <c r="H284" s="132" t="n">
        <v>61</v>
      </c>
      <c r="I284" s="133" t="n"/>
      <c r="J284" s="133" t="n"/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17" t="n">
        <v>3</v>
      </c>
      <c r="R284" s="117" t="n">
        <v>2</v>
      </c>
      <c r="S284" s="117" t="inlineStr">
        <is>
          <t>계</t>
        </is>
      </c>
      <c r="T284" s="5" t="inlineStr">
        <is>
          <t>85B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17">
        <f>S284</f>
        <v/>
      </c>
      <c r="AF284" s="117">
        <f>Q284&amp;"/"&amp;R284</f>
        <v/>
      </c>
      <c r="AH284" s="20">
        <f>IF(A284="","",A284)</f>
        <v/>
      </c>
      <c r="AI284" s="131">
        <f>IF(E284="","",E284)</f>
        <v/>
      </c>
      <c r="AJ284" s="117">
        <f>IF(AI284="","",$AJ$2)</f>
        <v/>
      </c>
      <c r="AK284" s="117" t="inlineStr">
        <is>
          <t>A</t>
        </is>
      </c>
      <c r="AL284" s="117" t="inlineStr">
        <is>
          <t>A+</t>
        </is>
      </c>
      <c r="AM284" s="117" t="inlineStr">
        <is>
          <t>B+</t>
        </is>
      </c>
      <c r="AN284" s="117">
        <f>IF(AI284="","",$AN$2)</f>
        <v/>
      </c>
      <c r="AO284" s="117">
        <f>IF(N284="","",IF(N284&gt;=$AO$1/100,"O","X"))</f>
        <v/>
      </c>
      <c r="AP284" s="117">
        <f>IF(I284="","",IF(I284&lt;=$AP$1,"O","X"))</f>
        <v/>
      </c>
      <c r="AQ284" s="117">
        <f>IF(O284="","",IF(O284&lt;=$AQ$1,"O","X"))</f>
        <v/>
      </c>
      <c r="AR284" s="117">
        <f>IF(M284="","",IF(M284&lt;=$AR$1,"O","X"))</f>
        <v/>
      </c>
      <c r="AS284" s="117" t="inlineStr">
        <is>
          <t>X</t>
        </is>
      </c>
      <c r="AT284" s="117">
        <f>IF(OR(F284="",AI284=""),"",IF(AND((F284&lt;=85),(AI284&gt;=15)),"O","X"))</f>
        <v/>
      </c>
      <c r="AU284" s="117">
        <f>IF(C284="","",IF(C284&gt;=$AU$1,"O","X"))</f>
        <v/>
      </c>
      <c r="AV284" s="117">
        <f>IF(AO284="","",IF(AND(AO284="O",AP284="O",AR284="O",AT284="O",AU284="O"),"후보","X"))</f>
        <v/>
      </c>
    </row>
    <row r="285" ht="12" customFormat="1" customHeight="1" s="38">
      <c r="A285" s="120" t="inlineStr">
        <is>
          <t>작전동 브라운스톤계양스카이</t>
        </is>
      </c>
      <c r="B285" s="121" t="inlineStr">
        <is>
          <t>20.10.</t>
        </is>
      </c>
      <c r="C285" s="129" t="n">
        <v>282</v>
      </c>
      <c r="D285" s="130" t="n">
        <v>85.3</v>
      </c>
      <c r="E285" s="131" t="n">
        <v>26</v>
      </c>
      <c r="F285" s="130" t="n">
        <v>59.9</v>
      </c>
      <c r="G285" s="17" t="n">
        <v>18</v>
      </c>
      <c r="H285" s="132" t="n">
        <v>36</v>
      </c>
      <c r="I285" s="133" t="n"/>
      <c r="J285" s="133" t="n"/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inlineStr">
        <is>
          <t>85A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17">
        <f>S285</f>
        <v/>
      </c>
      <c r="AF285" s="117">
        <f>Q285&amp;"/"&amp;R285</f>
        <v/>
      </c>
      <c r="AH285" s="20">
        <f>IF(A285="","",A285)</f>
        <v/>
      </c>
      <c r="AI285" s="131">
        <f>IF(E285="","",E285)</f>
        <v/>
      </c>
      <c r="AJ285" s="117">
        <f>IF(AI285="","",$AJ$2)</f>
        <v/>
      </c>
      <c r="AK285" s="117" t="inlineStr">
        <is>
          <t>A</t>
        </is>
      </c>
      <c r="AL285" s="117" t="inlineStr">
        <is>
          <t>A+</t>
        </is>
      </c>
      <c r="AM285" s="117" t="inlineStr">
        <is>
          <t>B+</t>
        </is>
      </c>
      <c r="AN285" s="117">
        <f>IF(AI285="","",$AN$2)</f>
        <v/>
      </c>
      <c r="AO285" s="117">
        <f>IF(N285="","",IF(N285&gt;=$AO$1/100,"O","X"))</f>
        <v/>
      </c>
      <c r="AP285" s="117">
        <f>IF(I285="","",IF(I285&lt;=$AP$1,"O","X"))</f>
        <v/>
      </c>
      <c r="AQ285" s="117">
        <f>IF(O285="","",IF(O285&lt;=$AQ$1,"O","X"))</f>
        <v/>
      </c>
      <c r="AR285" s="117">
        <f>IF(M285="","",IF(M285&lt;=$AR$1,"O","X"))</f>
        <v/>
      </c>
      <c r="AS285" s="117" t="inlineStr">
        <is>
          <t>X</t>
        </is>
      </c>
      <c r="AT285" s="117">
        <f>IF(OR(F285="",AI285=""),"",IF(AND((F285&lt;=85),(AI285&gt;=15)),"O","X"))</f>
        <v/>
      </c>
      <c r="AU285" s="117">
        <f>IF(C285="","",IF(C285&gt;=$AU$1,"O","X"))</f>
        <v/>
      </c>
      <c r="AV285" s="117">
        <f>IF(AO285="","",IF(AND(AO285="O",AP285="O",AR285="O",AT285="O",AU285="O"),"후보","X"))</f>
        <v/>
      </c>
    </row>
    <row r="286" ht="12" customFormat="1" customHeight="1" s="38">
      <c r="A286" s="120" t="inlineStr">
        <is>
          <t>작전동 브라운스톤계양스카이</t>
        </is>
      </c>
      <c r="B286" s="121" t="inlineStr">
        <is>
          <t>20.10.</t>
        </is>
      </c>
      <c r="C286" s="129" t="n">
        <v>282</v>
      </c>
      <c r="D286" s="130" t="n">
        <v>85.5</v>
      </c>
      <c r="E286" s="131" t="n">
        <v>26</v>
      </c>
      <c r="F286" s="130" t="n">
        <v>59.9</v>
      </c>
      <c r="G286" s="17" t="n">
        <v>18</v>
      </c>
      <c r="H286" s="132" t="n">
        <v>10</v>
      </c>
      <c r="I286" s="133" t="n"/>
      <c r="J286" s="133" t="n"/>
      <c r="K286" s="133" t="n"/>
      <c r="L286" s="133" t="n"/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85C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17">
        <f>S286</f>
        <v/>
      </c>
      <c r="AF286" s="117">
        <f>Q286&amp;"/"&amp;R286</f>
        <v/>
      </c>
      <c r="AH286" s="20">
        <f>IF(A286="","",A286)</f>
        <v/>
      </c>
      <c r="AI286" s="131">
        <f>IF(E286="","",E286)</f>
        <v/>
      </c>
      <c r="AJ286" s="117">
        <f>IF(AI286="","",$AJ$2)</f>
        <v/>
      </c>
      <c r="AK286" s="117" t="inlineStr">
        <is>
          <t>A</t>
        </is>
      </c>
      <c r="AL286" s="117" t="inlineStr">
        <is>
          <t>A+</t>
        </is>
      </c>
      <c r="AM286" s="117" t="inlineStr">
        <is>
          <t>B+</t>
        </is>
      </c>
      <c r="AN286" s="117">
        <f>IF(AI286="","",$AN$2)</f>
        <v/>
      </c>
      <c r="AO286" s="117">
        <f>IF(N286="","",IF(N286&gt;=$AO$1/100,"O","X"))</f>
        <v/>
      </c>
      <c r="AP286" s="117">
        <f>IF(I286="","",IF(I286&lt;=$AP$1,"O","X"))</f>
        <v/>
      </c>
      <c r="AQ286" s="117">
        <f>IF(O286="","",IF(O286&lt;=$AQ$1,"O","X"))</f>
        <v/>
      </c>
      <c r="AR286" s="117">
        <f>IF(M286="","",IF(M286&lt;=$AR$1,"O","X"))</f>
        <v/>
      </c>
      <c r="AS286" s="117" t="inlineStr">
        <is>
          <t>X</t>
        </is>
      </c>
      <c r="AT286" s="117">
        <f>IF(OR(F286="",AI286=""),"",IF(AND((F286&lt;=85),(AI286&gt;=15)),"O","X"))</f>
        <v/>
      </c>
      <c r="AU286" s="117">
        <f>IF(C286="","",IF(C286&gt;=$AU$1,"O","X"))</f>
        <v/>
      </c>
      <c r="AV286" s="117">
        <f>IF(AO286="","",IF(AND(AO286="O",AP286="O",AR286="O",AT286="O",AU286="O"),"후보","X"))</f>
        <v/>
      </c>
    </row>
    <row r="287" ht="12" customFormat="1" customHeight="1" s="38">
      <c r="A287" s="120" t="inlineStr">
        <is>
          <t>작전동 브라운스톤계양스카이</t>
        </is>
      </c>
      <c r="B287" s="121" t="inlineStr">
        <is>
          <t>20.10.</t>
        </is>
      </c>
      <c r="C287" s="129" t="n">
        <v>282</v>
      </c>
      <c r="D287" s="130" t="n">
        <v>100.5</v>
      </c>
      <c r="E287" s="131" t="n">
        <v>30</v>
      </c>
      <c r="F287" s="130" t="n">
        <v>75.7</v>
      </c>
      <c r="G287" s="17" t="n">
        <v>23</v>
      </c>
      <c r="H287" s="132" t="n">
        <v>54</v>
      </c>
      <c r="I287" s="133" t="n"/>
      <c r="J287" s="133" t="n"/>
      <c r="K287" s="133" t="n"/>
      <c r="L287" s="133" t="n"/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inlineStr">
        <is>
          <t>100A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17">
        <f>S287</f>
        <v/>
      </c>
      <c r="AF287" s="117">
        <f>Q287&amp;"/"&amp;R287</f>
        <v/>
      </c>
      <c r="AH287" s="20">
        <f>IF(A287="","",A287)</f>
        <v/>
      </c>
      <c r="AI287" s="131">
        <f>IF(E287="","",E287)</f>
        <v/>
      </c>
      <c r="AJ287" s="117">
        <f>IF(AI287="","",$AJ$2)</f>
        <v/>
      </c>
      <c r="AK287" s="117" t="inlineStr">
        <is>
          <t>A</t>
        </is>
      </c>
      <c r="AL287" s="117" t="inlineStr">
        <is>
          <t>A+</t>
        </is>
      </c>
      <c r="AM287" s="117" t="inlineStr">
        <is>
          <t>B+</t>
        </is>
      </c>
      <c r="AN287" s="117">
        <f>IF(AI287="","",$AN$2)</f>
        <v/>
      </c>
      <c r="AO287" s="117">
        <f>IF(N287="","",IF(N287&gt;=$AO$1/100,"O","X"))</f>
        <v/>
      </c>
      <c r="AP287" s="117">
        <f>IF(I287="","",IF(I287&lt;=$AP$1,"O","X"))</f>
        <v/>
      </c>
      <c r="AQ287" s="117">
        <f>IF(O287="","",IF(O287&lt;=$AQ$1,"O","X"))</f>
        <v/>
      </c>
      <c r="AR287" s="117">
        <f>IF(M287="","",IF(M287&lt;=$AR$1,"O","X"))</f>
        <v/>
      </c>
      <c r="AS287" s="117" t="inlineStr">
        <is>
          <t>X</t>
        </is>
      </c>
      <c r="AT287" s="117">
        <f>IF(OR(F287="",AI287=""),"",IF(AND((F287&lt;=85),(AI287&gt;=15)),"O","X"))</f>
        <v/>
      </c>
      <c r="AU287" s="117">
        <f>IF(C287="","",IF(C287&gt;=$AU$1,"O","X"))</f>
        <v/>
      </c>
      <c r="AV287" s="117">
        <f>IF(AO287="","",IF(AND(AO287="O",AP287="O",AR287="O",AT287="O",AU287="O"),"후보","X"))</f>
        <v/>
      </c>
    </row>
    <row r="288" ht="12" customFormat="1" customHeight="1" s="38">
      <c r="A288" s="120" t="inlineStr">
        <is>
          <t>작전동 브라운스톤계양스카이</t>
        </is>
      </c>
      <c r="B288" s="121" t="inlineStr">
        <is>
          <t>20.10.</t>
        </is>
      </c>
      <c r="C288" s="129" t="n">
        <v>282</v>
      </c>
      <c r="D288" s="130" t="n">
        <v>101.3</v>
      </c>
      <c r="E288" s="131" t="n">
        <v>31</v>
      </c>
      <c r="F288" s="130" t="n">
        <v>75.5</v>
      </c>
      <c r="G288" s="17" t="n">
        <v>23</v>
      </c>
      <c r="H288" s="132" t="n">
        <v>57</v>
      </c>
      <c r="I288" s="133" t="n"/>
      <c r="J288" s="133" t="n"/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101B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17">
        <f>S288</f>
        <v/>
      </c>
      <c r="AF288" s="117">
        <f>Q288&amp;"/"&amp;R288</f>
        <v/>
      </c>
      <c r="AH288" s="20">
        <f>IF(A288="","",A288)</f>
        <v/>
      </c>
      <c r="AI288" s="131">
        <f>IF(E288="","",E288)</f>
        <v/>
      </c>
      <c r="AJ288" s="117">
        <f>IF(AI288="","",$AJ$2)</f>
        <v/>
      </c>
      <c r="AK288" s="117" t="inlineStr">
        <is>
          <t>A</t>
        </is>
      </c>
      <c r="AL288" s="117" t="inlineStr">
        <is>
          <t>A+</t>
        </is>
      </c>
      <c r="AM288" s="117" t="inlineStr">
        <is>
          <t>B+</t>
        </is>
      </c>
      <c r="AN288" s="117">
        <f>IF(AI288="","",$AN$2)</f>
        <v/>
      </c>
      <c r="AO288" s="117">
        <f>IF(N288="","",IF(N288&gt;=$AO$1/100,"O","X"))</f>
        <v/>
      </c>
      <c r="AP288" s="117">
        <f>IF(I288="","",IF(I288&lt;=$AP$1,"O","X"))</f>
        <v/>
      </c>
      <c r="AQ288" s="117">
        <f>IF(O288="","",IF(O288&lt;=$AQ$1,"O","X"))</f>
        <v/>
      </c>
      <c r="AR288" s="117">
        <f>IF(M288="","",IF(M288&lt;=$AR$1,"O","X"))</f>
        <v/>
      </c>
      <c r="AS288" s="117" t="inlineStr">
        <is>
          <t>X</t>
        </is>
      </c>
      <c r="AT288" s="117">
        <f>IF(OR(F288="",AI288=""),"",IF(AND((F288&lt;=85),(AI288&gt;=15)),"O","X"))</f>
        <v/>
      </c>
      <c r="AU288" s="117">
        <f>IF(C288="","",IF(C288&gt;=$AU$1,"O","X"))</f>
        <v/>
      </c>
      <c r="AV288" s="117">
        <f>IF(AO288="","",IF(AND(AO288="O",AP288="O",AR288="O",AT288="O",AU288="O"),"후보","X"))</f>
        <v/>
      </c>
    </row>
    <row r="289" ht="12" customFormat="1" customHeight="1" s="38">
      <c r="A289" s="120" t="inlineStr">
        <is>
          <t>작전동 브라운스톤계양스카이</t>
        </is>
      </c>
      <c r="B289" s="121" t="inlineStr">
        <is>
          <t>20.10.</t>
        </is>
      </c>
      <c r="C289" s="129" t="n">
        <v>282</v>
      </c>
      <c r="D289" s="130" t="n">
        <v>113.7</v>
      </c>
      <c r="E289" s="131" t="n">
        <v>34</v>
      </c>
      <c r="F289" s="130" t="n">
        <v>85</v>
      </c>
      <c r="G289" s="17" t="n">
        <v>26</v>
      </c>
      <c r="H289" s="132" t="n">
        <v>64</v>
      </c>
      <c r="I289" s="133" t="n"/>
      <c r="J289" s="133" t="n"/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113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17">
        <f>S289</f>
        <v/>
      </c>
      <c r="AF289" s="117">
        <f>Q289&amp;"/"&amp;R289</f>
        <v/>
      </c>
      <c r="AH289" s="20">
        <f>IF(A289="","",A289)</f>
        <v/>
      </c>
      <c r="AI289" s="131">
        <f>IF(E289="","",E289)</f>
        <v/>
      </c>
      <c r="AJ289" s="117">
        <f>IF(AI289="","",$AJ$2)</f>
        <v/>
      </c>
      <c r="AK289" s="117" t="inlineStr">
        <is>
          <t>A</t>
        </is>
      </c>
      <c r="AL289" s="117" t="inlineStr">
        <is>
          <t>A+</t>
        </is>
      </c>
      <c r="AM289" s="117" t="inlineStr">
        <is>
          <t>B+</t>
        </is>
      </c>
      <c r="AN289" s="117">
        <f>IF(AI289="","",$AN$2)</f>
        <v/>
      </c>
      <c r="AO289" s="117">
        <f>IF(N289="","",IF(N289&gt;=$AO$1/100,"O","X"))</f>
        <v/>
      </c>
      <c r="AP289" s="117">
        <f>IF(I289="","",IF(I289&lt;=$AP$1,"O","X"))</f>
        <v/>
      </c>
      <c r="AQ289" s="117">
        <f>IF(O289="","",IF(O289&lt;=$AQ$1,"O","X"))</f>
        <v/>
      </c>
      <c r="AR289" s="117">
        <f>IF(M289="","",IF(M289&lt;=$AR$1,"O","X"))</f>
        <v/>
      </c>
      <c r="AS289" s="117" t="inlineStr">
        <is>
          <t>X</t>
        </is>
      </c>
      <c r="AT289" s="117">
        <f>IF(OR(F289="",AI289=""),"",IF(AND((F289&lt;=85),(AI289&gt;=15)),"O","X"))</f>
        <v/>
      </c>
      <c r="AU289" s="117">
        <f>IF(C289="","",IF(C289&gt;=$AU$1,"O","X"))</f>
        <v/>
      </c>
      <c r="AV289" s="117">
        <f>IF(AO289="","",IF(AND(AO289="O",AP289="O",AR289="O",AT289="O",AU289="O"),"후보","X"))</f>
        <v/>
      </c>
    </row>
    <row r="290" ht="12" customFormat="1" customHeight="1" s="38">
      <c r="A290" s="120" t="inlineStr">
        <is>
          <t>작전동 현광</t>
        </is>
      </c>
      <c r="B290" s="121" t="inlineStr">
        <is>
          <t>92.08.</t>
        </is>
      </c>
      <c r="C290" s="129" t="n">
        <v>392</v>
      </c>
      <c r="D290" s="130" t="n">
        <v>73.90000000000001</v>
      </c>
      <c r="E290" s="131" t="n">
        <v>22</v>
      </c>
      <c r="F290" s="130" t="n">
        <v>56.9</v>
      </c>
      <c r="G290" s="17" t="n">
        <v>17</v>
      </c>
      <c r="H290" s="132" t="n">
        <v>140</v>
      </c>
      <c r="I290" s="133" t="n">
        <v>19500</v>
      </c>
      <c r="J290" s="133" t="inlineStr">
        <is>
          <t>18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17" t="n">
        <v>3</v>
      </c>
      <c r="R290" s="117" t="n">
        <v>1</v>
      </c>
      <c r="S290" s="117" t="inlineStr">
        <is>
          <t>복</t>
        </is>
      </c>
      <c r="T290" s="5" t="n">
        <v>73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17">
        <f>S290</f>
        <v/>
      </c>
      <c r="AF290" s="117">
        <f>Q290&amp;"/"&amp;R290</f>
        <v/>
      </c>
      <c r="AH290" s="20">
        <f>IF(A290="","",A290)</f>
        <v/>
      </c>
      <c r="AI290" s="131">
        <f>IF(E290="","",E290)</f>
        <v/>
      </c>
      <c r="AJ290" s="117">
        <f>IF(AI290="","",$AJ$2)</f>
        <v/>
      </c>
      <c r="AK290" s="117" t="inlineStr">
        <is>
          <t>A</t>
        </is>
      </c>
      <c r="AL290" s="117" t="inlineStr">
        <is>
          <t>A+</t>
        </is>
      </c>
      <c r="AM290" s="117" t="inlineStr">
        <is>
          <t>B+</t>
        </is>
      </c>
      <c r="AN290" s="117">
        <f>IF(AI290="","",$AN$2)</f>
        <v/>
      </c>
      <c r="AO290" s="117">
        <f>IF(N290="","",IF(N290&gt;=$AO$1/100,"O","X"))</f>
        <v/>
      </c>
      <c r="AP290" s="117">
        <f>IF(I290="","",IF(I290&lt;=$AP$1,"O","X"))</f>
        <v/>
      </c>
      <c r="AQ290" s="117">
        <f>IF(O290="","",IF(O290&lt;=$AQ$1,"O","X"))</f>
        <v/>
      </c>
      <c r="AR290" s="117">
        <f>IF(M290="","",IF(M290&lt;=$AR$1,"O","X"))</f>
        <v/>
      </c>
      <c r="AS290" s="117" t="inlineStr">
        <is>
          <t>X</t>
        </is>
      </c>
      <c r="AT290" s="117">
        <f>IF(OR(F290="",AI290=""),"",IF(AND((F290&lt;=85),(AI290&gt;=15)),"O","X"))</f>
        <v/>
      </c>
      <c r="AU290" s="117">
        <f>IF(C290="","",IF(C290&gt;=$AU$1,"O","X"))</f>
        <v/>
      </c>
      <c r="AV290" s="117">
        <f>IF(AO290="","",IF(AND(AO290="O",AP290="O",AR290="O",AT290="O",AU290="O"),"후보","X"))</f>
        <v/>
      </c>
    </row>
    <row r="291" ht="12" customFormat="1" customHeight="1" s="38">
      <c r="A291" s="120" t="inlineStr">
        <is>
          <t>작전동 현광</t>
        </is>
      </c>
      <c r="B291" s="121" t="inlineStr">
        <is>
          <t>92.08.</t>
        </is>
      </c>
      <c r="C291" s="129" t="n">
        <v>392</v>
      </c>
      <c r="D291" s="130" t="n">
        <v>77.8</v>
      </c>
      <c r="E291" s="131" t="n">
        <v>24</v>
      </c>
      <c r="F291" s="130" t="n">
        <v>59.7</v>
      </c>
      <c r="G291" s="17" t="n">
        <v>18</v>
      </c>
      <c r="H291" s="132" t="n">
        <v>203</v>
      </c>
      <c r="I291" s="133" t="n">
        <v>22000</v>
      </c>
      <c r="J291" s="133" t="inlineStr">
        <is>
          <t>5</t>
        </is>
      </c>
      <c r="K291" s="133" t="n">
        <v>18000</v>
      </c>
      <c r="L291" s="133" t="inlineStr">
        <is>
          <t>중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17" t="n">
        <v>3</v>
      </c>
      <c r="R291" s="117" t="n">
        <v>1</v>
      </c>
      <c r="S291" s="117" t="inlineStr">
        <is>
          <t>복</t>
        </is>
      </c>
      <c r="T291" s="5" t="n">
        <v>77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17">
        <f>S291</f>
        <v/>
      </c>
      <c r="AF291" s="117">
        <f>Q291&amp;"/"&amp;R291</f>
        <v/>
      </c>
      <c r="AH291" s="20">
        <f>IF(A291="","",A291)</f>
        <v/>
      </c>
      <c r="AI291" s="131">
        <f>IF(E291="","",E291)</f>
        <v/>
      </c>
      <c r="AJ291" s="117">
        <f>IF(AI291="","",$AJ$2)</f>
        <v/>
      </c>
      <c r="AK291" s="117" t="inlineStr">
        <is>
          <t>A</t>
        </is>
      </c>
      <c r="AL291" s="117" t="inlineStr">
        <is>
          <t>A+</t>
        </is>
      </c>
      <c r="AM291" s="117" t="inlineStr">
        <is>
          <t>B+</t>
        </is>
      </c>
      <c r="AN291" s="117">
        <f>IF(AI291="","",$AN$2)</f>
        <v/>
      </c>
      <c r="AO291" s="117">
        <f>IF(N291="","",IF(N291&gt;=$AO$1/100,"O","X"))</f>
        <v/>
      </c>
      <c r="AP291" s="117">
        <f>IF(I291="","",IF(I291&lt;=$AP$1,"O","X"))</f>
        <v/>
      </c>
      <c r="AQ291" s="117">
        <f>IF(O291="","",IF(O291&lt;=$AQ$1,"O","X"))</f>
        <v/>
      </c>
      <c r="AR291" s="117">
        <f>IF(M291="","",IF(M291&lt;=$AR$1,"O","X"))</f>
        <v/>
      </c>
      <c r="AS291" s="117" t="inlineStr">
        <is>
          <t>X</t>
        </is>
      </c>
      <c r="AT291" s="117">
        <f>IF(OR(F291="",AI291=""),"",IF(AND((F291&lt;=85),(AI291&gt;=15)),"O","X"))</f>
        <v/>
      </c>
      <c r="AU291" s="117">
        <f>IF(C291="","",IF(C291&gt;=$AU$1,"O","X"))</f>
        <v/>
      </c>
      <c r="AV291" s="117">
        <f>IF(AO291="","",IF(AND(AO291="O",AP291="O",AR291="O",AT291="O",AU291="O"),"후보","X"))</f>
        <v/>
      </c>
    </row>
    <row r="292" ht="12" customFormat="1" customHeight="1" s="38">
      <c r="A292" s="120" t="inlineStr">
        <is>
          <t>작전동 현광</t>
        </is>
      </c>
      <c r="B292" s="121" t="inlineStr">
        <is>
          <t>92.08.</t>
        </is>
      </c>
      <c r="C292" s="129" t="n">
        <v>392</v>
      </c>
      <c r="D292" s="130" t="n">
        <v>85.8</v>
      </c>
      <c r="E292" s="131" t="n">
        <v>26</v>
      </c>
      <c r="F292" s="130" t="n">
        <v>65.3</v>
      </c>
      <c r="G292" s="17" t="n">
        <v>20</v>
      </c>
      <c r="H292" s="132" t="n">
        <v>49</v>
      </c>
      <c r="I292" s="133" t="n">
        <v>23000</v>
      </c>
      <c r="J292" s="133" t="inlineStr">
        <is>
          <t>17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17" t="n">
        <v>3</v>
      </c>
      <c r="R292" s="117" t="n">
        <v>1</v>
      </c>
      <c r="S292" s="117" t="inlineStr">
        <is>
          <t>복</t>
        </is>
      </c>
      <c r="T292" s="5" t="n">
        <v>85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17">
        <f>S292</f>
        <v/>
      </c>
      <c r="AF292" s="117">
        <f>Q292&amp;"/"&amp;R292</f>
        <v/>
      </c>
      <c r="AH292" s="20">
        <f>IF(A292="","",A292)</f>
        <v/>
      </c>
      <c r="AI292" s="131">
        <f>IF(E292="","",E292)</f>
        <v/>
      </c>
      <c r="AJ292" s="117">
        <f>IF(AI292="","",$AJ$2)</f>
        <v/>
      </c>
      <c r="AK292" s="117" t="inlineStr">
        <is>
          <t>A</t>
        </is>
      </c>
      <c r="AL292" s="117" t="inlineStr">
        <is>
          <t>A+</t>
        </is>
      </c>
      <c r="AM292" s="117" t="inlineStr">
        <is>
          <t>B+</t>
        </is>
      </c>
      <c r="AN292" s="117">
        <f>IF(AI292="","",$AN$2)</f>
        <v/>
      </c>
      <c r="AO292" s="117">
        <f>IF(N292="","",IF(N292&gt;=$AO$1/100,"O","X"))</f>
        <v/>
      </c>
      <c r="AP292" s="117">
        <f>IF(I292="","",IF(I292&lt;=$AP$1,"O","X"))</f>
        <v/>
      </c>
      <c r="AQ292" s="117">
        <f>IF(O292="","",IF(O292&lt;=$AQ$1,"O","X"))</f>
        <v/>
      </c>
      <c r="AR292" s="117">
        <f>IF(M292="","",IF(M292&lt;=$AR$1,"O","X"))</f>
        <v/>
      </c>
      <c r="AS292" s="117" t="inlineStr">
        <is>
          <t>X</t>
        </is>
      </c>
      <c r="AT292" s="117">
        <f>IF(OR(F292="",AI292=""),"",IF(AND((F292&lt;=85),(AI292&gt;=15)),"O","X"))</f>
        <v/>
      </c>
      <c r="AU292" s="117">
        <f>IF(C292="","",IF(C292&gt;=$AU$1,"O","X"))</f>
        <v/>
      </c>
      <c r="AV292" s="117">
        <f>IF(AO292="","",IF(AND(AO292="O",AP292="O",AR292="O",AT292="O",AU292="O"),"후보","X"))</f>
        <v/>
      </c>
    </row>
    <row r="293" ht="12" customFormat="1" customHeight="1" s="38">
      <c r="A293" s="120" t="inlineStr">
        <is>
          <t>작전동 까치마을태화,한진</t>
        </is>
      </c>
      <c r="B293" s="121" t="inlineStr">
        <is>
          <t>97.11.</t>
        </is>
      </c>
      <c r="C293" s="129" t="n">
        <v>1674</v>
      </c>
      <c r="D293" s="130" t="n">
        <v>54.3</v>
      </c>
      <c r="E293" s="131" t="n">
        <v>16</v>
      </c>
      <c r="F293" s="130" t="n">
        <v>37.4</v>
      </c>
      <c r="G293" s="17" t="n">
        <v>11</v>
      </c>
      <c r="H293" s="132" t="n">
        <v>712</v>
      </c>
      <c r="I293" s="133" t="n">
        <v>18800</v>
      </c>
      <c r="J293" s="133" t="inlineStr">
        <is>
          <t>12</t>
        </is>
      </c>
      <c r="K293" s="133" t="n">
        <v>16000</v>
      </c>
      <c r="L293" s="133" t="inlineStr">
        <is>
          <t>6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17" t="n">
        <v>2</v>
      </c>
      <c r="R293" s="117" t="n">
        <v>1</v>
      </c>
      <c r="S293" s="117" t="inlineStr">
        <is>
          <t>복</t>
        </is>
      </c>
      <c r="T293" s="5" t="n">
        <v>54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17">
        <f>S293</f>
        <v/>
      </c>
      <c r="AF293" s="117">
        <f>Q293&amp;"/"&amp;R293</f>
        <v/>
      </c>
      <c r="AH293" s="20">
        <f>IF(A293="","",A293)</f>
        <v/>
      </c>
      <c r="AI293" s="131">
        <f>IF(E293="","",E293)</f>
        <v/>
      </c>
      <c r="AJ293" s="117">
        <f>IF(AI293="","",$AJ$2)</f>
        <v/>
      </c>
      <c r="AK293" s="117" t="inlineStr">
        <is>
          <t>A</t>
        </is>
      </c>
      <c r="AL293" s="117" t="inlineStr">
        <is>
          <t>A+</t>
        </is>
      </c>
      <c r="AM293" s="117" t="inlineStr">
        <is>
          <t>B+</t>
        </is>
      </c>
      <c r="AN293" s="117">
        <f>IF(AI293="","",$AN$2)</f>
        <v/>
      </c>
      <c r="AO293" s="117">
        <f>IF(N293="","",IF(N293&gt;=$AO$1/100,"O","X"))</f>
        <v/>
      </c>
      <c r="AP293" s="117">
        <f>IF(I293="","",IF(I293&lt;=$AP$1,"O","X"))</f>
        <v/>
      </c>
      <c r="AQ293" s="117">
        <f>IF(O293="","",IF(O293&lt;=$AQ$1,"O","X"))</f>
        <v/>
      </c>
      <c r="AR293" s="117">
        <f>IF(M293="","",IF(M293&lt;=$AR$1,"O","X"))</f>
        <v/>
      </c>
      <c r="AS293" s="117" t="inlineStr">
        <is>
          <t>X</t>
        </is>
      </c>
      <c r="AT293" s="117">
        <f>IF(OR(F293="",AI293=""),"",IF(AND((F293&lt;=85),(AI293&gt;=15)),"O","X"))</f>
        <v/>
      </c>
      <c r="AU293" s="117">
        <f>IF(C293="","",IF(C293&gt;=$AU$1,"O","X"))</f>
        <v/>
      </c>
      <c r="AV293" s="117">
        <f>IF(AO293="","",IF(AND(AO293="O",AP293="O",AR293="O",AT293="O",AU293="O"),"후보","X"))</f>
        <v/>
      </c>
    </row>
    <row r="294" ht="12" customFormat="1" customHeight="1" s="38">
      <c r="A294" s="120" t="inlineStr">
        <is>
          <t>작전동 까치마을태화,한진</t>
        </is>
      </c>
      <c r="B294" s="121" t="inlineStr">
        <is>
          <t>97.11.</t>
        </is>
      </c>
      <c r="C294" s="129" t="n">
        <v>1674</v>
      </c>
      <c r="D294" s="130" t="n">
        <v>54.7</v>
      </c>
      <c r="E294" s="131" t="n">
        <v>17</v>
      </c>
      <c r="F294" s="130" t="n">
        <v>37.8</v>
      </c>
      <c r="G294" s="17" t="n">
        <v>11</v>
      </c>
      <c r="H294" s="132" t="n">
        <v>2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17" t="n">
        <v>2</v>
      </c>
      <c r="R294" s="117" t="n">
        <v>1</v>
      </c>
      <c r="S294" s="117" t="inlineStr">
        <is>
          <t>복</t>
        </is>
      </c>
      <c r="T294" s="5" t="n">
        <v>54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17">
        <f>S294</f>
        <v/>
      </c>
      <c r="AF294" s="117">
        <f>Q294&amp;"/"&amp;R294</f>
        <v/>
      </c>
      <c r="AH294" s="20">
        <f>IF(A294="","",A294)</f>
        <v/>
      </c>
      <c r="AI294" s="131">
        <f>IF(E294="","",E294)</f>
        <v/>
      </c>
      <c r="AJ294" s="117">
        <f>IF(AI294="","",$AJ$2)</f>
        <v/>
      </c>
      <c r="AK294" s="117" t="inlineStr">
        <is>
          <t>A</t>
        </is>
      </c>
      <c r="AL294" s="117" t="inlineStr">
        <is>
          <t>A+</t>
        </is>
      </c>
      <c r="AM294" s="117" t="inlineStr">
        <is>
          <t>B+</t>
        </is>
      </c>
      <c r="AN294" s="117">
        <f>IF(AI294="","",$AN$2)</f>
        <v/>
      </c>
      <c r="AO294" s="117">
        <f>IF(N294="","",IF(N294&gt;=$AO$1/100,"O","X"))</f>
        <v/>
      </c>
      <c r="AP294" s="117">
        <f>IF(I294="","",IF(I294&lt;=$AP$1,"O","X"))</f>
        <v/>
      </c>
      <c r="AQ294" s="117">
        <f>IF(O294="","",IF(O294&lt;=$AQ$1,"O","X"))</f>
        <v/>
      </c>
      <c r="AR294" s="117">
        <f>IF(M294="","",IF(M294&lt;=$AR$1,"O","X"))</f>
        <v/>
      </c>
      <c r="AS294" s="117" t="inlineStr">
        <is>
          <t>X</t>
        </is>
      </c>
      <c r="AT294" s="117">
        <f>IF(OR(F294="",AI294=""),"",IF(AND((F294&lt;=85),(AI294&gt;=15)),"O","X"))</f>
        <v/>
      </c>
      <c r="AU294" s="117">
        <f>IF(C294="","",IF(C294&gt;=$AU$1,"O","X"))</f>
        <v/>
      </c>
      <c r="AV294" s="117">
        <f>IF(AO294="","",IF(AND(AO294="O",AP294="O",AR294="O",AT294="O",AU294="O"),"후보","X"))</f>
        <v/>
      </c>
    </row>
    <row r="295" ht="12" customFormat="1" customHeight="1" s="38">
      <c r="A295" s="120" t="inlineStr">
        <is>
          <t>작전동 까치마을태화,한진</t>
        </is>
      </c>
      <c r="B295" s="121" t="inlineStr">
        <is>
          <t>97.11.</t>
        </is>
      </c>
      <c r="C295" s="129" t="n">
        <v>1674</v>
      </c>
      <c r="D295" s="130" t="n">
        <v>81.2</v>
      </c>
      <c r="E295" s="131" t="n">
        <v>25</v>
      </c>
      <c r="F295" s="130" t="n">
        <v>59.9</v>
      </c>
      <c r="G295" s="17" t="n">
        <v>18</v>
      </c>
      <c r="H295" s="132" t="n">
        <v>960</v>
      </c>
      <c r="I295" s="133" t="n">
        <v>35000</v>
      </c>
      <c r="J295" s="133" t="inlineStr">
        <is>
          <t>14</t>
        </is>
      </c>
      <c r="K295" s="133" t="n">
        <v>27000</v>
      </c>
      <c r="L295" s="133" t="inlineStr">
        <is>
          <t>6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81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17">
        <f>S295</f>
        <v/>
      </c>
      <c r="AF295" s="117">
        <f>Q295&amp;"/"&amp;R295</f>
        <v/>
      </c>
      <c r="AH295" s="20">
        <f>IF(A295="","",A295)</f>
        <v/>
      </c>
      <c r="AI295" s="131">
        <f>IF(E295="","",E295)</f>
        <v/>
      </c>
      <c r="AJ295" s="117">
        <f>IF(AI295="","",$AJ$2)</f>
        <v/>
      </c>
      <c r="AK295" s="117" t="inlineStr">
        <is>
          <t>A</t>
        </is>
      </c>
      <c r="AL295" s="117" t="inlineStr">
        <is>
          <t>A+</t>
        </is>
      </c>
      <c r="AM295" s="117" t="inlineStr">
        <is>
          <t>B+</t>
        </is>
      </c>
      <c r="AN295" s="117">
        <f>IF(AI295="","",$AN$2)</f>
        <v/>
      </c>
      <c r="AO295" s="117">
        <f>IF(N295="","",IF(N295&gt;=$AO$1/100,"O","X"))</f>
        <v/>
      </c>
      <c r="AP295" s="117">
        <f>IF(I295="","",IF(I295&lt;=$AP$1,"O","X"))</f>
        <v/>
      </c>
      <c r="AQ295" s="117">
        <f>IF(O295="","",IF(O295&lt;=$AQ$1,"O","X"))</f>
        <v/>
      </c>
      <c r="AR295" s="117">
        <f>IF(M295="","",IF(M295&lt;=$AR$1,"O","X"))</f>
        <v/>
      </c>
      <c r="AS295" s="117" t="inlineStr">
        <is>
          <t>X</t>
        </is>
      </c>
      <c r="AT295" s="117">
        <f>IF(OR(F295="",AI295=""),"",IF(AND((F295&lt;=85),(AI295&gt;=15)),"O","X"))</f>
        <v/>
      </c>
      <c r="AU295" s="117">
        <f>IF(C295="","",IF(C295&gt;=$AU$1,"O","X"))</f>
        <v/>
      </c>
      <c r="AV295" s="117">
        <f>IF(AO295="","",IF(AND(AO295="O",AP295="O",AR295="O",AT295="O",AU295="O"),"후보","X"))</f>
        <v/>
      </c>
    </row>
    <row r="296" ht="12" customFormat="1" customHeight="1" s="38">
      <c r="A296" s="120" t="inlineStr">
        <is>
          <t>작전동 코오롱</t>
        </is>
      </c>
      <c r="B296" s="121" t="inlineStr">
        <is>
          <t>89.10.</t>
        </is>
      </c>
      <c r="C296" s="129" t="n">
        <v>480</v>
      </c>
      <c r="D296" s="130" t="n">
        <v>64.90000000000001</v>
      </c>
      <c r="E296" s="131" t="n">
        <v>20</v>
      </c>
      <c r="F296" s="130" t="n">
        <v>53.1</v>
      </c>
      <c r="G296" s="17" t="n">
        <v>16</v>
      </c>
      <c r="H296" s="132" t="n">
        <v>180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17" t="n">
        <v>2</v>
      </c>
      <c r="R296" s="117" t="n">
        <v>1</v>
      </c>
      <c r="S296" s="117" t="inlineStr">
        <is>
          <t>계</t>
        </is>
      </c>
      <c r="T296" s="5" t="n">
        <v>64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17">
        <f>S296</f>
        <v/>
      </c>
      <c r="AF296" s="117">
        <f>Q296&amp;"/"&amp;R296</f>
        <v/>
      </c>
      <c r="AH296" s="20">
        <f>IF(A296="","",A296)</f>
        <v/>
      </c>
      <c r="AI296" s="131">
        <f>IF(E296="","",E296)</f>
        <v/>
      </c>
      <c r="AJ296" s="117">
        <f>IF(AI296="","",$AJ$2)</f>
        <v/>
      </c>
      <c r="AK296" s="117" t="inlineStr">
        <is>
          <t>A</t>
        </is>
      </c>
      <c r="AL296" s="117" t="inlineStr">
        <is>
          <t>A+</t>
        </is>
      </c>
      <c r="AM296" s="117" t="inlineStr">
        <is>
          <t>B+</t>
        </is>
      </c>
      <c r="AN296" s="117">
        <f>IF(AI296="","",$AN$2)</f>
        <v/>
      </c>
      <c r="AO296" s="117">
        <f>IF(N296="","",IF(N296&gt;=$AO$1/100,"O","X"))</f>
        <v/>
      </c>
      <c r="AP296" s="117">
        <f>IF(I296="","",IF(I296&lt;=$AP$1,"O","X"))</f>
        <v/>
      </c>
      <c r="AQ296" s="117">
        <f>IF(O296="","",IF(O296&lt;=$AQ$1,"O","X"))</f>
        <v/>
      </c>
      <c r="AR296" s="117">
        <f>IF(M296="","",IF(M296&lt;=$AR$1,"O","X"))</f>
        <v/>
      </c>
      <c r="AS296" s="117" t="inlineStr">
        <is>
          <t>X</t>
        </is>
      </c>
      <c r="AT296" s="117">
        <f>IF(OR(F296="",AI296=""),"",IF(AND((F296&lt;=85),(AI296&gt;=15)),"O","X"))</f>
        <v/>
      </c>
      <c r="AU296" s="117">
        <f>IF(C296="","",IF(C296&gt;=$AU$1,"O","X"))</f>
        <v/>
      </c>
      <c r="AV296" s="117">
        <f>IF(AO296="","",IF(AND(AO296="O",AP296="O",AR296="O",AT296="O",AU296="O"),"후보","X"))</f>
        <v/>
      </c>
    </row>
    <row r="297" ht="12" customFormat="1" customHeight="1" s="38">
      <c r="A297" s="120" t="inlineStr">
        <is>
          <t>작전동 코오롱</t>
        </is>
      </c>
      <c r="B297" s="121" t="inlineStr">
        <is>
          <t>89.10.</t>
        </is>
      </c>
      <c r="C297" s="129" t="n">
        <v>480</v>
      </c>
      <c r="D297" s="130" t="n">
        <v>75.40000000000001</v>
      </c>
      <c r="E297" s="131" t="n">
        <v>23</v>
      </c>
      <c r="F297" s="130" t="n">
        <v>61.6</v>
      </c>
      <c r="G297" s="17" t="n">
        <v>19</v>
      </c>
      <c r="H297" s="132" t="n">
        <v>90</v>
      </c>
      <c r="I297" s="133" t="n"/>
      <c r="J297" s="133" t="n"/>
      <c r="K297" s="133" t="n"/>
      <c r="L297" s="133" t="n"/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17" t="n">
        <v>2</v>
      </c>
      <c r="R297" s="117" t="n">
        <v>1</v>
      </c>
      <c r="S297" s="117" t="inlineStr">
        <is>
          <t>계</t>
        </is>
      </c>
      <c r="T297" s="5" t="n">
        <v>75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17">
        <f>S297</f>
        <v/>
      </c>
      <c r="AF297" s="117">
        <f>Q297&amp;"/"&amp;R297</f>
        <v/>
      </c>
      <c r="AH297" s="20">
        <f>IF(A297="","",A297)</f>
        <v/>
      </c>
      <c r="AI297" s="131">
        <f>IF(E297="","",E297)</f>
        <v/>
      </c>
      <c r="AJ297" s="117">
        <f>IF(AI297="","",$AJ$2)</f>
        <v/>
      </c>
      <c r="AK297" s="117" t="inlineStr">
        <is>
          <t>A</t>
        </is>
      </c>
      <c r="AL297" s="117" t="inlineStr">
        <is>
          <t>A+</t>
        </is>
      </c>
      <c r="AM297" s="117" t="inlineStr">
        <is>
          <t>B+</t>
        </is>
      </c>
      <c r="AN297" s="117">
        <f>IF(AI297="","",$AN$2)</f>
        <v/>
      </c>
      <c r="AO297" s="117">
        <f>IF(N297="","",IF(N297&gt;=$AO$1/100,"O","X"))</f>
        <v/>
      </c>
      <c r="AP297" s="117">
        <f>IF(I297="","",IF(I297&lt;=$AP$1,"O","X"))</f>
        <v/>
      </c>
      <c r="AQ297" s="117">
        <f>IF(O297="","",IF(O297&lt;=$AQ$1,"O","X"))</f>
        <v/>
      </c>
      <c r="AR297" s="117">
        <f>IF(M297="","",IF(M297&lt;=$AR$1,"O","X"))</f>
        <v/>
      </c>
      <c r="AS297" s="117" t="inlineStr">
        <is>
          <t>X</t>
        </is>
      </c>
      <c r="AT297" s="117">
        <f>IF(OR(F297="",AI297=""),"",IF(AND((F297&lt;=85),(AI297&gt;=15)),"O","X"))</f>
        <v/>
      </c>
      <c r="AU297" s="117">
        <f>IF(C297="","",IF(C297&gt;=$AU$1,"O","X"))</f>
        <v/>
      </c>
      <c r="AV297" s="117">
        <f>IF(AO297="","",IF(AND(AO297="O",AP297="O",AR297="O",AT297="O",AU297="O"),"후보","X"))</f>
        <v/>
      </c>
    </row>
    <row r="298" ht="12" customFormat="1" customHeight="1" s="38">
      <c r="A298" s="120" t="inlineStr">
        <is>
          <t>작전동 코오롱</t>
        </is>
      </c>
      <c r="B298" s="121" t="inlineStr">
        <is>
          <t>89.10.</t>
        </is>
      </c>
      <c r="C298" s="129" t="n">
        <v>480</v>
      </c>
      <c r="D298" s="130" t="n">
        <v>80.90000000000001</v>
      </c>
      <c r="E298" s="131" t="n">
        <v>24</v>
      </c>
      <c r="F298" s="130" t="n">
        <v>66.90000000000001</v>
      </c>
      <c r="G298" s="17" t="n">
        <v>20</v>
      </c>
      <c r="H298" s="132" t="n">
        <v>60</v>
      </c>
      <c r="I298" s="133" t="n">
        <v>34000</v>
      </c>
      <c r="J298" s="133" t="inlineStr">
        <is>
          <t>11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17" t="n">
        <v>3</v>
      </c>
      <c r="R298" s="117" t="n">
        <v>1</v>
      </c>
      <c r="S298" s="117" t="inlineStr">
        <is>
          <t>계</t>
        </is>
      </c>
      <c r="T298" s="5" t="n">
        <v>80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17">
        <f>S298</f>
        <v/>
      </c>
      <c r="AF298" s="117">
        <f>Q298&amp;"/"&amp;R298</f>
        <v/>
      </c>
      <c r="AH298" s="20">
        <f>IF(A298="","",A298)</f>
        <v/>
      </c>
      <c r="AI298" s="131">
        <f>IF(E298="","",E298)</f>
        <v/>
      </c>
      <c r="AJ298" s="117">
        <f>IF(AI298="","",$AJ$2)</f>
        <v/>
      </c>
      <c r="AK298" s="117" t="inlineStr">
        <is>
          <t>A</t>
        </is>
      </c>
      <c r="AL298" s="117" t="inlineStr">
        <is>
          <t>A+</t>
        </is>
      </c>
      <c r="AM298" s="117" t="inlineStr">
        <is>
          <t>B+</t>
        </is>
      </c>
      <c r="AN298" s="117">
        <f>IF(AI298="","",$AN$2)</f>
        <v/>
      </c>
      <c r="AO298" s="117">
        <f>IF(N298="","",IF(N298&gt;=$AO$1/100,"O","X"))</f>
        <v/>
      </c>
      <c r="AP298" s="117">
        <f>IF(I298="","",IF(I298&lt;=$AP$1,"O","X"))</f>
        <v/>
      </c>
      <c r="AQ298" s="117">
        <f>IF(O298="","",IF(O298&lt;=$AQ$1,"O","X"))</f>
        <v/>
      </c>
      <c r="AR298" s="117">
        <f>IF(M298="","",IF(M298&lt;=$AR$1,"O","X"))</f>
        <v/>
      </c>
      <c r="AS298" s="117" t="inlineStr">
        <is>
          <t>X</t>
        </is>
      </c>
      <c r="AT298" s="117">
        <f>IF(OR(F298="",AI298=""),"",IF(AND((F298&lt;=85),(AI298&gt;=15)),"O","X"))</f>
        <v/>
      </c>
      <c r="AU298" s="117">
        <f>IF(C298="","",IF(C298&gt;=$AU$1,"O","X"))</f>
        <v/>
      </c>
      <c r="AV298" s="117">
        <f>IF(AO298="","",IF(AND(AO298="O",AP298="O",AR298="O",AT298="O",AU298="O"),"후보","X"))</f>
        <v/>
      </c>
    </row>
    <row r="299" ht="12" customFormat="1" customHeight="1" s="38">
      <c r="A299" s="120" t="inlineStr">
        <is>
          <t>작전동 코오롱</t>
        </is>
      </c>
      <c r="B299" s="121" t="inlineStr">
        <is>
          <t>89.10.</t>
        </is>
      </c>
      <c r="C299" s="129" t="n">
        <v>480</v>
      </c>
      <c r="D299" s="130" t="n">
        <v>83.09999999999999</v>
      </c>
      <c r="E299" s="131" t="n">
        <v>25</v>
      </c>
      <c r="F299" s="130" t="n">
        <v>68.7</v>
      </c>
      <c r="G299" s="17" t="n">
        <v>21</v>
      </c>
      <c r="H299" s="132" t="n">
        <v>90</v>
      </c>
      <c r="I299" s="133" t="n">
        <v>36000</v>
      </c>
      <c r="J299" s="133" t="inlineStr">
        <is>
          <t>13</t>
        </is>
      </c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83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17">
        <f>S299</f>
        <v/>
      </c>
      <c r="AF299" s="117">
        <f>Q299&amp;"/"&amp;R299</f>
        <v/>
      </c>
      <c r="AH299" s="20">
        <f>IF(A299="","",A299)</f>
        <v/>
      </c>
      <c r="AI299" s="131">
        <f>IF(E299="","",E299)</f>
        <v/>
      </c>
      <c r="AJ299" s="117">
        <f>IF(AI299="","",$AJ$2)</f>
        <v/>
      </c>
      <c r="AK299" s="117" t="inlineStr">
        <is>
          <t>A</t>
        </is>
      </c>
      <c r="AL299" s="117" t="inlineStr">
        <is>
          <t>A+</t>
        </is>
      </c>
      <c r="AM299" s="117" t="inlineStr">
        <is>
          <t>B+</t>
        </is>
      </c>
      <c r="AN299" s="117">
        <f>IF(AI299="","",$AN$2)</f>
        <v/>
      </c>
      <c r="AO299" s="117">
        <f>IF(N299="","",IF(N299&gt;=$AO$1/100,"O","X"))</f>
        <v/>
      </c>
      <c r="AP299" s="117">
        <f>IF(I299="","",IF(I299&lt;=$AP$1,"O","X"))</f>
        <v/>
      </c>
      <c r="AQ299" s="117">
        <f>IF(O299="","",IF(O299&lt;=$AQ$1,"O","X"))</f>
        <v/>
      </c>
      <c r="AR299" s="117">
        <f>IF(M299="","",IF(M299&lt;=$AR$1,"O","X"))</f>
        <v/>
      </c>
      <c r="AS299" s="117" t="inlineStr">
        <is>
          <t>X</t>
        </is>
      </c>
      <c r="AT299" s="117">
        <f>IF(OR(F299="",AI299=""),"",IF(AND((F299&lt;=85),(AI299&gt;=15)),"O","X"))</f>
        <v/>
      </c>
      <c r="AU299" s="117">
        <f>IF(C299="","",IF(C299&gt;=$AU$1,"O","X"))</f>
        <v/>
      </c>
      <c r="AV299" s="117">
        <f>IF(AO299="","",IF(AND(AO299="O",AP299="O",AR299="O",AT299="O",AU299="O"),"후보","X"))</f>
        <v/>
      </c>
    </row>
    <row r="300" ht="12" customFormat="1" customHeight="1" s="38">
      <c r="A300" s="120" t="inlineStr">
        <is>
          <t>작전동 코오롱</t>
        </is>
      </c>
      <c r="B300" s="121" t="inlineStr">
        <is>
          <t>89.10.</t>
        </is>
      </c>
      <c r="C300" s="129" t="n">
        <v>480</v>
      </c>
      <c r="D300" s="130" t="n">
        <v>90.59999999999999</v>
      </c>
      <c r="E300" s="131" t="n">
        <v>27</v>
      </c>
      <c r="F300" s="130" t="n">
        <v>74.90000000000001</v>
      </c>
      <c r="G300" s="17" t="n">
        <v>23</v>
      </c>
      <c r="H300" s="132" t="n">
        <v>60</v>
      </c>
      <c r="I300" s="133" t="n"/>
      <c r="J300" s="133" t="n"/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17" t="n">
        <v>3</v>
      </c>
      <c r="R300" s="117" t="n">
        <v>1</v>
      </c>
      <c r="S300" s="117" t="inlineStr">
        <is>
          <t>계</t>
        </is>
      </c>
      <c r="T300" s="5" t="n">
        <v>90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17">
        <f>S300</f>
        <v/>
      </c>
      <c r="AF300" s="117">
        <f>Q300&amp;"/"&amp;R300</f>
        <v/>
      </c>
      <c r="AH300" s="20">
        <f>IF(A300="","",A300)</f>
        <v/>
      </c>
      <c r="AI300" s="131">
        <f>IF(E300="","",E300)</f>
        <v/>
      </c>
      <c r="AJ300" s="117">
        <f>IF(AI300="","",$AJ$2)</f>
        <v/>
      </c>
      <c r="AK300" s="117" t="inlineStr">
        <is>
          <t>A</t>
        </is>
      </c>
      <c r="AL300" s="117" t="inlineStr">
        <is>
          <t>A+</t>
        </is>
      </c>
      <c r="AM300" s="117" t="inlineStr">
        <is>
          <t>B+</t>
        </is>
      </c>
      <c r="AN300" s="117">
        <f>IF(AI300="","",$AN$2)</f>
        <v/>
      </c>
      <c r="AO300" s="117">
        <f>IF(N300="","",IF(N300&gt;=$AO$1/100,"O","X"))</f>
        <v/>
      </c>
      <c r="AP300" s="117">
        <f>IF(I300="","",IF(I300&lt;=$AP$1,"O","X"))</f>
        <v/>
      </c>
      <c r="AQ300" s="117">
        <f>IF(O300="","",IF(O300&lt;=$AQ$1,"O","X"))</f>
        <v/>
      </c>
      <c r="AR300" s="117">
        <f>IF(M300="","",IF(M300&lt;=$AR$1,"O","X"))</f>
        <v/>
      </c>
      <c r="AS300" s="117" t="inlineStr">
        <is>
          <t>X</t>
        </is>
      </c>
      <c r="AT300" s="117">
        <f>IF(OR(F300="",AI300=""),"",IF(AND((F300&lt;=85),(AI300&gt;=15)),"O","X"))</f>
        <v/>
      </c>
      <c r="AU300" s="117">
        <f>IF(C300="","",IF(C300&gt;=$AU$1,"O","X"))</f>
        <v/>
      </c>
      <c r="AV300" s="117">
        <f>IF(AO300="","",IF(AND(AO300="O",AP300="O",AR300="O",AT300="O",AU300="O"),"후보","X"))</f>
        <v/>
      </c>
    </row>
    <row r="301" ht="12" customFormat="1" customHeight="1" s="38">
      <c r="A301" s="120" t="inlineStr">
        <is>
          <t>작전동 힐스테이트자이계양</t>
        </is>
      </c>
      <c r="B301" s="121" t="inlineStr">
        <is>
          <t>24.03.</t>
        </is>
      </c>
      <c r="C301" s="129" t="n">
        <v>2371</v>
      </c>
      <c r="D301" s="130" t="n">
        <v>76.3</v>
      </c>
      <c r="E301" s="131" t="n">
        <v>23</v>
      </c>
      <c r="F301" s="130" t="n">
        <v>53.9</v>
      </c>
      <c r="G301" s="17" t="n">
        <v>16</v>
      </c>
      <c r="H301" s="132" t="n">
        <v>256</v>
      </c>
      <c r="I301" s="133" t="n"/>
      <c r="J301" s="133" t="n"/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17" t="n">
        <v>2</v>
      </c>
      <c r="R301" s="117" t="n">
        <v>1</v>
      </c>
      <c r="S301" s="117" t="inlineStr">
        <is>
          <t>계</t>
        </is>
      </c>
      <c r="T301" s="5" t="inlineStr">
        <is>
          <t>76A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17">
        <f>S301</f>
        <v/>
      </c>
      <c r="AF301" s="117">
        <f>Q301&amp;"/"&amp;R301</f>
        <v/>
      </c>
      <c r="AH301" s="20">
        <f>IF(A301="","",A301)</f>
        <v/>
      </c>
      <c r="AI301" s="131">
        <f>IF(E301="","",E301)</f>
        <v/>
      </c>
      <c r="AJ301" s="117">
        <f>IF(AI301="","",$AJ$2)</f>
        <v/>
      </c>
      <c r="AK301" s="117" t="inlineStr">
        <is>
          <t>A</t>
        </is>
      </c>
      <c r="AL301" s="117" t="inlineStr">
        <is>
          <t>A+</t>
        </is>
      </c>
      <c r="AM301" s="117" t="inlineStr">
        <is>
          <t>B+</t>
        </is>
      </c>
      <c r="AN301" s="117">
        <f>IF(AI301="","",$AN$2)</f>
        <v/>
      </c>
      <c r="AO301" s="117">
        <f>IF(N301="","",IF(N301&gt;=$AO$1/100,"O","X"))</f>
        <v/>
      </c>
      <c r="AP301" s="117">
        <f>IF(I301="","",IF(I301&lt;=$AP$1,"O","X"))</f>
        <v/>
      </c>
      <c r="AQ301" s="117">
        <f>IF(O301="","",IF(O301&lt;=$AQ$1,"O","X"))</f>
        <v/>
      </c>
      <c r="AR301" s="117">
        <f>IF(M301="","",IF(M301&lt;=$AR$1,"O","X"))</f>
        <v/>
      </c>
      <c r="AS301" s="117" t="inlineStr">
        <is>
          <t>X</t>
        </is>
      </c>
      <c r="AT301" s="117">
        <f>IF(OR(F301="",AI301=""),"",IF(AND((F301&lt;=85),(AI301&gt;=15)),"O","X"))</f>
        <v/>
      </c>
      <c r="AU301" s="117">
        <f>IF(C301="","",IF(C301&gt;=$AU$1,"O","X"))</f>
        <v/>
      </c>
      <c r="AV301" s="117">
        <f>IF(AO301="","",IF(AND(AO301="O",AP301="O",AR301="O",AT301="O",AU301="O"),"후보","X"))</f>
        <v/>
      </c>
    </row>
    <row r="302" ht="12" customFormat="1" customHeight="1" s="38">
      <c r="A302" s="120" t="inlineStr">
        <is>
          <t>작전동 힐스테이트자이계양</t>
        </is>
      </c>
      <c r="B302" s="121" t="inlineStr">
        <is>
          <t>24.03.</t>
        </is>
      </c>
      <c r="C302" s="129" t="n">
        <v>2371</v>
      </c>
      <c r="D302" s="130" t="n">
        <v>77</v>
      </c>
      <c r="E302" s="131" t="n">
        <v>23</v>
      </c>
      <c r="F302" s="130" t="n">
        <v>53.8</v>
      </c>
      <c r="G302" s="17" t="n">
        <v>16</v>
      </c>
      <c r="H302" s="132" t="n">
        <v>99</v>
      </c>
      <c r="I302" s="133" t="n"/>
      <c r="J302" s="133" t="n"/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17" t="n">
        <v>2</v>
      </c>
      <c r="R302" s="117" t="n">
        <v>1</v>
      </c>
      <c r="S302" s="117" t="inlineStr">
        <is>
          <t>계</t>
        </is>
      </c>
      <c r="T302" s="5" t="inlineStr">
        <is>
          <t>76B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17">
        <f>S302</f>
        <v/>
      </c>
      <c r="AF302" s="117">
        <f>Q302&amp;"/"&amp;R302</f>
        <v/>
      </c>
      <c r="AH302" s="20">
        <f>IF(A302="","",A302)</f>
        <v/>
      </c>
      <c r="AI302" s="131">
        <f>IF(E302="","",E302)</f>
        <v/>
      </c>
      <c r="AJ302" s="117">
        <f>IF(AI302="","",$AJ$2)</f>
        <v/>
      </c>
      <c r="AK302" s="117" t="inlineStr">
        <is>
          <t>A</t>
        </is>
      </c>
      <c r="AL302" s="117" t="inlineStr">
        <is>
          <t>A+</t>
        </is>
      </c>
      <c r="AM302" s="117" t="inlineStr">
        <is>
          <t>B+</t>
        </is>
      </c>
      <c r="AN302" s="117">
        <f>IF(AI302="","",$AN$2)</f>
        <v/>
      </c>
      <c r="AO302" s="117">
        <f>IF(N302="","",IF(N302&gt;=$AO$1/100,"O","X"))</f>
        <v/>
      </c>
      <c r="AP302" s="117">
        <f>IF(I302="","",IF(I302&lt;=$AP$1,"O","X"))</f>
        <v/>
      </c>
      <c r="AQ302" s="117">
        <f>IF(O302="","",IF(O302&lt;=$AQ$1,"O","X"))</f>
        <v/>
      </c>
      <c r="AR302" s="117">
        <f>IF(M302="","",IF(M302&lt;=$AR$1,"O","X"))</f>
        <v/>
      </c>
      <c r="AS302" s="117" t="inlineStr">
        <is>
          <t>X</t>
        </is>
      </c>
      <c r="AT302" s="117">
        <f>IF(OR(F302="",AI302=""),"",IF(AND((F302&lt;=85),(AI302&gt;=15)),"O","X"))</f>
        <v/>
      </c>
      <c r="AU302" s="117">
        <f>IF(C302="","",IF(C302&gt;=$AU$1,"O","X"))</f>
        <v/>
      </c>
      <c r="AV302" s="117">
        <f>IF(AO302="","",IF(AND(AO302="O",AP302="O",AR302="O",AT302="O",AU302="O"),"후보","X"))</f>
        <v/>
      </c>
    </row>
    <row r="303" ht="12" customFormat="1" customHeight="1" s="38">
      <c r="A303" s="120" t="inlineStr">
        <is>
          <t>작전동 힐스테이트자이계양</t>
        </is>
      </c>
      <c r="B303" s="121" t="inlineStr">
        <is>
          <t>24.03.</t>
        </is>
      </c>
      <c r="C303" s="129" t="n">
        <v>2371</v>
      </c>
      <c r="D303" s="130" t="n">
        <v>77.09999999999999</v>
      </c>
      <c r="E303" s="131" t="n">
        <v>23</v>
      </c>
      <c r="F303" s="130" t="n">
        <v>53.8</v>
      </c>
      <c r="G303" s="17" t="n">
        <v>16</v>
      </c>
      <c r="H303" s="132" t="n">
        <v>95</v>
      </c>
      <c r="I303" s="133" t="n"/>
      <c r="J303" s="133" t="n"/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17" t="n">
        <v>2</v>
      </c>
      <c r="R303" s="117" t="n">
        <v>1</v>
      </c>
      <c r="S303" s="117" t="inlineStr">
        <is>
          <t>계</t>
        </is>
      </c>
      <c r="T303" s="5" t="inlineStr">
        <is>
          <t>77C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17">
        <f>S303</f>
        <v/>
      </c>
      <c r="AF303" s="117">
        <f>Q303&amp;"/"&amp;R303</f>
        <v/>
      </c>
      <c r="AH303" s="20">
        <f>IF(A303="","",A303)</f>
        <v/>
      </c>
      <c r="AI303" s="131">
        <f>IF(E303="","",E303)</f>
        <v/>
      </c>
      <c r="AJ303" s="117">
        <f>IF(AI303="","",$AJ$2)</f>
        <v/>
      </c>
      <c r="AK303" s="117" t="inlineStr">
        <is>
          <t>A</t>
        </is>
      </c>
      <c r="AL303" s="117" t="inlineStr">
        <is>
          <t>A+</t>
        </is>
      </c>
      <c r="AM303" s="117" t="inlineStr">
        <is>
          <t>B+</t>
        </is>
      </c>
      <c r="AN303" s="117">
        <f>IF(AI303="","",$AN$2)</f>
        <v/>
      </c>
      <c r="AO303" s="117">
        <f>IF(N303="","",IF(N303&gt;=$AO$1/100,"O","X"))</f>
        <v/>
      </c>
      <c r="AP303" s="117">
        <f>IF(I303="","",IF(I303&lt;=$AP$1,"O","X"))</f>
        <v/>
      </c>
      <c r="AQ303" s="117">
        <f>IF(O303="","",IF(O303&lt;=$AQ$1,"O","X"))</f>
        <v/>
      </c>
      <c r="AR303" s="117">
        <f>IF(M303="","",IF(M303&lt;=$AR$1,"O","X"))</f>
        <v/>
      </c>
      <c r="AS303" s="117" t="inlineStr">
        <is>
          <t>X</t>
        </is>
      </c>
      <c r="AT303" s="117">
        <f>IF(OR(F303="",AI303=""),"",IF(AND((F303&lt;=85),(AI303&gt;=15)),"O","X"))</f>
        <v/>
      </c>
      <c r="AU303" s="117">
        <f>IF(C303="","",IF(C303&gt;=$AU$1,"O","X"))</f>
        <v/>
      </c>
      <c r="AV303" s="117">
        <f>IF(AO303="","",IF(AND(AO303="O",AP303="O",AR303="O",AT303="O",AU303="O"),"후보","X"))</f>
        <v/>
      </c>
    </row>
    <row r="304" ht="12" customFormat="1" customHeight="1" s="38">
      <c r="A304" s="120" t="inlineStr">
        <is>
          <t>작전동 힐스테이트자이계양</t>
        </is>
      </c>
      <c r="B304" s="121" t="inlineStr">
        <is>
          <t>24.03.</t>
        </is>
      </c>
      <c r="C304" s="129" t="n">
        <v>2371</v>
      </c>
      <c r="D304" s="130" t="n">
        <v>86.40000000000001</v>
      </c>
      <c r="E304" s="131" t="n">
        <v>26</v>
      </c>
      <c r="F304" s="130" t="n">
        <v>59.8</v>
      </c>
      <c r="G304" s="17" t="n">
        <v>18</v>
      </c>
      <c r="H304" s="132" t="n">
        <v>625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17" t="n">
        <v>3</v>
      </c>
      <c r="R304" s="117" t="n">
        <v>2</v>
      </c>
      <c r="S304" s="117" t="inlineStr">
        <is>
          <t>계</t>
        </is>
      </c>
      <c r="T304" s="5" t="inlineStr">
        <is>
          <t>86A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17">
        <f>S304</f>
        <v/>
      </c>
      <c r="AF304" s="117">
        <f>Q304&amp;"/"&amp;R304</f>
        <v/>
      </c>
      <c r="AH304" s="20">
        <f>IF(A304="","",A304)</f>
        <v/>
      </c>
      <c r="AI304" s="131">
        <f>IF(E304="","",E304)</f>
        <v/>
      </c>
      <c r="AJ304" s="117">
        <f>IF(AI304="","",$AJ$2)</f>
        <v/>
      </c>
      <c r="AK304" s="117" t="inlineStr">
        <is>
          <t>A</t>
        </is>
      </c>
      <c r="AL304" s="117" t="inlineStr">
        <is>
          <t>A+</t>
        </is>
      </c>
      <c r="AM304" s="117" t="inlineStr">
        <is>
          <t>B+</t>
        </is>
      </c>
      <c r="AN304" s="117">
        <f>IF(AI304="","",$AN$2)</f>
        <v/>
      </c>
      <c r="AO304" s="117">
        <f>IF(N304="","",IF(N304&gt;=$AO$1/100,"O","X"))</f>
        <v/>
      </c>
      <c r="AP304" s="117">
        <f>IF(I304="","",IF(I304&lt;=$AP$1,"O","X"))</f>
        <v/>
      </c>
      <c r="AQ304" s="117">
        <f>IF(O304="","",IF(O304&lt;=$AQ$1,"O","X"))</f>
        <v/>
      </c>
      <c r="AR304" s="117">
        <f>IF(M304="","",IF(M304&lt;=$AR$1,"O","X"))</f>
        <v/>
      </c>
      <c r="AS304" s="117" t="inlineStr">
        <is>
          <t>X</t>
        </is>
      </c>
      <c r="AT304" s="117">
        <f>IF(OR(F304="",AI304=""),"",IF(AND((F304&lt;=85),(AI304&gt;=15)),"O","X"))</f>
        <v/>
      </c>
      <c r="AU304" s="117">
        <f>IF(C304="","",IF(C304&gt;=$AU$1,"O","X"))</f>
        <v/>
      </c>
      <c r="AV304" s="117">
        <f>IF(AO304="","",IF(AND(AO304="O",AP304="O",AR304="O",AT304="O",AU304="O"),"후보","X"))</f>
        <v/>
      </c>
    </row>
    <row r="305" ht="12" customFormat="1" customHeight="1" s="38">
      <c r="A305" s="120" t="inlineStr">
        <is>
          <t>작전동 힐스테이트자이계양</t>
        </is>
      </c>
      <c r="B305" s="121" t="inlineStr">
        <is>
          <t>24.03.</t>
        </is>
      </c>
      <c r="C305" s="129" t="n">
        <v>2371</v>
      </c>
      <c r="D305" s="130" t="n">
        <v>88.09999999999999</v>
      </c>
      <c r="E305" s="131" t="n">
        <v>27</v>
      </c>
      <c r="F305" s="130" t="n">
        <v>59.9</v>
      </c>
      <c r="G305" s="17" t="n">
        <v>18</v>
      </c>
      <c r="H305" s="132" t="n">
        <v>276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inlineStr">
        <is>
          <t>88B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17">
        <f>S305</f>
        <v/>
      </c>
      <c r="AF305" s="117">
        <f>Q305&amp;"/"&amp;R305</f>
        <v/>
      </c>
      <c r="AH305" s="20">
        <f>IF(A305="","",A305)</f>
        <v/>
      </c>
      <c r="AI305" s="131">
        <f>IF(E305="","",E305)</f>
        <v/>
      </c>
      <c r="AJ305" s="117">
        <f>IF(AI305="","",$AJ$2)</f>
        <v/>
      </c>
      <c r="AK305" s="117" t="inlineStr">
        <is>
          <t>A</t>
        </is>
      </c>
      <c r="AL305" s="117" t="inlineStr">
        <is>
          <t>A+</t>
        </is>
      </c>
      <c r="AM305" s="117" t="inlineStr">
        <is>
          <t>B+</t>
        </is>
      </c>
      <c r="AN305" s="117">
        <f>IF(AI305="","",$AN$2)</f>
        <v/>
      </c>
      <c r="AO305" s="117">
        <f>IF(N305="","",IF(N305&gt;=$AO$1/100,"O","X"))</f>
        <v/>
      </c>
      <c r="AP305" s="117">
        <f>IF(I305="","",IF(I305&lt;=$AP$1,"O","X"))</f>
        <v/>
      </c>
      <c r="AQ305" s="117">
        <f>IF(O305="","",IF(O305&lt;=$AQ$1,"O","X"))</f>
        <v/>
      </c>
      <c r="AR305" s="117">
        <f>IF(M305="","",IF(M305&lt;=$AR$1,"O","X"))</f>
        <v/>
      </c>
      <c r="AS305" s="117" t="inlineStr">
        <is>
          <t>X</t>
        </is>
      </c>
      <c r="AT305" s="117">
        <f>IF(OR(F305="",AI305=""),"",IF(AND((F305&lt;=85),(AI305&gt;=15)),"O","X"))</f>
        <v/>
      </c>
      <c r="AU305" s="117">
        <f>IF(C305="","",IF(C305&gt;=$AU$1,"O","X"))</f>
        <v/>
      </c>
      <c r="AV305" s="117">
        <f>IF(AO305="","",IF(AND(AO305="O",AP305="O",AR305="O",AT305="O",AU305="O"),"후보","X"))</f>
        <v/>
      </c>
    </row>
    <row r="306" ht="12" customFormat="1" customHeight="1" s="38">
      <c r="A306" s="120" t="inlineStr">
        <is>
          <t>작전동 힐스테이트자이계양</t>
        </is>
      </c>
      <c r="B306" s="121" t="inlineStr">
        <is>
          <t>24.03.</t>
        </is>
      </c>
      <c r="C306" s="129" t="n">
        <v>2371</v>
      </c>
      <c r="D306" s="130" t="n">
        <v>114.2</v>
      </c>
      <c r="E306" s="131" t="n">
        <v>35</v>
      </c>
      <c r="F306" s="130" t="n">
        <v>84.5</v>
      </c>
      <c r="G306" s="17" t="n">
        <v>26</v>
      </c>
      <c r="H306" s="132" t="n">
        <v>366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17" t="n">
        <v>3</v>
      </c>
      <c r="R306" s="117" t="n">
        <v>2</v>
      </c>
      <c r="S306" s="117" t="inlineStr">
        <is>
          <t>계</t>
        </is>
      </c>
      <c r="T306" s="5" t="inlineStr">
        <is>
          <t>114A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17">
        <f>S306</f>
        <v/>
      </c>
      <c r="AF306" s="117">
        <f>Q306&amp;"/"&amp;R306</f>
        <v/>
      </c>
      <c r="AH306" s="20">
        <f>IF(A306="","",A306)</f>
        <v/>
      </c>
      <c r="AI306" s="131">
        <f>IF(E306="","",E306)</f>
        <v/>
      </c>
      <c r="AJ306" s="117">
        <f>IF(AI306="","",$AJ$2)</f>
        <v/>
      </c>
      <c r="AK306" s="117" t="inlineStr">
        <is>
          <t>A</t>
        </is>
      </c>
      <c r="AL306" s="117" t="inlineStr">
        <is>
          <t>A+</t>
        </is>
      </c>
      <c r="AM306" s="117" t="inlineStr">
        <is>
          <t>B+</t>
        </is>
      </c>
      <c r="AN306" s="117">
        <f>IF(AI306="","",$AN$2)</f>
        <v/>
      </c>
      <c r="AO306" s="117">
        <f>IF(N306="","",IF(N306&gt;=$AO$1/100,"O","X"))</f>
        <v/>
      </c>
      <c r="AP306" s="117">
        <f>IF(I306="","",IF(I306&lt;=$AP$1,"O","X"))</f>
        <v/>
      </c>
      <c r="AQ306" s="117">
        <f>IF(O306="","",IF(O306&lt;=$AQ$1,"O","X"))</f>
        <v/>
      </c>
      <c r="AR306" s="117">
        <f>IF(M306="","",IF(M306&lt;=$AR$1,"O","X"))</f>
        <v/>
      </c>
      <c r="AS306" s="117" t="inlineStr">
        <is>
          <t>X</t>
        </is>
      </c>
      <c r="AT306" s="117">
        <f>IF(OR(F306="",AI306=""),"",IF(AND((F306&lt;=85),(AI306&gt;=15)),"O","X"))</f>
        <v/>
      </c>
      <c r="AU306" s="117">
        <f>IF(C306="","",IF(C306&gt;=$AU$1,"O","X"))</f>
        <v/>
      </c>
      <c r="AV306" s="117">
        <f>IF(AO306="","",IF(AND(AO306="O",AP306="O",AR306="O",AT306="O",AU306="O"),"후보","X"))</f>
        <v/>
      </c>
    </row>
    <row r="307" ht="12" customFormat="1" customHeight="1" s="38">
      <c r="A307" s="120" t="inlineStr">
        <is>
          <t>작전동 힐스테이트자이계양</t>
        </is>
      </c>
      <c r="B307" s="121" t="inlineStr">
        <is>
          <t>24.03.</t>
        </is>
      </c>
      <c r="C307" s="129" t="n">
        <v>2371</v>
      </c>
      <c r="D307" s="130" t="n">
        <v>114.2</v>
      </c>
      <c r="E307" s="131" t="n">
        <v>35</v>
      </c>
      <c r="F307" s="130" t="n">
        <v>84.5</v>
      </c>
      <c r="G307" s="17" t="n">
        <v>26</v>
      </c>
      <c r="H307" s="132" t="n">
        <v>128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inlineStr">
        <is>
          <t>114B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17">
        <f>S307</f>
        <v/>
      </c>
      <c r="AF307" s="117">
        <f>Q307&amp;"/"&amp;R307</f>
        <v/>
      </c>
      <c r="AH307" s="20">
        <f>IF(A307="","",A307)</f>
        <v/>
      </c>
      <c r="AI307" s="131">
        <f>IF(E307="","",E307)</f>
        <v/>
      </c>
      <c r="AJ307" s="117">
        <f>IF(AI307="","",$AJ$2)</f>
        <v/>
      </c>
      <c r="AK307" s="117" t="inlineStr">
        <is>
          <t>A</t>
        </is>
      </c>
      <c r="AL307" s="117" t="inlineStr">
        <is>
          <t>A+</t>
        </is>
      </c>
      <c r="AM307" s="117" t="inlineStr">
        <is>
          <t>B+</t>
        </is>
      </c>
      <c r="AN307" s="117">
        <f>IF(AI307="","",$AN$2)</f>
        <v/>
      </c>
      <c r="AO307" s="117">
        <f>IF(N307="","",IF(N307&gt;=$AO$1/100,"O","X"))</f>
        <v/>
      </c>
      <c r="AP307" s="117">
        <f>IF(I307="","",IF(I307&lt;=$AP$1,"O","X"))</f>
        <v/>
      </c>
      <c r="AQ307" s="117">
        <f>IF(O307="","",IF(O307&lt;=$AQ$1,"O","X"))</f>
        <v/>
      </c>
      <c r="AR307" s="117">
        <f>IF(M307="","",IF(M307&lt;=$AR$1,"O","X"))</f>
        <v/>
      </c>
      <c r="AS307" s="117" t="inlineStr">
        <is>
          <t>X</t>
        </is>
      </c>
      <c r="AT307" s="117">
        <f>IF(OR(F307="",AI307=""),"",IF(AND((F307&lt;=85),(AI307&gt;=15)),"O","X"))</f>
        <v/>
      </c>
      <c r="AU307" s="117">
        <f>IF(C307="","",IF(C307&gt;=$AU$1,"O","X"))</f>
        <v/>
      </c>
      <c r="AV307" s="117">
        <f>IF(AO307="","",IF(AND(AO307="O",AP307="O",AR307="O",AT307="O",AU307="O"),"후보","X"))</f>
        <v/>
      </c>
    </row>
    <row r="308" ht="12" customFormat="1" customHeight="1" s="38">
      <c r="A308" s="120" t="inlineStr">
        <is>
          <t>작전동 힐스테이트자이계양</t>
        </is>
      </c>
      <c r="B308" s="121" t="inlineStr">
        <is>
          <t>24.03.</t>
        </is>
      </c>
      <c r="C308" s="129" t="n">
        <v>2371</v>
      </c>
      <c r="D308" s="130" t="n">
        <v>115.5</v>
      </c>
      <c r="E308" s="131" t="n">
        <v>35</v>
      </c>
      <c r="F308" s="130" t="n">
        <v>84.8</v>
      </c>
      <c r="G308" s="17" t="n">
        <v>26</v>
      </c>
      <c r="H308" s="132" t="n">
        <v>393</v>
      </c>
      <c r="I308" s="133" t="n"/>
      <c r="J308" s="133" t="n"/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inlineStr">
        <is>
          <t>115C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17">
        <f>S308</f>
        <v/>
      </c>
      <c r="AF308" s="117">
        <f>Q308&amp;"/"&amp;R308</f>
        <v/>
      </c>
      <c r="AH308" s="20">
        <f>IF(A308="","",A308)</f>
        <v/>
      </c>
      <c r="AI308" s="131">
        <f>IF(E308="","",E308)</f>
        <v/>
      </c>
      <c r="AJ308" s="117">
        <f>IF(AI308="","",$AJ$2)</f>
        <v/>
      </c>
      <c r="AK308" s="117" t="inlineStr">
        <is>
          <t>A</t>
        </is>
      </c>
      <c r="AL308" s="117" t="inlineStr">
        <is>
          <t>A+</t>
        </is>
      </c>
      <c r="AM308" s="117" t="inlineStr">
        <is>
          <t>B+</t>
        </is>
      </c>
      <c r="AN308" s="117">
        <f>IF(AI308="","",$AN$2)</f>
        <v/>
      </c>
      <c r="AO308" s="117">
        <f>IF(N308="","",IF(N308&gt;=$AO$1/100,"O","X"))</f>
        <v/>
      </c>
      <c r="AP308" s="117">
        <f>IF(I308="","",IF(I308&lt;=$AP$1,"O","X"))</f>
        <v/>
      </c>
      <c r="AQ308" s="117">
        <f>IF(O308="","",IF(O308&lt;=$AQ$1,"O","X"))</f>
        <v/>
      </c>
      <c r="AR308" s="117">
        <f>IF(M308="","",IF(M308&lt;=$AR$1,"O","X"))</f>
        <v/>
      </c>
      <c r="AS308" s="117" t="inlineStr">
        <is>
          <t>X</t>
        </is>
      </c>
      <c r="AT308" s="117">
        <f>IF(OR(F308="",AI308=""),"",IF(AND((F308&lt;=85),(AI308&gt;=15)),"O","X"))</f>
        <v/>
      </c>
      <c r="AU308" s="117">
        <f>IF(C308="","",IF(C308&gt;=$AU$1,"O","X"))</f>
        <v/>
      </c>
      <c r="AV308" s="117">
        <f>IF(AO308="","",IF(AND(AO308="O",AP308="O",AR308="O",AT308="O",AU308="O"),"후보","X"))</f>
        <v/>
      </c>
    </row>
    <row r="309" ht="12" customFormat="1" customHeight="1" s="38">
      <c r="A309" s="120" t="inlineStr">
        <is>
          <t>작전동 한양</t>
        </is>
      </c>
      <c r="B309" s="121" t="inlineStr">
        <is>
          <t>85.10.</t>
        </is>
      </c>
      <c r="C309" s="129" t="n">
        <v>280</v>
      </c>
      <c r="D309" s="130" t="n">
        <v>78.40000000000001</v>
      </c>
      <c r="E309" s="131" t="n">
        <v>24</v>
      </c>
      <c r="F309" s="130" t="n">
        <v>58.5</v>
      </c>
      <c r="G309" s="17" t="n">
        <v>18</v>
      </c>
      <c r="H309" s="132" t="n">
        <v>196</v>
      </c>
      <c r="I309" s="133" t="n"/>
      <c r="J309" s="133" t="n"/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17" t="n">
        <v>2</v>
      </c>
      <c r="R309" s="117" t="n">
        <v>1</v>
      </c>
      <c r="S309" s="117" t="inlineStr">
        <is>
          <t>복</t>
        </is>
      </c>
      <c r="T309" s="5" t="n">
        <v>78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17">
        <f>S309</f>
        <v/>
      </c>
      <c r="AF309" s="117">
        <f>Q309&amp;"/"&amp;R309</f>
        <v/>
      </c>
      <c r="AH309" s="20">
        <f>IF(A309="","",A309)</f>
        <v/>
      </c>
      <c r="AI309" s="131">
        <f>IF(E309="","",E309)</f>
        <v/>
      </c>
      <c r="AJ309" s="117">
        <f>IF(AI309="","",$AJ$2)</f>
        <v/>
      </c>
      <c r="AK309" s="117" t="inlineStr">
        <is>
          <t>A</t>
        </is>
      </c>
      <c r="AL309" s="117" t="inlineStr">
        <is>
          <t>A+</t>
        </is>
      </c>
      <c r="AM309" s="117" t="inlineStr">
        <is>
          <t>B+</t>
        </is>
      </c>
      <c r="AN309" s="117">
        <f>IF(AI309="","",$AN$2)</f>
        <v/>
      </c>
      <c r="AO309" s="117">
        <f>IF(N309="","",IF(N309&gt;=$AO$1/100,"O","X"))</f>
        <v/>
      </c>
      <c r="AP309" s="117">
        <f>IF(I309="","",IF(I309&lt;=$AP$1,"O","X"))</f>
        <v/>
      </c>
      <c r="AQ309" s="117">
        <f>IF(O309="","",IF(O309&lt;=$AQ$1,"O","X"))</f>
        <v/>
      </c>
      <c r="AR309" s="117">
        <f>IF(M309="","",IF(M309&lt;=$AR$1,"O","X"))</f>
        <v/>
      </c>
      <c r="AS309" s="117" t="inlineStr">
        <is>
          <t>X</t>
        </is>
      </c>
      <c r="AT309" s="117">
        <f>IF(OR(F309="",AI309=""),"",IF(AND((F309&lt;=85),(AI309&gt;=15)),"O","X"))</f>
        <v/>
      </c>
      <c r="AU309" s="117">
        <f>IF(C309="","",IF(C309&gt;=$AU$1,"O","X"))</f>
        <v/>
      </c>
      <c r="AV309" s="117">
        <f>IF(AO309="","",IF(AND(AO309="O",AP309="O",AR309="O",AT309="O",AU309="O"),"후보","X"))</f>
        <v/>
      </c>
    </row>
    <row r="310" ht="12" customFormat="1" customHeight="1" s="38">
      <c r="A310" s="120" t="inlineStr">
        <is>
          <t>작전동 한양</t>
        </is>
      </c>
      <c r="B310" s="121" t="inlineStr">
        <is>
          <t>85.10.</t>
        </is>
      </c>
      <c r="C310" s="129" t="n">
        <v>280</v>
      </c>
      <c r="D310" s="130" t="n">
        <v>106.9</v>
      </c>
      <c r="E310" s="131" t="n">
        <v>32</v>
      </c>
      <c r="F310" s="130" t="n">
        <v>76.7</v>
      </c>
      <c r="G310" s="17" t="n">
        <v>23</v>
      </c>
      <c r="H310" s="132" t="n">
        <v>84</v>
      </c>
      <c r="I310" s="133" t="n"/>
      <c r="J310" s="133" t="n"/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17" t="n">
        <v>3</v>
      </c>
      <c r="R310" s="117" t="n">
        <v>1</v>
      </c>
      <c r="S310" s="117" t="inlineStr">
        <is>
          <t>복</t>
        </is>
      </c>
      <c r="T310" s="5" t="n">
        <v>106</v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17">
        <f>S310</f>
        <v/>
      </c>
      <c r="AF310" s="117">
        <f>Q310&amp;"/"&amp;R310</f>
        <v/>
      </c>
      <c r="AH310" s="20">
        <f>IF(A310="","",A310)</f>
        <v/>
      </c>
      <c r="AI310" s="131">
        <f>IF(E310="","",E310)</f>
        <v/>
      </c>
      <c r="AJ310" s="117">
        <f>IF(AI310="","",$AJ$2)</f>
        <v/>
      </c>
      <c r="AK310" s="117" t="inlineStr">
        <is>
          <t>A</t>
        </is>
      </c>
      <c r="AL310" s="117" t="inlineStr">
        <is>
          <t>A+</t>
        </is>
      </c>
      <c r="AM310" s="117" t="inlineStr">
        <is>
          <t>B+</t>
        </is>
      </c>
      <c r="AN310" s="117">
        <f>IF(AI310="","",$AN$2)</f>
        <v/>
      </c>
      <c r="AO310" s="117">
        <f>IF(N310="","",IF(N310&gt;=$AO$1/100,"O","X"))</f>
        <v/>
      </c>
      <c r="AP310" s="117">
        <f>IF(I310="","",IF(I310&lt;=$AP$1,"O","X"))</f>
        <v/>
      </c>
      <c r="AQ310" s="117">
        <f>IF(O310="","",IF(O310&lt;=$AQ$1,"O","X"))</f>
        <v/>
      </c>
      <c r="AR310" s="117">
        <f>IF(M310="","",IF(M310&lt;=$AR$1,"O","X"))</f>
        <v/>
      </c>
      <c r="AS310" s="117" t="inlineStr">
        <is>
          <t>X</t>
        </is>
      </c>
      <c r="AT310" s="117">
        <f>IF(OR(F310="",AI310=""),"",IF(AND((F310&lt;=85),(AI310&gt;=15)),"O","X"))</f>
        <v/>
      </c>
      <c r="AU310" s="117">
        <f>IF(C310="","",IF(C310&gt;=$AU$1,"O","X"))</f>
        <v/>
      </c>
      <c r="AV310" s="117">
        <f>IF(AO310="","",IF(AND(AO310="O",AP310="O",AR310="O",AT310="O",AU310="O"),"후보","X"))</f>
        <v/>
      </c>
    </row>
    <row r="311" ht="12" customFormat="1" customHeight="1" s="38">
      <c r="A311" s="120" t="inlineStr">
        <is>
          <t>작전동 한신</t>
        </is>
      </c>
      <c r="B311" s="121" t="inlineStr">
        <is>
          <t>91.10.</t>
        </is>
      </c>
      <c r="C311" s="129" t="n">
        <v>259</v>
      </c>
      <c r="D311" s="130" t="n">
        <v>82.7</v>
      </c>
      <c r="E311" s="131" t="n">
        <v>25</v>
      </c>
      <c r="F311" s="130" t="n">
        <v>60.5</v>
      </c>
      <c r="G311" s="17" t="n">
        <v>18</v>
      </c>
      <c r="H311" s="132" t="n">
        <v>88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17" t="n">
        <v>3</v>
      </c>
      <c r="R311" s="117" t="n">
        <v>1</v>
      </c>
      <c r="S311" s="117" t="inlineStr">
        <is>
          <t>복</t>
        </is>
      </c>
      <c r="T311" s="5" t="n">
        <v>82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17">
        <f>S311</f>
        <v/>
      </c>
      <c r="AF311" s="117">
        <f>Q311&amp;"/"&amp;R311</f>
        <v/>
      </c>
      <c r="AH311" s="20">
        <f>IF(A311="","",A311)</f>
        <v/>
      </c>
      <c r="AI311" s="131">
        <f>IF(E311="","",E311)</f>
        <v/>
      </c>
      <c r="AJ311" s="117">
        <f>IF(AI311="","",$AJ$2)</f>
        <v/>
      </c>
      <c r="AK311" s="117" t="inlineStr">
        <is>
          <t>A</t>
        </is>
      </c>
      <c r="AL311" s="117" t="inlineStr">
        <is>
          <t>A+</t>
        </is>
      </c>
      <c r="AM311" s="117" t="inlineStr">
        <is>
          <t>B+</t>
        </is>
      </c>
      <c r="AN311" s="117">
        <f>IF(AI311="","",$AN$2)</f>
        <v/>
      </c>
      <c r="AO311" s="117">
        <f>IF(N311="","",IF(N311&gt;=$AO$1/100,"O","X"))</f>
        <v/>
      </c>
      <c r="AP311" s="117">
        <f>IF(I311="","",IF(I311&lt;=$AP$1,"O","X"))</f>
        <v/>
      </c>
      <c r="AQ311" s="117">
        <f>IF(O311="","",IF(O311&lt;=$AQ$1,"O","X"))</f>
        <v/>
      </c>
      <c r="AR311" s="117">
        <f>IF(M311="","",IF(M311&lt;=$AR$1,"O","X"))</f>
        <v/>
      </c>
      <c r="AS311" s="117" t="inlineStr">
        <is>
          <t>X</t>
        </is>
      </c>
      <c r="AT311" s="117">
        <f>IF(OR(F311="",AI311=""),"",IF(AND((F311&lt;=85),(AI311&gt;=15)),"O","X"))</f>
        <v/>
      </c>
      <c r="AU311" s="117">
        <f>IF(C311="","",IF(C311&gt;=$AU$1,"O","X"))</f>
        <v/>
      </c>
      <c r="AV311" s="117">
        <f>IF(AO311="","",IF(AND(AO311="O",AP311="O",AR311="O",AT311="O",AU311="O"),"후보","X"))</f>
        <v/>
      </c>
    </row>
    <row r="312" ht="12" customFormat="1" customHeight="1" s="38">
      <c r="A312" s="120" t="inlineStr">
        <is>
          <t>작전동 한신</t>
        </is>
      </c>
      <c r="B312" s="121" t="inlineStr">
        <is>
          <t>91.10.</t>
        </is>
      </c>
      <c r="C312" s="129" t="n">
        <v>259</v>
      </c>
      <c r="D312" s="130" t="n">
        <v>103.2</v>
      </c>
      <c r="E312" s="131" t="n">
        <v>31</v>
      </c>
      <c r="F312" s="130" t="n">
        <v>85</v>
      </c>
      <c r="G312" s="17" t="n">
        <v>26</v>
      </c>
      <c r="H312" s="132" t="n">
        <v>171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17" t="n">
        <v>3</v>
      </c>
      <c r="R312" s="117" t="n">
        <v>2</v>
      </c>
      <c r="S312" s="117" t="inlineStr">
        <is>
          <t>복</t>
        </is>
      </c>
      <c r="T312" s="5" t="n">
        <v>103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17">
        <f>S312</f>
        <v/>
      </c>
      <c r="AF312" s="117">
        <f>Q312&amp;"/"&amp;R312</f>
        <v/>
      </c>
      <c r="AH312" s="20">
        <f>IF(A312="","",A312)</f>
        <v/>
      </c>
      <c r="AI312" s="131">
        <f>IF(E312="","",E312)</f>
        <v/>
      </c>
      <c r="AJ312" s="117">
        <f>IF(AI312="","",$AJ$2)</f>
        <v/>
      </c>
      <c r="AK312" s="117" t="inlineStr">
        <is>
          <t>A</t>
        </is>
      </c>
      <c r="AL312" s="117" t="inlineStr">
        <is>
          <t>A+</t>
        </is>
      </c>
      <c r="AM312" s="117" t="inlineStr">
        <is>
          <t>B+</t>
        </is>
      </c>
      <c r="AN312" s="117">
        <f>IF(AI312="","",$AN$2)</f>
        <v/>
      </c>
      <c r="AO312" s="117">
        <f>IF(N312="","",IF(N312&gt;=$AO$1/100,"O","X"))</f>
        <v/>
      </c>
      <c r="AP312" s="117">
        <f>IF(I312="","",IF(I312&lt;=$AP$1,"O","X"))</f>
        <v/>
      </c>
      <c r="AQ312" s="117">
        <f>IF(O312="","",IF(O312&lt;=$AQ$1,"O","X"))</f>
        <v/>
      </c>
      <c r="AR312" s="117">
        <f>IF(M312="","",IF(M312&lt;=$AR$1,"O","X"))</f>
        <v/>
      </c>
      <c r="AS312" s="117" t="inlineStr">
        <is>
          <t>X</t>
        </is>
      </c>
      <c r="AT312" s="117">
        <f>IF(OR(F312="",AI312=""),"",IF(AND((F312&lt;=85),(AI312&gt;=15)),"O","X"))</f>
        <v/>
      </c>
      <c r="AU312" s="117">
        <f>IF(C312="","",IF(C312&gt;=$AU$1,"O","X"))</f>
        <v/>
      </c>
      <c r="AV312" s="117">
        <f>IF(AO312="","",IF(AND(AO312="O",AP312="O",AR312="O",AT312="O",AU312="O"),"후보","X"))</f>
        <v/>
      </c>
    </row>
    <row r="313" ht="12" customFormat="1" customHeight="1" s="38">
      <c r="A313" s="120" t="inlineStr">
        <is>
          <t>효성동 태산</t>
        </is>
      </c>
      <c r="B313" s="121" t="inlineStr">
        <is>
          <t>97.10.</t>
        </is>
      </c>
      <c r="C313" s="129" t="n">
        <v>1178</v>
      </c>
      <c r="D313" s="130" t="n">
        <v>78.3</v>
      </c>
      <c r="E313" s="131" t="n">
        <v>24</v>
      </c>
      <c r="F313" s="130" t="n">
        <v>60</v>
      </c>
      <c r="G313" s="17" t="n">
        <v>18</v>
      </c>
      <c r="H313" s="132" t="n">
        <v>524</v>
      </c>
      <c r="I313" s="133" t="n">
        <v>28000</v>
      </c>
      <c r="J313" s="133" t="inlineStr">
        <is>
          <t>12</t>
        </is>
      </c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17" t="n">
        <v>3</v>
      </c>
      <c r="R313" s="117" t="n">
        <v>1</v>
      </c>
      <c r="S313" s="117" t="inlineStr">
        <is>
          <t>계</t>
        </is>
      </c>
      <c r="T313" s="5" t="n">
        <v>78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17">
        <f>S313</f>
        <v/>
      </c>
      <c r="AF313" s="117">
        <f>Q313&amp;"/"&amp;R313</f>
        <v/>
      </c>
      <c r="AH313" s="20">
        <f>IF(A313="","",A313)</f>
        <v/>
      </c>
      <c r="AI313" s="131">
        <f>IF(E313="","",E313)</f>
        <v/>
      </c>
      <c r="AJ313" s="117">
        <f>IF(AI313="","",$AJ$2)</f>
        <v/>
      </c>
      <c r="AK313" s="117" t="inlineStr">
        <is>
          <t>A</t>
        </is>
      </c>
      <c r="AL313" s="117" t="inlineStr">
        <is>
          <t>A+</t>
        </is>
      </c>
      <c r="AM313" s="117" t="inlineStr">
        <is>
          <t>B+</t>
        </is>
      </c>
      <c r="AN313" s="117">
        <f>IF(AI313="","",$AN$2)</f>
        <v/>
      </c>
      <c r="AO313" s="117">
        <f>IF(N313="","",IF(N313&gt;=$AO$1/100,"O","X"))</f>
        <v/>
      </c>
      <c r="AP313" s="117">
        <f>IF(I313="","",IF(I313&lt;=$AP$1,"O","X"))</f>
        <v/>
      </c>
      <c r="AQ313" s="117">
        <f>IF(O313="","",IF(O313&lt;=$AQ$1,"O","X"))</f>
        <v/>
      </c>
      <c r="AR313" s="117">
        <f>IF(M313="","",IF(M313&lt;=$AR$1,"O","X"))</f>
        <v/>
      </c>
      <c r="AS313" s="117" t="inlineStr">
        <is>
          <t>X</t>
        </is>
      </c>
      <c r="AT313" s="117">
        <f>IF(OR(F313="",AI313=""),"",IF(AND((F313&lt;=85),(AI313&gt;=15)),"O","X"))</f>
        <v/>
      </c>
      <c r="AU313" s="117">
        <f>IF(C313="","",IF(C313&gt;=$AU$1,"O","X"))</f>
        <v/>
      </c>
      <c r="AV313" s="117">
        <f>IF(AO313="","",IF(AND(AO313="O",AP313="O",AR313="O",AT313="O",AU313="O"),"후보","X"))</f>
        <v/>
      </c>
    </row>
    <row r="314" ht="12" customFormat="1" customHeight="1" s="38">
      <c r="A314" s="120" t="inlineStr">
        <is>
          <t>효성동 태산</t>
        </is>
      </c>
      <c r="B314" s="121" t="inlineStr">
        <is>
          <t>97.10.</t>
        </is>
      </c>
      <c r="C314" s="129" t="n">
        <v>1178</v>
      </c>
      <c r="D314" s="130" t="n">
        <v>109.4</v>
      </c>
      <c r="E314" s="131" t="n">
        <v>33</v>
      </c>
      <c r="F314" s="130" t="n">
        <v>84.8</v>
      </c>
      <c r="G314" s="17" t="n">
        <v>26</v>
      </c>
      <c r="H314" s="132" t="n">
        <v>654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n">
        <v>109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17">
        <f>S314</f>
        <v/>
      </c>
      <c r="AF314" s="117">
        <f>Q314&amp;"/"&amp;R314</f>
        <v/>
      </c>
      <c r="AH314" s="20">
        <f>IF(A314="","",A314)</f>
        <v/>
      </c>
      <c r="AI314" s="131">
        <f>IF(E314="","",E314)</f>
        <v/>
      </c>
      <c r="AJ314" s="117">
        <f>IF(AI314="","",$AJ$2)</f>
        <v/>
      </c>
      <c r="AK314" s="117" t="inlineStr">
        <is>
          <t>A</t>
        </is>
      </c>
      <c r="AL314" s="117" t="inlineStr">
        <is>
          <t>A+</t>
        </is>
      </c>
      <c r="AM314" s="117" t="inlineStr">
        <is>
          <t>B+</t>
        </is>
      </c>
      <c r="AN314" s="117">
        <f>IF(AI314="","",$AN$2)</f>
        <v/>
      </c>
      <c r="AO314" s="117">
        <f>IF(N314="","",IF(N314&gt;=$AO$1/100,"O","X"))</f>
        <v/>
      </c>
      <c r="AP314" s="117">
        <f>IF(I314="","",IF(I314&lt;=$AP$1,"O","X"))</f>
        <v/>
      </c>
      <c r="AQ314" s="117">
        <f>IF(O314="","",IF(O314&lt;=$AQ$1,"O","X"))</f>
        <v/>
      </c>
      <c r="AR314" s="117">
        <f>IF(M314="","",IF(M314&lt;=$AR$1,"O","X"))</f>
        <v/>
      </c>
      <c r="AS314" s="117" t="inlineStr">
        <is>
          <t>X</t>
        </is>
      </c>
      <c r="AT314" s="117">
        <f>IF(OR(F314="",AI314=""),"",IF(AND((F314&lt;=85),(AI314&gt;=15)),"O","X"))</f>
        <v/>
      </c>
      <c r="AU314" s="117">
        <f>IF(C314="","",IF(C314&gt;=$AU$1,"O","X"))</f>
        <v/>
      </c>
      <c r="AV314" s="117">
        <f>IF(AO314="","",IF(AND(AO314="O",AP314="O",AR314="O",AT314="O",AU314="O"),"후보","X"))</f>
        <v/>
      </c>
    </row>
    <row r="315" ht="12" customFormat="1" customHeight="1" s="38">
      <c r="A315" s="120" t="inlineStr">
        <is>
          <t>효성동 백영</t>
        </is>
      </c>
      <c r="B315" s="121" t="inlineStr">
        <is>
          <t>96.05.</t>
        </is>
      </c>
      <c r="C315" s="129" t="n">
        <v>208</v>
      </c>
      <c r="D315" s="130" t="n">
        <v>85.40000000000001</v>
      </c>
      <c r="E315" s="131" t="n">
        <v>26</v>
      </c>
      <c r="F315" s="130" t="n">
        <v>60</v>
      </c>
      <c r="G315" s="17" t="n">
        <v>18</v>
      </c>
      <c r="H315" s="132" t="n">
        <v>133</v>
      </c>
      <c r="I315" s="133" t="n"/>
      <c r="J315" s="133" t="n"/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17" t="n">
        <v>3</v>
      </c>
      <c r="R315" s="117" t="n">
        <v>1</v>
      </c>
      <c r="S315" s="117" t="inlineStr">
        <is>
          <t>계</t>
        </is>
      </c>
      <c r="T315" s="5" t="n">
        <v>85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17">
        <f>S315</f>
        <v/>
      </c>
      <c r="AF315" s="117">
        <f>Q315&amp;"/"&amp;R315</f>
        <v/>
      </c>
      <c r="AH315" s="20">
        <f>IF(A315="","",A315)</f>
        <v/>
      </c>
      <c r="AI315" s="131">
        <f>IF(E315="","",E315)</f>
        <v/>
      </c>
      <c r="AJ315" s="117">
        <f>IF(AI315="","",$AJ$2)</f>
        <v/>
      </c>
      <c r="AK315" s="117" t="inlineStr">
        <is>
          <t>A</t>
        </is>
      </c>
      <c r="AL315" s="117" t="inlineStr">
        <is>
          <t>A+</t>
        </is>
      </c>
      <c r="AM315" s="117" t="inlineStr">
        <is>
          <t>B+</t>
        </is>
      </c>
      <c r="AN315" s="117">
        <f>IF(AI315="","",$AN$2)</f>
        <v/>
      </c>
      <c r="AO315" s="117">
        <f>IF(N315="","",IF(N315&gt;=$AO$1/100,"O","X"))</f>
        <v/>
      </c>
      <c r="AP315" s="117">
        <f>IF(I315="","",IF(I315&lt;=$AP$1,"O","X"))</f>
        <v/>
      </c>
      <c r="AQ315" s="117">
        <f>IF(O315="","",IF(O315&lt;=$AQ$1,"O","X"))</f>
        <v/>
      </c>
      <c r="AR315" s="117">
        <f>IF(M315="","",IF(M315&lt;=$AR$1,"O","X"))</f>
        <v/>
      </c>
      <c r="AS315" s="117" t="inlineStr">
        <is>
          <t>X</t>
        </is>
      </c>
      <c r="AT315" s="117">
        <f>IF(OR(F315="",AI315=""),"",IF(AND((F315&lt;=85),(AI315&gt;=15)),"O","X"))</f>
        <v/>
      </c>
      <c r="AU315" s="117">
        <f>IF(C315="","",IF(C315&gt;=$AU$1,"O","X"))</f>
        <v/>
      </c>
      <c r="AV315" s="117">
        <f>IF(AO315="","",IF(AND(AO315="O",AP315="O",AR315="O",AT315="O",AU315="O"),"후보","X"))</f>
        <v/>
      </c>
    </row>
    <row r="316" ht="12" customFormat="1" customHeight="1" s="38">
      <c r="A316" s="120" t="inlineStr">
        <is>
          <t>효성동 백영</t>
        </is>
      </c>
      <c r="B316" s="121" t="inlineStr">
        <is>
          <t>96.05.</t>
        </is>
      </c>
      <c r="C316" s="129" t="n">
        <v>208</v>
      </c>
      <c r="D316" s="130" t="n">
        <v>88.3</v>
      </c>
      <c r="E316" s="131" t="n">
        <v>27</v>
      </c>
      <c r="F316" s="130" t="n">
        <v>60</v>
      </c>
      <c r="G316" s="17" t="n">
        <v>18</v>
      </c>
      <c r="H316" s="132" t="n">
        <v>75</v>
      </c>
      <c r="I316" s="133" t="n"/>
      <c r="J316" s="133" t="n"/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17" t="n">
        <v>3</v>
      </c>
      <c r="R316" s="117" t="n">
        <v>1</v>
      </c>
      <c r="S316" s="117" t="inlineStr">
        <is>
          <t>복</t>
        </is>
      </c>
      <c r="T316" s="5" t="n">
        <v>88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17">
        <f>S316</f>
        <v/>
      </c>
      <c r="AF316" s="117">
        <f>Q316&amp;"/"&amp;R316</f>
        <v/>
      </c>
      <c r="AH316" s="20">
        <f>IF(A316="","",A316)</f>
        <v/>
      </c>
      <c r="AI316" s="131">
        <f>IF(E316="","",E316)</f>
        <v/>
      </c>
      <c r="AJ316" s="117">
        <f>IF(AI316="","",$AJ$2)</f>
        <v/>
      </c>
      <c r="AK316" s="117" t="inlineStr">
        <is>
          <t>A</t>
        </is>
      </c>
      <c r="AL316" s="117" t="inlineStr">
        <is>
          <t>A+</t>
        </is>
      </c>
      <c r="AM316" s="117" t="inlineStr">
        <is>
          <t>B+</t>
        </is>
      </c>
      <c r="AN316" s="117">
        <f>IF(AI316="","",$AN$2)</f>
        <v/>
      </c>
      <c r="AO316" s="117">
        <f>IF(N316="","",IF(N316&gt;=$AO$1/100,"O","X"))</f>
        <v/>
      </c>
      <c r="AP316" s="117">
        <f>IF(I316="","",IF(I316&lt;=$AP$1,"O","X"))</f>
        <v/>
      </c>
      <c r="AQ316" s="117">
        <f>IF(O316="","",IF(O316&lt;=$AQ$1,"O","X"))</f>
        <v/>
      </c>
      <c r="AR316" s="117">
        <f>IF(M316="","",IF(M316&lt;=$AR$1,"O","X"))</f>
        <v/>
      </c>
      <c r="AS316" s="117" t="inlineStr">
        <is>
          <t>X</t>
        </is>
      </c>
      <c r="AT316" s="117">
        <f>IF(OR(F316="",AI316=""),"",IF(AND((F316&lt;=85),(AI316&gt;=15)),"O","X"))</f>
        <v/>
      </c>
      <c r="AU316" s="117">
        <f>IF(C316="","",IF(C316&gt;=$AU$1,"O","X"))</f>
        <v/>
      </c>
      <c r="AV316" s="117">
        <f>IF(AO316="","",IF(AND(AO316="O",AP316="O",AR316="O",AT316="O",AU316="O"),"후보","X"))</f>
        <v/>
      </c>
    </row>
    <row r="317" ht="12" customFormat="1" customHeight="1" s="38">
      <c r="A317" s="120" t="inlineStr">
        <is>
          <t>효성동 현대3차</t>
        </is>
      </c>
      <c r="B317" s="121" t="inlineStr">
        <is>
          <t>92.11.</t>
        </is>
      </c>
      <c r="C317" s="129" t="n">
        <v>374</v>
      </c>
      <c r="D317" s="130" t="n">
        <v>79.2</v>
      </c>
      <c r="E317" s="131" t="n">
        <v>24</v>
      </c>
      <c r="F317" s="130" t="n">
        <v>55.3</v>
      </c>
      <c r="G317" s="17" t="n">
        <v>17</v>
      </c>
      <c r="H317" s="132" t="n">
        <v>36</v>
      </c>
      <c r="I317" s="133" t="n"/>
      <c r="J317" s="133" t="n"/>
      <c r="K317" s="133" t="n"/>
      <c r="L317" s="133" t="n"/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17" t="n">
        <v>2</v>
      </c>
      <c r="R317" s="117" t="n">
        <v>1</v>
      </c>
      <c r="S317" s="117" t="inlineStr">
        <is>
          <t>계</t>
        </is>
      </c>
      <c r="T317" s="5" t="n">
        <v>79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17">
        <f>S317</f>
        <v/>
      </c>
      <c r="AF317" s="117">
        <f>Q317&amp;"/"&amp;R317</f>
        <v/>
      </c>
      <c r="AH317" s="20">
        <f>IF(A317="","",A317)</f>
        <v/>
      </c>
      <c r="AI317" s="131">
        <f>IF(E317="","",E317)</f>
        <v/>
      </c>
      <c r="AJ317" s="117">
        <f>IF(AI317="","",$AJ$2)</f>
        <v/>
      </c>
      <c r="AK317" s="117" t="inlineStr">
        <is>
          <t>A</t>
        </is>
      </c>
      <c r="AL317" s="117" t="inlineStr">
        <is>
          <t>A+</t>
        </is>
      </c>
      <c r="AM317" s="117" t="inlineStr">
        <is>
          <t>B+</t>
        </is>
      </c>
      <c r="AN317" s="117">
        <f>IF(AI317="","",$AN$2)</f>
        <v/>
      </c>
      <c r="AO317" s="117">
        <f>IF(N317="","",IF(N317&gt;=$AO$1/100,"O","X"))</f>
        <v/>
      </c>
      <c r="AP317" s="117">
        <f>IF(I317="","",IF(I317&lt;=$AP$1,"O","X"))</f>
        <v/>
      </c>
      <c r="AQ317" s="117">
        <f>IF(O317="","",IF(O317&lt;=$AQ$1,"O","X"))</f>
        <v/>
      </c>
      <c r="AR317" s="117">
        <f>IF(M317="","",IF(M317&lt;=$AR$1,"O","X"))</f>
        <v/>
      </c>
      <c r="AS317" s="117" t="inlineStr">
        <is>
          <t>X</t>
        </is>
      </c>
      <c r="AT317" s="117">
        <f>IF(OR(F317="",AI317=""),"",IF(AND((F317&lt;=85),(AI317&gt;=15)),"O","X"))</f>
        <v/>
      </c>
      <c r="AU317" s="117">
        <f>IF(C317="","",IF(C317&gt;=$AU$1,"O","X"))</f>
        <v/>
      </c>
      <c r="AV317" s="117">
        <f>IF(AO317="","",IF(AND(AO317="O",AP317="O",AR317="O",AT317="O",AU317="O"),"후보","X"))</f>
        <v/>
      </c>
    </row>
    <row r="318" ht="12" customFormat="1" customHeight="1" s="38">
      <c r="A318" s="120" t="inlineStr">
        <is>
          <t>효성동 현대3차</t>
        </is>
      </c>
      <c r="B318" s="121" t="inlineStr">
        <is>
          <t>92.11.</t>
        </is>
      </c>
      <c r="C318" s="129" t="n">
        <v>374</v>
      </c>
      <c r="D318" s="130" t="n">
        <v>87.40000000000001</v>
      </c>
      <c r="E318" s="131" t="n">
        <v>26</v>
      </c>
      <c r="F318" s="130" t="n">
        <v>71.5</v>
      </c>
      <c r="G318" s="17" t="n">
        <v>22</v>
      </c>
      <c r="H318" s="132" t="n">
        <v>72</v>
      </c>
      <c r="I318" s="133" t="n"/>
      <c r="J318" s="133" t="n"/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17" t="n">
        <v>3</v>
      </c>
      <c r="R318" s="117" t="n">
        <v>1</v>
      </c>
      <c r="S318" s="117" t="inlineStr">
        <is>
          <t>계</t>
        </is>
      </c>
      <c r="T318" s="5" t="n">
        <v>87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17">
        <f>S318</f>
        <v/>
      </c>
      <c r="AF318" s="117">
        <f>Q318&amp;"/"&amp;R318</f>
        <v/>
      </c>
      <c r="AH318" s="20">
        <f>IF(A318="","",A318)</f>
        <v/>
      </c>
      <c r="AI318" s="131">
        <f>IF(E318="","",E318)</f>
        <v/>
      </c>
      <c r="AJ318" s="117">
        <f>IF(AI318="","",$AJ$2)</f>
        <v/>
      </c>
      <c r="AK318" s="117" t="inlineStr">
        <is>
          <t>A</t>
        </is>
      </c>
      <c r="AL318" s="117" t="inlineStr">
        <is>
          <t>A+</t>
        </is>
      </c>
      <c r="AM318" s="117" t="inlineStr">
        <is>
          <t>B+</t>
        </is>
      </c>
      <c r="AN318" s="117">
        <f>IF(AI318="","",$AN$2)</f>
        <v/>
      </c>
      <c r="AO318" s="117">
        <f>IF(N318="","",IF(N318&gt;=$AO$1/100,"O","X"))</f>
        <v/>
      </c>
      <c r="AP318" s="117">
        <f>IF(I318="","",IF(I318&lt;=$AP$1,"O","X"))</f>
        <v/>
      </c>
      <c r="AQ318" s="117">
        <f>IF(O318="","",IF(O318&lt;=$AQ$1,"O","X"))</f>
        <v/>
      </c>
      <c r="AR318" s="117">
        <f>IF(M318="","",IF(M318&lt;=$AR$1,"O","X"))</f>
        <v/>
      </c>
      <c r="AS318" s="117" t="inlineStr">
        <is>
          <t>X</t>
        </is>
      </c>
      <c r="AT318" s="117">
        <f>IF(OR(F318="",AI318=""),"",IF(AND((F318&lt;=85),(AI318&gt;=15)),"O","X"))</f>
        <v/>
      </c>
      <c r="AU318" s="117">
        <f>IF(C318="","",IF(C318&gt;=$AU$1,"O","X"))</f>
        <v/>
      </c>
      <c r="AV318" s="117">
        <f>IF(AO318="","",IF(AND(AO318="O",AP318="O",AR318="O",AT318="O",AU318="O"),"후보","X"))</f>
        <v/>
      </c>
    </row>
    <row r="319" ht="12" customFormat="1" customHeight="1" s="38">
      <c r="A319" s="120" t="inlineStr">
        <is>
          <t>효성동 현대3차</t>
        </is>
      </c>
      <c r="B319" s="121" t="inlineStr">
        <is>
          <t>92.11.</t>
        </is>
      </c>
      <c r="C319" s="129" t="n">
        <v>374</v>
      </c>
      <c r="D319" s="130" t="n">
        <v>102.4</v>
      </c>
      <c r="E319" s="131" t="n">
        <v>31</v>
      </c>
      <c r="F319" s="130" t="n">
        <v>85</v>
      </c>
      <c r="G319" s="17" t="n">
        <v>26</v>
      </c>
      <c r="H319" s="132" t="n">
        <v>266</v>
      </c>
      <c r="I319" s="133" t="n">
        <v>39000</v>
      </c>
      <c r="J319" s="133" t="inlineStr">
        <is>
          <t>23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17" t="n">
        <v>3</v>
      </c>
      <c r="R319" s="117" t="n">
        <v>2</v>
      </c>
      <c r="S319" s="117" t="inlineStr">
        <is>
          <t>계</t>
        </is>
      </c>
      <c r="T319" s="5" t="n">
        <v>102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17">
        <f>S319</f>
        <v/>
      </c>
      <c r="AF319" s="117">
        <f>Q319&amp;"/"&amp;R319</f>
        <v/>
      </c>
      <c r="AH319" s="20">
        <f>IF(A319="","",A319)</f>
        <v/>
      </c>
      <c r="AI319" s="131">
        <f>IF(E319="","",E319)</f>
        <v/>
      </c>
      <c r="AJ319" s="117">
        <f>IF(AI319="","",$AJ$2)</f>
        <v/>
      </c>
      <c r="AK319" s="117" t="inlineStr">
        <is>
          <t>A</t>
        </is>
      </c>
      <c r="AL319" s="117" t="inlineStr">
        <is>
          <t>A+</t>
        </is>
      </c>
      <c r="AM319" s="117" t="inlineStr">
        <is>
          <t>B+</t>
        </is>
      </c>
      <c r="AN319" s="117">
        <f>IF(AI319="","",$AN$2)</f>
        <v/>
      </c>
      <c r="AO319" s="117">
        <f>IF(N319="","",IF(N319&gt;=$AO$1/100,"O","X"))</f>
        <v/>
      </c>
      <c r="AP319" s="117">
        <f>IF(I319="","",IF(I319&lt;=$AP$1,"O","X"))</f>
        <v/>
      </c>
      <c r="AQ319" s="117">
        <f>IF(O319="","",IF(O319&lt;=$AQ$1,"O","X"))</f>
        <v/>
      </c>
      <c r="AR319" s="117">
        <f>IF(M319="","",IF(M319&lt;=$AR$1,"O","X"))</f>
        <v/>
      </c>
      <c r="AS319" s="117" t="inlineStr">
        <is>
          <t>X</t>
        </is>
      </c>
      <c r="AT319" s="117">
        <f>IF(OR(F319="",AI319=""),"",IF(AND((F319&lt;=85),(AI319&gt;=15)),"O","X"))</f>
        <v/>
      </c>
      <c r="AU319" s="117">
        <f>IF(C319="","",IF(C319&gt;=$AU$1,"O","X"))</f>
        <v/>
      </c>
      <c r="AV319" s="117">
        <f>IF(AO319="","",IF(AND(AO319="O",AP319="O",AR319="O",AT319="O",AU319="O"),"후보","X"))</f>
        <v/>
      </c>
    </row>
    <row r="320" ht="12" customFormat="1" customHeight="1" s="38">
      <c r="A320" s="120" t="inlineStr">
        <is>
          <t>효성동 현대2차</t>
        </is>
      </c>
      <c r="B320" s="121" t="inlineStr">
        <is>
          <t>92.11.</t>
        </is>
      </c>
      <c r="C320" s="129" t="n">
        <v>340</v>
      </c>
      <c r="D320" s="130" t="n">
        <v>102.1</v>
      </c>
      <c r="E320" s="131" t="n">
        <v>31</v>
      </c>
      <c r="F320" s="130" t="n">
        <v>84.90000000000001</v>
      </c>
      <c r="G320" s="17" t="n">
        <v>26</v>
      </c>
      <c r="H320" s="132" t="n">
        <v>240</v>
      </c>
      <c r="I320" s="133" t="n">
        <v>42000</v>
      </c>
      <c r="J320" s="133" t="inlineStr">
        <is>
          <t>17</t>
        </is>
      </c>
      <c r="K320" s="133" t="n">
        <v>33000</v>
      </c>
      <c r="L320" s="133" t="inlineStr">
        <is>
          <t>16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17" t="n">
        <v>3</v>
      </c>
      <c r="R320" s="117" t="n">
        <v>2</v>
      </c>
      <c r="S320" s="117" t="inlineStr">
        <is>
          <t>계</t>
        </is>
      </c>
      <c r="T320" s="5" t="n">
        <v>102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17">
        <f>S320</f>
        <v/>
      </c>
      <c r="AF320" s="117">
        <f>Q320&amp;"/"&amp;R320</f>
        <v/>
      </c>
      <c r="AH320" s="20">
        <f>IF(A320="","",A320)</f>
        <v/>
      </c>
      <c r="AI320" s="131">
        <f>IF(E320="","",E320)</f>
        <v/>
      </c>
      <c r="AJ320" s="117">
        <f>IF(AI320="","",$AJ$2)</f>
        <v/>
      </c>
      <c r="AK320" s="117" t="inlineStr">
        <is>
          <t>A</t>
        </is>
      </c>
      <c r="AL320" s="117" t="inlineStr">
        <is>
          <t>A+</t>
        </is>
      </c>
      <c r="AM320" s="117" t="inlineStr">
        <is>
          <t>B+</t>
        </is>
      </c>
      <c r="AN320" s="117">
        <f>IF(AI320="","",$AN$2)</f>
        <v/>
      </c>
      <c r="AO320" s="117">
        <f>IF(N320="","",IF(N320&gt;=$AO$1/100,"O","X"))</f>
        <v/>
      </c>
      <c r="AP320" s="117">
        <f>IF(I320="","",IF(I320&lt;=$AP$1,"O","X"))</f>
        <v/>
      </c>
      <c r="AQ320" s="117">
        <f>IF(O320="","",IF(O320&lt;=$AQ$1,"O","X"))</f>
        <v/>
      </c>
      <c r="AR320" s="117">
        <f>IF(M320="","",IF(M320&lt;=$AR$1,"O","X"))</f>
        <v/>
      </c>
      <c r="AS320" s="117" t="inlineStr">
        <is>
          <t>X</t>
        </is>
      </c>
      <c r="AT320" s="117">
        <f>IF(OR(F320="",AI320=""),"",IF(AND((F320&lt;=85),(AI320&gt;=15)),"O","X"))</f>
        <v/>
      </c>
      <c r="AU320" s="117">
        <f>IF(C320="","",IF(C320&gt;=$AU$1,"O","X"))</f>
        <v/>
      </c>
      <c r="AV320" s="117">
        <f>IF(AO320="","",IF(AND(AO320="O",AP320="O",AR320="O",AT320="O",AU320="O"),"후보","X"))</f>
        <v/>
      </c>
    </row>
    <row r="321" ht="12" customFormat="1" customHeight="1" s="38">
      <c r="A321" s="120" t="inlineStr">
        <is>
          <t>효성동 현대2차</t>
        </is>
      </c>
      <c r="B321" s="121" t="inlineStr">
        <is>
          <t>92.11.</t>
        </is>
      </c>
      <c r="C321" s="129" t="n">
        <v>340</v>
      </c>
      <c r="D321" s="130" t="n">
        <v>155</v>
      </c>
      <c r="E321" s="131" t="n">
        <v>47</v>
      </c>
      <c r="F321" s="130" t="n">
        <v>129</v>
      </c>
      <c r="G321" s="17" t="n">
        <v>39</v>
      </c>
      <c r="H321" s="132" t="n">
        <v>100</v>
      </c>
      <c r="I321" s="133" t="n">
        <v>51000</v>
      </c>
      <c r="J321" s="133" t="inlineStr">
        <is>
          <t>13</t>
        </is>
      </c>
      <c r="K321" s="133" t="n">
        <v>43000</v>
      </c>
      <c r="L321" s="133" t="inlineStr">
        <is>
          <t>10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17" t="n">
        <v>4</v>
      </c>
      <c r="R321" s="117" t="n">
        <v>2</v>
      </c>
      <c r="S321" s="117" t="inlineStr">
        <is>
          <t>계</t>
        </is>
      </c>
      <c r="T321" s="5" t="n">
        <v>155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17">
        <f>S321</f>
        <v/>
      </c>
      <c r="AF321" s="117">
        <f>Q321&amp;"/"&amp;R321</f>
        <v/>
      </c>
      <c r="AH321" s="20">
        <f>IF(A321="","",A321)</f>
        <v/>
      </c>
      <c r="AI321" s="131">
        <f>IF(E321="","",E321)</f>
        <v/>
      </c>
      <c r="AJ321" s="117">
        <f>IF(AI321="","",$AJ$2)</f>
        <v/>
      </c>
      <c r="AK321" s="117" t="inlineStr">
        <is>
          <t>A</t>
        </is>
      </c>
      <c r="AL321" s="117" t="inlineStr">
        <is>
          <t>A+</t>
        </is>
      </c>
      <c r="AM321" s="117" t="inlineStr">
        <is>
          <t>B+</t>
        </is>
      </c>
      <c r="AN321" s="117">
        <f>IF(AI321="","",$AN$2)</f>
        <v/>
      </c>
      <c r="AO321" s="117">
        <f>IF(N321="","",IF(N321&gt;=$AO$1/100,"O","X"))</f>
        <v/>
      </c>
      <c r="AP321" s="117">
        <f>IF(I321="","",IF(I321&lt;=$AP$1,"O","X"))</f>
        <v/>
      </c>
      <c r="AQ321" s="117">
        <f>IF(O321="","",IF(O321&lt;=$AQ$1,"O","X"))</f>
        <v/>
      </c>
      <c r="AR321" s="117">
        <f>IF(M321="","",IF(M321&lt;=$AR$1,"O","X"))</f>
        <v/>
      </c>
      <c r="AS321" s="117" t="inlineStr">
        <is>
          <t>X</t>
        </is>
      </c>
      <c r="AT321" s="117">
        <f>IF(OR(F321="",AI321=""),"",IF(AND((F321&lt;=85),(AI321&gt;=15)),"O","X"))</f>
        <v/>
      </c>
      <c r="AU321" s="117">
        <f>IF(C321="","",IF(C321&gt;=$AU$1,"O","X"))</f>
        <v/>
      </c>
      <c r="AV321" s="117">
        <f>IF(AO321="","",IF(AND(AO321="O",AP321="O",AR321="O",AT321="O",AU321="O"),"후보","X"))</f>
        <v/>
      </c>
    </row>
    <row r="322" ht="12" customFormat="1" customHeight="1" s="38">
      <c r="A322" s="120" t="inlineStr">
        <is>
          <t>효성동 하나</t>
        </is>
      </c>
      <c r="B322" s="121" t="inlineStr">
        <is>
          <t>96.09.</t>
        </is>
      </c>
      <c r="C322" s="129" t="n">
        <v>498</v>
      </c>
      <c r="D322" s="130" t="n">
        <v>79.09999999999999</v>
      </c>
      <c r="E322" s="131" t="n">
        <v>24</v>
      </c>
      <c r="F322" s="130" t="n">
        <v>59.8</v>
      </c>
      <c r="G322" s="17" t="n">
        <v>18</v>
      </c>
      <c r="H322" s="132" t="n">
        <v>250</v>
      </c>
      <c r="I322" s="133" t="n"/>
      <c r="J322" s="133" t="n"/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17" t="n">
        <v>3</v>
      </c>
      <c r="R322" s="117" t="n">
        <v>1</v>
      </c>
      <c r="S322" s="117" t="inlineStr">
        <is>
          <t>계</t>
        </is>
      </c>
      <c r="T322" s="5" t="n">
        <v>79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17">
        <f>S322</f>
        <v/>
      </c>
      <c r="AF322" s="117">
        <f>Q322&amp;"/"&amp;R322</f>
        <v/>
      </c>
      <c r="AH322" s="20">
        <f>IF(A322="","",A322)</f>
        <v/>
      </c>
      <c r="AI322" s="131">
        <f>IF(E322="","",E322)</f>
        <v/>
      </c>
      <c r="AJ322" s="117">
        <f>IF(AI322="","",$AJ$2)</f>
        <v/>
      </c>
      <c r="AK322" s="117" t="inlineStr">
        <is>
          <t>A</t>
        </is>
      </c>
      <c r="AL322" s="117" t="inlineStr">
        <is>
          <t>A+</t>
        </is>
      </c>
      <c r="AM322" s="117" t="inlineStr">
        <is>
          <t>B+</t>
        </is>
      </c>
      <c r="AN322" s="117">
        <f>IF(AI322="","",$AN$2)</f>
        <v/>
      </c>
      <c r="AO322" s="117">
        <f>IF(N322="","",IF(N322&gt;=$AO$1/100,"O","X"))</f>
        <v/>
      </c>
      <c r="AP322" s="117">
        <f>IF(I322="","",IF(I322&lt;=$AP$1,"O","X"))</f>
        <v/>
      </c>
      <c r="AQ322" s="117">
        <f>IF(O322="","",IF(O322&lt;=$AQ$1,"O","X"))</f>
        <v/>
      </c>
      <c r="AR322" s="117">
        <f>IF(M322="","",IF(M322&lt;=$AR$1,"O","X"))</f>
        <v/>
      </c>
      <c r="AS322" s="117" t="inlineStr">
        <is>
          <t>X</t>
        </is>
      </c>
      <c r="AT322" s="117">
        <f>IF(OR(F322="",AI322=""),"",IF(AND((F322&lt;=85),(AI322&gt;=15)),"O","X"))</f>
        <v/>
      </c>
      <c r="AU322" s="117">
        <f>IF(C322="","",IF(C322&gt;=$AU$1,"O","X"))</f>
        <v/>
      </c>
      <c r="AV322" s="117">
        <f>IF(AO322="","",IF(AND(AO322="O",AP322="O",AR322="O",AT322="O",AU322="O"),"후보","X"))</f>
        <v/>
      </c>
    </row>
    <row r="323" ht="12" customFormat="1" customHeight="1" s="38">
      <c r="A323" s="120" t="inlineStr">
        <is>
          <t>효성동 하나</t>
        </is>
      </c>
      <c r="B323" s="121" t="inlineStr">
        <is>
          <t>96.09.</t>
        </is>
      </c>
      <c r="C323" s="129" t="n">
        <v>498</v>
      </c>
      <c r="D323" s="130" t="n">
        <v>107</v>
      </c>
      <c r="E323" s="131" t="n">
        <v>32</v>
      </c>
      <c r="F323" s="130" t="n">
        <v>84.90000000000001</v>
      </c>
      <c r="G323" s="17" t="n">
        <v>26</v>
      </c>
      <c r="H323" s="132" t="n">
        <v>176</v>
      </c>
      <c r="I323" s="133" t="n">
        <v>39000</v>
      </c>
      <c r="J323" s="133" t="inlineStr">
        <is>
          <t>12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107</v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17">
        <f>S323</f>
        <v/>
      </c>
      <c r="AF323" s="117">
        <f>Q323&amp;"/"&amp;R323</f>
        <v/>
      </c>
      <c r="AH323" s="20">
        <f>IF(A323="","",A323)</f>
        <v/>
      </c>
      <c r="AI323" s="131">
        <f>IF(E323="","",E323)</f>
        <v/>
      </c>
      <c r="AJ323" s="117">
        <f>IF(AI323="","",$AJ$2)</f>
        <v/>
      </c>
      <c r="AK323" s="117" t="inlineStr">
        <is>
          <t>A</t>
        </is>
      </c>
      <c r="AL323" s="117" t="inlineStr">
        <is>
          <t>A+</t>
        </is>
      </c>
      <c r="AM323" s="117" t="inlineStr">
        <is>
          <t>B+</t>
        </is>
      </c>
      <c r="AN323" s="117">
        <f>IF(AI323="","",$AN$2)</f>
        <v/>
      </c>
      <c r="AO323" s="117">
        <f>IF(N323="","",IF(N323&gt;=$AO$1/100,"O","X"))</f>
        <v/>
      </c>
      <c r="AP323" s="117">
        <f>IF(I323="","",IF(I323&lt;=$AP$1,"O","X"))</f>
        <v/>
      </c>
      <c r="AQ323" s="117">
        <f>IF(O323="","",IF(O323&lt;=$AQ$1,"O","X"))</f>
        <v/>
      </c>
      <c r="AR323" s="117">
        <f>IF(M323="","",IF(M323&lt;=$AR$1,"O","X"))</f>
        <v/>
      </c>
      <c r="AS323" s="117" t="inlineStr">
        <is>
          <t>X</t>
        </is>
      </c>
      <c r="AT323" s="117">
        <f>IF(OR(F323="",AI323=""),"",IF(AND((F323&lt;=85),(AI323&gt;=15)),"O","X"))</f>
        <v/>
      </c>
      <c r="AU323" s="117">
        <f>IF(C323="","",IF(C323&gt;=$AU$1,"O","X"))</f>
        <v/>
      </c>
      <c r="AV323" s="117">
        <f>IF(AO323="","",IF(AND(AO323="O",AP323="O",AR323="O",AT323="O",AU323="O"),"후보","X"))</f>
        <v/>
      </c>
    </row>
    <row r="324" ht="12" customFormat="1" customHeight="1" s="38">
      <c r="A324" s="120" t="inlineStr">
        <is>
          <t>효성동 하나</t>
        </is>
      </c>
      <c r="B324" s="121" t="inlineStr">
        <is>
          <t>96.09.</t>
        </is>
      </c>
      <c r="C324" s="129" t="n">
        <v>498</v>
      </c>
      <c r="D324" s="130" t="n">
        <v>130.2</v>
      </c>
      <c r="E324" s="131" t="n">
        <v>39</v>
      </c>
      <c r="F324" s="130" t="n">
        <v>104.5</v>
      </c>
      <c r="G324" s="17" t="n">
        <v>32</v>
      </c>
      <c r="H324" s="132" t="n">
        <v>72</v>
      </c>
      <c r="I324" s="133" t="n">
        <v>47000</v>
      </c>
      <c r="J324" s="133" t="inlineStr">
        <is>
          <t>14</t>
        </is>
      </c>
      <c r="K324" s="133" t="n">
        <v>30000</v>
      </c>
      <c r="L324" s="133" t="inlineStr">
        <is>
          <t>14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17" t="n">
        <v>3</v>
      </c>
      <c r="R324" s="117" t="n">
        <v>2</v>
      </c>
      <c r="S324" s="117" t="inlineStr">
        <is>
          <t>계</t>
        </is>
      </c>
      <c r="T324" s="5" t="n">
        <v>130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17">
        <f>S324</f>
        <v/>
      </c>
      <c r="AF324" s="117">
        <f>Q324&amp;"/"&amp;R324</f>
        <v/>
      </c>
      <c r="AH324" s="20">
        <f>IF(A324="","",A324)</f>
        <v/>
      </c>
      <c r="AI324" s="131">
        <f>IF(E324="","",E324)</f>
        <v/>
      </c>
      <c r="AJ324" s="117">
        <f>IF(AI324="","",$AJ$2)</f>
        <v/>
      </c>
      <c r="AK324" s="117" t="inlineStr">
        <is>
          <t>A</t>
        </is>
      </c>
      <c r="AL324" s="117" t="inlineStr">
        <is>
          <t>A+</t>
        </is>
      </c>
      <c r="AM324" s="117" t="inlineStr">
        <is>
          <t>B+</t>
        </is>
      </c>
      <c r="AN324" s="117">
        <f>IF(AI324="","",$AN$2)</f>
        <v/>
      </c>
      <c r="AO324" s="117">
        <f>IF(N324="","",IF(N324&gt;=$AO$1/100,"O","X"))</f>
        <v/>
      </c>
      <c r="AP324" s="117">
        <f>IF(I324="","",IF(I324&lt;=$AP$1,"O","X"))</f>
        <v/>
      </c>
      <c r="AQ324" s="117">
        <f>IF(O324="","",IF(O324&lt;=$AQ$1,"O","X"))</f>
        <v/>
      </c>
      <c r="AR324" s="117">
        <f>IF(M324="","",IF(M324&lt;=$AR$1,"O","X"))</f>
        <v/>
      </c>
      <c r="AS324" s="117" t="inlineStr">
        <is>
          <t>X</t>
        </is>
      </c>
      <c r="AT324" s="117">
        <f>IF(OR(F324="",AI324=""),"",IF(AND((F324&lt;=85),(AI324&gt;=15)),"O","X"))</f>
        <v/>
      </c>
      <c r="AU324" s="117">
        <f>IF(C324="","",IF(C324&gt;=$AU$1,"O","X"))</f>
        <v/>
      </c>
      <c r="AV324" s="117">
        <f>IF(AO324="","",IF(AND(AO324="O",AP324="O",AR324="O",AT324="O",AU324="O"),"후보","X"))</f>
        <v/>
      </c>
    </row>
    <row r="325" ht="12" customFormat="1" customHeight="1" s="38">
      <c r="A325" s="120" t="inlineStr">
        <is>
          <t>효성동 새사미</t>
        </is>
      </c>
      <c r="B325" s="121" t="inlineStr">
        <is>
          <t>85.01.</t>
        </is>
      </c>
      <c r="C325" s="129" t="n">
        <v>280</v>
      </c>
      <c r="D325" s="130" t="n">
        <v>61.4</v>
      </c>
      <c r="E325" s="131" t="n">
        <v>19</v>
      </c>
      <c r="F325" s="130" t="n">
        <v>48.9</v>
      </c>
      <c r="G325" s="17" t="n">
        <v>15</v>
      </c>
      <c r="H325" s="132" t="n">
        <v>140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17" t="n">
        <v>3</v>
      </c>
      <c r="R325" s="117" t="n">
        <v>1</v>
      </c>
      <c r="S325" s="117" t="inlineStr">
        <is>
          <t>계</t>
        </is>
      </c>
      <c r="T325" s="5" t="n">
        <v>61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17">
        <f>S325</f>
        <v/>
      </c>
      <c r="AF325" s="117">
        <f>Q325&amp;"/"&amp;R325</f>
        <v/>
      </c>
      <c r="AH325" s="20">
        <f>IF(A325="","",A325)</f>
        <v/>
      </c>
      <c r="AI325" s="131">
        <f>IF(E325="","",E325)</f>
        <v/>
      </c>
      <c r="AJ325" s="117">
        <f>IF(AI325="","",$AJ$2)</f>
        <v/>
      </c>
      <c r="AK325" s="117" t="inlineStr">
        <is>
          <t>A</t>
        </is>
      </c>
      <c r="AL325" s="117" t="inlineStr">
        <is>
          <t>A+</t>
        </is>
      </c>
      <c r="AM325" s="117" t="inlineStr">
        <is>
          <t>B+</t>
        </is>
      </c>
      <c r="AN325" s="117">
        <f>IF(AI325="","",$AN$2)</f>
        <v/>
      </c>
      <c r="AO325" s="117">
        <f>IF(N325="","",IF(N325&gt;=$AO$1/100,"O","X"))</f>
        <v/>
      </c>
      <c r="AP325" s="117">
        <f>IF(I325="","",IF(I325&lt;=$AP$1,"O","X"))</f>
        <v/>
      </c>
      <c r="AQ325" s="117">
        <f>IF(O325="","",IF(O325&lt;=$AQ$1,"O","X"))</f>
        <v/>
      </c>
      <c r="AR325" s="117">
        <f>IF(M325="","",IF(M325&lt;=$AR$1,"O","X"))</f>
        <v/>
      </c>
      <c r="AS325" s="117" t="inlineStr">
        <is>
          <t>X</t>
        </is>
      </c>
      <c r="AT325" s="117">
        <f>IF(OR(F325="",AI325=""),"",IF(AND((F325&lt;=85),(AI325&gt;=15)),"O","X"))</f>
        <v/>
      </c>
      <c r="AU325" s="117">
        <f>IF(C325="","",IF(C325&gt;=$AU$1,"O","X"))</f>
        <v/>
      </c>
      <c r="AV325" s="117">
        <f>IF(AO325="","",IF(AND(AO325="O",AP325="O",AR325="O",AT325="O",AU325="O"),"후보","X"))</f>
        <v/>
      </c>
    </row>
    <row r="326" ht="12" customFormat="1" customHeight="1" s="38">
      <c r="A326" s="120" t="inlineStr">
        <is>
          <t>효성동 새사미</t>
        </is>
      </c>
      <c r="B326" s="121" t="inlineStr">
        <is>
          <t>85.01.</t>
        </is>
      </c>
      <c r="C326" s="129" t="n">
        <v>280</v>
      </c>
      <c r="D326" s="130" t="n">
        <v>71.40000000000001</v>
      </c>
      <c r="E326" s="131" t="n">
        <v>22</v>
      </c>
      <c r="F326" s="130" t="n">
        <v>57.8</v>
      </c>
      <c r="G326" s="17" t="n">
        <v>17</v>
      </c>
      <c r="H326" s="132" t="n">
        <v>140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17" t="n">
        <v>3</v>
      </c>
      <c r="R326" s="117" t="n">
        <v>1</v>
      </c>
      <c r="S326" s="117" t="inlineStr">
        <is>
          <t>계</t>
        </is>
      </c>
      <c r="T326" s="5" t="n">
        <v>71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17">
        <f>S326</f>
        <v/>
      </c>
      <c r="AF326" s="117">
        <f>Q326&amp;"/"&amp;R326</f>
        <v/>
      </c>
      <c r="AH326" s="20">
        <f>IF(A326="","",A326)</f>
        <v/>
      </c>
      <c r="AI326" s="131">
        <f>IF(E326="","",E326)</f>
        <v/>
      </c>
      <c r="AJ326" s="117">
        <f>IF(AI326="","",$AJ$2)</f>
        <v/>
      </c>
      <c r="AK326" s="117" t="inlineStr">
        <is>
          <t>A</t>
        </is>
      </c>
      <c r="AL326" s="117" t="inlineStr">
        <is>
          <t>A+</t>
        </is>
      </c>
      <c r="AM326" s="117" t="inlineStr">
        <is>
          <t>B+</t>
        </is>
      </c>
      <c r="AN326" s="117">
        <f>IF(AI326="","",$AN$2)</f>
        <v/>
      </c>
      <c r="AO326" s="117">
        <f>IF(N326="","",IF(N326&gt;=$AO$1/100,"O","X"))</f>
        <v/>
      </c>
      <c r="AP326" s="117">
        <f>IF(I326="","",IF(I326&lt;=$AP$1,"O","X"))</f>
        <v/>
      </c>
      <c r="AQ326" s="117">
        <f>IF(O326="","",IF(O326&lt;=$AQ$1,"O","X"))</f>
        <v/>
      </c>
      <c r="AR326" s="117">
        <f>IF(M326="","",IF(M326&lt;=$AR$1,"O","X"))</f>
        <v/>
      </c>
      <c r="AS326" s="117" t="inlineStr">
        <is>
          <t>X</t>
        </is>
      </c>
      <c r="AT326" s="117">
        <f>IF(OR(F326="",AI326=""),"",IF(AND((F326&lt;=85),(AI326&gt;=15)),"O","X"))</f>
        <v/>
      </c>
      <c r="AU326" s="117">
        <f>IF(C326="","",IF(C326&gt;=$AU$1,"O","X"))</f>
        <v/>
      </c>
      <c r="AV326" s="117">
        <f>IF(AO326="","",IF(AND(AO326="O",AP326="O",AR326="O",AT326="O",AU326="O"),"후보","X"))</f>
        <v/>
      </c>
    </row>
    <row r="327" ht="12" customFormat="1" customHeight="1" s="38">
      <c r="A327" s="120" t="inlineStr">
        <is>
          <t>효성동 뉴서울6차</t>
        </is>
      </c>
      <c r="B327" s="121" t="inlineStr">
        <is>
          <t>95.05.</t>
        </is>
      </c>
      <c r="C327" s="129" t="n">
        <v>370</v>
      </c>
      <c r="D327" s="130" t="n">
        <v>76.8</v>
      </c>
      <c r="E327" s="131" t="n">
        <v>23</v>
      </c>
      <c r="F327" s="130" t="n">
        <v>59.8</v>
      </c>
      <c r="G327" s="17" t="n">
        <v>18</v>
      </c>
      <c r="H327" s="132" t="n">
        <v>224</v>
      </c>
      <c r="I327" s="133" t="n">
        <v>29000</v>
      </c>
      <c r="J327" s="133" t="inlineStr">
        <is>
          <t>6</t>
        </is>
      </c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17" t="n">
        <v>3</v>
      </c>
      <c r="R327" s="117" t="n">
        <v>1</v>
      </c>
      <c r="S327" s="117" t="inlineStr">
        <is>
          <t>계</t>
        </is>
      </c>
      <c r="T327" s="5" t="n">
        <v>76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17">
        <f>S327</f>
        <v/>
      </c>
      <c r="AF327" s="117">
        <f>Q327&amp;"/"&amp;R327</f>
        <v/>
      </c>
      <c r="AH327" s="20">
        <f>IF(A327="","",A327)</f>
        <v/>
      </c>
      <c r="AI327" s="131">
        <f>IF(E327="","",E327)</f>
        <v/>
      </c>
      <c r="AJ327" s="117">
        <f>IF(AI327="","",$AJ$2)</f>
        <v/>
      </c>
      <c r="AK327" s="117" t="inlineStr">
        <is>
          <t>A</t>
        </is>
      </c>
      <c r="AL327" s="117" t="inlineStr">
        <is>
          <t>A+</t>
        </is>
      </c>
      <c r="AM327" s="117" t="inlineStr">
        <is>
          <t>B+</t>
        </is>
      </c>
      <c r="AN327" s="117">
        <f>IF(AI327="","",$AN$2)</f>
        <v/>
      </c>
      <c r="AO327" s="117">
        <f>IF(N327="","",IF(N327&gt;=$AO$1/100,"O","X"))</f>
        <v/>
      </c>
      <c r="AP327" s="117">
        <f>IF(I327="","",IF(I327&lt;=$AP$1,"O","X"))</f>
        <v/>
      </c>
      <c r="AQ327" s="117">
        <f>IF(O327="","",IF(O327&lt;=$AQ$1,"O","X"))</f>
        <v/>
      </c>
      <c r="AR327" s="117">
        <f>IF(M327="","",IF(M327&lt;=$AR$1,"O","X"))</f>
        <v/>
      </c>
      <c r="AS327" s="117" t="inlineStr">
        <is>
          <t>X</t>
        </is>
      </c>
      <c r="AT327" s="117">
        <f>IF(OR(F327="",AI327=""),"",IF(AND((F327&lt;=85),(AI327&gt;=15)),"O","X"))</f>
        <v/>
      </c>
      <c r="AU327" s="117">
        <f>IF(C327="","",IF(C327&gt;=$AU$1,"O","X"))</f>
        <v/>
      </c>
      <c r="AV327" s="117">
        <f>IF(AO327="","",IF(AND(AO327="O",AP327="O",AR327="O",AT327="O",AU327="O"),"후보","X"))</f>
        <v/>
      </c>
    </row>
    <row r="328" ht="12" customFormat="1" customHeight="1" s="38">
      <c r="A328" s="120" t="inlineStr">
        <is>
          <t>효성동 뉴서울6차</t>
        </is>
      </c>
      <c r="B328" s="121" t="inlineStr">
        <is>
          <t>95.05.</t>
        </is>
      </c>
      <c r="C328" s="129" t="n">
        <v>370</v>
      </c>
      <c r="D328" s="130" t="n">
        <v>95.3</v>
      </c>
      <c r="E328" s="131" t="n">
        <v>29</v>
      </c>
      <c r="F328" s="130" t="n">
        <v>75.7</v>
      </c>
      <c r="G328" s="17" t="n">
        <v>23</v>
      </c>
      <c r="H328" s="132" t="n">
        <v>20</v>
      </c>
      <c r="I328" s="133" t="n">
        <v>36000</v>
      </c>
      <c r="J328" s="133" t="inlineStr">
        <is>
          <t>16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17" t="n">
        <v>3</v>
      </c>
      <c r="R328" s="117" t="n">
        <v>1</v>
      </c>
      <c r="S328" s="117" t="inlineStr">
        <is>
          <t>계</t>
        </is>
      </c>
      <c r="T328" s="5" t="n">
        <v>95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17">
        <f>S328</f>
        <v/>
      </c>
      <c r="AF328" s="117">
        <f>Q328&amp;"/"&amp;R328</f>
        <v/>
      </c>
      <c r="AH328" s="20">
        <f>IF(A328="","",A328)</f>
        <v/>
      </c>
      <c r="AI328" s="131">
        <f>IF(E328="","",E328)</f>
        <v/>
      </c>
      <c r="AJ328" s="117">
        <f>IF(AI328="","",$AJ$2)</f>
        <v/>
      </c>
      <c r="AK328" s="117" t="inlineStr">
        <is>
          <t>A</t>
        </is>
      </c>
      <c r="AL328" s="117" t="inlineStr">
        <is>
          <t>A+</t>
        </is>
      </c>
      <c r="AM328" s="117" t="inlineStr">
        <is>
          <t>B+</t>
        </is>
      </c>
      <c r="AN328" s="117">
        <f>IF(AI328="","",$AN$2)</f>
        <v/>
      </c>
      <c r="AO328" s="117">
        <f>IF(N328="","",IF(N328&gt;=$AO$1/100,"O","X"))</f>
        <v/>
      </c>
      <c r="AP328" s="117">
        <f>IF(I328="","",IF(I328&lt;=$AP$1,"O","X"))</f>
        <v/>
      </c>
      <c r="AQ328" s="117">
        <f>IF(O328="","",IF(O328&lt;=$AQ$1,"O","X"))</f>
        <v/>
      </c>
      <c r="AR328" s="117">
        <f>IF(M328="","",IF(M328&lt;=$AR$1,"O","X"))</f>
        <v/>
      </c>
      <c r="AS328" s="117" t="inlineStr">
        <is>
          <t>X</t>
        </is>
      </c>
      <c r="AT328" s="117">
        <f>IF(OR(F328="",AI328=""),"",IF(AND((F328&lt;=85),(AI328&gt;=15)),"O","X"))</f>
        <v/>
      </c>
      <c r="AU328" s="117">
        <f>IF(C328="","",IF(C328&gt;=$AU$1,"O","X"))</f>
        <v/>
      </c>
      <c r="AV328" s="117">
        <f>IF(AO328="","",IF(AND(AO328="O",AP328="O",AR328="O",AT328="O",AU328="O"),"후보","X"))</f>
        <v/>
      </c>
    </row>
    <row r="329" ht="12" customFormat="1" customHeight="1" s="38">
      <c r="A329" s="120" t="inlineStr">
        <is>
          <t>효성동 뉴서울6차</t>
        </is>
      </c>
      <c r="B329" s="121" t="inlineStr">
        <is>
          <t>95.05.</t>
        </is>
      </c>
      <c r="C329" s="129" t="n">
        <v>370</v>
      </c>
      <c r="D329" s="130" t="n">
        <v>103.8</v>
      </c>
      <c r="E329" s="131" t="n">
        <v>31</v>
      </c>
      <c r="F329" s="130" t="n">
        <v>85</v>
      </c>
      <c r="G329" s="17" t="n">
        <v>26</v>
      </c>
      <c r="H329" s="132" t="n">
        <v>126</v>
      </c>
      <c r="I329" s="133" t="n">
        <v>48000</v>
      </c>
      <c r="J329" s="133" t="inlineStr">
        <is>
          <t>10</t>
        </is>
      </c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17" t="n">
        <v>3</v>
      </c>
      <c r="R329" s="117" t="n">
        <v>2</v>
      </c>
      <c r="S329" s="117" t="inlineStr">
        <is>
          <t>계</t>
        </is>
      </c>
      <c r="T329" s="5" t="n">
        <v>103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17">
        <f>S329</f>
        <v/>
      </c>
      <c r="AF329" s="117">
        <f>Q329&amp;"/"&amp;R329</f>
        <v/>
      </c>
      <c r="AH329" s="20">
        <f>IF(A329="","",A329)</f>
        <v/>
      </c>
      <c r="AI329" s="131">
        <f>IF(E329="","",E329)</f>
        <v/>
      </c>
      <c r="AJ329" s="117">
        <f>IF(AI329="","",$AJ$2)</f>
        <v/>
      </c>
      <c r="AK329" s="117" t="inlineStr">
        <is>
          <t>A</t>
        </is>
      </c>
      <c r="AL329" s="117" t="inlineStr">
        <is>
          <t>A+</t>
        </is>
      </c>
      <c r="AM329" s="117" t="inlineStr">
        <is>
          <t>B+</t>
        </is>
      </c>
      <c r="AN329" s="117">
        <f>IF(AI329="","",$AN$2)</f>
        <v/>
      </c>
      <c r="AO329" s="117">
        <f>IF(N329="","",IF(N329&gt;=$AO$1/100,"O","X"))</f>
        <v/>
      </c>
      <c r="AP329" s="117">
        <f>IF(I329="","",IF(I329&lt;=$AP$1,"O","X"))</f>
        <v/>
      </c>
      <c r="AQ329" s="117">
        <f>IF(O329="","",IF(O329&lt;=$AQ$1,"O","X"))</f>
        <v/>
      </c>
      <c r="AR329" s="117">
        <f>IF(M329="","",IF(M329&lt;=$AR$1,"O","X"))</f>
        <v/>
      </c>
      <c r="AS329" s="117" t="inlineStr">
        <is>
          <t>X</t>
        </is>
      </c>
      <c r="AT329" s="117">
        <f>IF(OR(F329="",AI329=""),"",IF(AND((F329&lt;=85),(AI329&gt;=15)),"O","X"))</f>
        <v/>
      </c>
      <c r="AU329" s="117">
        <f>IF(C329="","",IF(C329&gt;=$AU$1,"O","X"))</f>
        <v/>
      </c>
      <c r="AV329" s="117">
        <f>IF(AO329="","",IF(AND(AO329="O",AP329="O",AR329="O",AT329="O",AU329="O"),"후보","X"))</f>
        <v/>
      </c>
    </row>
    <row r="330" ht="12" customFormat="1" customHeight="1" s="38">
      <c r="A330" s="120" t="inlineStr">
        <is>
          <t>효성동 효성대림</t>
        </is>
      </c>
      <c r="B330" s="121" t="inlineStr">
        <is>
          <t>99.09.</t>
        </is>
      </c>
      <c r="C330" s="129" t="n">
        <v>298</v>
      </c>
      <c r="D330" s="130" t="n">
        <v>74.5</v>
      </c>
      <c r="E330" s="131" t="n">
        <v>23</v>
      </c>
      <c r="F330" s="130" t="n">
        <v>52.2</v>
      </c>
      <c r="G330" s="17" t="n">
        <v>16</v>
      </c>
      <c r="H330" s="132" t="n">
        <v>2</v>
      </c>
      <c r="I330" s="133" t="n"/>
      <c r="J330" s="133" t="n"/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17" t="n">
        <v>3</v>
      </c>
      <c r="R330" s="117" t="n">
        <v>1</v>
      </c>
      <c r="S330" s="117" t="inlineStr">
        <is>
          <t>계</t>
        </is>
      </c>
      <c r="T330" s="5" t="n">
        <v>74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17">
        <f>S330</f>
        <v/>
      </c>
      <c r="AF330" s="117">
        <f>Q330&amp;"/"&amp;R330</f>
        <v/>
      </c>
      <c r="AH330" s="20">
        <f>IF(A330="","",A330)</f>
        <v/>
      </c>
      <c r="AI330" s="131">
        <f>IF(E330="","",E330)</f>
        <v/>
      </c>
      <c r="AJ330" s="117">
        <f>IF(AI330="","",$AJ$2)</f>
        <v/>
      </c>
      <c r="AK330" s="117" t="inlineStr">
        <is>
          <t>A</t>
        </is>
      </c>
      <c r="AL330" s="117" t="inlineStr">
        <is>
          <t>A+</t>
        </is>
      </c>
      <c r="AM330" s="117" t="inlineStr">
        <is>
          <t>B+</t>
        </is>
      </c>
      <c r="AN330" s="117">
        <f>IF(AI330="","",$AN$2)</f>
        <v/>
      </c>
      <c r="AO330" s="117">
        <f>IF(N330="","",IF(N330&gt;=$AO$1/100,"O","X"))</f>
        <v/>
      </c>
      <c r="AP330" s="117">
        <f>IF(I330="","",IF(I330&lt;=$AP$1,"O","X"))</f>
        <v/>
      </c>
      <c r="AQ330" s="117">
        <f>IF(O330="","",IF(O330&lt;=$AQ$1,"O","X"))</f>
        <v/>
      </c>
      <c r="AR330" s="117">
        <f>IF(M330="","",IF(M330&lt;=$AR$1,"O","X"))</f>
        <v/>
      </c>
      <c r="AS330" s="117" t="inlineStr">
        <is>
          <t>X</t>
        </is>
      </c>
      <c r="AT330" s="117">
        <f>IF(OR(F330="",AI330=""),"",IF(AND((F330&lt;=85),(AI330&gt;=15)),"O","X"))</f>
        <v/>
      </c>
      <c r="AU330" s="117">
        <f>IF(C330="","",IF(C330&gt;=$AU$1,"O","X"))</f>
        <v/>
      </c>
      <c r="AV330" s="117">
        <f>IF(AO330="","",IF(AND(AO330="O",AP330="O",AR330="O",AT330="O",AU330="O"),"후보","X"))</f>
        <v/>
      </c>
    </row>
    <row r="331" ht="12" customFormat="1" customHeight="1" s="38">
      <c r="A331" s="120" t="inlineStr">
        <is>
          <t>효성동 효성대림</t>
        </is>
      </c>
      <c r="B331" s="121" t="inlineStr">
        <is>
          <t>99.09.</t>
        </is>
      </c>
      <c r="C331" s="129" t="n">
        <v>298</v>
      </c>
      <c r="D331" s="130" t="n">
        <v>81.5</v>
      </c>
      <c r="E331" s="131" t="n">
        <v>25</v>
      </c>
      <c r="F331" s="130" t="n">
        <v>59.2</v>
      </c>
      <c r="G331" s="17" t="n">
        <v>18</v>
      </c>
      <c r="H331" s="132" t="n">
        <v>123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17" t="n">
        <v>3</v>
      </c>
      <c r="R331" s="117" t="n">
        <v>1</v>
      </c>
      <c r="S331" s="117" t="inlineStr">
        <is>
          <t>계</t>
        </is>
      </c>
      <c r="T331" s="5" t="n">
        <v>81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17">
        <f>S331</f>
        <v/>
      </c>
      <c r="AF331" s="117">
        <f>Q331&amp;"/"&amp;R331</f>
        <v/>
      </c>
      <c r="AH331" s="20">
        <f>IF(A331="","",A331)</f>
        <v/>
      </c>
      <c r="AI331" s="131">
        <f>IF(E331="","",E331)</f>
        <v/>
      </c>
      <c r="AJ331" s="117">
        <f>IF(AI331="","",$AJ$2)</f>
        <v/>
      </c>
      <c r="AK331" s="117" t="inlineStr">
        <is>
          <t>A</t>
        </is>
      </c>
      <c r="AL331" s="117" t="inlineStr">
        <is>
          <t>A+</t>
        </is>
      </c>
      <c r="AM331" s="117" t="inlineStr">
        <is>
          <t>B+</t>
        </is>
      </c>
      <c r="AN331" s="117">
        <f>IF(AI331="","",$AN$2)</f>
        <v/>
      </c>
      <c r="AO331" s="117">
        <f>IF(N331="","",IF(N331&gt;=$AO$1/100,"O","X"))</f>
        <v/>
      </c>
      <c r="AP331" s="117">
        <f>IF(I331="","",IF(I331&lt;=$AP$1,"O","X"))</f>
        <v/>
      </c>
      <c r="AQ331" s="117">
        <f>IF(O331="","",IF(O331&lt;=$AQ$1,"O","X"))</f>
        <v/>
      </c>
      <c r="AR331" s="117">
        <f>IF(M331="","",IF(M331&lt;=$AR$1,"O","X"))</f>
        <v/>
      </c>
      <c r="AS331" s="117" t="inlineStr">
        <is>
          <t>X</t>
        </is>
      </c>
      <c r="AT331" s="117">
        <f>IF(OR(F331="",AI331=""),"",IF(AND((F331&lt;=85),(AI331&gt;=15)),"O","X"))</f>
        <v/>
      </c>
      <c r="AU331" s="117">
        <f>IF(C331="","",IF(C331&gt;=$AU$1,"O","X"))</f>
        <v/>
      </c>
      <c r="AV331" s="117">
        <f>IF(AO331="","",IF(AND(AO331="O",AP331="O",AR331="O",AT331="O",AU331="O"),"후보","X"))</f>
        <v/>
      </c>
    </row>
    <row r="332" ht="12" customFormat="1" customHeight="1" s="38">
      <c r="A332" s="120" t="inlineStr">
        <is>
          <t>효성동 효성대림</t>
        </is>
      </c>
      <c r="B332" s="121" t="inlineStr">
        <is>
          <t>99.09.</t>
        </is>
      </c>
      <c r="C332" s="129" t="n">
        <v>298</v>
      </c>
      <c r="D332" s="130" t="n">
        <v>108.9</v>
      </c>
      <c r="E332" s="131" t="n">
        <v>33</v>
      </c>
      <c r="F332" s="130" t="n">
        <v>84</v>
      </c>
      <c r="G332" s="17" t="n">
        <v>25</v>
      </c>
      <c r="H332" s="132" t="n">
        <v>137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17" t="n">
        <v>3</v>
      </c>
      <c r="R332" s="117" t="n">
        <v>2</v>
      </c>
      <c r="S332" s="117" t="inlineStr">
        <is>
          <t>계</t>
        </is>
      </c>
      <c r="T332" s="5" t="inlineStr">
        <is>
          <t>108A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17">
        <f>S332</f>
        <v/>
      </c>
      <c r="AF332" s="117">
        <f>Q332&amp;"/"&amp;R332</f>
        <v/>
      </c>
      <c r="AH332" s="20">
        <f>IF(A332="","",A332)</f>
        <v/>
      </c>
      <c r="AI332" s="131">
        <f>IF(E332="","",E332)</f>
        <v/>
      </c>
      <c r="AJ332" s="117">
        <f>IF(AI332="","",$AJ$2)</f>
        <v/>
      </c>
      <c r="AK332" s="117" t="inlineStr">
        <is>
          <t>A</t>
        </is>
      </c>
      <c r="AL332" s="117" t="inlineStr">
        <is>
          <t>A+</t>
        </is>
      </c>
      <c r="AM332" s="117" t="inlineStr">
        <is>
          <t>B+</t>
        </is>
      </c>
      <c r="AN332" s="117">
        <f>IF(AI332="","",$AN$2)</f>
        <v/>
      </c>
      <c r="AO332" s="117">
        <f>IF(N332="","",IF(N332&gt;=$AO$1/100,"O","X"))</f>
        <v/>
      </c>
      <c r="AP332" s="117">
        <f>IF(I332="","",IF(I332&lt;=$AP$1,"O","X"))</f>
        <v/>
      </c>
      <c r="AQ332" s="117">
        <f>IF(O332="","",IF(O332&lt;=$AQ$1,"O","X"))</f>
        <v/>
      </c>
      <c r="AR332" s="117">
        <f>IF(M332="","",IF(M332&lt;=$AR$1,"O","X"))</f>
        <v/>
      </c>
      <c r="AS332" s="117" t="inlineStr">
        <is>
          <t>X</t>
        </is>
      </c>
      <c r="AT332" s="117">
        <f>IF(OR(F332="",AI332=""),"",IF(AND((F332&lt;=85),(AI332&gt;=15)),"O","X"))</f>
        <v/>
      </c>
      <c r="AU332" s="117">
        <f>IF(C332="","",IF(C332&gt;=$AU$1,"O","X"))</f>
        <v/>
      </c>
      <c r="AV332" s="117">
        <f>IF(AO332="","",IF(AND(AO332="O",AP332="O",AR332="O",AT332="O",AU332="O"),"후보","X"))</f>
        <v/>
      </c>
    </row>
    <row r="333" ht="12" customFormat="1" customHeight="1" s="38">
      <c r="A333" s="120" t="inlineStr">
        <is>
          <t>효성동 효성대림</t>
        </is>
      </c>
      <c r="B333" s="121" t="inlineStr">
        <is>
          <t>99.09.</t>
        </is>
      </c>
      <c r="C333" s="129" t="n">
        <v>298</v>
      </c>
      <c r="D333" s="130" t="n">
        <v>110</v>
      </c>
      <c r="E333" s="131" t="n">
        <v>33</v>
      </c>
      <c r="F333" s="130" t="n">
        <v>84.09999999999999</v>
      </c>
      <c r="G333" s="17" t="n">
        <v>25</v>
      </c>
      <c r="H333" s="132" t="n">
        <v>36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17" t="n">
        <v>3</v>
      </c>
      <c r="R333" s="117" t="n">
        <v>2</v>
      </c>
      <c r="S333" s="117" t="inlineStr">
        <is>
          <t>계</t>
        </is>
      </c>
      <c r="T333" s="5" t="inlineStr">
        <is>
          <t>110B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17">
        <f>S333</f>
        <v/>
      </c>
      <c r="AF333" s="117">
        <f>Q333&amp;"/"&amp;R333</f>
        <v/>
      </c>
      <c r="AH333" s="20">
        <f>IF(A333="","",A333)</f>
        <v/>
      </c>
      <c r="AI333" s="131">
        <f>IF(E333="","",E333)</f>
        <v/>
      </c>
      <c r="AJ333" s="117">
        <f>IF(AI333="","",$AJ$2)</f>
        <v/>
      </c>
      <c r="AK333" s="117" t="inlineStr">
        <is>
          <t>A</t>
        </is>
      </c>
      <c r="AL333" s="117" t="inlineStr">
        <is>
          <t>A+</t>
        </is>
      </c>
      <c r="AM333" s="117" t="inlineStr">
        <is>
          <t>B+</t>
        </is>
      </c>
      <c r="AN333" s="117">
        <f>IF(AI333="","",$AN$2)</f>
        <v/>
      </c>
      <c r="AO333" s="117">
        <f>IF(N333="","",IF(N333&gt;=$AO$1/100,"O","X"))</f>
        <v/>
      </c>
      <c r="AP333" s="117">
        <f>IF(I333="","",IF(I333&lt;=$AP$1,"O","X"))</f>
        <v/>
      </c>
      <c r="AQ333" s="117">
        <f>IF(O333="","",IF(O333&lt;=$AQ$1,"O","X"))</f>
        <v/>
      </c>
      <c r="AR333" s="117">
        <f>IF(M333="","",IF(M333&lt;=$AR$1,"O","X"))</f>
        <v/>
      </c>
      <c r="AS333" s="117" t="inlineStr">
        <is>
          <t>X</t>
        </is>
      </c>
      <c r="AT333" s="117">
        <f>IF(OR(F333="",AI333=""),"",IF(AND((F333&lt;=85),(AI333&gt;=15)),"O","X"))</f>
        <v/>
      </c>
      <c r="AU333" s="117">
        <f>IF(C333="","",IF(C333&gt;=$AU$1,"O","X"))</f>
        <v/>
      </c>
      <c r="AV333" s="117">
        <f>IF(AO333="","",IF(AND(AO333="O",AP333="O",AR333="O",AT333="O",AU333="O"),"후보","X"))</f>
        <v/>
      </c>
    </row>
    <row r="334" ht="12" customFormat="1" customHeight="1" s="38">
      <c r="A334" s="120" t="inlineStr">
        <is>
          <t>효성동 중앙하이츠</t>
        </is>
      </c>
      <c r="B334" s="121" t="inlineStr">
        <is>
          <t>96.11.</t>
        </is>
      </c>
      <c r="C334" s="129" t="n">
        <v>375</v>
      </c>
      <c r="D334" s="130" t="n">
        <v>81</v>
      </c>
      <c r="E334" s="131" t="n">
        <v>24</v>
      </c>
      <c r="F334" s="130" t="n">
        <v>60</v>
      </c>
      <c r="G334" s="17" t="n">
        <v>18</v>
      </c>
      <c r="H334" s="132" t="n">
        <v>194</v>
      </c>
      <c r="I334" s="133" t="n">
        <v>23800</v>
      </c>
      <c r="J334" s="133" t="inlineStr">
        <is>
          <t>6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17" t="n">
        <v>3</v>
      </c>
      <c r="R334" s="117" t="n">
        <v>1</v>
      </c>
      <c r="S334" s="117" t="inlineStr">
        <is>
          <t>복</t>
        </is>
      </c>
      <c r="T334" s="5" t="n">
        <v>80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17">
        <f>S334</f>
        <v/>
      </c>
      <c r="AF334" s="117">
        <f>Q334&amp;"/"&amp;R334</f>
        <v/>
      </c>
      <c r="AH334" s="20">
        <f>IF(A334="","",A334)</f>
        <v/>
      </c>
      <c r="AI334" s="131">
        <f>IF(E334="","",E334)</f>
        <v/>
      </c>
      <c r="AJ334" s="117">
        <f>IF(AI334="","",$AJ$2)</f>
        <v/>
      </c>
      <c r="AK334" s="117" t="inlineStr">
        <is>
          <t>A</t>
        </is>
      </c>
      <c r="AL334" s="117" t="inlineStr">
        <is>
          <t>A+</t>
        </is>
      </c>
      <c r="AM334" s="117" t="inlineStr">
        <is>
          <t>B+</t>
        </is>
      </c>
      <c r="AN334" s="117">
        <f>IF(AI334="","",$AN$2)</f>
        <v/>
      </c>
      <c r="AO334" s="117">
        <f>IF(N334="","",IF(N334&gt;=$AO$1/100,"O","X"))</f>
        <v/>
      </c>
      <c r="AP334" s="117">
        <f>IF(I334="","",IF(I334&lt;=$AP$1,"O","X"))</f>
        <v/>
      </c>
      <c r="AQ334" s="117">
        <f>IF(O334="","",IF(O334&lt;=$AQ$1,"O","X"))</f>
        <v/>
      </c>
      <c r="AR334" s="117">
        <f>IF(M334="","",IF(M334&lt;=$AR$1,"O","X"))</f>
        <v/>
      </c>
      <c r="AS334" s="117" t="inlineStr">
        <is>
          <t>X</t>
        </is>
      </c>
      <c r="AT334" s="117">
        <f>IF(OR(F334="",AI334=""),"",IF(AND((F334&lt;=85),(AI334&gt;=15)),"O","X"))</f>
        <v/>
      </c>
      <c r="AU334" s="117">
        <f>IF(C334="","",IF(C334&gt;=$AU$1,"O","X"))</f>
        <v/>
      </c>
      <c r="AV334" s="117">
        <f>IF(AO334="","",IF(AND(AO334="O",AP334="O",AR334="O",AT334="O",AU334="O"),"후보","X"))</f>
        <v/>
      </c>
    </row>
    <row r="335" ht="12" customFormat="1" customHeight="1" s="38">
      <c r="A335" s="120" t="inlineStr">
        <is>
          <t>효성동 중앙하이츠</t>
        </is>
      </c>
      <c r="B335" s="121" t="inlineStr">
        <is>
          <t>96.11.</t>
        </is>
      </c>
      <c r="C335" s="129" t="n">
        <v>375</v>
      </c>
      <c r="D335" s="130" t="n">
        <v>107.4</v>
      </c>
      <c r="E335" s="131" t="n">
        <v>33</v>
      </c>
      <c r="F335" s="130" t="n">
        <v>84.90000000000001</v>
      </c>
      <c r="G335" s="17" t="n">
        <v>26</v>
      </c>
      <c r="H335" s="132" t="n">
        <v>164</v>
      </c>
      <c r="I335" s="133" t="n">
        <v>37000</v>
      </c>
      <c r="J335" s="133" t="inlineStr">
        <is>
          <t>24</t>
        </is>
      </c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17" t="n">
        <v>3</v>
      </c>
      <c r="R335" s="117" t="n">
        <v>2</v>
      </c>
      <c r="S335" s="117" t="inlineStr">
        <is>
          <t>계</t>
        </is>
      </c>
      <c r="T335" s="5" t="n">
        <v>107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17">
        <f>S335</f>
        <v/>
      </c>
      <c r="AF335" s="117">
        <f>Q335&amp;"/"&amp;R335</f>
        <v/>
      </c>
      <c r="AH335" s="20">
        <f>IF(A335="","",A335)</f>
        <v/>
      </c>
      <c r="AI335" s="131">
        <f>IF(E335="","",E335)</f>
        <v/>
      </c>
      <c r="AJ335" s="117">
        <f>IF(AI335="","",$AJ$2)</f>
        <v/>
      </c>
      <c r="AK335" s="117" t="inlineStr">
        <is>
          <t>A</t>
        </is>
      </c>
      <c r="AL335" s="117" t="inlineStr">
        <is>
          <t>A+</t>
        </is>
      </c>
      <c r="AM335" s="117" t="inlineStr">
        <is>
          <t>B+</t>
        </is>
      </c>
      <c r="AN335" s="117">
        <f>IF(AI335="","",$AN$2)</f>
        <v/>
      </c>
      <c r="AO335" s="117">
        <f>IF(N335="","",IF(N335&gt;=$AO$1/100,"O","X"))</f>
        <v/>
      </c>
      <c r="AP335" s="117">
        <f>IF(I335="","",IF(I335&lt;=$AP$1,"O","X"))</f>
        <v/>
      </c>
      <c r="AQ335" s="117">
        <f>IF(O335="","",IF(O335&lt;=$AQ$1,"O","X"))</f>
        <v/>
      </c>
      <c r="AR335" s="117">
        <f>IF(M335="","",IF(M335&lt;=$AR$1,"O","X"))</f>
        <v/>
      </c>
      <c r="AS335" s="117" t="inlineStr">
        <is>
          <t>X</t>
        </is>
      </c>
      <c r="AT335" s="117">
        <f>IF(OR(F335="",AI335=""),"",IF(AND((F335&lt;=85),(AI335&gt;=15)),"O","X"))</f>
        <v/>
      </c>
      <c r="AU335" s="117">
        <f>IF(C335="","",IF(C335&gt;=$AU$1,"O","X"))</f>
        <v/>
      </c>
      <c r="AV335" s="117">
        <f>IF(AO335="","",IF(AND(AO335="O",AP335="O",AR335="O",AT335="O",AU335="O"),"후보","X"))</f>
        <v/>
      </c>
    </row>
    <row r="336" ht="12" customFormat="1" customHeight="1" s="38">
      <c r="A336" s="120" t="inlineStr">
        <is>
          <t>효성동 중앙하이츠</t>
        </is>
      </c>
      <c r="B336" s="121" t="inlineStr">
        <is>
          <t>96.11.</t>
        </is>
      </c>
      <c r="C336" s="129" t="n">
        <v>375</v>
      </c>
      <c r="D336" s="130" t="n">
        <v>116.7</v>
      </c>
      <c r="E336" s="131" t="n">
        <v>35</v>
      </c>
      <c r="F336" s="130" t="n">
        <v>89.2</v>
      </c>
      <c r="G336" s="17" t="n">
        <v>27</v>
      </c>
      <c r="H336" s="132" t="n">
        <v>17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17" t="n">
        <v>3</v>
      </c>
      <c r="R336" s="117" t="n">
        <v>2</v>
      </c>
      <c r="S336" s="117" t="inlineStr">
        <is>
          <t>계</t>
        </is>
      </c>
      <c r="T336" s="5" t="n">
        <v>116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17">
        <f>S336</f>
        <v/>
      </c>
      <c r="AF336" s="117">
        <f>Q336&amp;"/"&amp;R336</f>
        <v/>
      </c>
      <c r="AH336" s="20">
        <f>IF(A336="","",A336)</f>
        <v/>
      </c>
      <c r="AI336" s="131">
        <f>IF(E336="","",E336)</f>
        <v/>
      </c>
      <c r="AJ336" s="117">
        <f>IF(AI336="","",$AJ$2)</f>
        <v/>
      </c>
      <c r="AK336" s="117" t="inlineStr">
        <is>
          <t>A</t>
        </is>
      </c>
      <c r="AL336" s="117" t="inlineStr">
        <is>
          <t>A+</t>
        </is>
      </c>
      <c r="AM336" s="117" t="inlineStr">
        <is>
          <t>B+</t>
        </is>
      </c>
      <c r="AN336" s="117">
        <f>IF(AI336="","",$AN$2)</f>
        <v/>
      </c>
      <c r="AO336" s="117">
        <f>IF(N336="","",IF(N336&gt;=$AO$1/100,"O","X"))</f>
        <v/>
      </c>
      <c r="AP336" s="117">
        <f>IF(I336="","",IF(I336&lt;=$AP$1,"O","X"))</f>
        <v/>
      </c>
      <c r="AQ336" s="117">
        <f>IF(O336="","",IF(O336&lt;=$AQ$1,"O","X"))</f>
        <v/>
      </c>
      <c r="AR336" s="117">
        <f>IF(M336="","",IF(M336&lt;=$AR$1,"O","X"))</f>
        <v/>
      </c>
      <c r="AS336" s="117" t="inlineStr">
        <is>
          <t>X</t>
        </is>
      </c>
      <c r="AT336" s="117">
        <f>IF(OR(F336="",AI336=""),"",IF(AND((F336&lt;=85),(AI336&gt;=15)),"O","X"))</f>
        <v/>
      </c>
      <c r="AU336" s="117">
        <f>IF(C336="","",IF(C336&gt;=$AU$1,"O","X"))</f>
        <v/>
      </c>
      <c r="AV336" s="117">
        <f>IF(AO336="","",IF(AND(AO336="O",AP336="O",AR336="O",AT336="O",AU336="O"),"후보","X"))</f>
        <v/>
      </c>
    </row>
    <row r="337" ht="12" customFormat="1" customHeight="1" s="38">
      <c r="A337" s="120" t="inlineStr">
        <is>
          <t>효성동 미도</t>
        </is>
      </c>
      <c r="B337" s="121" t="inlineStr">
        <is>
          <t>85.01.</t>
        </is>
      </c>
      <c r="C337" s="129" t="n">
        <v>205</v>
      </c>
      <c r="D337" s="130" t="n">
        <v>54.5</v>
      </c>
      <c r="E337" s="131" t="n">
        <v>16</v>
      </c>
      <c r="F337" s="130" t="n">
        <v>46</v>
      </c>
      <c r="G337" s="17" t="n">
        <v>14</v>
      </c>
      <c r="H337" s="132" t="n">
        <v>5</v>
      </c>
      <c r="I337" s="133" t="n"/>
      <c r="J337" s="133" t="n"/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17" t="n">
        <v>2</v>
      </c>
      <c r="R337" s="117" t="n">
        <v>1</v>
      </c>
      <c r="S337" s="117" t="inlineStr">
        <is>
          <t>계</t>
        </is>
      </c>
      <c r="T337" s="5" t="n">
        <v>54</v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17">
        <f>S337</f>
        <v/>
      </c>
      <c r="AF337" s="117">
        <f>Q337&amp;"/"&amp;R337</f>
        <v/>
      </c>
      <c r="AH337" s="20">
        <f>IF(A337="","",A337)</f>
        <v/>
      </c>
      <c r="AI337" s="131">
        <f>IF(E337="","",E337)</f>
        <v/>
      </c>
      <c r="AJ337" s="117">
        <f>IF(AI337="","",$AJ$2)</f>
        <v/>
      </c>
      <c r="AK337" s="117" t="inlineStr">
        <is>
          <t>A</t>
        </is>
      </c>
      <c r="AL337" s="117" t="inlineStr">
        <is>
          <t>A+</t>
        </is>
      </c>
      <c r="AM337" s="117" t="inlineStr">
        <is>
          <t>B+</t>
        </is>
      </c>
      <c r="AN337" s="117">
        <f>IF(AI337="","",$AN$2)</f>
        <v/>
      </c>
      <c r="AO337" s="117">
        <f>IF(N337="","",IF(N337&gt;=$AO$1/100,"O","X"))</f>
        <v/>
      </c>
      <c r="AP337" s="117">
        <f>IF(I337="","",IF(I337&lt;=$AP$1,"O","X"))</f>
        <v/>
      </c>
      <c r="AQ337" s="117">
        <f>IF(O337="","",IF(O337&lt;=$AQ$1,"O","X"))</f>
        <v/>
      </c>
      <c r="AR337" s="117">
        <f>IF(M337="","",IF(M337&lt;=$AR$1,"O","X"))</f>
        <v/>
      </c>
      <c r="AS337" s="117" t="inlineStr">
        <is>
          <t>X</t>
        </is>
      </c>
      <c r="AT337" s="117">
        <f>IF(OR(F337="",AI337=""),"",IF(AND((F337&lt;=85),(AI337&gt;=15)),"O","X"))</f>
        <v/>
      </c>
      <c r="AU337" s="117">
        <f>IF(C337="","",IF(C337&gt;=$AU$1,"O","X"))</f>
        <v/>
      </c>
      <c r="AV337" s="117">
        <f>IF(AO337="","",IF(AND(AO337="O",AP337="O",AR337="O",AT337="O",AU337="O"),"후보","X"))</f>
        <v/>
      </c>
    </row>
    <row r="338" ht="12" customFormat="1" customHeight="1" s="38">
      <c r="A338" s="120" t="inlineStr">
        <is>
          <t>효성동 미도</t>
        </is>
      </c>
      <c r="B338" s="121" t="inlineStr">
        <is>
          <t>85.01.</t>
        </is>
      </c>
      <c r="C338" s="129" t="n">
        <v>205</v>
      </c>
      <c r="D338" s="130" t="n">
        <v>71</v>
      </c>
      <c r="E338" s="131" t="n">
        <v>21</v>
      </c>
      <c r="F338" s="130" t="n">
        <v>59.9</v>
      </c>
      <c r="G338" s="17" t="n">
        <v>18</v>
      </c>
      <c r="H338" s="132" t="n">
        <v>5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17" t="n">
        <v>2</v>
      </c>
      <c r="R338" s="117" t="n">
        <v>1</v>
      </c>
      <c r="S338" s="117" t="inlineStr">
        <is>
          <t>계</t>
        </is>
      </c>
      <c r="T338" s="5" t="n">
        <v>71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17">
        <f>S338</f>
        <v/>
      </c>
      <c r="AF338" s="117">
        <f>Q338&amp;"/"&amp;R338</f>
        <v/>
      </c>
      <c r="AH338" s="20">
        <f>IF(A338="","",A338)</f>
        <v/>
      </c>
      <c r="AI338" s="131">
        <f>IF(E338="","",E338)</f>
        <v/>
      </c>
      <c r="AJ338" s="117">
        <f>IF(AI338="","",$AJ$2)</f>
        <v/>
      </c>
      <c r="AK338" s="117" t="inlineStr">
        <is>
          <t>A</t>
        </is>
      </c>
      <c r="AL338" s="117" t="inlineStr">
        <is>
          <t>A+</t>
        </is>
      </c>
      <c r="AM338" s="117" t="inlineStr">
        <is>
          <t>B+</t>
        </is>
      </c>
      <c r="AN338" s="117">
        <f>IF(AI338="","",$AN$2)</f>
        <v/>
      </c>
      <c r="AO338" s="117">
        <f>IF(N338="","",IF(N338&gt;=$AO$1/100,"O","X"))</f>
        <v/>
      </c>
      <c r="AP338" s="117">
        <f>IF(I338="","",IF(I338&lt;=$AP$1,"O","X"))</f>
        <v/>
      </c>
      <c r="AQ338" s="117">
        <f>IF(O338="","",IF(O338&lt;=$AQ$1,"O","X"))</f>
        <v/>
      </c>
      <c r="AR338" s="117">
        <f>IF(M338="","",IF(M338&lt;=$AR$1,"O","X"))</f>
        <v/>
      </c>
      <c r="AS338" s="117" t="inlineStr">
        <is>
          <t>X</t>
        </is>
      </c>
      <c r="AT338" s="117">
        <f>IF(OR(F338="",AI338=""),"",IF(AND((F338&lt;=85),(AI338&gt;=15)),"O","X"))</f>
        <v/>
      </c>
      <c r="AU338" s="117">
        <f>IF(C338="","",IF(C338&gt;=$AU$1,"O","X"))</f>
        <v/>
      </c>
      <c r="AV338" s="117">
        <f>IF(AO338="","",IF(AND(AO338="O",AP338="O",AR338="O",AT338="O",AU338="O"),"후보","X"))</f>
        <v/>
      </c>
    </row>
    <row r="339" ht="12" customFormat="1" customHeight="1" s="38">
      <c r="A339" s="120" t="inlineStr">
        <is>
          <t>효성동 미도</t>
        </is>
      </c>
      <c r="B339" s="121" t="inlineStr">
        <is>
          <t>85.01.</t>
        </is>
      </c>
      <c r="C339" s="129" t="n">
        <v>205</v>
      </c>
      <c r="D339" s="130" t="n">
        <v>78.40000000000001</v>
      </c>
      <c r="E339" s="131" t="n">
        <v>24</v>
      </c>
      <c r="F339" s="130" t="n">
        <v>66</v>
      </c>
      <c r="G339" s="17" t="n">
        <v>20</v>
      </c>
      <c r="H339" s="132" t="n">
        <v>70</v>
      </c>
      <c r="I339" s="133" t="n"/>
      <c r="J339" s="133" t="n"/>
      <c r="K339" s="133" t="n"/>
      <c r="L339" s="133" t="n"/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17" t="n">
        <v>2</v>
      </c>
      <c r="R339" s="117" t="n">
        <v>1</v>
      </c>
      <c r="S339" s="117" t="inlineStr">
        <is>
          <t>계</t>
        </is>
      </c>
      <c r="T339" s="5" t="n">
        <v>78</v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17">
        <f>S339</f>
        <v/>
      </c>
      <c r="AF339" s="117">
        <f>Q339&amp;"/"&amp;R339</f>
        <v/>
      </c>
      <c r="AH339" s="20">
        <f>IF(A339="","",A339)</f>
        <v/>
      </c>
      <c r="AI339" s="131">
        <f>IF(E339="","",E339)</f>
        <v/>
      </c>
      <c r="AJ339" s="117">
        <f>IF(AI339="","",$AJ$2)</f>
        <v/>
      </c>
      <c r="AK339" s="117" t="inlineStr">
        <is>
          <t>A</t>
        </is>
      </c>
      <c r="AL339" s="117" t="inlineStr">
        <is>
          <t>A+</t>
        </is>
      </c>
      <c r="AM339" s="117" t="inlineStr">
        <is>
          <t>B+</t>
        </is>
      </c>
      <c r="AN339" s="117">
        <f>IF(AI339="","",$AN$2)</f>
        <v/>
      </c>
      <c r="AO339" s="117">
        <f>IF(N339="","",IF(N339&gt;=$AO$1/100,"O","X"))</f>
        <v/>
      </c>
      <c r="AP339" s="117">
        <f>IF(I339="","",IF(I339&lt;=$AP$1,"O","X"))</f>
        <v/>
      </c>
      <c r="AQ339" s="117">
        <f>IF(O339="","",IF(O339&lt;=$AQ$1,"O","X"))</f>
        <v/>
      </c>
      <c r="AR339" s="117">
        <f>IF(M339="","",IF(M339&lt;=$AR$1,"O","X"))</f>
        <v/>
      </c>
      <c r="AS339" s="117" t="inlineStr">
        <is>
          <t>X</t>
        </is>
      </c>
      <c r="AT339" s="117">
        <f>IF(OR(F339="",AI339=""),"",IF(AND((F339&lt;=85),(AI339&gt;=15)),"O","X"))</f>
        <v/>
      </c>
      <c r="AU339" s="117">
        <f>IF(C339="","",IF(C339&gt;=$AU$1,"O","X"))</f>
        <v/>
      </c>
      <c r="AV339" s="117">
        <f>IF(AO339="","",IF(AND(AO339="O",AP339="O",AR339="O",AT339="O",AU339="O"),"후보","X"))</f>
        <v/>
      </c>
    </row>
    <row r="340" ht="12" customFormat="1" customHeight="1" s="38">
      <c r="A340" s="120" t="inlineStr">
        <is>
          <t>효성동 미도</t>
        </is>
      </c>
      <c r="B340" s="121" t="inlineStr">
        <is>
          <t>85.01.</t>
        </is>
      </c>
      <c r="C340" s="129" t="n">
        <v>205</v>
      </c>
      <c r="D340" s="130" t="n">
        <v>80.8</v>
      </c>
      <c r="E340" s="131" t="n">
        <v>24</v>
      </c>
      <c r="F340" s="130" t="n">
        <v>68</v>
      </c>
      <c r="G340" s="17" t="n">
        <v>21</v>
      </c>
      <c r="H340" s="132" t="n">
        <v>40</v>
      </c>
      <c r="I340" s="133" t="n"/>
      <c r="J340" s="133" t="n"/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17" t="n">
        <v>2</v>
      </c>
      <c r="R340" s="117" t="n">
        <v>1</v>
      </c>
      <c r="S340" s="117" t="inlineStr">
        <is>
          <t>계</t>
        </is>
      </c>
      <c r="T340" s="5" t="n">
        <v>80</v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17">
        <f>S340</f>
        <v/>
      </c>
      <c r="AF340" s="117">
        <f>Q340&amp;"/"&amp;R340</f>
        <v/>
      </c>
      <c r="AH340" s="20">
        <f>IF(A340="","",A340)</f>
        <v/>
      </c>
      <c r="AI340" s="131">
        <f>IF(E340="","",E340)</f>
        <v/>
      </c>
      <c r="AJ340" s="117">
        <f>IF(AI340="","",$AJ$2)</f>
        <v/>
      </c>
      <c r="AK340" s="117" t="inlineStr">
        <is>
          <t>A</t>
        </is>
      </c>
      <c r="AL340" s="117" t="inlineStr">
        <is>
          <t>A+</t>
        </is>
      </c>
      <c r="AM340" s="117" t="inlineStr">
        <is>
          <t>B+</t>
        </is>
      </c>
      <c r="AN340" s="117">
        <f>IF(AI340="","",$AN$2)</f>
        <v/>
      </c>
      <c r="AO340" s="117">
        <f>IF(N340="","",IF(N340&gt;=$AO$1/100,"O","X"))</f>
        <v/>
      </c>
      <c r="AP340" s="117">
        <f>IF(I340="","",IF(I340&lt;=$AP$1,"O","X"))</f>
        <v/>
      </c>
      <c r="AQ340" s="117">
        <f>IF(O340="","",IF(O340&lt;=$AQ$1,"O","X"))</f>
        <v/>
      </c>
      <c r="AR340" s="117">
        <f>IF(M340="","",IF(M340&lt;=$AR$1,"O","X"))</f>
        <v/>
      </c>
      <c r="AS340" s="117" t="inlineStr">
        <is>
          <t>X</t>
        </is>
      </c>
      <c r="AT340" s="117">
        <f>IF(OR(F340="",AI340=""),"",IF(AND((F340&lt;=85),(AI340&gt;=15)),"O","X"))</f>
        <v/>
      </c>
      <c r="AU340" s="117">
        <f>IF(C340="","",IF(C340&gt;=$AU$1,"O","X"))</f>
        <v/>
      </c>
      <c r="AV340" s="117">
        <f>IF(AO340="","",IF(AND(AO340="O",AP340="O",AR340="O",AT340="O",AU340="O"),"후보","X"))</f>
        <v/>
      </c>
    </row>
    <row r="341" ht="12" customFormat="1" customHeight="1" s="38">
      <c r="A341" s="120" t="inlineStr">
        <is>
          <t>효성동 미도</t>
        </is>
      </c>
      <c r="B341" s="121" t="inlineStr">
        <is>
          <t>85.01.</t>
        </is>
      </c>
      <c r="C341" s="129" t="n">
        <v>205</v>
      </c>
      <c r="D341" s="130" t="n">
        <v>85.2</v>
      </c>
      <c r="E341" s="131" t="n">
        <v>26</v>
      </c>
      <c r="F341" s="130" t="n">
        <v>71.59999999999999</v>
      </c>
      <c r="G341" s="17" t="n">
        <v>22</v>
      </c>
      <c r="H341" s="132" t="n">
        <v>20</v>
      </c>
      <c r="I341" s="133" t="n"/>
      <c r="J341" s="133" t="n"/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17" t="n">
        <v>2</v>
      </c>
      <c r="R341" s="117" t="n">
        <v>1</v>
      </c>
      <c r="S341" s="117" t="inlineStr">
        <is>
          <t>계</t>
        </is>
      </c>
      <c r="T341" s="5" t="n">
        <v>85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17">
        <f>S341</f>
        <v/>
      </c>
      <c r="AF341" s="117">
        <f>Q341&amp;"/"&amp;R341</f>
        <v/>
      </c>
      <c r="AH341" s="20">
        <f>IF(A341="","",A341)</f>
        <v/>
      </c>
      <c r="AI341" s="131">
        <f>IF(E341="","",E341)</f>
        <v/>
      </c>
      <c r="AJ341" s="117">
        <f>IF(AI341="","",$AJ$2)</f>
        <v/>
      </c>
      <c r="AK341" s="117" t="inlineStr">
        <is>
          <t>A</t>
        </is>
      </c>
      <c r="AL341" s="117" t="inlineStr">
        <is>
          <t>A+</t>
        </is>
      </c>
      <c r="AM341" s="117" t="inlineStr">
        <is>
          <t>B+</t>
        </is>
      </c>
      <c r="AN341" s="117">
        <f>IF(AI341="","",$AN$2)</f>
        <v/>
      </c>
      <c r="AO341" s="117">
        <f>IF(N341="","",IF(N341&gt;=$AO$1/100,"O","X"))</f>
        <v/>
      </c>
      <c r="AP341" s="117">
        <f>IF(I341="","",IF(I341&lt;=$AP$1,"O","X"))</f>
        <v/>
      </c>
      <c r="AQ341" s="117">
        <f>IF(O341="","",IF(O341&lt;=$AQ$1,"O","X"))</f>
        <v/>
      </c>
      <c r="AR341" s="117">
        <f>IF(M341="","",IF(M341&lt;=$AR$1,"O","X"))</f>
        <v/>
      </c>
      <c r="AS341" s="117" t="inlineStr">
        <is>
          <t>X</t>
        </is>
      </c>
      <c r="AT341" s="117">
        <f>IF(OR(F341="",AI341=""),"",IF(AND((F341&lt;=85),(AI341&gt;=15)),"O","X"))</f>
        <v/>
      </c>
      <c r="AU341" s="117">
        <f>IF(C341="","",IF(C341&gt;=$AU$1,"O","X"))</f>
        <v/>
      </c>
      <c r="AV341" s="117">
        <f>IF(AO341="","",IF(AND(AO341="O",AP341="O",AR341="O",AT341="O",AU341="O"),"후보","X"))</f>
        <v/>
      </c>
    </row>
    <row r="342" ht="12" customFormat="1" customHeight="1" s="38">
      <c r="A342" s="120" t="inlineStr">
        <is>
          <t>효성동 미도</t>
        </is>
      </c>
      <c r="B342" s="121" t="inlineStr">
        <is>
          <t>85.01.</t>
        </is>
      </c>
      <c r="C342" s="129" t="n">
        <v>205</v>
      </c>
      <c r="D342" s="130" t="n">
        <v>94.8</v>
      </c>
      <c r="E342" s="131" t="n">
        <v>29</v>
      </c>
      <c r="F342" s="130" t="n">
        <v>79.7</v>
      </c>
      <c r="G342" s="17" t="n">
        <v>24</v>
      </c>
      <c r="H342" s="132" t="n">
        <v>60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17" t="n">
        <v>3</v>
      </c>
      <c r="R342" s="117" t="n">
        <v>1</v>
      </c>
      <c r="S342" s="117" t="inlineStr">
        <is>
          <t>계</t>
        </is>
      </c>
      <c r="T342" s="5" t="n">
        <v>94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17">
        <f>S342</f>
        <v/>
      </c>
      <c r="AF342" s="117">
        <f>Q342&amp;"/"&amp;R342</f>
        <v/>
      </c>
      <c r="AH342" s="20">
        <f>IF(A342="","",A342)</f>
        <v/>
      </c>
      <c r="AI342" s="131">
        <f>IF(E342="","",E342)</f>
        <v/>
      </c>
      <c r="AJ342" s="117">
        <f>IF(AI342="","",$AJ$2)</f>
        <v/>
      </c>
      <c r="AK342" s="117" t="inlineStr">
        <is>
          <t>A</t>
        </is>
      </c>
      <c r="AL342" s="117" t="inlineStr">
        <is>
          <t>A+</t>
        </is>
      </c>
      <c r="AM342" s="117" t="inlineStr">
        <is>
          <t>B+</t>
        </is>
      </c>
      <c r="AN342" s="117">
        <f>IF(AI342="","",$AN$2)</f>
        <v/>
      </c>
      <c r="AO342" s="117">
        <f>IF(N342="","",IF(N342&gt;=$AO$1/100,"O","X"))</f>
        <v/>
      </c>
      <c r="AP342" s="117">
        <f>IF(I342="","",IF(I342&lt;=$AP$1,"O","X"))</f>
        <v/>
      </c>
      <c r="AQ342" s="117">
        <f>IF(O342="","",IF(O342&lt;=$AQ$1,"O","X"))</f>
        <v/>
      </c>
      <c r="AR342" s="117">
        <f>IF(M342="","",IF(M342&lt;=$AR$1,"O","X"))</f>
        <v/>
      </c>
      <c r="AS342" s="117" t="inlineStr">
        <is>
          <t>X</t>
        </is>
      </c>
      <c r="AT342" s="117">
        <f>IF(OR(F342="",AI342=""),"",IF(AND((F342&lt;=85),(AI342&gt;=15)),"O","X"))</f>
        <v/>
      </c>
      <c r="AU342" s="117">
        <f>IF(C342="","",IF(C342&gt;=$AU$1,"O","X"))</f>
        <v/>
      </c>
      <c r="AV342" s="117">
        <f>IF(AO342="","",IF(AND(AO342="O",AP342="O",AR342="O",AT342="O",AU342="O"),"후보","X"))</f>
        <v/>
      </c>
    </row>
    <row r="343" ht="12" customFormat="1" customHeight="1" s="38">
      <c r="A343" s="120" t="inlineStr">
        <is>
          <t>효성동 미도</t>
        </is>
      </c>
      <c r="B343" s="121" t="inlineStr">
        <is>
          <t>85.01.</t>
        </is>
      </c>
      <c r="C343" s="129" t="n">
        <v>205</v>
      </c>
      <c r="D343" s="130" t="n">
        <v>106.6</v>
      </c>
      <c r="E343" s="131" t="n">
        <v>32</v>
      </c>
      <c r="F343" s="130" t="n">
        <v>89.59999999999999</v>
      </c>
      <c r="G343" s="17" t="n">
        <v>27</v>
      </c>
      <c r="H343" s="132" t="n">
        <v>5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17" t="n">
        <v>3</v>
      </c>
      <c r="R343" s="117" t="n">
        <v>2</v>
      </c>
      <c r="S343" s="117" t="inlineStr">
        <is>
          <t>계</t>
        </is>
      </c>
      <c r="T343" s="5" t="n">
        <v>106</v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17">
        <f>S343</f>
        <v/>
      </c>
      <c r="AF343" s="117">
        <f>Q343&amp;"/"&amp;R343</f>
        <v/>
      </c>
      <c r="AH343" s="20">
        <f>IF(A343="","",A343)</f>
        <v/>
      </c>
      <c r="AI343" s="131">
        <f>IF(E343="","",E343)</f>
        <v/>
      </c>
      <c r="AJ343" s="117">
        <f>IF(AI343="","",$AJ$2)</f>
        <v/>
      </c>
      <c r="AK343" s="117" t="inlineStr">
        <is>
          <t>A</t>
        </is>
      </c>
      <c r="AL343" s="117" t="inlineStr">
        <is>
          <t>A+</t>
        </is>
      </c>
      <c r="AM343" s="117" t="inlineStr">
        <is>
          <t>B+</t>
        </is>
      </c>
      <c r="AN343" s="117">
        <f>IF(AI343="","",$AN$2)</f>
        <v/>
      </c>
      <c r="AO343" s="117">
        <f>IF(N343="","",IF(N343&gt;=$AO$1/100,"O","X"))</f>
        <v/>
      </c>
      <c r="AP343" s="117">
        <f>IF(I343="","",IF(I343&lt;=$AP$1,"O","X"))</f>
        <v/>
      </c>
      <c r="AQ343" s="117">
        <f>IF(O343="","",IF(O343&lt;=$AQ$1,"O","X"))</f>
        <v/>
      </c>
      <c r="AR343" s="117">
        <f>IF(M343="","",IF(M343&lt;=$AR$1,"O","X"))</f>
        <v/>
      </c>
      <c r="AS343" s="117" t="inlineStr">
        <is>
          <t>X</t>
        </is>
      </c>
      <c r="AT343" s="117">
        <f>IF(OR(F343="",AI343=""),"",IF(AND((F343&lt;=85),(AI343&gt;=15)),"O","X"))</f>
        <v/>
      </c>
      <c r="AU343" s="117">
        <f>IF(C343="","",IF(C343&gt;=$AU$1,"O","X"))</f>
        <v/>
      </c>
      <c r="AV343" s="117">
        <f>IF(AO343="","",IF(AND(AO343="O",AP343="O",AR343="O",AT343="O",AU343="O"),"후보","X"))</f>
        <v/>
      </c>
    </row>
    <row r="344" ht="12" customFormat="1" customHeight="1" s="38">
      <c r="A344" s="120" t="inlineStr">
        <is>
          <t>효성동 뉴서울5차</t>
        </is>
      </c>
      <c r="B344" s="121" t="inlineStr">
        <is>
          <t>94.12.</t>
        </is>
      </c>
      <c r="C344" s="129" t="n">
        <v>648</v>
      </c>
      <c r="D344" s="130" t="n">
        <v>74.59999999999999</v>
      </c>
      <c r="E344" s="131" t="n">
        <v>23</v>
      </c>
      <c r="F344" s="130" t="n">
        <v>59.7</v>
      </c>
      <c r="G344" s="17" t="n">
        <v>18</v>
      </c>
      <c r="H344" s="132" t="n">
        <v>260</v>
      </c>
      <c r="I344" s="133" t="n">
        <v>31000</v>
      </c>
      <c r="J344" s="133" t="inlineStr">
        <is>
          <t>17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17" t="n">
        <v>3</v>
      </c>
      <c r="R344" s="117" t="n">
        <v>1</v>
      </c>
      <c r="S344" s="117" t="inlineStr">
        <is>
          <t>계</t>
        </is>
      </c>
      <c r="T344" s="5" t="n">
        <v>74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17">
        <f>S344</f>
        <v/>
      </c>
      <c r="AF344" s="117">
        <f>Q344&amp;"/"&amp;R344</f>
        <v/>
      </c>
      <c r="AH344" s="20">
        <f>IF(A344="","",A344)</f>
        <v/>
      </c>
      <c r="AI344" s="131">
        <f>IF(E344="","",E344)</f>
        <v/>
      </c>
      <c r="AJ344" s="117">
        <f>IF(AI344="","",$AJ$2)</f>
        <v/>
      </c>
      <c r="AK344" s="117" t="inlineStr">
        <is>
          <t>A</t>
        </is>
      </c>
      <c r="AL344" s="117" t="inlineStr">
        <is>
          <t>A+</t>
        </is>
      </c>
      <c r="AM344" s="117" t="inlineStr">
        <is>
          <t>B+</t>
        </is>
      </c>
      <c r="AN344" s="117">
        <f>IF(AI344="","",$AN$2)</f>
        <v/>
      </c>
      <c r="AO344" s="117">
        <f>IF(N344="","",IF(N344&gt;=$AO$1/100,"O","X"))</f>
        <v/>
      </c>
      <c r="AP344" s="117">
        <f>IF(I344="","",IF(I344&lt;=$AP$1,"O","X"))</f>
        <v/>
      </c>
      <c r="AQ344" s="117">
        <f>IF(O344="","",IF(O344&lt;=$AQ$1,"O","X"))</f>
        <v/>
      </c>
      <c r="AR344" s="117">
        <f>IF(M344="","",IF(M344&lt;=$AR$1,"O","X"))</f>
        <v/>
      </c>
      <c r="AS344" s="117" t="inlineStr">
        <is>
          <t>X</t>
        </is>
      </c>
      <c r="AT344" s="117">
        <f>IF(OR(F344="",AI344=""),"",IF(AND((F344&lt;=85),(AI344&gt;=15)),"O","X"))</f>
        <v/>
      </c>
      <c r="AU344" s="117">
        <f>IF(C344="","",IF(C344&gt;=$AU$1,"O","X"))</f>
        <v/>
      </c>
      <c r="AV344" s="117">
        <f>IF(AO344="","",IF(AND(AO344="O",AP344="O",AR344="O",AT344="O",AU344="O"),"후보","X"))</f>
        <v/>
      </c>
    </row>
    <row r="345" ht="12" customFormat="1" customHeight="1" s="38">
      <c r="A345" s="120" t="inlineStr">
        <is>
          <t>효성동 뉴서울5차</t>
        </is>
      </c>
      <c r="B345" s="121" t="inlineStr">
        <is>
          <t>94.12.</t>
        </is>
      </c>
      <c r="C345" s="129" t="n">
        <v>648</v>
      </c>
      <c r="D345" s="130" t="n">
        <v>105.5</v>
      </c>
      <c r="E345" s="131" t="n">
        <v>32</v>
      </c>
      <c r="F345" s="130" t="n">
        <v>84.40000000000001</v>
      </c>
      <c r="G345" s="17" t="n">
        <v>26</v>
      </c>
      <c r="H345" s="132" t="n">
        <v>388</v>
      </c>
      <c r="I345" s="133" t="n">
        <v>42000</v>
      </c>
      <c r="J345" s="133" t="inlineStr">
        <is>
          <t>6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17" t="n">
        <v>3</v>
      </c>
      <c r="R345" s="117" t="n">
        <v>2</v>
      </c>
      <c r="S345" s="117" t="inlineStr">
        <is>
          <t>계</t>
        </is>
      </c>
      <c r="T345" s="5" t="n">
        <v>105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17">
        <f>S345</f>
        <v/>
      </c>
      <c r="AF345" s="117">
        <f>Q345&amp;"/"&amp;R345</f>
        <v/>
      </c>
      <c r="AH345" s="20">
        <f>IF(A345="","",A345)</f>
        <v/>
      </c>
      <c r="AI345" s="131">
        <f>IF(E345="","",E345)</f>
        <v/>
      </c>
      <c r="AJ345" s="117">
        <f>IF(AI345="","",$AJ$2)</f>
        <v/>
      </c>
      <c r="AK345" s="117" t="inlineStr">
        <is>
          <t>A</t>
        </is>
      </c>
      <c r="AL345" s="117" t="inlineStr">
        <is>
          <t>A+</t>
        </is>
      </c>
      <c r="AM345" s="117" t="inlineStr">
        <is>
          <t>B+</t>
        </is>
      </c>
      <c r="AN345" s="117">
        <f>IF(AI345="","",$AN$2)</f>
        <v/>
      </c>
      <c r="AO345" s="117">
        <f>IF(N345="","",IF(N345&gt;=$AO$1/100,"O","X"))</f>
        <v/>
      </c>
      <c r="AP345" s="117">
        <f>IF(I345="","",IF(I345&lt;=$AP$1,"O","X"))</f>
        <v/>
      </c>
      <c r="AQ345" s="117">
        <f>IF(O345="","",IF(O345&lt;=$AQ$1,"O","X"))</f>
        <v/>
      </c>
      <c r="AR345" s="117">
        <f>IF(M345="","",IF(M345&lt;=$AR$1,"O","X"))</f>
        <v/>
      </c>
      <c r="AS345" s="117" t="inlineStr">
        <is>
          <t>X</t>
        </is>
      </c>
      <c r="AT345" s="117">
        <f>IF(OR(F345="",AI345=""),"",IF(AND((F345&lt;=85),(AI345&gt;=15)),"O","X"))</f>
        <v/>
      </c>
      <c r="AU345" s="117">
        <f>IF(C345="","",IF(C345&gt;=$AU$1,"O","X"))</f>
        <v/>
      </c>
      <c r="AV345" s="117">
        <f>IF(AO345="","",IF(AND(AO345="O",AP345="O",AR345="O",AT345="O",AU345="O"),"후보","X"))</f>
        <v/>
      </c>
    </row>
    <row r="346" ht="12" customFormat="1" customHeight="1" s="38">
      <c r="A346" s="120" t="inlineStr">
        <is>
          <t>효성동 유승그린</t>
        </is>
      </c>
      <c r="B346" s="121" t="inlineStr">
        <is>
          <t>96.11.</t>
        </is>
      </c>
      <c r="C346" s="129" t="n">
        <v>279</v>
      </c>
      <c r="D346" s="130" t="n">
        <v>84.09999999999999</v>
      </c>
      <c r="E346" s="131" t="n">
        <v>25</v>
      </c>
      <c r="F346" s="130" t="n">
        <v>59.9</v>
      </c>
      <c r="G346" s="17" t="n">
        <v>18</v>
      </c>
      <c r="H346" s="132" t="n">
        <v>279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17" t="n">
        <v>3</v>
      </c>
      <c r="R346" s="117" t="n">
        <v>1</v>
      </c>
      <c r="S346" s="117" t="inlineStr">
        <is>
          <t>복</t>
        </is>
      </c>
      <c r="T346" s="5" t="n">
        <v>84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17">
        <f>S346</f>
        <v/>
      </c>
      <c r="AF346" s="117">
        <f>Q346&amp;"/"&amp;R346</f>
        <v/>
      </c>
      <c r="AH346" s="20">
        <f>IF(A346="","",A346)</f>
        <v/>
      </c>
      <c r="AI346" s="131">
        <f>IF(E346="","",E346)</f>
        <v/>
      </c>
      <c r="AJ346" s="117">
        <f>IF(AI346="","",$AJ$2)</f>
        <v/>
      </c>
      <c r="AK346" s="117" t="inlineStr">
        <is>
          <t>A</t>
        </is>
      </c>
      <c r="AL346" s="117" t="inlineStr">
        <is>
          <t>A+</t>
        </is>
      </c>
      <c r="AM346" s="117" t="inlineStr">
        <is>
          <t>B+</t>
        </is>
      </c>
      <c r="AN346" s="117">
        <f>IF(AI346="","",$AN$2)</f>
        <v/>
      </c>
      <c r="AO346" s="117">
        <f>IF(N346="","",IF(N346&gt;=$AO$1/100,"O","X"))</f>
        <v/>
      </c>
      <c r="AP346" s="117">
        <f>IF(I346="","",IF(I346&lt;=$AP$1,"O","X"))</f>
        <v/>
      </c>
      <c r="AQ346" s="117">
        <f>IF(O346="","",IF(O346&lt;=$AQ$1,"O","X"))</f>
        <v/>
      </c>
      <c r="AR346" s="117">
        <f>IF(M346="","",IF(M346&lt;=$AR$1,"O","X"))</f>
        <v/>
      </c>
      <c r="AS346" s="117" t="inlineStr">
        <is>
          <t>X</t>
        </is>
      </c>
      <c r="AT346" s="117">
        <f>IF(OR(F346="",AI346=""),"",IF(AND((F346&lt;=85),(AI346&gt;=15)),"O","X"))</f>
        <v/>
      </c>
      <c r="AU346" s="117">
        <f>IF(C346="","",IF(C346&gt;=$AU$1,"O","X"))</f>
        <v/>
      </c>
      <c r="AV346" s="117">
        <f>IF(AO346="","",IF(AND(AO346="O",AP346="O",AR346="O",AT346="O",AU346="O"),"후보","X"))</f>
        <v/>
      </c>
    </row>
    <row r="347" ht="12" customFormat="1" customHeight="1" s="38">
      <c r="A347" s="120" t="inlineStr">
        <is>
          <t>효성동 뉴서울1차</t>
        </is>
      </c>
      <c r="B347" s="121" t="inlineStr">
        <is>
          <t>85.06.</t>
        </is>
      </c>
      <c r="C347" s="129" t="n">
        <v>460</v>
      </c>
      <c r="D347" s="130" t="n">
        <v>56.5</v>
      </c>
      <c r="E347" s="131" t="n">
        <v>17</v>
      </c>
      <c r="F347" s="130" t="n">
        <v>40.3</v>
      </c>
      <c r="G347" s="17" t="n">
        <v>12</v>
      </c>
      <c r="H347" s="132" t="n">
        <v>50</v>
      </c>
      <c r="I347" s="133" t="n"/>
      <c r="J347" s="133" t="n"/>
      <c r="K347" s="133" t="n">
        <v>6000</v>
      </c>
      <c r="L347" s="133" t="inlineStr">
        <is>
          <t>5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17" t="n">
        <v>2</v>
      </c>
      <c r="R347" s="117" t="n">
        <v>1</v>
      </c>
      <c r="S347" s="117" t="inlineStr">
        <is>
          <t>계</t>
        </is>
      </c>
      <c r="T347" s="5" t="n">
        <v>56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17">
        <f>S347</f>
        <v/>
      </c>
      <c r="AF347" s="117">
        <f>Q347&amp;"/"&amp;R347</f>
        <v/>
      </c>
      <c r="AH347" s="20">
        <f>IF(A347="","",A347)</f>
        <v/>
      </c>
      <c r="AI347" s="131">
        <f>IF(E347="","",E347)</f>
        <v/>
      </c>
      <c r="AJ347" s="117">
        <f>IF(AI347="","",$AJ$2)</f>
        <v/>
      </c>
      <c r="AK347" s="117" t="inlineStr">
        <is>
          <t>A</t>
        </is>
      </c>
      <c r="AL347" s="117" t="inlineStr">
        <is>
          <t>A+</t>
        </is>
      </c>
      <c r="AM347" s="117" t="inlineStr">
        <is>
          <t>B+</t>
        </is>
      </c>
      <c r="AN347" s="117">
        <f>IF(AI347="","",$AN$2)</f>
        <v/>
      </c>
      <c r="AO347" s="117">
        <f>IF(N347="","",IF(N347&gt;=$AO$1/100,"O","X"))</f>
        <v/>
      </c>
      <c r="AP347" s="117">
        <f>IF(I347="","",IF(I347&lt;=$AP$1,"O","X"))</f>
        <v/>
      </c>
      <c r="AQ347" s="117">
        <f>IF(O347="","",IF(O347&lt;=$AQ$1,"O","X"))</f>
        <v/>
      </c>
      <c r="AR347" s="117">
        <f>IF(M347="","",IF(M347&lt;=$AR$1,"O","X"))</f>
        <v/>
      </c>
      <c r="AS347" s="117" t="inlineStr">
        <is>
          <t>X</t>
        </is>
      </c>
      <c r="AT347" s="117">
        <f>IF(OR(F347="",AI347=""),"",IF(AND((F347&lt;=85),(AI347&gt;=15)),"O","X"))</f>
        <v/>
      </c>
      <c r="AU347" s="117">
        <f>IF(C347="","",IF(C347&gt;=$AU$1,"O","X"))</f>
        <v/>
      </c>
      <c r="AV347" s="117">
        <f>IF(AO347="","",IF(AND(AO347="O",AP347="O",AR347="O",AT347="O",AU347="O"),"후보","X"))</f>
        <v/>
      </c>
    </row>
    <row r="348" ht="12" customFormat="1" customHeight="1" s="38">
      <c r="A348" s="120" t="inlineStr">
        <is>
          <t>효성동 뉴서울1차</t>
        </is>
      </c>
      <c r="B348" s="121" t="inlineStr">
        <is>
          <t>85.06.</t>
        </is>
      </c>
      <c r="C348" s="129" t="n">
        <v>460</v>
      </c>
      <c r="D348" s="130" t="n">
        <v>58.5</v>
      </c>
      <c r="E348" s="131" t="n">
        <v>18</v>
      </c>
      <c r="F348" s="130" t="n">
        <v>41.7</v>
      </c>
      <c r="G348" s="17" t="n">
        <v>13</v>
      </c>
      <c r="H348" s="132" t="n">
        <v>150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17" t="n">
        <v>3</v>
      </c>
      <c r="R348" s="117" t="n">
        <v>1</v>
      </c>
      <c r="S348" s="117" t="inlineStr">
        <is>
          <t>계</t>
        </is>
      </c>
      <c r="T348" s="5" t="n">
        <v>58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17">
        <f>S348</f>
        <v/>
      </c>
      <c r="AF348" s="117">
        <f>Q348&amp;"/"&amp;R348</f>
        <v/>
      </c>
      <c r="AH348" s="20">
        <f>IF(A348="","",A348)</f>
        <v/>
      </c>
      <c r="AI348" s="131">
        <f>IF(E348="","",E348)</f>
        <v/>
      </c>
      <c r="AJ348" s="117">
        <f>IF(AI348="","",$AJ$2)</f>
        <v/>
      </c>
      <c r="AK348" s="117" t="inlineStr">
        <is>
          <t>A</t>
        </is>
      </c>
      <c r="AL348" s="117" t="inlineStr">
        <is>
          <t>A+</t>
        </is>
      </c>
      <c r="AM348" s="117" t="inlineStr">
        <is>
          <t>B+</t>
        </is>
      </c>
      <c r="AN348" s="117">
        <f>IF(AI348="","",$AN$2)</f>
        <v/>
      </c>
      <c r="AO348" s="117">
        <f>IF(N348="","",IF(N348&gt;=$AO$1/100,"O","X"))</f>
        <v/>
      </c>
      <c r="AP348" s="117">
        <f>IF(I348="","",IF(I348&lt;=$AP$1,"O","X"))</f>
        <v/>
      </c>
      <c r="AQ348" s="117">
        <f>IF(O348="","",IF(O348&lt;=$AQ$1,"O","X"))</f>
        <v/>
      </c>
      <c r="AR348" s="117">
        <f>IF(M348="","",IF(M348&lt;=$AR$1,"O","X"))</f>
        <v/>
      </c>
      <c r="AS348" s="117" t="inlineStr">
        <is>
          <t>X</t>
        </is>
      </c>
      <c r="AT348" s="117">
        <f>IF(OR(F348="",AI348=""),"",IF(AND((F348&lt;=85),(AI348&gt;=15)),"O","X"))</f>
        <v/>
      </c>
      <c r="AU348" s="117">
        <f>IF(C348="","",IF(C348&gt;=$AU$1,"O","X"))</f>
        <v/>
      </c>
      <c r="AV348" s="117">
        <f>IF(AO348="","",IF(AND(AO348="O",AP348="O",AR348="O",AT348="O",AU348="O"),"후보","X"))</f>
        <v/>
      </c>
    </row>
    <row r="349" ht="12" customFormat="1" customHeight="1" s="38">
      <c r="A349" s="120" t="inlineStr">
        <is>
          <t>효성동 뉴서울1차</t>
        </is>
      </c>
      <c r="B349" s="121" t="inlineStr">
        <is>
          <t>85.06.</t>
        </is>
      </c>
      <c r="C349" s="129" t="n">
        <v>460</v>
      </c>
      <c r="D349" s="130" t="n">
        <v>61.4</v>
      </c>
      <c r="E349" s="131" t="n">
        <v>19</v>
      </c>
      <c r="F349" s="130" t="n">
        <v>44</v>
      </c>
      <c r="G349" s="17" t="n">
        <v>13</v>
      </c>
      <c r="H349" s="132" t="n">
        <v>90</v>
      </c>
      <c r="I349" s="133" t="n">
        <v>24000</v>
      </c>
      <c r="J349" s="133" t="inlineStr">
        <is>
          <t>5</t>
        </is>
      </c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17" t="n">
        <v>3</v>
      </c>
      <c r="R349" s="117" t="n">
        <v>1</v>
      </c>
      <c r="S349" s="117" t="inlineStr">
        <is>
          <t>계</t>
        </is>
      </c>
      <c r="T349" s="5" t="n">
        <v>61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17">
        <f>S349</f>
        <v/>
      </c>
      <c r="AF349" s="117">
        <f>Q349&amp;"/"&amp;R349</f>
        <v/>
      </c>
      <c r="AH349" s="20">
        <f>IF(A349="","",A349)</f>
        <v/>
      </c>
      <c r="AI349" s="131">
        <f>IF(E349="","",E349)</f>
        <v/>
      </c>
      <c r="AJ349" s="117">
        <f>IF(AI349="","",$AJ$2)</f>
        <v/>
      </c>
      <c r="AK349" s="117" t="inlineStr">
        <is>
          <t>A</t>
        </is>
      </c>
      <c r="AL349" s="117" t="inlineStr">
        <is>
          <t>A+</t>
        </is>
      </c>
      <c r="AM349" s="117" t="inlineStr">
        <is>
          <t>B+</t>
        </is>
      </c>
      <c r="AN349" s="117">
        <f>IF(AI349="","",$AN$2)</f>
        <v/>
      </c>
      <c r="AO349" s="117">
        <f>IF(N349="","",IF(N349&gt;=$AO$1/100,"O","X"))</f>
        <v/>
      </c>
      <c r="AP349" s="117">
        <f>IF(I349="","",IF(I349&lt;=$AP$1,"O","X"))</f>
        <v/>
      </c>
      <c r="AQ349" s="117">
        <f>IF(O349="","",IF(O349&lt;=$AQ$1,"O","X"))</f>
        <v/>
      </c>
      <c r="AR349" s="117">
        <f>IF(M349="","",IF(M349&lt;=$AR$1,"O","X"))</f>
        <v/>
      </c>
      <c r="AS349" s="117" t="inlineStr">
        <is>
          <t>X</t>
        </is>
      </c>
      <c r="AT349" s="117">
        <f>IF(OR(F349="",AI349=""),"",IF(AND((F349&lt;=85),(AI349&gt;=15)),"O","X"))</f>
        <v/>
      </c>
      <c r="AU349" s="117">
        <f>IF(C349="","",IF(C349&gt;=$AU$1,"O","X"))</f>
        <v/>
      </c>
      <c r="AV349" s="117">
        <f>IF(AO349="","",IF(AND(AO349="O",AP349="O",AR349="O",AT349="O",AU349="O"),"후보","X"))</f>
        <v/>
      </c>
    </row>
    <row r="350" ht="12" customFormat="1" customHeight="1" s="38">
      <c r="A350" s="120" t="inlineStr">
        <is>
          <t>효성동 뉴서울1차</t>
        </is>
      </c>
      <c r="B350" s="121" t="inlineStr">
        <is>
          <t>85.06.</t>
        </is>
      </c>
      <c r="C350" s="129" t="n">
        <v>460</v>
      </c>
      <c r="D350" s="130" t="n">
        <v>67.40000000000001</v>
      </c>
      <c r="E350" s="131" t="n">
        <v>20</v>
      </c>
      <c r="F350" s="130" t="n">
        <v>49</v>
      </c>
      <c r="G350" s="17" t="n">
        <v>15</v>
      </c>
      <c r="H350" s="132" t="n">
        <v>100</v>
      </c>
      <c r="I350" s="133" t="n">
        <v>28500</v>
      </c>
      <c r="J350" s="133" t="inlineStr">
        <is>
          <t>5</t>
        </is>
      </c>
      <c r="K350" s="133" t="n">
        <v>6500</v>
      </c>
      <c r="L350" s="133" t="inlineStr">
        <is>
          <t>5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17" t="n">
        <v>3</v>
      </c>
      <c r="R350" s="117" t="n">
        <v>1</v>
      </c>
      <c r="S350" s="117" t="inlineStr">
        <is>
          <t>계</t>
        </is>
      </c>
      <c r="T350" s="5" t="n">
        <v>67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17">
        <f>S350</f>
        <v/>
      </c>
      <c r="AF350" s="117">
        <f>Q350&amp;"/"&amp;R350</f>
        <v/>
      </c>
      <c r="AH350" s="20">
        <f>IF(A350="","",A350)</f>
        <v/>
      </c>
      <c r="AI350" s="131">
        <f>IF(E350="","",E350)</f>
        <v/>
      </c>
      <c r="AJ350" s="117">
        <f>IF(AI350="","",$AJ$2)</f>
        <v/>
      </c>
      <c r="AK350" s="117" t="inlineStr">
        <is>
          <t>A</t>
        </is>
      </c>
      <c r="AL350" s="117" t="inlineStr">
        <is>
          <t>A+</t>
        </is>
      </c>
      <c r="AM350" s="117" t="inlineStr">
        <is>
          <t>B+</t>
        </is>
      </c>
      <c r="AN350" s="117">
        <f>IF(AI350="","",$AN$2)</f>
        <v/>
      </c>
      <c r="AO350" s="117">
        <f>IF(N350="","",IF(N350&gt;=$AO$1/100,"O","X"))</f>
        <v/>
      </c>
      <c r="AP350" s="117">
        <f>IF(I350="","",IF(I350&lt;=$AP$1,"O","X"))</f>
        <v/>
      </c>
      <c r="AQ350" s="117">
        <f>IF(O350="","",IF(O350&lt;=$AQ$1,"O","X"))</f>
        <v/>
      </c>
      <c r="AR350" s="117">
        <f>IF(M350="","",IF(M350&lt;=$AR$1,"O","X"))</f>
        <v/>
      </c>
      <c r="AS350" s="117" t="inlineStr">
        <is>
          <t>X</t>
        </is>
      </c>
      <c r="AT350" s="117">
        <f>IF(OR(F350="",AI350=""),"",IF(AND((F350&lt;=85),(AI350&gt;=15)),"O","X"))</f>
        <v/>
      </c>
      <c r="AU350" s="117">
        <f>IF(C350="","",IF(C350&gt;=$AU$1,"O","X"))</f>
        <v/>
      </c>
      <c r="AV350" s="117">
        <f>IF(AO350="","",IF(AND(AO350="O",AP350="O",AR350="O",AT350="O",AU350="O"),"후보","X"))</f>
        <v/>
      </c>
    </row>
    <row r="351" ht="12" customFormat="1" customHeight="1" s="38">
      <c r="A351" s="120" t="inlineStr">
        <is>
          <t>효성동 뉴서울1차</t>
        </is>
      </c>
      <c r="B351" s="121" t="inlineStr">
        <is>
          <t>85.06.</t>
        </is>
      </c>
      <c r="C351" s="129" t="n">
        <v>460</v>
      </c>
      <c r="D351" s="130" t="n">
        <v>70.5</v>
      </c>
      <c r="E351" s="131" t="n">
        <v>21</v>
      </c>
      <c r="F351" s="130" t="n">
        <v>51.6</v>
      </c>
      <c r="G351" s="17" t="n">
        <v>16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17" t="n">
        <v>3</v>
      </c>
      <c r="R351" s="117" t="n">
        <v>1</v>
      </c>
      <c r="S351" s="117" t="inlineStr">
        <is>
          <t>계</t>
        </is>
      </c>
      <c r="T351" s="5" t="n">
        <v>70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17">
        <f>S351</f>
        <v/>
      </c>
      <c r="AF351" s="117">
        <f>Q351&amp;"/"&amp;R351</f>
        <v/>
      </c>
      <c r="AH351" s="20">
        <f>IF(A351="","",A351)</f>
        <v/>
      </c>
      <c r="AI351" s="131">
        <f>IF(E351="","",E351)</f>
        <v/>
      </c>
      <c r="AJ351" s="117">
        <f>IF(AI351="","",$AJ$2)</f>
        <v/>
      </c>
      <c r="AK351" s="117" t="inlineStr">
        <is>
          <t>A</t>
        </is>
      </c>
      <c r="AL351" s="117" t="inlineStr">
        <is>
          <t>A+</t>
        </is>
      </c>
      <c r="AM351" s="117" t="inlineStr">
        <is>
          <t>B+</t>
        </is>
      </c>
      <c r="AN351" s="117">
        <f>IF(AI351="","",$AN$2)</f>
        <v/>
      </c>
      <c r="AO351" s="117">
        <f>IF(N351="","",IF(N351&gt;=$AO$1/100,"O","X"))</f>
        <v/>
      </c>
      <c r="AP351" s="117">
        <f>IF(I351="","",IF(I351&lt;=$AP$1,"O","X"))</f>
        <v/>
      </c>
      <c r="AQ351" s="117">
        <f>IF(O351="","",IF(O351&lt;=$AQ$1,"O","X"))</f>
        <v/>
      </c>
      <c r="AR351" s="117">
        <f>IF(M351="","",IF(M351&lt;=$AR$1,"O","X"))</f>
        <v/>
      </c>
      <c r="AS351" s="117" t="inlineStr">
        <is>
          <t>X</t>
        </is>
      </c>
      <c r="AT351" s="117">
        <f>IF(OR(F351="",AI351=""),"",IF(AND((F351&lt;=85),(AI351&gt;=15)),"O","X"))</f>
        <v/>
      </c>
      <c r="AU351" s="117">
        <f>IF(C351="","",IF(C351&gt;=$AU$1,"O","X"))</f>
        <v/>
      </c>
      <c r="AV351" s="117">
        <f>IF(AO351="","",IF(AND(AO351="O",AP351="O",AR351="O",AT351="O",AU351="O"),"후보","X"))</f>
        <v/>
      </c>
    </row>
    <row r="352" ht="12" customFormat="1" customHeight="1" s="38">
      <c r="A352" s="120" t="inlineStr">
        <is>
          <t>효성동 풍림</t>
        </is>
      </c>
      <c r="B352" s="121" t="inlineStr">
        <is>
          <t>97.07.</t>
        </is>
      </c>
      <c r="C352" s="129" t="n">
        <v>342</v>
      </c>
      <c r="D352" s="130" t="n">
        <v>81.2</v>
      </c>
      <c r="E352" s="131" t="n">
        <v>25</v>
      </c>
      <c r="F352" s="130" t="n">
        <v>60</v>
      </c>
      <c r="G352" s="17" t="n">
        <v>18</v>
      </c>
      <c r="H352" s="132" t="n">
        <v>130</v>
      </c>
      <c r="I352" s="133" t="n">
        <v>33000</v>
      </c>
      <c r="J352" s="133" t="inlineStr">
        <is>
          <t>14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17" t="n">
        <v>3</v>
      </c>
      <c r="R352" s="117" t="n">
        <v>1</v>
      </c>
      <c r="S352" s="117" t="inlineStr">
        <is>
          <t>계</t>
        </is>
      </c>
      <c r="T352" s="5" t="n">
        <v>81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17">
        <f>S352</f>
        <v/>
      </c>
      <c r="AF352" s="117">
        <f>Q352&amp;"/"&amp;R352</f>
        <v/>
      </c>
      <c r="AH352" s="20">
        <f>IF(A352="","",A352)</f>
        <v/>
      </c>
      <c r="AI352" s="131">
        <f>IF(E352="","",E352)</f>
        <v/>
      </c>
      <c r="AJ352" s="117">
        <f>IF(AI352="","",$AJ$2)</f>
        <v/>
      </c>
      <c r="AK352" s="117" t="inlineStr">
        <is>
          <t>A</t>
        </is>
      </c>
      <c r="AL352" s="117" t="inlineStr">
        <is>
          <t>A+</t>
        </is>
      </c>
      <c r="AM352" s="117" t="inlineStr">
        <is>
          <t>B+</t>
        </is>
      </c>
      <c r="AN352" s="117">
        <f>IF(AI352="","",$AN$2)</f>
        <v/>
      </c>
      <c r="AO352" s="117">
        <f>IF(N352="","",IF(N352&gt;=$AO$1/100,"O","X"))</f>
        <v/>
      </c>
      <c r="AP352" s="117">
        <f>IF(I352="","",IF(I352&lt;=$AP$1,"O","X"))</f>
        <v/>
      </c>
      <c r="AQ352" s="117">
        <f>IF(O352="","",IF(O352&lt;=$AQ$1,"O","X"))</f>
        <v/>
      </c>
      <c r="AR352" s="117">
        <f>IF(M352="","",IF(M352&lt;=$AR$1,"O","X"))</f>
        <v/>
      </c>
      <c r="AS352" s="117" t="inlineStr">
        <is>
          <t>X</t>
        </is>
      </c>
      <c r="AT352" s="117">
        <f>IF(OR(F352="",AI352=""),"",IF(AND((F352&lt;=85),(AI352&gt;=15)),"O","X"))</f>
        <v/>
      </c>
      <c r="AU352" s="117">
        <f>IF(C352="","",IF(C352&gt;=$AU$1,"O","X"))</f>
        <v/>
      </c>
      <c r="AV352" s="117">
        <f>IF(AO352="","",IF(AND(AO352="O",AP352="O",AR352="O",AT352="O",AU352="O"),"후보","X"))</f>
        <v/>
      </c>
    </row>
    <row r="353" ht="12" customFormat="1" customHeight="1" s="38">
      <c r="A353" s="120" t="inlineStr">
        <is>
          <t>효성동 풍림</t>
        </is>
      </c>
      <c r="B353" s="121" t="inlineStr">
        <is>
          <t>97.07.</t>
        </is>
      </c>
      <c r="C353" s="129" t="n">
        <v>342</v>
      </c>
      <c r="D353" s="130" t="n">
        <v>108.6</v>
      </c>
      <c r="E353" s="131" t="n">
        <v>33</v>
      </c>
      <c r="F353" s="130" t="n">
        <v>84.90000000000001</v>
      </c>
      <c r="G353" s="17" t="n">
        <v>26</v>
      </c>
      <c r="H353" s="132" t="n">
        <v>156</v>
      </c>
      <c r="I353" s="133" t="n">
        <v>45000</v>
      </c>
      <c r="J353" s="133" t="inlineStr">
        <is>
          <t>9</t>
        </is>
      </c>
      <c r="K353" s="133" t="n">
        <v>34000</v>
      </c>
      <c r="L353" s="133" t="inlineStr">
        <is>
          <t>7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17" t="n">
        <v>3</v>
      </c>
      <c r="R353" s="117" t="n">
        <v>2</v>
      </c>
      <c r="S353" s="117" t="inlineStr">
        <is>
          <t>계</t>
        </is>
      </c>
      <c r="T353" s="5" t="n">
        <v>108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17">
        <f>S353</f>
        <v/>
      </c>
      <c r="AF353" s="117">
        <f>Q353&amp;"/"&amp;R353</f>
        <v/>
      </c>
      <c r="AH353" s="20">
        <f>IF(A353="","",A353)</f>
        <v/>
      </c>
      <c r="AI353" s="131">
        <f>IF(E353="","",E353)</f>
        <v/>
      </c>
      <c r="AJ353" s="117">
        <f>IF(AI353="","",$AJ$2)</f>
        <v/>
      </c>
      <c r="AK353" s="117" t="inlineStr">
        <is>
          <t>A</t>
        </is>
      </c>
      <c r="AL353" s="117" t="inlineStr">
        <is>
          <t>A+</t>
        </is>
      </c>
      <c r="AM353" s="117" t="inlineStr">
        <is>
          <t>B+</t>
        </is>
      </c>
      <c r="AN353" s="117">
        <f>IF(AI353="","",$AN$2)</f>
        <v/>
      </c>
      <c r="AO353" s="117">
        <f>IF(N353="","",IF(N353&gt;=$AO$1/100,"O","X"))</f>
        <v/>
      </c>
      <c r="AP353" s="117">
        <f>IF(I353="","",IF(I353&lt;=$AP$1,"O","X"))</f>
        <v/>
      </c>
      <c r="AQ353" s="117">
        <f>IF(O353="","",IF(O353&lt;=$AQ$1,"O","X"))</f>
        <v/>
      </c>
      <c r="AR353" s="117">
        <f>IF(M353="","",IF(M353&lt;=$AR$1,"O","X"))</f>
        <v/>
      </c>
      <c r="AS353" s="117" t="inlineStr">
        <is>
          <t>X</t>
        </is>
      </c>
      <c r="AT353" s="117">
        <f>IF(OR(F353="",AI353=""),"",IF(AND((F353&lt;=85),(AI353&gt;=15)),"O","X"))</f>
        <v/>
      </c>
      <c r="AU353" s="117">
        <f>IF(C353="","",IF(C353&gt;=$AU$1,"O","X"))</f>
        <v/>
      </c>
      <c r="AV353" s="117">
        <f>IF(AO353="","",IF(AND(AO353="O",AP353="O",AR353="O",AT353="O",AU353="O"),"후보","X"))</f>
        <v/>
      </c>
    </row>
    <row r="354" ht="12" customFormat="1" customHeight="1" s="38">
      <c r="A354" s="120" t="inlineStr">
        <is>
          <t>효성동 풍림</t>
        </is>
      </c>
      <c r="B354" s="121" t="inlineStr">
        <is>
          <t>97.07.</t>
        </is>
      </c>
      <c r="C354" s="129" t="n">
        <v>342</v>
      </c>
      <c r="D354" s="130" t="n">
        <v>137.4</v>
      </c>
      <c r="E354" s="131" t="n">
        <v>42</v>
      </c>
      <c r="F354" s="130" t="n">
        <v>111</v>
      </c>
      <c r="G354" s="17" t="n">
        <v>34</v>
      </c>
      <c r="H354" s="132" t="n">
        <v>6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17" t="n">
        <v>4</v>
      </c>
      <c r="R354" s="117" t="n">
        <v>2</v>
      </c>
      <c r="S354" s="117" t="inlineStr">
        <is>
          <t>계</t>
        </is>
      </c>
      <c r="T354" s="5" t="n">
        <v>137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17">
        <f>S354</f>
        <v/>
      </c>
      <c r="AF354" s="117">
        <f>Q354&amp;"/"&amp;R354</f>
        <v/>
      </c>
      <c r="AH354" s="20">
        <f>IF(A354="","",A354)</f>
        <v/>
      </c>
      <c r="AI354" s="131">
        <f>IF(E354="","",E354)</f>
        <v/>
      </c>
      <c r="AJ354" s="117">
        <f>IF(AI354="","",$AJ$2)</f>
        <v/>
      </c>
      <c r="AK354" s="117" t="inlineStr">
        <is>
          <t>A</t>
        </is>
      </c>
      <c r="AL354" s="117" t="inlineStr">
        <is>
          <t>A+</t>
        </is>
      </c>
      <c r="AM354" s="117" t="inlineStr">
        <is>
          <t>B+</t>
        </is>
      </c>
      <c r="AN354" s="117">
        <f>IF(AI354="","",$AN$2)</f>
        <v/>
      </c>
      <c r="AO354" s="117">
        <f>IF(N354="","",IF(N354&gt;=$AO$1/100,"O","X"))</f>
        <v/>
      </c>
      <c r="AP354" s="117">
        <f>IF(I354="","",IF(I354&lt;=$AP$1,"O","X"))</f>
        <v/>
      </c>
      <c r="AQ354" s="117">
        <f>IF(O354="","",IF(O354&lt;=$AQ$1,"O","X"))</f>
        <v/>
      </c>
      <c r="AR354" s="117">
        <f>IF(M354="","",IF(M354&lt;=$AR$1,"O","X"))</f>
        <v/>
      </c>
      <c r="AS354" s="117" t="inlineStr">
        <is>
          <t>X</t>
        </is>
      </c>
      <c r="AT354" s="117">
        <f>IF(OR(F354="",AI354=""),"",IF(AND((F354&lt;=85),(AI354&gt;=15)),"O","X"))</f>
        <v/>
      </c>
      <c r="AU354" s="117">
        <f>IF(C354="","",IF(C354&gt;=$AU$1,"O","X"))</f>
        <v/>
      </c>
      <c r="AV354" s="117">
        <f>IF(AO354="","",IF(AND(AO354="O",AP354="O",AR354="O",AT354="O",AU354="O"),"후보","X"))</f>
        <v/>
      </c>
    </row>
    <row r="355" ht="12" customFormat="1" customHeight="1" s="38">
      <c r="A355" s="120" t="inlineStr">
        <is>
          <t>효성동 풍림</t>
        </is>
      </c>
      <c r="B355" s="121" t="inlineStr">
        <is>
          <t>97.07.</t>
        </is>
      </c>
      <c r="C355" s="129" t="n">
        <v>342</v>
      </c>
      <c r="D355" s="130" t="n">
        <v>144.7</v>
      </c>
      <c r="E355" s="131" t="n">
        <v>44</v>
      </c>
      <c r="F355" s="130" t="n">
        <v>117.7</v>
      </c>
      <c r="G355" s="17" t="n">
        <v>36</v>
      </c>
      <c r="H355" s="132" t="n">
        <v>40</v>
      </c>
      <c r="I355" s="133" t="n">
        <v>60000</v>
      </c>
      <c r="J355" s="133" t="inlineStr">
        <is>
          <t>15</t>
        </is>
      </c>
      <c r="K355" s="133" t="n"/>
      <c r="L355" s="133" t="n"/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17" t="n">
        <v>4</v>
      </c>
      <c r="R355" s="117" t="n">
        <v>2</v>
      </c>
      <c r="S355" s="117" t="inlineStr">
        <is>
          <t>계</t>
        </is>
      </c>
      <c r="T355" s="5" t="n">
        <v>144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17">
        <f>S355</f>
        <v/>
      </c>
      <c r="AF355" s="117">
        <f>Q355&amp;"/"&amp;R355</f>
        <v/>
      </c>
      <c r="AH355" s="20">
        <f>IF(A355="","",A355)</f>
        <v/>
      </c>
      <c r="AI355" s="131">
        <f>IF(E355="","",E355)</f>
        <v/>
      </c>
      <c r="AJ355" s="117">
        <f>IF(AI355="","",$AJ$2)</f>
        <v/>
      </c>
      <c r="AK355" s="117" t="inlineStr">
        <is>
          <t>A</t>
        </is>
      </c>
      <c r="AL355" s="117" t="inlineStr">
        <is>
          <t>A+</t>
        </is>
      </c>
      <c r="AM355" s="117" t="inlineStr">
        <is>
          <t>B+</t>
        </is>
      </c>
      <c r="AN355" s="117">
        <f>IF(AI355="","",$AN$2)</f>
        <v/>
      </c>
      <c r="AO355" s="117">
        <f>IF(N355="","",IF(N355&gt;=$AO$1/100,"O","X"))</f>
        <v/>
      </c>
      <c r="AP355" s="117">
        <f>IF(I355="","",IF(I355&lt;=$AP$1,"O","X"))</f>
        <v/>
      </c>
      <c r="AQ355" s="117">
        <f>IF(O355="","",IF(O355&lt;=$AQ$1,"O","X"))</f>
        <v/>
      </c>
      <c r="AR355" s="117">
        <f>IF(M355="","",IF(M355&lt;=$AR$1,"O","X"))</f>
        <v/>
      </c>
      <c r="AS355" s="117" t="inlineStr">
        <is>
          <t>X</t>
        </is>
      </c>
      <c r="AT355" s="117">
        <f>IF(OR(F355="",AI355=""),"",IF(AND((F355&lt;=85),(AI355&gt;=15)),"O","X"))</f>
        <v/>
      </c>
      <c r="AU355" s="117">
        <f>IF(C355="","",IF(C355&gt;=$AU$1,"O","X"))</f>
        <v/>
      </c>
      <c r="AV355" s="117">
        <f>IF(AO355="","",IF(AND(AO355="O",AP355="O",AR355="O",AT355="O",AU355="O"),"후보","X"))</f>
        <v/>
      </c>
    </row>
    <row r="356" ht="12" customFormat="1" customHeight="1" s="38">
      <c r="A356" s="120" t="inlineStr">
        <is>
          <t>효성동 풍림</t>
        </is>
      </c>
      <c r="B356" s="121" t="inlineStr">
        <is>
          <t>97.07.</t>
        </is>
      </c>
      <c r="C356" s="129" t="n">
        <v>342</v>
      </c>
      <c r="D356" s="130" t="n">
        <v>186.5</v>
      </c>
      <c r="E356" s="131" t="n">
        <v>56</v>
      </c>
      <c r="F356" s="130" t="n">
        <v>155.6</v>
      </c>
      <c r="G356" s="17" t="n">
        <v>47</v>
      </c>
      <c r="H356" s="132" t="n">
        <v>8</v>
      </c>
      <c r="I356" s="133" t="n">
        <v>70000</v>
      </c>
      <c r="J356" s="133" t="inlineStr">
        <is>
          <t>20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17" t="n">
        <v>4</v>
      </c>
      <c r="R356" s="117" t="n">
        <v>3</v>
      </c>
      <c r="S356" s="117" t="inlineStr">
        <is>
          <t>계</t>
        </is>
      </c>
      <c r="T356" s="5" t="n">
        <v>186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17">
        <f>S356</f>
        <v/>
      </c>
      <c r="AF356" s="117">
        <f>Q356&amp;"/"&amp;R356</f>
        <v/>
      </c>
      <c r="AH356" s="20">
        <f>IF(A356="","",A356)</f>
        <v/>
      </c>
      <c r="AI356" s="131">
        <f>IF(E356="","",E356)</f>
        <v/>
      </c>
      <c r="AJ356" s="117">
        <f>IF(AI356="","",$AJ$2)</f>
        <v/>
      </c>
      <c r="AK356" s="117" t="inlineStr">
        <is>
          <t>A</t>
        </is>
      </c>
      <c r="AL356" s="117" t="inlineStr">
        <is>
          <t>A+</t>
        </is>
      </c>
      <c r="AM356" s="117" t="inlineStr">
        <is>
          <t>B+</t>
        </is>
      </c>
      <c r="AN356" s="117">
        <f>IF(AI356="","",$AN$2)</f>
        <v/>
      </c>
      <c r="AO356" s="117">
        <f>IF(N356="","",IF(N356&gt;=$AO$1/100,"O","X"))</f>
        <v/>
      </c>
      <c r="AP356" s="117">
        <f>IF(I356="","",IF(I356&lt;=$AP$1,"O","X"))</f>
        <v/>
      </c>
      <c r="AQ356" s="117">
        <f>IF(O356="","",IF(O356&lt;=$AQ$1,"O","X"))</f>
        <v/>
      </c>
      <c r="AR356" s="117">
        <f>IF(M356="","",IF(M356&lt;=$AR$1,"O","X"))</f>
        <v/>
      </c>
      <c r="AS356" s="117" t="inlineStr">
        <is>
          <t>X</t>
        </is>
      </c>
      <c r="AT356" s="117">
        <f>IF(OR(F356="",AI356=""),"",IF(AND((F356&lt;=85),(AI356&gt;=15)),"O","X"))</f>
        <v/>
      </c>
      <c r="AU356" s="117">
        <f>IF(C356="","",IF(C356&gt;=$AU$1,"O","X"))</f>
        <v/>
      </c>
      <c r="AV356" s="117">
        <f>IF(AO356="","",IF(AND(AO356="O",AP356="O",AR356="O",AT356="O",AU356="O"),"후보","X"))</f>
        <v/>
      </c>
    </row>
    <row r="357" ht="12" customFormat="1" customHeight="1" s="38">
      <c r="A357" s="120" t="inlineStr">
        <is>
          <t>효성동 풍림</t>
        </is>
      </c>
      <c r="B357" s="121" t="inlineStr">
        <is>
          <t>97.07.</t>
        </is>
      </c>
      <c r="C357" s="129" t="n">
        <v>342</v>
      </c>
      <c r="D357" s="130" t="n">
        <v>239.7</v>
      </c>
      <c r="E357" s="131" t="n">
        <v>72</v>
      </c>
      <c r="F357" s="130" t="n">
        <v>203.9</v>
      </c>
      <c r="G357" s="17" t="n">
        <v>62</v>
      </c>
      <c r="H357" s="132" t="n">
        <v>2</v>
      </c>
      <c r="I357" s="133" t="n"/>
      <c r="J357" s="133" t="n"/>
      <c r="K357" s="133" t="n"/>
      <c r="L357" s="133" t="n"/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17" t="n">
        <v>7</v>
      </c>
      <c r="R357" s="117" t="n">
        <v>4</v>
      </c>
      <c r="S357" s="117" t="inlineStr">
        <is>
          <t>계</t>
        </is>
      </c>
      <c r="T357" s="5" t="n">
        <v>239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17">
        <f>S357</f>
        <v/>
      </c>
      <c r="AF357" s="117">
        <f>Q357&amp;"/"&amp;R357</f>
        <v/>
      </c>
      <c r="AH357" s="20">
        <f>IF(A357="","",A357)</f>
        <v/>
      </c>
      <c r="AI357" s="131">
        <f>IF(E357="","",E357)</f>
        <v/>
      </c>
      <c r="AJ357" s="117">
        <f>IF(AI357="","",$AJ$2)</f>
        <v/>
      </c>
      <c r="AK357" s="117" t="inlineStr">
        <is>
          <t>A</t>
        </is>
      </c>
      <c r="AL357" s="117" t="inlineStr">
        <is>
          <t>A+</t>
        </is>
      </c>
      <c r="AM357" s="117" t="inlineStr">
        <is>
          <t>B+</t>
        </is>
      </c>
      <c r="AN357" s="117">
        <f>IF(AI357="","",$AN$2)</f>
        <v/>
      </c>
      <c r="AO357" s="117">
        <f>IF(N357="","",IF(N357&gt;=$AO$1/100,"O","X"))</f>
        <v/>
      </c>
      <c r="AP357" s="117">
        <f>IF(I357="","",IF(I357&lt;=$AP$1,"O","X"))</f>
        <v/>
      </c>
      <c r="AQ357" s="117">
        <f>IF(O357="","",IF(O357&lt;=$AQ$1,"O","X"))</f>
        <v/>
      </c>
      <c r="AR357" s="117">
        <f>IF(M357="","",IF(M357&lt;=$AR$1,"O","X"))</f>
        <v/>
      </c>
      <c r="AS357" s="117" t="inlineStr">
        <is>
          <t>X</t>
        </is>
      </c>
      <c r="AT357" s="117">
        <f>IF(OR(F357="",AI357=""),"",IF(AND((F357&lt;=85),(AI357&gt;=15)),"O","X"))</f>
        <v/>
      </c>
      <c r="AU357" s="117">
        <f>IF(C357="","",IF(C357&gt;=$AU$1,"O","X"))</f>
        <v/>
      </c>
      <c r="AV357" s="117">
        <f>IF(AO357="","",IF(AND(AO357="O",AP357="O",AR357="O",AT357="O",AU357="O"),"후보","X"))</f>
        <v/>
      </c>
    </row>
    <row r="358" ht="12" customFormat="1" customHeight="1" s="38">
      <c r="A358" s="120" t="inlineStr">
        <is>
          <t>효성동 동아</t>
        </is>
      </c>
      <c r="B358" s="121" t="inlineStr">
        <is>
          <t>86.05.</t>
        </is>
      </c>
      <c r="C358" s="129" t="n">
        <v>270</v>
      </c>
      <c r="D358" s="130" t="n">
        <v>57.5</v>
      </c>
      <c r="E358" s="131" t="n">
        <v>17</v>
      </c>
      <c r="F358" s="130" t="n">
        <v>45.2</v>
      </c>
      <c r="G358" s="17" t="n">
        <v>14</v>
      </c>
      <c r="H358" s="132" t="n">
        <v>140</v>
      </c>
      <c r="I358" s="133" t="n"/>
      <c r="J358" s="133" t="n"/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17" t="n">
        <v>2</v>
      </c>
      <c r="R358" s="117" t="n">
        <v>1</v>
      </c>
      <c r="S358" s="117" t="inlineStr">
        <is>
          <t>계</t>
        </is>
      </c>
      <c r="T358" s="5" t="n">
        <v>57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17">
        <f>S358</f>
        <v/>
      </c>
      <c r="AF358" s="117">
        <f>Q358&amp;"/"&amp;R358</f>
        <v/>
      </c>
      <c r="AH358" s="20">
        <f>IF(A358="","",A358)</f>
        <v/>
      </c>
      <c r="AI358" s="131">
        <f>IF(E358="","",E358)</f>
        <v/>
      </c>
      <c r="AJ358" s="117">
        <f>IF(AI358="","",$AJ$2)</f>
        <v/>
      </c>
      <c r="AK358" s="117" t="inlineStr">
        <is>
          <t>A</t>
        </is>
      </c>
      <c r="AL358" s="117" t="inlineStr">
        <is>
          <t>A+</t>
        </is>
      </c>
      <c r="AM358" s="117" t="inlineStr">
        <is>
          <t>B+</t>
        </is>
      </c>
      <c r="AN358" s="117">
        <f>IF(AI358="","",$AN$2)</f>
        <v/>
      </c>
      <c r="AO358" s="117">
        <f>IF(N358="","",IF(N358&gt;=$AO$1/100,"O","X"))</f>
        <v/>
      </c>
      <c r="AP358" s="117">
        <f>IF(I358="","",IF(I358&lt;=$AP$1,"O","X"))</f>
        <v/>
      </c>
      <c r="AQ358" s="117">
        <f>IF(O358="","",IF(O358&lt;=$AQ$1,"O","X"))</f>
        <v/>
      </c>
      <c r="AR358" s="117">
        <f>IF(M358="","",IF(M358&lt;=$AR$1,"O","X"))</f>
        <v/>
      </c>
      <c r="AS358" s="117" t="inlineStr">
        <is>
          <t>X</t>
        </is>
      </c>
      <c r="AT358" s="117">
        <f>IF(OR(F358="",AI358=""),"",IF(AND((F358&lt;=85),(AI358&gt;=15)),"O","X"))</f>
        <v/>
      </c>
      <c r="AU358" s="117">
        <f>IF(C358="","",IF(C358&gt;=$AU$1,"O","X"))</f>
        <v/>
      </c>
      <c r="AV358" s="117">
        <f>IF(AO358="","",IF(AND(AO358="O",AP358="O",AR358="O",AT358="O",AU358="O"),"후보","X"))</f>
        <v/>
      </c>
    </row>
    <row r="359" ht="12" customFormat="1" customHeight="1" s="38">
      <c r="A359" s="120" t="inlineStr">
        <is>
          <t>효성동 동아</t>
        </is>
      </c>
      <c r="B359" s="121" t="inlineStr">
        <is>
          <t>86.05.</t>
        </is>
      </c>
      <c r="C359" s="129" t="n">
        <v>270</v>
      </c>
      <c r="D359" s="130" t="n">
        <v>66.5</v>
      </c>
      <c r="E359" s="131" t="n">
        <v>20</v>
      </c>
      <c r="F359" s="130" t="n">
        <v>52.9</v>
      </c>
      <c r="G359" s="17" t="n">
        <v>16</v>
      </c>
      <c r="H359" s="132" t="n">
        <v>120</v>
      </c>
      <c r="I359" s="133" t="n"/>
      <c r="J359" s="133" t="n"/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17" t="n">
        <v>3</v>
      </c>
      <c r="R359" s="117" t="n">
        <v>1</v>
      </c>
      <c r="S359" s="117" t="inlineStr">
        <is>
          <t>계</t>
        </is>
      </c>
      <c r="T359" s="5" t="n">
        <v>66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17">
        <f>S359</f>
        <v/>
      </c>
      <c r="AF359" s="117">
        <f>Q359&amp;"/"&amp;R359</f>
        <v/>
      </c>
      <c r="AH359" s="20">
        <f>IF(A359="","",A359)</f>
        <v/>
      </c>
      <c r="AI359" s="131">
        <f>IF(E359="","",E359)</f>
        <v/>
      </c>
      <c r="AJ359" s="117">
        <f>IF(AI359="","",$AJ$2)</f>
        <v/>
      </c>
      <c r="AK359" s="117" t="inlineStr">
        <is>
          <t>A</t>
        </is>
      </c>
      <c r="AL359" s="117" t="inlineStr">
        <is>
          <t>A+</t>
        </is>
      </c>
      <c r="AM359" s="117" t="inlineStr">
        <is>
          <t>B+</t>
        </is>
      </c>
      <c r="AN359" s="117">
        <f>IF(AI359="","",$AN$2)</f>
        <v/>
      </c>
      <c r="AO359" s="117">
        <f>IF(N359="","",IF(N359&gt;=$AO$1/100,"O","X"))</f>
        <v/>
      </c>
      <c r="AP359" s="117">
        <f>IF(I359="","",IF(I359&lt;=$AP$1,"O","X"))</f>
        <v/>
      </c>
      <c r="AQ359" s="117">
        <f>IF(O359="","",IF(O359&lt;=$AQ$1,"O","X"))</f>
        <v/>
      </c>
      <c r="AR359" s="117">
        <f>IF(M359="","",IF(M359&lt;=$AR$1,"O","X"))</f>
        <v/>
      </c>
      <c r="AS359" s="117" t="inlineStr">
        <is>
          <t>X</t>
        </is>
      </c>
      <c r="AT359" s="117">
        <f>IF(OR(F359="",AI359=""),"",IF(AND((F359&lt;=85),(AI359&gt;=15)),"O","X"))</f>
        <v/>
      </c>
      <c r="AU359" s="117">
        <f>IF(C359="","",IF(C359&gt;=$AU$1,"O","X"))</f>
        <v/>
      </c>
      <c r="AV359" s="117">
        <f>IF(AO359="","",IF(AND(AO359="O",AP359="O",AR359="O",AT359="O",AU359="O"),"후보","X"))</f>
        <v/>
      </c>
    </row>
    <row r="360" ht="12" customFormat="1" customHeight="1" s="38">
      <c r="A360" s="120" t="inlineStr">
        <is>
          <t>효성동 동아</t>
        </is>
      </c>
      <c r="B360" s="121" t="inlineStr">
        <is>
          <t>86.05.</t>
        </is>
      </c>
      <c r="C360" s="129" t="n">
        <v>270</v>
      </c>
      <c r="D360" s="130" t="n">
        <v>71</v>
      </c>
      <c r="E360" s="131" t="n">
        <v>21</v>
      </c>
      <c r="F360" s="130" t="n">
        <v>52.1</v>
      </c>
      <c r="G360" s="17" t="n">
        <v>16</v>
      </c>
      <c r="H360" s="132" t="n">
        <v>5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17" t="n">
        <v>2</v>
      </c>
      <c r="R360" s="117" t="n">
        <v>1</v>
      </c>
      <c r="S360" s="117" t="inlineStr">
        <is>
          <t>합</t>
        </is>
      </c>
      <c r="T360" s="5" t="n">
        <v>70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17">
        <f>S360</f>
        <v/>
      </c>
      <c r="AF360" s="117">
        <f>Q360&amp;"/"&amp;R360</f>
        <v/>
      </c>
      <c r="AH360" s="20">
        <f>IF(A360="","",A360)</f>
        <v/>
      </c>
      <c r="AI360" s="131">
        <f>IF(E360="","",E360)</f>
        <v/>
      </c>
      <c r="AJ360" s="117">
        <f>IF(AI360="","",$AJ$2)</f>
        <v/>
      </c>
      <c r="AK360" s="117" t="inlineStr">
        <is>
          <t>A</t>
        </is>
      </c>
      <c r="AL360" s="117" t="inlineStr">
        <is>
          <t>A+</t>
        </is>
      </c>
      <c r="AM360" s="117" t="inlineStr">
        <is>
          <t>B+</t>
        </is>
      </c>
      <c r="AN360" s="117">
        <f>IF(AI360="","",$AN$2)</f>
        <v/>
      </c>
      <c r="AO360" s="117">
        <f>IF(N360="","",IF(N360&gt;=$AO$1/100,"O","X"))</f>
        <v/>
      </c>
      <c r="AP360" s="117">
        <f>IF(I360="","",IF(I360&lt;=$AP$1,"O","X"))</f>
        <v/>
      </c>
      <c r="AQ360" s="117">
        <f>IF(O360="","",IF(O360&lt;=$AQ$1,"O","X"))</f>
        <v/>
      </c>
      <c r="AR360" s="117">
        <f>IF(M360="","",IF(M360&lt;=$AR$1,"O","X"))</f>
        <v/>
      </c>
      <c r="AS360" s="117" t="inlineStr">
        <is>
          <t>X</t>
        </is>
      </c>
      <c r="AT360" s="117">
        <f>IF(OR(F360="",AI360=""),"",IF(AND((F360&lt;=85),(AI360&gt;=15)),"O","X"))</f>
        <v/>
      </c>
      <c r="AU360" s="117">
        <f>IF(C360="","",IF(C360&gt;=$AU$1,"O","X"))</f>
        <v/>
      </c>
      <c r="AV360" s="117">
        <f>IF(AO360="","",IF(AND(AO360="O",AP360="O",AR360="O",AT360="O",AU360="O"),"후보","X"))</f>
        <v/>
      </c>
    </row>
    <row r="361" ht="12" customFormat="1" customHeight="1" s="38">
      <c r="A361" s="120" t="inlineStr">
        <is>
          <t>효성동 동아</t>
        </is>
      </c>
      <c r="B361" s="121" t="inlineStr">
        <is>
          <t>86.05.</t>
        </is>
      </c>
      <c r="C361" s="129" t="n">
        <v>270</v>
      </c>
      <c r="D361" s="130" t="n">
        <v>77.59999999999999</v>
      </c>
      <c r="E361" s="131" t="n">
        <v>23</v>
      </c>
      <c r="F361" s="130" t="n">
        <v>58.3</v>
      </c>
      <c r="G361" s="17" t="n">
        <v>18</v>
      </c>
      <c r="H361" s="132" t="n">
        <v>5</v>
      </c>
      <c r="I361" s="133" t="n"/>
      <c r="J361" s="133" t="n"/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17" t="n">
        <v>3</v>
      </c>
      <c r="R361" s="117" t="n">
        <v>1</v>
      </c>
      <c r="S361" s="117" t="inlineStr">
        <is>
          <t>계</t>
        </is>
      </c>
      <c r="T361" s="5" t="n">
        <v>77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17">
        <f>S361</f>
        <v/>
      </c>
      <c r="AF361" s="117">
        <f>Q361&amp;"/"&amp;R361</f>
        <v/>
      </c>
      <c r="AH361" s="20">
        <f>IF(A361="","",A361)</f>
        <v/>
      </c>
      <c r="AI361" s="131">
        <f>IF(E361="","",E361)</f>
        <v/>
      </c>
      <c r="AJ361" s="117">
        <f>IF(AI361="","",$AJ$2)</f>
        <v/>
      </c>
      <c r="AK361" s="117" t="inlineStr">
        <is>
          <t>A</t>
        </is>
      </c>
      <c r="AL361" s="117" t="inlineStr">
        <is>
          <t>A+</t>
        </is>
      </c>
      <c r="AM361" s="117" t="inlineStr">
        <is>
          <t>B+</t>
        </is>
      </c>
      <c r="AN361" s="117">
        <f>IF(AI361="","",$AN$2)</f>
        <v/>
      </c>
      <c r="AO361" s="117">
        <f>IF(N361="","",IF(N361&gt;=$AO$1/100,"O","X"))</f>
        <v/>
      </c>
      <c r="AP361" s="117">
        <f>IF(I361="","",IF(I361&lt;=$AP$1,"O","X"))</f>
        <v/>
      </c>
      <c r="AQ361" s="117">
        <f>IF(O361="","",IF(O361&lt;=$AQ$1,"O","X"))</f>
        <v/>
      </c>
      <c r="AR361" s="117">
        <f>IF(M361="","",IF(M361&lt;=$AR$1,"O","X"))</f>
        <v/>
      </c>
      <c r="AS361" s="117" t="inlineStr">
        <is>
          <t>X</t>
        </is>
      </c>
      <c r="AT361" s="117">
        <f>IF(OR(F361="",AI361=""),"",IF(AND((F361&lt;=85),(AI361&gt;=15)),"O","X"))</f>
        <v/>
      </c>
      <c r="AU361" s="117">
        <f>IF(C361="","",IF(C361&gt;=$AU$1,"O","X"))</f>
        <v/>
      </c>
      <c r="AV361" s="117">
        <f>IF(AO361="","",IF(AND(AO361="O",AP361="O",AR361="O",AT361="O",AU361="O"),"후보","X"))</f>
        <v/>
      </c>
    </row>
    <row r="362" ht="12" customFormat="1" customHeight="1" s="38">
      <c r="A362" s="120" t="inlineStr">
        <is>
          <t>효성동 경남1차</t>
        </is>
      </c>
      <c r="B362" s="121" t="inlineStr">
        <is>
          <t>87.07.</t>
        </is>
      </c>
      <c r="C362" s="129" t="n">
        <v>310</v>
      </c>
      <c r="D362" s="130" t="n">
        <v>61.6</v>
      </c>
      <c r="E362" s="131" t="n">
        <v>19</v>
      </c>
      <c r="F362" s="130" t="n">
        <v>49.9</v>
      </c>
      <c r="G362" s="17" t="n">
        <v>15</v>
      </c>
      <c r="H362" s="132" t="n">
        <v>290</v>
      </c>
      <c r="I362" s="133" t="n">
        <v>25000</v>
      </c>
      <c r="J362" s="133" t="inlineStr">
        <is>
          <t>중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17" t="n">
        <v>2</v>
      </c>
      <c r="R362" s="117" t="n">
        <v>1</v>
      </c>
      <c r="S362" s="117" t="inlineStr">
        <is>
          <t>계</t>
        </is>
      </c>
      <c r="T362" s="5" t="n">
        <v>61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17">
        <f>S362</f>
        <v/>
      </c>
      <c r="AF362" s="117">
        <f>Q362&amp;"/"&amp;R362</f>
        <v/>
      </c>
      <c r="AH362" s="20">
        <f>IF(A362="","",A362)</f>
        <v/>
      </c>
      <c r="AI362" s="131">
        <f>IF(E362="","",E362)</f>
        <v/>
      </c>
      <c r="AJ362" s="117">
        <f>IF(AI362="","",$AJ$2)</f>
        <v/>
      </c>
      <c r="AK362" s="117" t="inlineStr">
        <is>
          <t>A</t>
        </is>
      </c>
      <c r="AL362" s="117" t="inlineStr">
        <is>
          <t>A+</t>
        </is>
      </c>
      <c r="AM362" s="117" t="inlineStr">
        <is>
          <t>B+</t>
        </is>
      </c>
      <c r="AN362" s="117">
        <f>IF(AI362="","",$AN$2)</f>
        <v/>
      </c>
      <c r="AO362" s="117">
        <f>IF(N362="","",IF(N362&gt;=$AO$1/100,"O","X"))</f>
        <v/>
      </c>
      <c r="AP362" s="117">
        <f>IF(I362="","",IF(I362&lt;=$AP$1,"O","X"))</f>
        <v/>
      </c>
      <c r="AQ362" s="117">
        <f>IF(O362="","",IF(O362&lt;=$AQ$1,"O","X"))</f>
        <v/>
      </c>
      <c r="AR362" s="117">
        <f>IF(M362="","",IF(M362&lt;=$AR$1,"O","X"))</f>
        <v/>
      </c>
      <c r="AS362" s="117" t="inlineStr">
        <is>
          <t>X</t>
        </is>
      </c>
      <c r="AT362" s="117">
        <f>IF(OR(F362="",AI362=""),"",IF(AND((F362&lt;=85),(AI362&gt;=15)),"O","X"))</f>
        <v/>
      </c>
      <c r="AU362" s="117">
        <f>IF(C362="","",IF(C362&gt;=$AU$1,"O","X"))</f>
        <v/>
      </c>
      <c r="AV362" s="117">
        <f>IF(AO362="","",IF(AND(AO362="O",AP362="O",AR362="O",AT362="O",AU362="O"),"후보","X"))</f>
        <v/>
      </c>
    </row>
    <row r="363" ht="12" customFormat="1" customHeight="1" s="38">
      <c r="A363" s="120" t="inlineStr">
        <is>
          <t>효성동 경남1차</t>
        </is>
      </c>
      <c r="B363" s="121" t="inlineStr">
        <is>
          <t>87.07.</t>
        </is>
      </c>
      <c r="C363" s="129" t="n">
        <v>310</v>
      </c>
      <c r="D363" s="130" t="n">
        <v>72.2</v>
      </c>
      <c r="E363" s="131" t="n">
        <v>22</v>
      </c>
      <c r="F363" s="130" t="n">
        <v>59.4</v>
      </c>
      <c r="G363" s="17" t="n">
        <v>18</v>
      </c>
      <c r="H363" s="132" t="n">
        <v>20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17" t="n">
        <v>3</v>
      </c>
      <c r="R363" s="117" t="n">
        <v>1</v>
      </c>
      <c r="S363" s="117" t="inlineStr">
        <is>
          <t>계</t>
        </is>
      </c>
      <c r="T363" s="5" t="n">
        <v>72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17">
        <f>S363</f>
        <v/>
      </c>
      <c r="AF363" s="117">
        <f>Q363&amp;"/"&amp;R363</f>
        <v/>
      </c>
      <c r="AH363" s="20">
        <f>IF(A363="","",A363)</f>
        <v/>
      </c>
      <c r="AI363" s="131">
        <f>IF(E363="","",E363)</f>
        <v/>
      </c>
      <c r="AJ363" s="117">
        <f>IF(AI363="","",$AJ$2)</f>
        <v/>
      </c>
      <c r="AK363" s="117" t="inlineStr">
        <is>
          <t>A</t>
        </is>
      </c>
      <c r="AL363" s="117" t="inlineStr">
        <is>
          <t>A+</t>
        </is>
      </c>
      <c r="AM363" s="117" t="inlineStr">
        <is>
          <t>B+</t>
        </is>
      </c>
      <c r="AN363" s="117">
        <f>IF(AI363="","",$AN$2)</f>
        <v/>
      </c>
      <c r="AO363" s="117">
        <f>IF(N363="","",IF(N363&gt;=$AO$1/100,"O","X"))</f>
        <v/>
      </c>
      <c r="AP363" s="117">
        <f>IF(I363="","",IF(I363&lt;=$AP$1,"O","X"))</f>
        <v/>
      </c>
      <c r="AQ363" s="117">
        <f>IF(O363="","",IF(O363&lt;=$AQ$1,"O","X"))</f>
        <v/>
      </c>
      <c r="AR363" s="117">
        <f>IF(M363="","",IF(M363&lt;=$AR$1,"O","X"))</f>
        <v/>
      </c>
      <c r="AS363" s="117" t="inlineStr">
        <is>
          <t>X</t>
        </is>
      </c>
      <c r="AT363" s="117">
        <f>IF(OR(F363="",AI363=""),"",IF(AND((F363&lt;=85),(AI363&gt;=15)),"O","X"))</f>
        <v/>
      </c>
      <c r="AU363" s="117">
        <f>IF(C363="","",IF(C363&gt;=$AU$1,"O","X"))</f>
        <v/>
      </c>
      <c r="AV363" s="117">
        <f>IF(AO363="","",IF(AND(AO363="O",AP363="O",AR363="O",AT363="O",AU363="O"),"후보","X"))</f>
        <v/>
      </c>
    </row>
    <row r="364" ht="12" customFormat="1" customHeight="1" s="38">
      <c r="A364" s="120" t="inlineStr">
        <is>
          <t>효성동 뉴서울3차</t>
        </is>
      </c>
      <c r="B364" s="121" t="inlineStr">
        <is>
          <t>93.08.</t>
        </is>
      </c>
      <c r="C364" s="129" t="n">
        <v>542</v>
      </c>
      <c r="D364" s="130" t="n">
        <v>105.8</v>
      </c>
      <c r="E364" s="131" t="n">
        <v>32</v>
      </c>
      <c r="F364" s="130" t="n">
        <v>84.7</v>
      </c>
      <c r="G364" s="17" t="n">
        <v>26</v>
      </c>
      <c r="H364" s="132" t="n">
        <v>432</v>
      </c>
      <c r="I364" s="133" t="n">
        <v>36000</v>
      </c>
      <c r="J364" s="133" t="inlineStr">
        <is>
          <t>13</t>
        </is>
      </c>
      <c r="K364" s="133" t="n"/>
      <c r="L364" s="133" t="n"/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17" t="n">
        <v>3</v>
      </c>
      <c r="R364" s="117" t="n">
        <v>2</v>
      </c>
      <c r="S364" s="117" t="inlineStr">
        <is>
          <t>계</t>
        </is>
      </c>
      <c r="T364" s="5" t="n">
        <v>105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17">
        <f>S364</f>
        <v/>
      </c>
      <c r="AF364" s="117">
        <f>Q364&amp;"/"&amp;R364</f>
        <v/>
      </c>
      <c r="AH364" s="20">
        <f>IF(A364="","",A364)</f>
        <v/>
      </c>
      <c r="AI364" s="131">
        <f>IF(E364="","",E364)</f>
        <v/>
      </c>
      <c r="AJ364" s="117">
        <f>IF(AI364="","",$AJ$2)</f>
        <v/>
      </c>
      <c r="AK364" s="117" t="inlineStr">
        <is>
          <t>A</t>
        </is>
      </c>
      <c r="AL364" s="117" t="inlineStr">
        <is>
          <t>A+</t>
        </is>
      </c>
      <c r="AM364" s="117" t="inlineStr">
        <is>
          <t>B+</t>
        </is>
      </c>
      <c r="AN364" s="117">
        <f>IF(AI364="","",$AN$2)</f>
        <v/>
      </c>
      <c r="AO364" s="117">
        <f>IF(N364="","",IF(N364&gt;=$AO$1/100,"O","X"))</f>
        <v/>
      </c>
      <c r="AP364" s="117">
        <f>IF(I364="","",IF(I364&lt;=$AP$1,"O","X"))</f>
        <v/>
      </c>
      <c r="AQ364" s="117">
        <f>IF(O364="","",IF(O364&lt;=$AQ$1,"O","X"))</f>
        <v/>
      </c>
      <c r="AR364" s="117">
        <f>IF(M364="","",IF(M364&lt;=$AR$1,"O","X"))</f>
        <v/>
      </c>
      <c r="AS364" s="117" t="inlineStr">
        <is>
          <t>X</t>
        </is>
      </c>
      <c r="AT364" s="117">
        <f>IF(OR(F364="",AI364=""),"",IF(AND((F364&lt;=85),(AI364&gt;=15)),"O","X"))</f>
        <v/>
      </c>
      <c r="AU364" s="117">
        <f>IF(C364="","",IF(C364&gt;=$AU$1,"O","X"))</f>
        <v/>
      </c>
      <c r="AV364" s="117">
        <f>IF(AO364="","",IF(AND(AO364="O",AP364="O",AR364="O",AT364="O",AU364="O"),"후보","X"))</f>
        <v/>
      </c>
    </row>
    <row r="365" ht="12" customFormat="1" customHeight="1" s="38">
      <c r="A365" s="120" t="inlineStr">
        <is>
          <t>효성동 뉴서울3차</t>
        </is>
      </c>
      <c r="B365" s="121" t="inlineStr">
        <is>
          <t>93.08.</t>
        </is>
      </c>
      <c r="C365" s="129" t="n">
        <v>542</v>
      </c>
      <c r="D365" s="130" t="n">
        <v>109.1</v>
      </c>
      <c r="E365" s="131" t="n">
        <v>33</v>
      </c>
      <c r="F365" s="130" t="n">
        <v>84.5</v>
      </c>
      <c r="G365" s="17" t="n">
        <v>26</v>
      </c>
      <c r="H365" s="132" t="n">
        <v>110</v>
      </c>
      <c r="I365" s="133" t="n">
        <v>34000</v>
      </c>
      <c r="J365" s="133" t="inlineStr">
        <is>
          <t>8</t>
        </is>
      </c>
      <c r="K365" s="133" t="n">
        <v>28000</v>
      </c>
      <c r="L365" s="133" t="inlineStr">
        <is>
          <t>11</t>
        </is>
      </c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17" t="n">
        <v>3</v>
      </c>
      <c r="R365" s="117" t="n">
        <v>1</v>
      </c>
      <c r="S365" s="117" t="inlineStr">
        <is>
          <t>복</t>
        </is>
      </c>
      <c r="T365" s="5" t="n">
        <v>109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17">
        <f>S365</f>
        <v/>
      </c>
      <c r="AF365" s="117">
        <f>Q365&amp;"/"&amp;R365</f>
        <v/>
      </c>
      <c r="AH365" s="20">
        <f>IF(A365="","",A365)</f>
        <v/>
      </c>
      <c r="AI365" s="131">
        <f>IF(E365="","",E365)</f>
        <v/>
      </c>
      <c r="AJ365" s="117">
        <f>IF(AI365="","",$AJ$2)</f>
        <v/>
      </c>
      <c r="AK365" s="117" t="inlineStr">
        <is>
          <t>A</t>
        </is>
      </c>
      <c r="AL365" s="117" t="inlineStr">
        <is>
          <t>A+</t>
        </is>
      </c>
      <c r="AM365" s="117" t="inlineStr">
        <is>
          <t>B+</t>
        </is>
      </c>
      <c r="AN365" s="117">
        <f>IF(AI365="","",$AN$2)</f>
        <v/>
      </c>
      <c r="AO365" s="117">
        <f>IF(N365="","",IF(N365&gt;=$AO$1/100,"O","X"))</f>
        <v/>
      </c>
      <c r="AP365" s="117">
        <f>IF(I365="","",IF(I365&lt;=$AP$1,"O","X"))</f>
        <v/>
      </c>
      <c r="AQ365" s="117">
        <f>IF(O365="","",IF(O365&lt;=$AQ$1,"O","X"))</f>
        <v/>
      </c>
      <c r="AR365" s="117">
        <f>IF(M365="","",IF(M365&lt;=$AR$1,"O","X"))</f>
        <v/>
      </c>
      <c r="AS365" s="117" t="inlineStr">
        <is>
          <t>X</t>
        </is>
      </c>
      <c r="AT365" s="117">
        <f>IF(OR(F365="",AI365=""),"",IF(AND((F365&lt;=85),(AI365&gt;=15)),"O","X"))</f>
        <v/>
      </c>
      <c r="AU365" s="117">
        <f>IF(C365="","",IF(C365&gt;=$AU$1,"O","X"))</f>
        <v/>
      </c>
      <c r="AV365" s="117">
        <f>IF(AO365="","",IF(AND(AO365="O",AP365="O",AR365="O",AT365="O",AU365="O"),"후보","X"))</f>
        <v/>
      </c>
    </row>
    <row r="366" ht="12" customFormat="1" customHeight="1" s="38">
      <c r="A366" s="120" t="inlineStr">
        <is>
          <t>효성동 현대1차</t>
        </is>
      </c>
      <c r="B366" s="121" t="inlineStr">
        <is>
          <t>91.11.</t>
        </is>
      </c>
      <c r="C366" s="129" t="n">
        <v>874</v>
      </c>
      <c r="D366" s="130" t="n">
        <v>86.8</v>
      </c>
      <c r="E366" s="131" t="n">
        <v>26</v>
      </c>
      <c r="F366" s="130" t="n">
        <v>71.2</v>
      </c>
      <c r="G366" s="17" t="n">
        <v>22</v>
      </c>
      <c r="H366" s="132" t="n">
        <v>234</v>
      </c>
      <c r="I366" s="133" t="n">
        <v>36000</v>
      </c>
      <c r="J366" s="133" t="inlineStr">
        <is>
          <t>11</t>
        </is>
      </c>
      <c r="K366" s="133" t="n">
        <v>27000</v>
      </c>
      <c r="L366" s="133" t="inlineStr">
        <is>
          <t>10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17" t="n">
        <v>3</v>
      </c>
      <c r="R366" s="117" t="n">
        <v>1</v>
      </c>
      <c r="S366" s="117" t="inlineStr">
        <is>
          <t>계</t>
        </is>
      </c>
      <c r="T366" s="5" t="inlineStr">
        <is>
          <t>86A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17">
        <f>S366</f>
        <v/>
      </c>
      <c r="AF366" s="117">
        <f>Q366&amp;"/"&amp;R366</f>
        <v/>
      </c>
      <c r="AH366" s="20">
        <f>IF(A366="","",A366)</f>
        <v/>
      </c>
      <c r="AI366" s="131">
        <f>IF(E366="","",E366)</f>
        <v/>
      </c>
      <c r="AJ366" s="117">
        <f>IF(AI366="","",$AJ$2)</f>
        <v/>
      </c>
      <c r="AK366" s="117" t="inlineStr">
        <is>
          <t>A</t>
        </is>
      </c>
      <c r="AL366" s="117" t="inlineStr">
        <is>
          <t>A+</t>
        </is>
      </c>
      <c r="AM366" s="117" t="inlineStr">
        <is>
          <t>B+</t>
        </is>
      </c>
      <c r="AN366" s="117">
        <f>IF(AI366="","",$AN$2)</f>
        <v/>
      </c>
      <c r="AO366" s="117">
        <f>IF(N366="","",IF(N366&gt;=$AO$1/100,"O","X"))</f>
        <v/>
      </c>
      <c r="AP366" s="117">
        <f>IF(I366="","",IF(I366&lt;=$AP$1,"O","X"))</f>
        <v/>
      </c>
      <c r="AQ366" s="117">
        <f>IF(O366="","",IF(O366&lt;=$AQ$1,"O","X"))</f>
        <v/>
      </c>
      <c r="AR366" s="117">
        <f>IF(M366="","",IF(M366&lt;=$AR$1,"O","X"))</f>
        <v/>
      </c>
      <c r="AS366" s="117" t="inlineStr">
        <is>
          <t>X</t>
        </is>
      </c>
      <c r="AT366" s="117">
        <f>IF(OR(F366="",AI366=""),"",IF(AND((F366&lt;=85),(AI366&gt;=15)),"O","X"))</f>
        <v/>
      </c>
      <c r="AU366" s="117">
        <f>IF(C366="","",IF(C366&gt;=$AU$1,"O","X"))</f>
        <v/>
      </c>
      <c r="AV366" s="117">
        <f>IF(AO366="","",IF(AND(AO366="O",AP366="O",AR366="O",AT366="O",AU366="O"),"후보","X"))</f>
        <v/>
      </c>
    </row>
    <row r="367" ht="12" customFormat="1" customHeight="1" s="38">
      <c r="A367" s="120" t="inlineStr">
        <is>
          <t>효성동 현대1차</t>
        </is>
      </c>
      <c r="B367" s="121" t="inlineStr">
        <is>
          <t>91.11.</t>
        </is>
      </c>
      <c r="C367" s="129" t="n">
        <v>874</v>
      </c>
      <c r="D367" s="130" t="n">
        <v>86.8</v>
      </c>
      <c r="E367" s="131" t="n">
        <v>26</v>
      </c>
      <c r="F367" s="130" t="n">
        <v>71.2</v>
      </c>
      <c r="G367" s="17" t="n">
        <v>22</v>
      </c>
      <c r="H367" s="132" t="n">
        <v>3</v>
      </c>
      <c r="I367" s="133" t="n">
        <v>36000</v>
      </c>
      <c r="J367" s="133" t="inlineStr">
        <is>
          <t>11</t>
        </is>
      </c>
      <c r="K367" s="133" t="n">
        <v>27000</v>
      </c>
      <c r="L367" s="133" t="inlineStr">
        <is>
          <t>10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17" t="n">
        <v>3</v>
      </c>
      <c r="R367" s="117" t="n">
        <v>2</v>
      </c>
      <c r="S367" s="117" t="inlineStr">
        <is>
          <t>계</t>
        </is>
      </c>
      <c r="T367" s="5" t="inlineStr">
        <is>
          <t>86B</t>
        </is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17">
        <f>S367</f>
        <v/>
      </c>
      <c r="AF367" s="117">
        <f>Q367&amp;"/"&amp;R367</f>
        <v/>
      </c>
      <c r="AH367" s="20">
        <f>IF(A367="","",A367)</f>
        <v/>
      </c>
      <c r="AI367" s="131">
        <f>IF(E367="","",E367)</f>
        <v/>
      </c>
      <c r="AJ367" s="117">
        <f>IF(AI367="","",$AJ$2)</f>
        <v/>
      </c>
      <c r="AK367" s="117" t="inlineStr">
        <is>
          <t>A</t>
        </is>
      </c>
      <c r="AL367" s="117" t="inlineStr">
        <is>
          <t>A+</t>
        </is>
      </c>
      <c r="AM367" s="117" t="inlineStr">
        <is>
          <t>B+</t>
        </is>
      </c>
      <c r="AN367" s="117">
        <f>IF(AI367="","",$AN$2)</f>
        <v/>
      </c>
      <c r="AO367" s="117">
        <f>IF(N367="","",IF(N367&gt;=$AO$1/100,"O","X"))</f>
        <v/>
      </c>
      <c r="AP367" s="117">
        <f>IF(I367="","",IF(I367&lt;=$AP$1,"O","X"))</f>
        <v/>
      </c>
      <c r="AQ367" s="117">
        <f>IF(O367="","",IF(O367&lt;=$AQ$1,"O","X"))</f>
        <v/>
      </c>
      <c r="AR367" s="117">
        <f>IF(M367="","",IF(M367&lt;=$AR$1,"O","X"))</f>
        <v/>
      </c>
      <c r="AS367" s="117" t="inlineStr">
        <is>
          <t>X</t>
        </is>
      </c>
      <c r="AT367" s="117">
        <f>IF(OR(F367="",AI367=""),"",IF(AND((F367&lt;=85),(AI367&gt;=15)),"O","X"))</f>
        <v/>
      </c>
      <c r="AU367" s="117">
        <f>IF(C367="","",IF(C367&gt;=$AU$1,"O","X"))</f>
        <v/>
      </c>
      <c r="AV367" s="117">
        <f>IF(AO367="","",IF(AND(AO367="O",AP367="O",AR367="O",AT367="O",AU367="O"),"후보","X"))</f>
        <v/>
      </c>
    </row>
    <row r="368" ht="12" customFormat="1" customHeight="1" s="38">
      <c r="A368" s="120" t="inlineStr">
        <is>
          <t>효성동 현대1차</t>
        </is>
      </c>
      <c r="B368" s="121" t="inlineStr">
        <is>
          <t>91.11.</t>
        </is>
      </c>
      <c r="C368" s="129" t="n">
        <v>874</v>
      </c>
      <c r="D368" s="130" t="n">
        <v>103.6</v>
      </c>
      <c r="E368" s="131" t="n">
        <v>31</v>
      </c>
      <c r="F368" s="130" t="n">
        <v>84.90000000000001</v>
      </c>
      <c r="G368" s="17" t="n">
        <v>26</v>
      </c>
      <c r="H368" s="132" t="n">
        <v>517</v>
      </c>
      <c r="I368" s="133" t="n">
        <v>38000</v>
      </c>
      <c r="J368" s="133" t="inlineStr">
        <is>
          <t>6</t>
        </is>
      </c>
      <c r="K368" s="133" t="n">
        <v>30000</v>
      </c>
      <c r="L368" s="133" t="inlineStr">
        <is>
          <t>18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17" t="n">
        <v>3</v>
      </c>
      <c r="R368" s="117" t="n">
        <v>2</v>
      </c>
      <c r="S368" s="117" t="inlineStr">
        <is>
          <t>계</t>
        </is>
      </c>
      <c r="T368" s="5" t="n">
        <v>103</v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17">
        <f>S368</f>
        <v/>
      </c>
      <c r="AF368" s="117">
        <f>Q368&amp;"/"&amp;R368</f>
        <v/>
      </c>
      <c r="AH368" s="20">
        <f>IF(A368="","",A368)</f>
        <v/>
      </c>
      <c r="AI368" s="131">
        <f>IF(E368="","",E368)</f>
        <v/>
      </c>
      <c r="AJ368" s="117">
        <f>IF(AI368="","",$AJ$2)</f>
        <v/>
      </c>
      <c r="AK368" s="117" t="inlineStr">
        <is>
          <t>A</t>
        </is>
      </c>
      <c r="AL368" s="117" t="inlineStr">
        <is>
          <t>A+</t>
        </is>
      </c>
      <c r="AM368" s="117" t="inlineStr">
        <is>
          <t>B+</t>
        </is>
      </c>
      <c r="AN368" s="117">
        <f>IF(AI368="","",$AN$2)</f>
        <v/>
      </c>
      <c r="AO368" s="117">
        <f>IF(N368="","",IF(N368&gt;=$AO$1/100,"O","X"))</f>
        <v/>
      </c>
      <c r="AP368" s="117">
        <f>IF(I368="","",IF(I368&lt;=$AP$1,"O","X"))</f>
        <v/>
      </c>
      <c r="AQ368" s="117">
        <f>IF(O368="","",IF(O368&lt;=$AQ$1,"O","X"))</f>
        <v/>
      </c>
      <c r="AR368" s="117">
        <f>IF(M368="","",IF(M368&lt;=$AR$1,"O","X"))</f>
        <v/>
      </c>
      <c r="AS368" s="117" t="inlineStr">
        <is>
          <t>X</t>
        </is>
      </c>
      <c r="AT368" s="117">
        <f>IF(OR(F368="",AI368=""),"",IF(AND((F368&lt;=85),(AI368&gt;=15)),"O","X"))</f>
        <v/>
      </c>
      <c r="AU368" s="117">
        <f>IF(C368="","",IF(C368&gt;=$AU$1,"O","X"))</f>
        <v/>
      </c>
      <c r="AV368" s="117">
        <f>IF(AO368="","",IF(AND(AO368="O",AP368="O",AR368="O",AT368="O",AU368="O"),"후보","X"))</f>
        <v/>
      </c>
    </row>
    <row r="369" ht="12" customFormat="1" customHeight="1" s="38">
      <c r="A369" s="120" t="inlineStr">
        <is>
          <t>효성동 현대1차</t>
        </is>
      </c>
      <c r="B369" s="121" t="inlineStr">
        <is>
          <t>91.11.</t>
        </is>
      </c>
      <c r="C369" s="129" t="n">
        <v>874</v>
      </c>
      <c r="D369" s="130" t="n">
        <v>158.3</v>
      </c>
      <c r="E369" s="131" t="n">
        <v>48</v>
      </c>
      <c r="F369" s="130" t="n">
        <v>129.7</v>
      </c>
      <c r="G369" s="17" t="n">
        <v>39</v>
      </c>
      <c r="H369" s="132" t="n">
        <v>120</v>
      </c>
      <c r="I369" s="133" t="n">
        <v>58000</v>
      </c>
      <c r="J369" s="133" t="inlineStr">
        <is>
          <t>6</t>
        </is>
      </c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17" t="n">
        <v>4</v>
      </c>
      <c r="R369" s="117" t="n">
        <v>2</v>
      </c>
      <c r="S369" s="117" t="inlineStr">
        <is>
          <t>계</t>
        </is>
      </c>
      <c r="T369" s="5" t="n">
        <v>158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17">
        <f>S369</f>
        <v/>
      </c>
      <c r="AF369" s="117">
        <f>Q369&amp;"/"&amp;R369</f>
        <v/>
      </c>
      <c r="AH369" s="20">
        <f>IF(A369="","",A369)</f>
        <v/>
      </c>
      <c r="AI369" s="131">
        <f>IF(E369="","",E369)</f>
        <v/>
      </c>
      <c r="AJ369" s="117">
        <f>IF(AI369="","",$AJ$2)</f>
        <v/>
      </c>
      <c r="AK369" s="117" t="inlineStr">
        <is>
          <t>A</t>
        </is>
      </c>
      <c r="AL369" s="117" t="inlineStr">
        <is>
          <t>A+</t>
        </is>
      </c>
      <c r="AM369" s="117" t="inlineStr">
        <is>
          <t>B+</t>
        </is>
      </c>
      <c r="AN369" s="117">
        <f>IF(AI369="","",$AN$2)</f>
        <v/>
      </c>
      <c r="AO369" s="117">
        <f>IF(N369="","",IF(N369&gt;=$AO$1/100,"O","X"))</f>
        <v/>
      </c>
      <c r="AP369" s="117">
        <f>IF(I369="","",IF(I369&lt;=$AP$1,"O","X"))</f>
        <v/>
      </c>
      <c r="AQ369" s="117">
        <f>IF(O369="","",IF(O369&lt;=$AQ$1,"O","X"))</f>
        <v/>
      </c>
      <c r="AR369" s="117">
        <f>IF(M369="","",IF(M369&lt;=$AR$1,"O","X"))</f>
        <v/>
      </c>
      <c r="AS369" s="117" t="inlineStr">
        <is>
          <t>X</t>
        </is>
      </c>
      <c r="AT369" s="117">
        <f>IF(OR(F369="",AI369=""),"",IF(AND((F369&lt;=85),(AI369&gt;=15)),"O","X"))</f>
        <v/>
      </c>
      <c r="AU369" s="117">
        <f>IF(C369="","",IF(C369&gt;=$AU$1,"O","X"))</f>
        <v/>
      </c>
      <c r="AV369" s="117">
        <f>IF(AO369="","",IF(AND(AO369="O",AP369="O",AR369="O",AT369="O",AU369="O"),"후보","X"))</f>
        <v/>
      </c>
    </row>
    <row r="370" ht="12" customFormat="1" customHeight="1" s="38">
      <c r="A370" s="120" t="inlineStr">
        <is>
          <t>효성동 현대4차</t>
        </is>
      </c>
      <c r="B370" s="121" t="inlineStr">
        <is>
          <t>95.12.</t>
        </is>
      </c>
      <c r="C370" s="129" t="n">
        <v>919</v>
      </c>
      <c r="D370" s="130" t="n">
        <v>74.8</v>
      </c>
      <c r="E370" s="131" t="n">
        <v>23</v>
      </c>
      <c r="F370" s="130" t="n">
        <v>59.4</v>
      </c>
      <c r="G370" s="17" t="n">
        <v>18</v>
      </c>
      <c r="H370" s="132" t="n">
        <v>375</v>
      </c>
      <c r="I370" s="133" t="n">
        <v>28000</v>
      </c>
      <c r="J370" s="133" t="inlineStr">
        <is>
          <t>25</t>
        </is>
      </c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17" t="n">
        <v>3</v>
      </c>
      <c r="R370" s="117" t="n">
        <v>1</v>
      </c>
      <c r="S370" s="117" t="inlineStr">
        <is>
          <t>복</t>
        </is>
      </c>
      <c r="T370" s="5" t="n">
        <v>74</v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17">
        <f>S370</f>
        <v/>
      </c>
      <c r="AF370" s="117">
        <f>Q370&amp;"/"&amp;R370</f>
        <v/>
      </c>
      <c r="AH370" s="20">
        <f>IF(A370="","",A370)</f>
        <v/>
      </c>
      <c r="AI370" s="131">
        <f>IF(E370="","",E370)</f>
        <v/>
      </c>
      <c r="AJ370" s="117">
        <f>IF(AI370="","",$AJ$2)</f>
        <v/>
      </c>
      <c r="AK370" s="117" t="inlineStr">
        <is>
          <t>A</t>
        </is>
      </c>
      <c r="AL370" s="117" t="inlineStr">
        <is>
          <t>A+</t>
        </is>
      </c>
      <c r="AM370" s="117" t="inlineStr">
        <is>
          <t>B+</t>
        </is>
      </c>
      <c r="AN370" s="117">
        <f>IF(AI370="","",$AN$2)</f>
        <v/>
      </c>
      <c r="AO370" s="117">
        <f>IF(N370="","",IF(N370&gt;=$AO$1/100,"O","X"))</f>
        <v/>
      </c>
      <c r="AP370" s="117">
        <f>IF(I370="","",IF(I370&lt;=$AP$1,"O","X"))</f>
        <v/>
      </c>
      <c r="AQ370" s="117">
        <f>IF(O370="","",IF(O370&lt;=$AQ$1,"O","X"))</f>
        <v/>
      </c>
      <c r="AR370" s="117">
        <f>IF(M370="","",IF(M370&lt;=$AR$1,"O","X"))</f>
        <v/>
      </c>
      <c r="AS370" s="117" t="inlineStr">
        <is>
          <t>X</t>
        </is>
      </c>
      <c r="AT370" s="117">
        <f>IF(OR(F370="",AI370=""),"",IF(AND((F370&lt;=85),(AI370&gt;=15)),"O","X"))</f>
        <v/>
      </c>
      <c r="AU370" s="117">
        <f>IF(C370="","",IF(C370&gt;=$AU$1,"O","X"))</f>
        <v/>
      </c>
      <c r="AV370" s="117">
        <f>IF(AO370="","",IF(AND(AO370="O",AP370="O",AR370="O",AT370="O",AU370="O"),"후보","X"))</f>
        <v/>
      </c>
    </row>
    <row r="371" ht="12" customFormat="1" customHeight="1" s="38">
      <c r="A371" s="120" t="inlineStr">
        <is>
          <t>효성동 현대4차</t>
        </is>
      </c>
      <c r="B371" s="121" t="inlineStr">
        <is>
          <t>95.12.</t>
        </is>
      </c>
      <c r="C371" s="129" t="n">
        <v>919</v>
      </c>
      <c r="D371" s="130" t="n">
        <v>75.09999999999999</v>
      </c>
      <c r="E371" s="131" t="n">
        <v>23</v>
      </c>
      <c r="F371" s="130" t="n">
        <v>59.6</v>
      </c>
      <c r="G371" s="17" t="n">
        <v>18</v>
      </c>
      <c r="H371" s="132" t="n">
        <v>25</v>
      </c>
      <c r="I371" s="133" t="n"/>
      <c r="J371" s="133" t="n"/>
      <c r="K371" s="133" t="n"/>
      <c r="L371" s="133" t="n"/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17" t="n">
        <v>3</v>
      </c>
      <c r="R371" s="117" t="n">
        <v>1</v>
      </c>
      <c r="S371" s="117" t="inlineStr">
        <is>
          <t>복</t>
        </is>
      </c>
      <c r="T371" s="5" t="inlineStr">
        <is>
          <t>75C</t>
        </is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17">
        <f>S371</f>
        <v/>
      </c>
      <c r="AF371" s="117">
        <f>Q371&amp;"/"&amp;R371</f>
        <v/>
      </c>
      <c r="AH371" s="20">
        <f>IF(A371="","",A371)</f>
        <v/>
      </c>
      <c r="AI371" s="131">
        <f>IF(E371="","",E371)</f>
        <v/>
      </c>
      <c r="AJ371" s="117">
        <f>IF(AI371="","",$AJ$2)</f>
        <v/>
      </c>
      <c r="AK371" s="117" t="inlineStr">
        <is>
          <t>A</t>
        </is>
      </c>
      <c r="AL371" s="117" t="inlineStr">
        <is>
          <t>A+</t>
        </is>
      </c>
      <c r="AM371" s="117" t="inlineStr">
        <is>
          <t>B+</t>
        </is>
      </c>
      <c r="AN371" s="117">
        <f>IF(AI371="","",$AN$2)</f>
        <v/>
      </c>
      <c r="AO371" s="117">
        <f>IF(N371="","",IF(N371&gt;=$AO$1/100,"O","X"))</f>
        <v/>
      </c>
      <c r="AP371" s="117">
        <f>IF(I371="","",IF(I371&lt;=$AP$1,"O","X"))</f>
        <v/>
      </c>
      <c r="AQ371" s="117">
        <f>IF(O371="","",IF(O371&lt;=$AQ$1,"O","X"))</f>
        <v/>
      </c>
      <c r="AR371" s="117">
        <f>IF(M371="","",IF(M371&lt;=$AR$1,"O","X"))</f>
        <v/>
      </c>
      <c r="AS371" s="117" t="inlineStr">
        <is>
          <t>X</t>
        </is>
      </c>
      <c r="AT371" s="117">
        <f>IF(OR(F371="",AI371=""),"",IF(AND((F371&lt;=85),(AI371&gt;=15)),"O","X"))</f>
        <v/>
      </c>
      <c r="AU371" s="117">
        <f>IF(C371="","",IF(C371&gt;=$AU$1,"O","X"))</f>
        <v/>
      </c>
      <c r="AV371" s="117">
        <f>IF(AO371="","",IF(AND(AO371="O",AP371="O",AR371="O",AT371="O",AU371="O"),"후보","X"))</f>
        <v/>
      </c>
    </row>
    <row r="372" ht="12" customFormat="1" customHeight="1" s="38">
      <c r="A372" s="120" t="inlineStr">
        <is>
          <t>효성동 현대4차</t>
        </is>
      </c>
      <c r="B372" s="121" t="inlineStr">
        <is>
          <t>95.12.</t>
        </is>
      </c>
      <c r="C372" s="129" t="n">
        <v>919</v>
      </c>
      <c r="D372" s="130" t="n">
        <v>105.9</v>
      </c>
      <c r="E372" s="131" t="n">
        <v>32</v>
      </c>
      <c r="F372" s="130" t="n">
        <v>84.09999999999999</v>
      </c>
      <c r="G372" s="17" t="n">
        <v>25</v>
      </c>
      <c r="H372" s="132" t="n">
        <v>25</v>
      </c>
      <c r="I372" s="133" t="n">
        <v>46000</v>
      </c>
      <c r="J372" s="133" t="inlineStr">
        <is>
          <t>7</t>
        </is>
      </c>
      <c r="K372" s="133" t="n"/>
      <c r="L372" s="133" t="n"/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17" t="n">
        <v>3</v>
      </c>
      <c r="R372" s="117" t="n">
        <v>2</v>
      </c>
      <c r="S372" s="117" t="inlineStr">
        <is>
          <t>계</t>
        </is>
      </c>
      <c r="T372" s="5" t="inlineStr">
        <is>
          <t>105C</t>
        </is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17">
        <f>S372</f>
        <v/>
      </c>
      <c r="AF372" s="117">
        <f>Q372&amp;"/"&amp;R372</f>
        <v/>
      </c>
      <c r="AH372" s="20">
        <f>IF(A372="","",A372)</f>
        <v/>
      </c>
      <c r="AI372" s="131">
        <f>IF(E372="","",E372)</f>
        <v/>
      </c>
      <c r="AJ372" s="117">
        <f>IF(AI372="","",$AJ$2)</f>
        <v/>
      </c>
      <c r="AK372" s="117" t="inlineStr">
        <is>
          <t>A</t>
        </is>
      </c>
      <c r="AL372" s="117" t="inlineStr">
        <is>
          <t>A+</t>
        </is>
      </c>
      <c r="AM372" s="117" t="inlineStr">
        <is>
          <t>B+</t>
        </is>
      </c>
      <c r="AN372" s="117">
        <f>IF(AI372="","",$AN$2)</f>
        <v/>
      </c>
      <c r="AO372" s="117">
        <f>IF(N372="","",IF(N372&gt;=$AO$1/100,"O","X"))</f>
        <v/>
      </c>
      <c r="AP372" s="117">
        <f>IF(I372="","",IF(I372&lt;=$AP$1,"O","X"))</f>
        <v/>
      </c>
      <c r="AQ372" s="117">
        <f>IF(O372="","",IF(O372&lt;=$AQ$1,"O","X"))</f>
        <v/>
      </c>
      <c r="AR372" s="117">
        <f>IF(M372="","",IF(M372&lt;=$AR$1,"O","X"))</f>
        <v/>
      </c>
      <c r="AS372" s="117" t="inlineStr">
        <is>
          <t>X</t>
        </is>
      </c>
      <c r="AT372" s="117">
        <f>IF(OR(F372="",AI372=""),"",IF(AND((F372&lt;=85),(AI372&gt;=15)),"O","X"))</f>
        <v/>
      </c>
      <c r="AU372" s="117">
        <f>IF(C372="","",IF(C372&gt;=$AU$1,"O","X"))</f>
        <v/>
      </c>
      <c r="AV372" s="117">
        <f>IF(AO372="","",IF(AND(AO372="O",AP372="O",AR372="O",AT372="O",AU372="O"),"후보","X"))</f>
        <v/>
      </c>
    </row>
    <row r="373" ht="12" customFormat="1" customHeight="1" s="38">
      <c r="A373" s="120" t="inlineStr">
        <is>
          <t>효성동 현대4차</t>
        </is>
      </c>
      <c r="B373" s="121" t="inlineStr">
        <is>
          <t>95.12.</t>
        </is>
      </c>
      <c r="C373" s="129" t="n">
        <v>919</v>
      </c>
      <c r="D373" s="130" t="n">
        <v>106.5</v>
      </c>
      <c r="E373" s="131" t="n">
        <v>32</v>
      </c>
      <c r="F373" s="130" t="n">
        <v>84.59999999999999</v>
      </c>
      <c r="G373" s="17" t="n">
        <v>26</v>
      </c>
      <c r="H373" s="132" t="n">
        <v>394</v>
      </c>
      <c r="I373" s="133" t="n">
        <v>47000</v>
      </c>
      <c r="J373" s="133" t="inlineStr">
        <is>
          <t>25</t>
        </is>
      </c>
      <c r="K373" s="133" t="n">
        <v>34000</v>
      </c>
      <c r="L373" s="133" t="inlineStr">
        <is>
          <t>22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17" t="n">
        <v>3</v>
      </c>
      <c r="R373" s="117" t="n">
        <v>2</v>
      </c>
      <c r="S373" s="117" t="inlineStr">
        <is>
          <t>계</t>
        </is>
      </c>
      <c r="T373" s="5" t="n">
        <v>106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17">
        <f>S373</f>
        <v/>
      </c>
      <c r="AF373" s="117">
        <f>Q373&amp;"/"&amp;R373</f>
        <v/>
      </c>
      <c r="AH373" s="20">
        <f>IF(A373="","",A373)</f>
        <v/>
      </c>
      <c r="AI373" s="131">
        <f>IF(E373="","",E373)</f>
        <v/>
      </c>
      <c r="AJ373" s="117">
        <f>IF(AI373="","",$AJ$2)</f>
        <v/>
      </c>
      <c r="AK373" s="117" t="inlineStr">
        <is>
          <t>A</t>
        </is>
      </c>
      <c r="AL373" s="117" t="inlineStr">
        <is>
          <t>A+</t>
        </is>
      </c>
      <c r="AM373" s="117" t="inlineStr">
        <is>
          <t>B+</t>
        </is>
      </c>
      <c r="AN373" s="117">
        <f>IF(AI373="","",$AN$2)</f>
        <v/>
      </c>
      <c r="AO373" s="117">
        <f>IF(N373="","",IF(N373&gt;=$AO$1/100,"O","X"))</f>
        <v/>
      </c>
      <c r="AP373" s="117">
        <f>IF(I373="","",IF(I373&lt;=$AP$1,"O","X"))</f>
        <v/>
      </c>
      <c r="AQ373" s="117">
        <f>IF(O373="","",IF(O373&lt;=$AQ$1,"O","X"))</f>
        <v/>
      </c>
      <c r="AR373" s="117">
        <f>IF(M373="","",IF(M373&lt;=$AR$1,"O","X"))</f>
        <v/>
      </c>
      <c r="AS373" s="117" t="inlineStr">
        <is>
          <t>X</t>
        </is>
      </c>
      <c r="AT373" s="117">
        <f>IF(OR(F373="",AI373=""),"",IF(AND((F373&lt;=85),(AI373&gt;=15)),"O","X"))</f>
        <v/>
      </c>
      <c r="AU373" s="117">
        <f>IF(C373="","",IF(C373&gt;=$AU$1,"O","X"))</f>
        <v/>
      </c>
      <c r="AV373" s="117">
        <f>IF(AO373="","",IF(AND(AO373="O",AP373="O",AR373="O",AT373="O",AU373="O"),"후보","X"))</f>
        <v/>
      </c>
    </row>
    <row r="374" ht="12" customFormat="1" customHeight="1" s="38">
      <c r="A374" s="120" t="inlineStr">
        <is>
          <t>효성동 현대4차</t>
        </is>
      </c>
      <c r="B374" s="121" t="inlineStr">
        <is>
          <t>95.12.</t>
        </is>
      </c>
      <c r="C374" s="129" t="n">
        <v>919</v>
      </c>
      <c r="D374" s="130" t="n">
        <v>167.3</v>
      </c>
      <c r="E374" s="131" t="n">
        <v>51</v>
      </c>
      <c r="F374" s="130" t="n">
        <v>132.9</v>
      </c>
      <c r="G374" s="17" t="n">
        <v>40</v>
      </c>
      <c r="H374" s="132" t="n">
        <v>100</v>
      </c>
      <c r="I374" s="133" t="n">
        <v>70000</v>
      </c>
      <c r="J374" s="133" t="inlineStr">
        <is>
          <t>15</t>
        </is>
      </c>
      <c r="K374" s="133" t="n">
        <v>45000</v>
      </c>
      <c r="L374" s="133" t="inlineStr">
        <is>
          <t>8</t>
        </is>
      </c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17" t="n">
        <v>4</v>
      </c>
      <c r="R374" s="117" t="n">
        <v>2</v>
      </c>
      <c r="S374" s="117" t="inlineStr">
        <is>
          <t>계</t>
        </is>
      </c>
      <c r="T374" s="5" t="n">
        <v>167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17">
        <f>S374</f>
        <v/>
      </c>
      <c r="AF374" s="117">
        <f>Q374&amp;"/"&amp;R374</f>
        <v/>
      </c>
      <c r="AH374" s="20">
        <f>IF(A374="","",A374)</f>
        <v/>
      </c>
      <c r="AI374" s="131">
        <f>IF(E374="","",E374)</f>
        <v/>
      </c>
      <c r="AJ374" s="117">
        <f>IF(AI374="","",$AJ$2)</f>
        <v/>
      </c>
      <c r="AK374" s="117" t="inlineStr">
        <is>
          <t>A</t>
        </is>
      </c>
      <c r="AL374" s="117" t="inlineStr">
        <is>
          <t>A+</t>
        </is>
      </c>
      <c r="AM374" s="117" t="inlineStr">
        <is>
          <t>B+</t>
        </is>
      </c>
      <c r="AN374" s="117">
        <f>IF(AI374="","",$AN$2)</f>
        <v/>
      </c>
      <c r="AO374" s="117">
        <f>IF(N374="","",IF(N374&gt;=$AO$1/100,"O","X"))</f>
        <v/>
      </c>
      <c r="AP374" s="117">
        <f>IF(I374="","",IF(I374&lt;=$AP$1,"O","X"))</f>
        <v/>
      </c>
      <c r="AQ374" s="117">
        <f>IF(O374="","",IF(O374&lt;=$AQ$1,"O","X"))</f>
        <v/>
      </c>
      <c r="AR374" s="117">
        <f>IF(M374="","",IF(M374&lt;=$AR$1,"O","X"))</f>
        <v/>
      </c>
      <c r="AS374" s="117" t="inlineStr">
        <is>
          <t>X</t>
        </is>
      </c>
      <c r="AT374" s="117">
        <f>IF(OR(F374="",AI374=""),"",IF(AND((F374&lt;=85),(AI374&gt;=15)),"O","X"))</f>
        <v/>
      </c>
      <c r="AU374" s="117">
        <f>IF(C374="","",IF(C374&gt;=$AU$1,"O","X"))</f>
        <v/>
      </c>
      <c r="AV374" s="117">
        <f>IF(AO374="","",IF(AND(AO374="O",AP374="O",AR374="O",AT374="O",AU374="O"),"후보","X"))</f>
        <v/>
      </c>
    </row>
    <row r="375" ht="12" customFormat="1" customHeight="1" s="38">
      <c r="A375" s="120" t="inlineStr">
        <is>
          <t>효성동 신진</t>
        </is>
      </c>
      <c r="B375" s="121" t="inlineStr">
        <is>
          <t>84.12.</t>
        </is>
      </c>
      <c r="C375" s="129" t="n">
        <v>285</v>
      </c>
      <c r="D375" s="130" t="n">
        <v>63.9</v>
      </c>
      <c r="E375" s="131" t="n">
        <v>19</v>
      </c>
      <c r="F375" s="130" t="n">
        <v>53.3</v>
      </c>
      <c r="G375" s="17" t="n">
        <v>16</v>
      </c>
      <c r="H375" s="132" t="n">
        <v>80</v>
      </c>
      <c r="I375" s="133" t="n"/>
      <c r="J375" s="133" t="n"/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17" t="n">
        <v>3</v>
      </c>
      <c r="R375" s="117" t="n">
        <v>1</v>
      </c>
      <c r="S375" s="117" t="inlineStr">
        <is>
          <t>계</t>
        </is>
      </c>
      <c r="T375" s="5" t="n">
        <v>63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17">
        <f>S375</f>
        <v/>
      </c>
      <c r="AF375" s="117">
        <f>Q375&amp;"/"&amp;R375</f>
        <v/>
      </c>
      <c r="AH375" s="20">
        <f>IF(A375="","",A375)</f>
        <v/>
      </c>
      <c r="AI375" s="131">
        <f>IF(E375="","",E375)</f>
        <v/>
      </c>
      <c r="AJ375" s="117">
        <f>IF(AI375="","",$AJ$2)</f>
        <v/>
      </c>
      <c r="AK375" s="117" t="inlineStr">
        <is>
          <t>A</t>
        </is>
      </c>
      <c r="AL375" s="117" t="inlineStr">
        <is>
          <t>A+</t>
        </is>
      </c>
      <c r="AM375" s="117" t="inlineStr">
        <is>
          <t>B+</t>
        </is>
      </c>
      <c r="AN375" s="117">
        <f>IF(AI375="","",$AN$2)</f>
        <v/>
      </c>
      <c r="AO375" s="117">
        <f>IF(N375="","",IF(N375&gt;=$AO$1/100,"O","X"))</f>
        <v/>
      </c>
      <c r="AP375" s="117">
        <f>IF(I375="","",IF(I375&lt;=$AP$1,"O","X"))</f>
        <v/>
      </c>
      <c r="AQ375" s="117">
        <f>IF(O375="","",IF(O375&lt;=$AQ$1,"O","X"))</f>
        <v/>
      </c>
      <c r="AR375" s="117">
        <f>IF(M375="","",IF(M375&lt;=$AR$1,"O","X"))</f>
        <v/>
      </c>
      <c r="AS375" s="117" t="inlineStr">
        <is>
          <t>X</t>
        </is>
      </c>
      <c r="AT375" s="117">
        <f>IF(OR(F375="",AI375=""),"",IF(AND((F375&lt;=85),(AI375&gt;=15)),"O","X"))</f>
        <v/>
      </c>
      <c r="AU375" s="117">
        <f>IF(C375="","",IF(C375&gt;=$AU$1,"O","X"))</f>
        <v/>
      </c>
      <c r="AV375" s="117">
        <f>IF(AO375="","",IF(AND(AO375="O",AP375="O",AR375="O",AT375="O",AU375="O"),"후보","X"))</f>
        <v/>
      </c>
    </row>
    <row r="376" ht="12" customFormat="1" customHeight="1" s="38">
      <c r="A376" s="120" t="inlineStr">
        <is>
          <t>효성동 신진</t>
        </is>
      </c>
      <c r="B376" s="121" t="inlineStr">
        <is>
          <t>84.12.</t>
        </is>
      </c>
      <c r="C376" s="129" t="n">
        <v>285</v>
      </c>
      <c r="D376" s="130" t="n">
        <v>73.7</v>
      </c>
      <c r="E376" s="131" t="n">
        <v>22</v>
      </c>
      <c r="F376" s="130" t="n">
        <v>61.4</v>
      </c>
      <c r="G376" s="17" t="n">
        <v>19</v>
      </c>
      <c r="H376" s="132" t="n">
        <v>70</v>
      </c>
      <c r="I376" s="133" t="n"/>
      <c r="J376" s="133" t="n"/>
      <c r="K376" s="133" t="n"/>
      <c r="L376" s="133" t="n"/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17" t="n">
        <v>3</v>
      </c>
      <c r="R376" s="117" t="n">
        <v>1</v>
      </c>
      <c r="S376" s="117" t="inlineStr">
        <is>
          <t>계</t>
        </is>
      </c>
      <c r="T376" s="5" t="n">
        <v>73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17">
        <f>S376</f>
        <v/>
      </c>
      <c r="AF376" s="117">
        <f>Q376&amp;"/"&amp;R376</f>
        <v/>
      </c>
      <c r="AH376" s="20">
        <f>IF(A376="","",A376)</f>
        <v/>
      </c>
      <c r="AI376" s="131">
        <f>IF(E376="","",E376)</f>
        <v/>
      </c>
      <c r="AJ376" s="117">
        <f>IF(AI376="","",$AJ$2)</f>
        <v/>
      </c>
      <c r="AK376" s="117" t="inlineStr">
        <is>
          <t>A</t>
        </is>
      </c>
      <c r="AL376" s="117" t="inlineStr">
        <is>
          <t>A+</t>
        </is>
      </c>
      <c r="AM376" s="117" t="inlineStr">
        <is>
          <t>B+</t>
        </is>
      </c>
      <c r="AN376" s="117">
        <f>IF(AI376="","",$AN$2)</f>
        <v/>
      </c>
      <c r="AO376" s="117">
        <f>IF(N376="","",IF(N376&gt;=$AO$1/100,"O","X"))</f>
        <v/>
      </c>
      <c r="AP376" s="117">
        <f>IF(I376="","",IF(I376&lt;=$AP$1,"O","X"))</f>
        <v/>
      </c>
      <c r="AQ376" s="117">
        <f>IF(O376="","",IF(O376&lt;=$AQ$1,"O","X"))</f>
        <v/>
      </c>
      <c r="AR376" s="117">
        <f>IF(M376="","",IF(M376&lt;=$AR$1,"O","X"))</f>
        <v/>
      </c>
      <c r="AS376" s="117" t="inlineStr">
        <is>
          <t>X</t>
        </is>
      </c>
      <c r="AT376" s="117">
        <f>IF(OR(F376="",AI376=""),"",IF(AND((F376&lt;=85),(AI376&gt;=15)),"O","X"))</f>
        <v/>
      </c>
      <c r="AU376" s="117">
        <f>IF(C376="","",IF(C376&gt;=$AU$1,"O","X"))</f>
        <v/>
      </c>
      <c r="AV376" s="117">
        <f>IF(AO376="","",IF(AND(AO376="O",AP376="O",AR376="O",AT376="O",AU376="O"),"후보","X"))</f>
        <v/>
      </c>
    </row>
    <row r="377" ht="12" customFormat="1" customHeight="1" s="38">
      <c r="A377" s="120" t="inlineStr">
        <is>
          <t>효성동 신진</t>
        </is>
      </c>
      <c r="B377" s="121" t="inlineStr">
        <is>
          <t>84.12.</t>
        </is>
      </c>
      <c r="C377" s="129" t="n">
        <v>285</v>
      </c>
      <c r="D377" s="130" t="n">
        <v>82</v>
      </c>
      <c r="E377" s="131" t="n">
        <v>25</v>
      </c>
      <c r="F377" s="130" t="n">
        <v>68.3</v>
      </c>
      <c r="G377" s="17" t="n">
        <v>21</v>
      </c>
      <c r="H377" s="132" t="n">
        <v>130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17" t="n">
        <v>3</v>
      </c>
      <c r="R377" s="117" t="n">
        <v>1</v>
      </c>
      <c r="S377" s="117" t="inlineStr">
        <is>
          <t>계</t>
        </is>
      </c>
      <c r="T377" s="5" t="n">
        <v>82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17">
        <f>S377</f>
        <v/>
      </c>
      <c r="AF377" s="117">
        <f>Q377&amp;"/"&amp;R377</f>
        <v/>
      </c>
      <c r="AH377" s="20">
        <f>IF(A377="","",A377)</f>
        <v/>
      </c>
      <c r="AI377" s="131">
        <f>IF(E377="","",E377)</f>
        <v/>
      </c>
      <c r="AJ377" s="117">
        <f>IF(AI377="","",$AJ$2)</f>
        <v/>
      </c>
      <c r="AK377" s="117" t="inlineStr">
        <is>
          <t>A</t>
        </is>
      </c>
      <c r="AL377" s="117" t="inlineStr">
        <is>
          <t>A+</t>
        </is>
      </c>
      <c r="AM377" s="117" t="inlineStr">
        <is>
          <t>B+</t>
        </is>
      </c>
      <c r="AN377" s="117">
        <f>IF(AI377="","",$AN$2)</f>
        <v/>
      </c>
      <c r="AO377" s="117">
        <f>IF(N377="","",IF(N377&gt;=$AO$1/100,"O","X"))</f>
        <v/>
      </c>
      <c r="AP377" s="117">
        <f>IF(I377="","",IF(I377&lt;=$AP$1,"O","X"))</f>
        <v/>
      </c>
      <c r="AQ377" s="117">
        <f>IF(O377="","",IF(O377&lt;=$AQ$1,"O","X"))</f>
        <v/>
      </c>
      <c r="AR377" s="117">
        <f>IF(M377="","",IF(M377&lt;=$AR$1,"O","X"))</f>
        <v/>
      </c>
      <c r="AS377" s="117" t="inlineStr">
        <is>
          <t>X</t>
        </is>
      </c>
      <c r="AT377" s="117">
        <f>IF(OR(F377="",AI377=""),"",IF(AND((F377&lt;=85),(AI377&gt;=15)),"O","X"))</f>
        <v/>
      </c>
      <c r="AU377" s="117">
        <f>IF(C377="","",IF(C377&gt;=$AU$1,"O","X"))</f>
        <v/>
      </c>
      <c r="AV377" s="117">
        <f>IF(AO377="","",IF(AND(AO377="O",AP377="O",AR377="O",AT377="O",AU377="O"),"후보","X"))</f>
        <v/>
      </c>
    </row>
    <row r="378" ht="12" customFormat="1" customHeight="1" s="38">
      <c r="A378" s="120" t="inlineStr">
        <is>
          <t>효성동 신진</t>
        </is>
      </c>
      <c r="B378" s="121" t="inlineStr">
        <is>
          <t>84.12.</t>
        </is>
      </c>
      <c r="C378" s="129" t="n">
        <v>285</v>
      </c>
      <c r="D378" s="130" t="n">
        <v>96</v>
      </c>
      <c r="E378" s="131" t="n">
        <v>29</v>
      </c>
      <c r="F378" s="130" t="n">
        <v>80</v>
      </c>
      <c r="G378" s="17" t="n">
        <v>24</v>
      </c>
      <c r="H378" s="132" t="n">
        <v>5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17" t="n">
        <v>3</v>
      </c>
      <c r="R378" s="117" t="n">
        <v>1</v>
      </c>
      <c r="S378" s="117" t="inlineStr">
        <is>
          <t>계</t>
        </is>
      </c>
      <c r="T378" s="5" t="n">
        <v>95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17">
        <f>S378</f>
        <v/>
      </c>
      <c r="AF378" s="117">
        <f>Q378&amp;"/"&amp;R378</f>
        <v/>
      </c>
      <c r="AH378" s="20">
        <f>IF(A378="","",A378)</f>
        <v/>
      </c>
      <c r="AI378" s="131">
        <f>IF(E378="","",E378)</f>
        <v/>
      </c>
      <c r="AJ378" s="117">
        <f>IF(AI378="","",$AJ$2)</f>
        <v/>
      </c>
      <c r="AK378" s="117" t="inlineStr">
        <is>
          <t>A</t>
        </is>
      </c>
      <c r="AL378" s="117" t="inlineStr">
        <is>
          <t>A+</t>
        </is>
      </c>
      <c r="AM378" s="117" t="inlineStr">
        <is>
          <t>B+</t>
        </is>
      </c>
      <c r="AN378" s="117">
        <f>IF(AI378="","",$AN$2)</f>
        <v/>
      </c>
      <c r="AO378" s="117">
        <f>IF(N378="","",IF(N378&gt;=$AO$1/100,"O","X"))</f>
        <v/>
      </c>
      <c r="AP378" s="117">
        <f>IF(I378="","",IF(I378&lt;=$AP$1,"O","X"))</f>
        <v/>
      </c>
      <c r="AQ378" s="117">
        <f>IF(O378="","",IF(O378&lt;=$AQ$1,"O","X"))</f>
        <v/>
      </c>
      <c r="AR378" s="117">
        <f>IF(M378="","",IF(M378&lt;=$AR$1,"O","X"))</f>
        <v/>
      </c>
      <c r="AS378" s="117" t="inlineStr">
        <is>
          <t>X</t>
        </is>
      </c>
      <c r="AT378" s="117">
        <f>IF(OR(F378="",AI378=""),"",IF(AND((F378&lt;=85),(AI378&gt;=15)),"O","X"))</f>
        <v/>
      </c>
      <c r="AU378" s="117">
        <f>IF(C378="","",IF(C378&gt;=$AU$1,"O","X"))</f>
        <v/>
      </c>
      <c r="AV378" s="117">
        <f>IF(AO378="","",IF(AND(AO378="O",AP378="O",AR378="O",AT378="O",AU378="O"),"후보","X"))</f>
        <v/>
      </c>
    </row>
    <row r="379" ht="12" customFormat="1" customHeight="1" s="38">
      <c r="A379" s="120" t="inlineStr">
        <is>
          <t>효성동 유승</t>
        </is>
      </c>
      <c r="B379" s="121" t="inlineStr">
        <is>
          <t>02.08.</t>
        </is>
      </c>
      <c r="C379" s="129" t="n">
        <v>350</v>
      </c>
      <c r="D379" s="130" t="n">
        <v>89.2</v>
      </c>
      <c r="E379" s="131" t="n">
        <v>27</v>
      </c>
      <c r="F379" s="130" t="n">
        <v>59.1</v>
      </c>
      <c r="G379" s="17" t="n">
        <v>18</v>
      </c>
      <c r="H379" s="132" t="n">
        <v>350</v>
      </c>
      <c r="I379" s="133" t="n">
        <v>29000</v>
      </c>
      <c r="J379" s="133" t="inlineStr">
        <is>
          <t>18</t>
        </is>
      </c>
      <c r="K379" s="133" t="n">
        <v>25000</v>
      </c>
      <c r="L379" s="133" t="inlineStr">
        <is>
          <t>12</t>
        </is>
      </c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17" t="n">
        <v>3</v>
      </c>
      <c r="R379" s="117" t="n">
        <v>2</v>
      </c>
      <c r="S379" s="117" t="inlineStr">
        <is>
          <t>계</t>
        </is>
      </c>
      <c r="T379" s="5" t="n">
        <v>89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17">
        <f>S379</f>
        <v/>
      </c>
      <c r="AF379" s="117">
        <f>Q379&amp;"/"&amp;R379</f>
        <v/>
      </c>
      <c r="AH379" s="20">
        <f>IF(A379="","",A379)</f>
        <v/>
      </c>
      <c r="AI379" s="131">
        <f>IF(E379="","",E379)</f>
        <v/>
      </c>
      <c r="AJ379" s="117">
        <f>IF(AI379="","",$AJ$2)</f>
        <v/>
      </c>
      <c r="AK379" s="117" t="inlineStr">
        <is>
          <t>A</t>
        </is>
      </c>
      <c r="AL379" s="117" t="inlineStr">
        <is>
          <t>A+</t>
        </is>
      </c>
      <c r="AM379" s="117" t="inlineStr">
        <is>
          <t>B+</t>
        </is>
      </c>
      <c r="AN379" s="117">
        <f>IF(AI379="","",$AN$2)</f>
        <v/>
      </c>
      <c r="AO379" s="117">
        <f>IF(N379="","",IF(N379&gt;=$AO$1/100,"O","X"))</f>
        <v/>
      </c>
      <c r="AP379" s="117">
        <f>IF(I379="","",IF(I379&lt;=$AP$1,"O","X"))</f>
        <v/>
      </c>
      <c r="AQ379" s="117">
        <f>IF(O379="","",IF(O379&lt;=$AQ$1,"O","X"))</f>
        <v/>
      </c>
      <c r="AR379" s="117">
        <f>IF(M379="","",IF(M379&lt;=$AR$1,"O","X"))</f>
        <v/>
      </c>
      <c r="AS379" s="117" t="inlineStr">
        <is>
          <t>X</t>
        </is>
      </c>
      <c r="AT379" s="117">
        <f>IF(OR(F379="",AI379=""),"",IF(AND((F379&lt;=85),(AI379&gt;=15)),"O","X"))</f>
        <v/>
      </c>
      <c r="AU379" s="117">
        <f>IF(C379="","",IF(C379&gt;=$AU$1,"O","X"))</f>
        <v/>
      </c>
      <c r="AV379" s="117">
        <f>IF(AO379="","",IF(AND(AO379="O",AP379="O",AR379="O",AT379="O",AU379="O"),"후보","X"))</f>
        <v/>
      </c>
    </row>
    <row r="380" ht="12" customFormat="1" customHeight="1" s="38">
      <c r="A380" s="120" t="inlineStr">
        <is>
          <t>효성동 두산</t>
        </is>
      </c>
      <c r="B380" s="121" t="inlineStr">
        <is>
          <t>97.09.</t>
        </is>
      </c>
      <c r="C380" s="129" t="n">
        <v>957</v>
      </c>
      <c r="D380" s="130" t="n">
        <v>79.7</v>
      </c>
      <c r="E380" s="131" t="n">
        <v>24</v>
      </c>
      <c r="F380" s="130" t="n">
        <v>59.9</v>
      </c>
      <c r="G380" s="17" t="n">
        <v>18</v>
      </c>
      <c r="H380" s="132" t="n">
        <v>390</v>
      </c>
      <c r="I380" s="133" t="n">
        <v>31000</v>
      </c>
      <c r="J380" s="133" t="inlineStr">
        <is>
          <t>10</t>
        </is>
      </c>
      <c r="K380" s="133" t="n">
        <v>23000</v>
      </c>
      <c r="L380" s="133" t="inlineStr">
        <is>
          <t>12</t>
        </is>
      </c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17" t="n">
        <v>3</v>
      </c>
      <c r="R380" s="117" t="n">
        <v>1</v>
      </c>
      <c r="S380" s="117" t="inlineStr">
        <is>
          <t>계</t>
        </is>
      </c>
      <c r="T380" s="5" t="inlineStr">
        <is>
          <t>79A</t>
        </is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17">
        <f>S380</f>
        <v/>
      </c>
      <c r="AF380" s="117">
        <f>Q380&amp;"/"&amp;R380</f>
        <v/>
      </c>
      <c r="AH380" s="20">
        <f>IF(A380="","",A380)</f>
        <v/>
      </c>
      <c r="AI380" s="131">
        <f>IF(E380="","",E380)</f>
        <v/>
      </c>
      <c r="AJ380" s="117">
        <f>IF(AI380="","",$AJ$2)</f>
        <v/>
      </c>
      <c r="AK380" s="117" t="inlineStr">
        <is>
          <t>A</t>
        </is>
      </c>
      <c r="AL380" s="117" t="inlineStr">
        <is>
          <t>A+</t>
        </is>
      </c>
      <c r="AM380" s="117" t="inlineStr">
        <is>
          <t>B+</t>
        </is>
      </c>
      <c r="AN380" s="117">
        <f>IF(AI380="","",$AN$2)</f>
        <v/>
      </c>
      <c r="AO380" s="117">
        <f>IF(N380="","",IF(N380&gt;=$AO$1/100,"O","X"))</f>
        <v/>
      </c>
      <c r="AP380" s="117">
        <f>IF(I380="","",IF(I380&lt;=$AP$1,"O","X"))</f>
        <v/>
      </c>
      <c r="AQ380" s="117">
        <f>IF(O380="","",IF(O380&lt;=$AQ$1,"O","X"))</f>
        <v/>
      </c>
      <c r="AR380" s="117">
        <f>IF(M380="","",IF(M380&lt;=$AR$1,"O","X"))</f>
        <v/>
      </c>
      <c r="AS380" s="117" t="inlineStr">
        <is>
          <t>X</t>
        </is>
      </c>
      <c r="AT380" s="117">
        <f>IF(OR(F380="",AI380=""),"",IF(AND((F380&lt;=85),(AI380&gt;=15)),"O","X"))</f>
        <v/>
      </c>
      <c r="AU380" s="117">
        <f>IF(C380="","",IF(C380&gt;=$AU$1,"O","X"))</f>
        <v/>
      </c>
      <c r="AV380" s="117">
        <f>IF(AO380="","",IF(AND(AO380="O",AP380="O",AR380="O",AT380="O",AU380="O"),"후보","X"))</f>
        <v/>
      </c>
    </row>
    <row r="381" ht="12" customFormat="1" customHeight="1" s="38">
      <c r="A381" s="120" t="inlineStr">
        <is>
          <t>효성동 두산</t>
        </is>
      </c>
      <c r="B381" s="121" t="inlineStr">
        <is>
          <t>97.09.</t>
        </is>
      </c>
      <c r="C381" s="129" t="n">
        <v>957</v>
      </c>
      <c r="D381" s="130" t="n">
        <v>79.7</v>
      </c>
      <c r="E381" s="131" t="n">
        <v>24</v>
      </c>
      <c r="F381" s="130" t="n">
        <v>59.9</v>
      </c>
      <c r="G381" s="17" t="n">
        <v>18</v>
      </c>
      <c r="H381" s="132" t="n">
        <v>15</v>
      </c>
      <c r="I381" s="133" t="n">
        <v>31000</v>
      </c>
      <c r="J381" s="133" t="inlineStr">
        <is>
          <t>10</t>
        </is>
      </c>
      <c r="K381" s="133" t="n">
        <v>23000</v>
      </c>
      <c r="L381" s="133" t="inlineStr">
        <is>
          <t>12</t>
        </is>
      </c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17" t="n">
        <v>3</v>
      </c>
      <c r="R381" s="117" t="n">
        <v>1</v>
      </c>
      <c r="S381" s="117" t="inlineStr">
        <is>
          <t>계</t>
        </is>
      </c>
      <c r="T381" s="5" t="inlineStr">
        <is>
          <t>79B</t>
        </is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17">
        <f>S381</f>
        <v/>
      </c>
      <c r="AF381" s="117">
        <f>Q381&amp;"/"&amp;R381</f>
        <v/>
      </c>
      <c r="AH381" s="20">
        <f>IF(A381="","",A381)</f>
        <v/>
      </c>
      <c r="AI381" s="131">
        <f>IF(E381="","",E381)</f>
        <v/>
      </c>
      <c r="AJ381" s="117">
        <f>IF(AI381="","",$AJ$2)</f>
        <v/>
      </c>
      <c r="AK381" s="117" t="inlineStr">
        <is>
          <t>A</t>
        </is>
      </c>
      <c r="AL381" s="117" t="inlineStr">
        <is>
          <t>A+</t>
        </is>
      </c>
      <c r="AM381" s="117" t="inlineStr">
        <is>
          <t>B+</t>
        </is>
      </c>
      <c r="AN381" s="117">
        <f>IF(AI381="","",$AN$2)</f>
        <v/>
      </c>
      <c r="AO381" s="117">
        <f>IF(N381="","",IF(N381&gt;=$AO$1/100,"O","X"))</f>
        <v/>
      </c>
      <c r="AP381" s="117">
        <f>IF(I381="","",IF(I381&lt;=$AP$1,"O","X"))</f>
        <v/>
      </c>
      <c r="AQ381" s="117">
        <f>IF(O381="","",IF(O381&lt;=$AQ$1,"O","X"))</f>
        <v/>
      </c>
      <c r="AR381" s="117">
        <f>IF(M381="","",IF(M381&lt;=$AR$1,"O","X"))</f>
        <v/>
      </c>
      <c r="AS381" s="117" t="inlineStr">
        <is>
          <t>X</t>
        </is>
      </c>
      <c r="AT381" s="117">
        <f>IF(OR(F381="",AI381=""),"",IF(AND((F381&lt;=85),(AI381&gt;=15)),"O","X"))</f>
        <v/>
      </c>
      <c r="AU381" s="117">
        <f>IF(C381="","",IF(C381&gt;=$AU$1,"O","X"))</f>
        <v/>
      </c>
      <c r="AV381" s="117">
        <f>IF(AO381="","",IF(AND(AO381="O",AP381="O",AR381="O",AT381="O",AU381="O"),"후보","X"))</f>
        <v/>
      </c>
    </row>
    <row r="382" ht="12" customFormat="1" customHeight="1" s="38">
      <c r="A382" s="120" t="inlineStr">
        <is>
          <t>효성동 두산</t>
        </is>
      </c>
      <c r="B382" s="121" t="inlineStr">
        <is>
          <t>97.09.</t>
        </is>
      </c>
      <c r="C382" s="129" t="n">
        <v>957</v>
      </c>
      <c r="D382" s="130" t="n">
        <v>107.7</v>
      </c>
      <c r="E382" s="131" t="n">
        <v>33</v>
      </c>
      <c r="F382" s="130" t="n">
        <v>84.90000000000001</v>
      </c>
      <c r="G382" s="17" t="n">
        <v>26</v>
      </c>
      <c r="H382" s="132" t="n">
        <v>406</v>
      </c>
      <c r="I382" s="133" t="n">
        <v>39500</v>
      </c>
      <c r="J382" s="133" t="inlineStr">
        <is>
          <t>10</t>
        </is>
      </c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17" t="n">
        <v>3</v>
      </c>
      <c r="R382" s="117" t="n">
        <v>2</v>
      </c>
      <c r="S382" s="117" t="inlineStr">
        <is>
          <t>계</t>
        </is>
      </c>
      <c r="T382" s="5" t="inlineStr">
        <is>
          <t>107A</t>
        </is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17">
        <f>S382</f>
        <v/>
      </c>
      <c r="AF382" s="117">
        <f>Q382&amp;"/"&amp;R382</f>
        <v/>
      </c>
      <c r="AH382" s="20">
        <f>IF(A382="","",A382)</f>
        <v/>
      </c>
      <c r="AI382" s="131">
        <f>IF(E382="","",E382)</f>
        <v/>
      </c>
      <c r="AJ382" s="117">
        <f>IF(AI382="","",$AJ$2)</f>
        <v/>
      </c>
      <c r="AK382" s="117" t="inlineStr">
        <is>
          <t>A</t>
        </is>
      </c>
      <c r="AL382" s="117" t="inlineStr">
        <is>
          <t>A+</t>
        </is>
      </c>
      <c r="AM382" s="117" t="inlineStr">
        <is>
          <t>B+</t>
        </is>
      </c>
      <c r="AN382" s="117">
        <f>IF(AI382="","",$AN$2)</f>
        <v/>
      </c>
      <c r="AO382" s="117">
        <f>IF(N382="","",IF(N382&gt;=$AO$1/100,"O","X"))</f>
        <v/>
      </c>
      <c r="AP382" s="117">
        <f>IF(I382="","",IF(I382&lt;=$AP$1,"O","X"))</f>
        <v/>
      </c>
      <c r="AQ382" s="117">
        <f>IF(O382="","",IF(O382&lt;=$AQ$1,"O","X"))</f>
        <v/>
      </c>
      <c r="AR382" s="117">
        <f>IF(M382="","",IF(M382&lt;=$AR$1,"O","X"))</f>
        <v/>
      </c>
      <c r="AS382" s="117" t="inlineStr">
        <is>
          <t>X</t>
        </is>
      </c>
      <c r="AT382" s="117">
        <f>IF(OR(F382="",AI382=""),"",IF(AND((F382&lt;=85),(AI382&gt;=15)),"O","X"))</f>
        <v/>
      </c>
      <c r="AU382" s="117">
        <f>IF(C382="","",IF(C382&gt;=$AU$1,"O","X"))</f>
        <v/>
      </c>
      <c r="AV382" s="117">
        <f>IF(AO382="","",IF(AND(AO382="O",AP382="O",AR382="O",AT382="O",AU382="O"),"후보","X"))</f>
        <v/>
      </c>
    </row>
    <row r="383" ht="12" customFormat="1" customHeight="1" s="38">
      <c r="A383" s="120" t="inlineStr">
        <is>
          <t>효성동 두산</t>
        </is>
      </c>
      <c r="B383" s="121" t="inlineStr">
        <is>
          <t>97.09.</t>
        </is>
      </c>
      <c r="C383" s="129" t="n">
        <v>957</v>
      </c>
      <c r="D383" s="130" t="n">
        <v>107.7</v>
      </c>
      <c r="E383" s="131" t="n">
        <v>33</v>
      </c>
      <c r="F383" s="130" t="n">
        <v>84.90000000000001</v>
      </c>
      <c r="G383" s="17" t="n">
        <v>26</v>
      </c>
      <c r="H383" s="132" t="n">
        <v>34</v>
      </c>
      <c r="I383" s="133" t="n">
        <v>39500</v>
      </c>
      <c r="J383" s="133" t="inlineStr">
        <is>
          <t>10</t>
        </is>
      </c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17" t="n">
        <v>3</v>
      </c>
      <c r="R383" s="117" t="n">
        <v>2</v>
      </c>
      <c r="S383" s="117" t="inlineStr">
        <is>
          <t>계</t>
        </is>
      </c>
      <c r="T383" s="5" t="inlineStr">
        <is>
          <t>107B</t>
        </is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17">
        <f>S383</f>
        <v/>
      </c>
      <c r="AF383" s="117">
        <f>Q383&amp;"/"&amp;R383</f>
        <v/>
      </c>
      <c r="AH383" s="20">
        <f>IF(A383="","",A383)</f>
        <v/>
      </c>
      <c r="AI383" s="131">
        <f>IF(E383="","",E383)</f>
        <v/>
      </c>
      <c r="AJ383" s="117">
        <f>IF(AI383="","",$AJ$2)</f>
        <v/>
      </c>
      <c r="AK383" s="117" t="inlineStr">
        <is>
          <t>A</t>
        </is>
      </c>
      <c r="AL383" s="117" t="inlineStr">
        <is>
          <t>A+</t>
        </is>
      </c>
      <c r="AM383" s="117" t="inlineStr">
        <is>
          <t>B+</t>
        </is>
      </c>
      <c r="AN383" s="117">
        <f>IF(AI383="","",$AN$2)</f>
        <v/>
      </c>
      <c r="AO383" s="117">
        <f>IF(N383="","",IF(N383&gt;=$AO$1/100,"O","X"))</f>
        <v/>
      </c>
      <c r="AP383" s="117">
        <f>IF(I383="","",IF(I383&lt;=$AP$1,"O","X"))</f>
        <v/>
      </c>
      <c r="AQ383" s="117">
        <f>IF(O383="","",IF(O383&lt;=$AQ$1,"O","X"))</f>
        <v/>
      </c>
      <c r="AR383" s="117">
        <f>IF(M383="","",IF(M383&lt;=$AR$1,"O","X"))</f>
        <v/>
      </c>
      <c r="AS383" s="117" t="inlineStr">
        <is>
          <t>X</t>
        </is>
      </c>
      <c r="AT383" s="117">
        <f>IF(OR(F383="",AI383=""),"",IF(AND((F383&lt;=85),(AI383&gt;=15)),"O","X"))</f>
        <v/>
      </c>
      <c r="AU383" s="117">
        <f>IF(C383="","",IF(C383&gt;=$AU$1,"O","X"))</f>
        <v/>
      </c>
      <c r="AV383" s="117">
        <f>IF(AO383="","",IF(AND(AO383="O",AP383="O",AR383="O",AT383="O",AU383="O"),"후보","X"))</f>
        <v/>
      </c>
    </row>
    <row r="384" ht="12" customFormat="1" customHeight="1" s="38">
      <c r="A384" s="120" t="inlineStr">
        <is>
          <t>효성동 두산</t>
        </is>
      </c>
      <c r="B384" s="121" t="inlineStr">
        <is>
          <t>97.09.</t>
        </is>
      </c>
      <c r="C384" s="129" t="n">
        <v>957</v>
      </c>
      <c r="D384" s="130" t="n">
        <v>107.8</v>
      </c>
      <c r="E384" s="131" t="n">
        <v>33</v>
      </c>
      <c r="F384" s="130" t="n">
        <v>85</v>
      </c>
      <c r="G384" s="17" t="n">
        <v>26</v>
      </c>
      <c r="H384" s="132" t="n">
        <v>16</v>
      </c>
      <c r="I384" s="133" t="n">
        <v>41000</v>
      </c>
      <c r="J384" s="133" t="inlineStr">
        <is>
          <t>10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17" t="n">
        <v>3</v>
      </c>
      <c r="R384" s="117" t="n">
        <v>2</v>
      </c>
      <c r="S384" s="117" t="inlineStr">
        <is>
          <t>계</t>
        </is>
      </c>
      <c r="T384" s="5" t="inlineStr">
        <is>
          <t>107C</t>
        </is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17">
        <f>S384</f>
        <v/>
      </c>
      <c r="AF384" s="117">
        <f>Q384&amp;"/"&amp;R384</f>
        <v/>
      </c>
      <c r="AH384" s="20">
        <f>IF(A384="","",A384)</f>
        <v/>
      </c>
      <c r="AI384" s="131">
        <f>IF(E384="","",E384)</f>
        <v/>
      </c>
      <c r="AJ384" s="117">
        <f>IF(AI384="","",$AJ$2)</f>
        <v/>
      </c>
      <c r="AK384" s="117" t="inlineStr">
        <is>
          <t>A</t>
        </is>
      </c>
      <c r="AL384" s="117" t="inlineStr">
        <is>
          <t>A+</t>
        </is>
      </c>
      <c r="AM384" s="117" t="inlineStr">
        <is>
          <t>B+</t>
        </is>
      </c>
      <c r="AN384" s="117">
        <f>IF(AI384="","",$AN$2)</f>
        <v/>
      </c>
      <c r="AO384" s="117">
        <f>IF(N384="","",IF(N384&gt;=$AO$1/100,"O","X"))</f>
        <v/>
      </c>
      <c r="AP384" s="117">
        <f>IF(I384="","",IF(I384&lt;=$AP$1,"O","X"))</f>
        <v/>
      </c>
      <c r="AQ384" s="117">
        <f>IF(O384="","",IF(O384&lt;=$AQ$1,"O","X"))</f>
        <v/>
      </c>
      <c r="AR384" s="117">
        <f>IF(M384="","",IF(M384&lt;=$AR$1,"O","X"))</f>
        <v/>
      </c>
      <c r="AS384" s="117" t="inlineStr">
        <is>
          <t>X</t>
        </is>
      </c>
      <c r="AT384" s="117">
        <f>IF(OR(F384="",AI384=""),"",IF(AND((F384&lt;=85),(AI384&gt;=15)),"O","X"))</f>
        <v/>
      </c>
      <c r="AU384" s="117">
        <f>IF(C384="","",IF(C384&gt;=$AU$1,"O","X"))</f>
        <v/>
      </c>
      <c r="AV384" s="117">
        <f>IF(AO384="","",IF(AND(AO384="O",AP384="O",AR384="O",AT384="O",AU384="O"),"후보","X"))</f>
        <v/>
      </c>
    </row>
    <row r="385" ht="12" customFormat="1" customHeight="1" s="38">
      <c r="A385" s="120" t="inlineStr">
        <is>
          <t>효성동 두산</t>
        </is>
      </c>
      <c r="B385" s="121" t="inlineStr">
        <is>
          <t>97.09.</t>
        </is>
      </c>
      <c r="C385" s="129" t="n">
        <v>957</v>
      </c>
      <c r="D385" s="130" t="n">
        <v>138.2</v>
      </c>
      <c r="E385" s="131" t="n">
        <v>42</v>
      </c>
      <c r="F385" s="130" t="n">
        <v>114.2</v>
      </c>
      <c r="G385" s="17" t="n">
        <v>35</v>
      </c>
      <c r="H385" s="132" t="n">
        <v>96</v>
      </c>
      <c r="I385" s="133" t="n">
        <v>53000</v>
      </c>
      <c r="J385" s="133" t="inlineStr">
        <is>
          <t>14</t>
        </is>
      </c>
      <c r="K385" s="133" t="n"/>
      <c r="L385" s="133" t="n"/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17" t="n">
        <v>4</v>
      </c>
      <c r="R385" s="117" t="n">
        <v>2</v>
      </c>
      <c r="S385" s="117" t="inlineStr">
        <is>
          <t>계</t>
        </is>
      </c>
      <c r="T385" s="5" t="n">
        <v>138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17">
        <f>S385</f>
        <v/>
      </c>
      <c r="AF385" s="117">
        <f>Q385&amp;"/"&amp;R385</f>
        <v/>
      </c>
      <c r="AH385" s="20">
        <f>IF(A385="","",A385)</f>
        <v/>
      </c>
      <c r="AI385" s="131">
        <f>IF(E385="","",E385)</f>
        <v/>
      </c>
      <c r="AJ385" s="117">
        <f>IF(AI385="","",$AJ$2)</f>
        <v/>
      </c>
      <c r="AK385" s="117" t="inlineStr">
        <is>
          <t>A</t>
        </is>
      </c>
      <c r="AL385" s="117" t="inlineStr">
        <is>
          <t>A+</t>
        </is>
      </c>
      <c r="AM385" s="117" t="inlineStr">
        <is>
          <t>B+</t>
        </is>
      </c>
      <c r="AN385" s="117">
        <f>IF(AI385="","",$AN$2)</f>
        <v/>
      </c>
      <c r="AO385" s="117">
        <f>IF(N385="","",IF(N385&gt;=$AO$1/100,"O","X"))</f>
        <v/>
      </c>
      <c r="AP385" s="117">
        <f>IF(I385="","",IF(I385&lt;=$AP$1,"O","X"))</f>
        <v/>
      </c>
      <c r="AQ385" s="117">
        <f>IF(O385="","",IF(O385&lt;=$AQ$1,"O","X"))</f>
        <v/>
      </c>
      <c r="AR385" s="117">
        <f>IF(M385="","",IF(M385&lt;=$AR$1,"O","X"))</f>
        <v/>
      </c>
      <c r="AS385" s="117" t="inlineStr">
        <is>
          <t>X</t>
        </is>
      </c>
      <c r="AT385" s="117">
        <f>IF(OR(F385="",AI385=""),"",IF(AND((F385&lt;=85),(AI385&gt;=15)),"O","X"))</f>
        <v/>
      </c>
      <c r="AU385" s="117">
        <f>IF(C385="","",IF(C385&gt;=$AU$1,"O","X"))</f>
        <v/>
      </c>
      <c r="AV385" s="117">
        <f>IF(AO385="","",IF(AND(AO385="O",AP385="O",AR385="O",AT385="O",AU385="O"),"후보","X"))</f>
        <v/>
      </c>
    </row>
    <row r="386" ht="12" customFormat="1" customHeight="1" s="38">
      <c r="A386" s="120" t="inlineStr">
        <is>
          <t>효성동 금호어울림</t>
        </is>
      </c>
      <c r="B386" s="121" t="inlineStr">
        <is>
          <t>05.08.</t>
        </is>
      </c>
      <c r="C386" s="129" t="n">
        <v>410</v>
      </c>
      <c r="D386" s="130" t="n">
        <v>76.2</v>
      </c>
      <c r="E386" s="131" t="n">
        <v>23</v>
      </c>
      <c r="F386" s="130" t="n">
        <v>60</v>
      </c>
      <c r="G386" s="17" t="n">
        <v>18</v>
      </c>
      <c r="H386" s="132" t="n">
        <v>147</v>
      </c>
      <c r="I386" s="133" t="n"/>
      <c r="J386" s="133" t="n"/>
      <c r="K386" s="133" t="n"/>
      <c r="L386" s="133" t="n"/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17" t="n">
        <v>3</v>
      </c>
      <c r="R386" s="117" t="n">
        <v>1</v>
      </c>
      <c r="S386" s="117" t="inlineStr">
        <is>
          <t>계</t>
        </is>
      </c>
      <c r="T386" s="5" t="n">
        <v>76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17">
        <f>S386</f>
        <v/>
      </c>
      <c r="AF386" s="117">
        <f>Q386&amp;"/"&amp;R386</f>
        <v/>
      </c>
      <c r="AH386" s="20">
        <f>IF(A386="","",A386)</f>
        <v/>
      </c>
      <c r="AI386" s="131">
        <f>IF(E386="","",E386)</f>
        <v/>
      </c>
      <c r="AJ386" s="117">
        <f>IF(AI386="","",$AJ$2)</f>
        <v/>
      </c>
      <c r="AK386" s="117" t="inlineStr">
        <is>
          <t>A</t>
        </is>
      </c>
      <c r="AL386" s="117" t="inlineStr">
        <is>
          <t>A+</t>
        </is>
      </c>
      <c r="AM386" s="117" t="inlineStr">
        <is>
          <t>B+</t>
        </is>
      </c>
      <c r="AN386" s="117">
        <f>IF(AI386="","",$AN$2)</f>
        <v/>
      </c>
      <c r="AO386" s="117">
        <f>IF(N386="","",IF(N386&gt;=$AO$1/100,"O","X"))</f>
        <v/>
      </c>
      <c r="AP386" s="117">
        <f>IF(I386="","",IF(I386&lt;=$AP$1,"O","X"))</f>
        <v/>
      </c>
      <c r="AQ386" s="117">
        <f>IF(O386="","",IF(O386&lt;=$AQ$1,"O","X"))</f>
        <v/>
      </c>
      <c r="AR386" s="117">
        <f>IF(M386="","",IF(M386&lt;=$AR$1,"O","X"))</f>
        <v/>
      </c>
      <c r="AS386" s="117" t="inlineStr">
        <is>
          <t>X</t>
        </is>
      </c>
      <c r="AT386" s="117">
        <f>IF(OR(F386="",AI386=""),"",IF(AND((F386&lt;=85),(AI386&gt;=15)),"O","X"))</f>
        <v/>
      </c>
      <c r="AU386" s="117">
        <f>IF(C386="","",IF(C386&gt;=$AU$1,"O","X"))</f>
        <v/>
      </c>
      <c r="AV386" s="117">
        <f>IF(AO386="","",IF(AND(AO386="O",AP386="O",AR386="O",AT386="O",AU386="O"),"후보","X"))</f>
        <v/>
      </c>
    </row>
    <row r="387" ht="12" customFormat="1" customHeight="1" s="38">
      <c r="A387" s="120" t="inlineStr">
        <is>
          <t>효성동 금호어울림</t>
        </is>
      </c>
      <c r="B387" s="121" t="inlineStr">
        <is>
          <t>05.08.</t>
        </is>
      </c>
      <c r="C387" s="129" t="n">
        <v>410</v>
      </c>
      <c r="D387" s="130" t="n">
        <v>100</v>
      </c>
      <c r="E387" s="131" t="n">
        <v>30</v>
      </c>
      <c r="F387" s="130" t="n">
        <v>78.2</v>
      </c>
      <c r="G387" s="17" t="n">
        <v>24</v>
      </c>
      <c r="H387" s="132" t="n">
        <v>14</v>
      </c>
      <c r="I387" s="133" t="n"/>
      <c r="J387" s="133" t="n"/>
      <c r="K387" s="133" t="n"/>
      <c r="L387" s="133" t="n"/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17" t="n">
        <v>3</v>
      </c>
      <c r="R387" s="117" t="n">
        <v>2</v>
      </c>
      <c r="S387" s="117" t="inlineStr">
        <is>
          <t>계</t>
        </is>
      </c>
      <c r="T387" s="5" t="n">
        <v>99</v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17">
        <f>S387</f>
        <v/>
      </c>
      <c r="AF387" s="117">
        <f>Q387&amp;"/"&amp;R387</f>
        <v/>
      </c>
      <c r="AH387" s="20">
        <f>IF(A387="","",A387)</f>
        <v/>
      </c>
      <c r="AI387" s="131">
        <f>IF(E387="","",E387)</f>
        <v/>
      </c>
      <c r="AJ387" s="117">
        <f>IF(AI387="","",$AJ$2)</f>
        <v/>
      </c>
      <c r="AK387" s="117" t="inlineStr">
        <is>
          <t>A</t>
        </is>
      </c>
      <c r="AL387" s="117" t="inlineStr">
        <is>
          <t>A+</t>
        </is>
      </c>
      <c r="AM387" s="117" t="inlineStr">
        <is>
          <t>B+</t>
        </is>
      </c>
      <c r="AN387" s="117">
        <f>IF(AI387="","",$AN$2)</f>
        <v/>
      </c>
      <c r="AO387" s="117">
        <f>IF(N387="","",IF(N387&gt;=$AO$1/100,"O","X"))</f>
        <v/>
      </c>
      <c r="AP387" s="117">
        <f>IF(I387="","",IF(I387&lt;=$AP$1,"O","X"))</f>
        <v/>
      </c>
      <c r="AQ387" s="117">
        <f>IF(O387="","",IF(O387&lt;=$AQ$1,"O","X"))</f>
        <v/>
      </c>
      <c r="AR387" s="117">
        <f>IF(M387="","",IF(M387&lt;=$AR$1,"O","X"))</f>
        <v/>
      </c>
      <c r="AS387" s="117" t="inlineStr">
        <is>
          <t>X</t>
        </is>
      </c>
      <c r="AT387" s="117">
        <f>IF(OR(F387="",AI387=""),"",IF(AND((F387&lt;=85),(AI387&gt;=15)),"O","X"))</f>
        <v/>
      </c>
      <c r="AU387" s="117">
        <f>IF(C387="","",IF(C387&gt;=$AU$1,"O","X"))</f>
        <v/>
      </c>
      <c r="AV387" s="117">
        <f>IF(AO387="","",IF(AND(AO387="O",AP387="O",AR387="O",AT387="O",AU387="O"),"후보","X"))</f>
        <v/>
      </c>
    </row>
    <row r="388" ht="12" customFormat="1" customHeight="1" s="38">
      <c r="A388" s="120" t="inlineStr">
        <is>
          <t>효성동 금호어울림</t>
        </is>
      </c>
      <c r="B388" s="121" t="inlineStr">
        <is>
          <t>05.08.</t>
        </is>
      </c>
      <c r="C388" s="129" t="n">
        <v>410</v>
      </c>
      <c r="D388" s="130" t="n">
        <v>108.3</v>
      </c>
      <c r="E388" s="131" t="n">
        <v>33</v>
      </c>
      <c r="F388" s="130" t="n">
        <v>85</v>
      </c>
      <c r="G388" s="17" t="n">
        <v>26</v>
      </c>
      <c r="H388" s="132" t="n">
        <v>183</v>
      </c>
      <c r="I388" s="133" t="n">
        <v>47000</v>
      </c>
      <c r="J388" s="133" t="inlineStr">
        <is>
          <t>7</t>
        </is>
      </c>
      <c r="K388" s="133" t="n"/>
      <c r="L388" s="133" t="n"/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17" t="n">
        <v>3</v>
      </c>
      <c r="R388" s="117" t="n">
        <v>2</v>
      </c>
      <c r="S388" s="117" t="inlineStr">
        <is>
          <t>계</t>
        </is>
      </c>
      <c r="T388" s="5" t="n">
        <v>108</v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17">
        <f>S388</f>
        <v/>
      </c>
      <c r="AF388" s="117">
        <f>Q388&amp;"/"&amp;R388</f>
        <v/>
      </c>
      <c r="AH388" s="20">
        <f>IF(A388="","",A388)</f>
        <v/>
      </c>
      <c r="AI388" s="131">
        <f>IF(E388="","",E388)</f>
        <v/>
      </c>
      <c r="AJ388" s="117">
        <f>IF(AI388="","",$AJ$2)</f>
        <v/>
      </c>
      <c r="AK388" s="117" t="inlineStr">
        <is>
          <t>A</t>
        </is>
      </c>
      <c r="AL388" s="117" t="inlineStr">
        <is>
          <t>A+</t>
        </is>
      </c>
      <c r="AM388" s="117" t="inlineStr">
        <is>
          <t>B+</t>
        </is>
      </c>
      <c r="AN388" s="117">
        <f>IF(AI388="","",$AN$2)</f>
        <v/>
      </c>
      <c r="AO388" s="117">
        <f>IF(N388="","",IF(N388&gt;=$AO$1/100,"O","X"))</f>
        <v/>
      </c>
      <c r="AP388" s="117">
        <f>IF(I388="","",IF(I388&lt;=$AP$1,"O","X"))</f>
        <v/>
      </c>
      <c r="AQ388" s="117">
        <f>IF(O388="","",IF(O388&lt;=$AQ$1,"O","X"))</f>
        <v/>
      </c>
      <c r="AR388" s="117">
        <f>IF(M388="","",IF(M388&lt;=$AR$1,"O","X"))</f>
        <v/>
      </c>
      <c r="AS388" s="117" t="inlineStr">
        <is>
          <t>X</t>
        </is>
      </c>
      <c r="AT388" s="117">
        <f>IF(OR(F388="",AI388=""),"",IF(AND((F388&lt;=85),(AI388&gt;=15)),"O","X"))</f>
        <v/>
      </c>
      <c r="AU388" s="117">
        <f>IF(C388="","",IF(C388&gt;=$AU$1,"O","X"))</f>
        <v/>
      </c>
      <c r="AV388" s="117">
        <f>IF(AO388="","",IF(AND(AO388="O",AP388="O",AR388="O",AT388="O",AU388="O"),"후보","X"))</f>
        <v/>
      </c>
    </row>
    <row r="389" ht="12" customFormat="1" customHeight="1" s="38">
      <c r="A389" s="120" t="inlineStr">
        <is>
          <t>효성동 금호어울림</t>
        </is>
      </c>
      <c r="B389" s="121" t="inlineStr">
        <is>
          <t>05.08.</t>
        </is>
      </c>
      <c r="C389" s="129" t="n">
        <v>410</v>
      </c>
      <c r="D389" s="130" t="n">
        <v>149.4</v>
      </c>
      <c r="E389" s="131" t="n">
        <v>45</v>
      </c>
      <c r="F389" s="130" t="n">
        <v>111.9</v>
      </c>
      <c r="G389" s="17" t="n">
        <v>34</v>
      </c>
      <c r="H389" s="132" t="n">
        <v>6</v>
      </c>
      <c r="I389" s="133" t="n"/>
      <c r="J389" s="133" t="n"/>
      <c r="K389" s="133" t="n"/>
      <c r="L389" s="133" t="n"/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17" t="n">
        <v>4</v>
      </c>
      <c r="R389" s="117" t="n">
        <v>2</v>
      </c>
      <c r="S389" s="117" t="inlineStr">
        <is>
          <t>계</t>
        </is>
      </c>
      <c r="T389" s="5" t="n">
        <v>149</v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17">
        <f>S389</f>
        <v/>
      </c>
      <c r="AF389" s="117">
        <f>Q389&amp;"/"&amp;R389</f>
        <v/>
      </c>
      <c r="AH389" s="20">
        <f>IF(A389="","",A389)</f>
        <v/>
      </c>
      <c r="AI389" s="131">
        <f>IF(E389="","",E389)</f>
        <v/>
      </c>
      <c r="AJ389" s="117">
        <f>IF(AI389="","",$AJ$2)</f>
        <v/>
      </c>
      <c r="AK389" s="117" t="inlineStr">
        <is>
          <t>A</t>
        </is>
      </c>
      <c r="AL389" s="117" t="inlineStr">
        <is>
          <t>A+</t>
        </is>
      </c>
      <c r="AM389" s="117" t="inlineStr">
        <is>
          <t>B+</t>
        </is>
      </c>
      <c r="AN389" s="117">
        <f>IF(AI389="","",$AN$2)</f>
        <v/>
      </c>
      <c r="AO389" s="117">
        <f>IF(N389="","",IF(N389&gt;=$AO$1/100,"O","X"))</f>
        <v/>
      </c>
      <c r="AP389" s="117">
        <f>IF(I389="","",IF(I389&lt;=$AP$1,"O","X"))</f>
        <v/>
      </c>
      <c r="AQ389" s="117">
        <f>IF(O389="","",IF(O389&lt;=$AQ$1,"O","X"))</f>
        <v/>
      </c>
      <c r="AR389" s="117">
        <f>IF(M389="","",IF(M389&lt;=$AR$1,"O","X"))</f>
        <v/>
      </c>
      <c r="AS389" s="117" t="inlineStr">
        <is>
          <t>X</t>
        </is>
      </c>
      <c r="AT389" s="117">
        <f>IF(OR(F389="",AI389=""),"",IF(AND((F389&lt;=85),(AI389&gt;=15)),"O","X"))</f>
        <v/>
      </c>
      <c r="AU389" s="117">
        <f>IF(C389="","",IF(C389&gt;=$AU$1,"O","X"))</f>
        <v/>
      </c>
      <c r="AV389" s="117">
        <f>IF(AO389="","",IF(AND(AO389="O",AP389="O",AR389="O",AT389="O",AU389="O"),"후보","X"))</f>
        <v/>
      </c>
    </row>
    <row r="390" ht="12" customFormat="1" customHeight="1" s="38">
      <c r="A390" s="120" t="inlineStr">
        <is>
          <t>효성동 금호어울림</t>
        </is>
      </c>
      <c r="B390" s="121" t="inlineStr">
        <is>
          <t>05.08.</t>
        </is>
      </c>
      <c r="C390" s="129" t="n">
        <v>410</v>
      </c>
      <c r="D390" s="130" t="n">
        <v>161.7</v>
      </c>
      <c r="E390" s="131" t="n">
        <v>49</v>
      </c>
      <c r="F390" s="130" t="n">
        <v>122</v>
      </c>
      <c r="G390" s="17" t="n">
        <v>37</v>
      </c>
      <c r="H390" s="132" t="n">
        <v>60</v>
      </c>
      <c r="I390" s="133" t="n">
        <v>67000</v>
      </c>
      <c r="J390" s="133" t="inlineStr">
        <is>
          <t>10</t>
        </is>
      </c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17" t="n">
        <v>4</v>
      </c>
      <c r="R390" s="117" t="n">
        <v>2</v>
      </c>
      <c r="S390" s="117" t="inlineStr">
        <is>
          <t>계</t>
        </is>
      </c>
      <c r="T390" s="5" t="n">
        <v>161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17">
        <f>S390</f>
        <v/>
      </c>
      <c r="AF390" s="117">
        <f>Q390&amp;"/"&amp;R390</f>
        <v/>
      </c>
      <c r="AH390" s="20">
        <f>IF(A390="","",A390)</f>
        <v/>
      </c>
      <c r="AI390" s="131">
        <f>IF(E390="","",E390)</f>
        <v/>
      </c>
      <c r="AJ390" s="117">
        <f>IF(AI390="","",$AJ$2)</f>
        <v/>
      </c>
      <c r="AK390" s="117" t="inlineStr">
        <is>
          <t>A</t>
        </is>
      </c>
      <c r="AL390" s="117" t="inlineStr">
        <is>
          <t>A+</t>
        </is>
      </c>
      <c r="AM390" s="117" t="inlineStr">
        <is>
          <t>B+</t>
        </is>
      </c>
      <c r="AN390" s="117">
        <f>IF(AI390="","",$AN$2)</f>
        <v/>
      </c>
      <c r="AO390" s="117">
        <f>IF(N390="","",IF(N390&gt;=$AO$1/100,"O","X"))</f>
        <v/>
      </c>
      <c r="AP390" s="117">
        <f>IF(I390="","",IF(I390&lt;=$AP$1,"O","X"))</f>
        <v/>
      </c>
      <c r="AQ390" s="117">
        <f>IF(O390="","",IF(O390&lt;=$AQ$1,"O","X"))</f>
        <v/>
      </c>
      <c r="AR390" s="117">
        <f>IF(M390="","",IF(M390&lt;=$AR$1,"O","X"))</f>
        <v/>
      </c>
      <c r="AS390" s="117" t="inlineStr">
        <is>
          <t>X</t>
        </is>
      </c>
      <c r="AT390" s="117">
        <f>IF(OR(F390="",AI390=""),"",IF(AND((F390&lt;=85),(AI390&gt;=15)),"O","X"))</f>
        <v/>
      </c>
      <c r="AU390" s="117">
        <f>IF(C390="","",IF(C390&gt;=$AU$1,"O","X"))</f>
        <v/>
      </c>
      <c r="AV390" s="117">
        <f>IF(AO390="","",IF(AND(AO390="O",AP390="O",AR390="O",AT390="O",AU390="O"),"후보","X"))</f>
        <v/>
      </c>
    </row>
    <row r="391" ht="12" customFormat="1" customHeight="1" s="38">
      <c r="A391" s="120" t="inlineStr">
        <is>
          <t>효성동 뉴서울2차</t>
        </is>
      </c>
      <c r="B391" s="121" t="inlineStr">
        <is>
          <t>86.12.</t>
        </is>
      </c>
      <c r="C391" s="129" t="n">
        <v>775</v>
      </c>
      <c r="D391" s="130" t="n">
        <v>44.6</v>
      </c>
      <c r="E391" s="131" t="n">
        <v>13</v>
      </c>
      <c r="F391" s="130" t="n">
        <v>32</v>
      </c>
      <c r="G391" s="17" t="n">
        <v>10</v>
      </c>
      <c r="H391" s="132" t="n">
        <v>130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17" t="n">
        <v>1</v>
      </c>
      <c r="R391" s="117" t="n">
        <v>1</v>
      </c>
      <c r="S391" s="117" t="inlineStr">
        <is>
          <t>계</t>
        </is>
      </c>
      <c r="T391" s="5" t="n">
        <v>44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17">
        <f>S391</f>
        <v/>
      </c>
      <c r="AF391" s="117">
        <f>Q391&amp;"/"&amp;R391</f>
        <v/>
      </c>
      <c r="AH391" s="20">
        <f>IF(A391="","",A391)</f>
        <v/>
      </c>
      <c r="AI391" s="131">
        <f>IF(E391="","",E391)</f>
        <v/>
      </c>
      <c r="AJ391" s="117">
        <f>IF(AI391="","",$AJ$2)</f>
        <v/>
      </c>
      <c r="AK391" s="117" t="inlineStr">
        <is>
          <t>A</t>
        </is>
      </c>
      <c r="AL391" s="117" t="inlineStr">
        <is>
          <t>A+</t>
        </is>
      </c>
      <c r="AM391" s="117" t="inlineStr">
        <is>
          <t>B+</t>
        </is>
      </c>
      <c r="AN391" s="117">
        <f>IF(AI391="","",$AN$2)</f>
        <v/>
      </c>
      <c r="AO391" s="117">
        <f>IF(N391="","",IF(N391&gt;=$AO$1/100,"O","X"))</f>
        <v/>
      </c>
      <c r="AP391" s="117">
        <f>IF(I391="","",IF(I391&lt;=$AP$1,"O","X"))</f>
        <v/>
      </c>
      <c r="AQ391" s="117">
        <f>IF(O391="","",IF(O391&lt;=$AQ$1,"O","X"))</f>
        <v/>
      </c>
      <c r="AR391" s="117">
        <f>IF(M391="","",IF(M391&lt;=$AR$1,"O","X"))</f>
        <v/>
      </c>
      <c r="AS391" s="117" t="inlineStr">
        <is>
          <t>X</t>
        </is>
      </c>
      <c r="AT391" s="117">
        <f>IF(OR(F391="",AI391=""),"",IF(AND((F391&lt;=85),(AI391&gt;=15)),"O","X"))</f>
        <v/>
      </c>
      <c r="AU391" s="117">
        <f>IF(C391="","",IF(C391&gt;=$AU$1,"O","X"))</f>
        <v/>
      </c>
      <c r="AV391" s="117">
        <f>IF(AO391="","",IF(AND(AO391="O",AP391="O",AR391="O",AT391="O",AU391="O"),"후보","X"))</f>
        <v/>
      </c>
    </row>
    <row r="392" ht="12" customFormat="1" customHeight="1" s="38">
      <c r="A392" s="120" t="inlineStr">
        <is>
          <t>효성동 뉴서울2차</t>
        </is>
      </c>
      <c r="B392" s="121" t="inlineStr">
        <is>
          <t>86.12.</t>
        </is>
      </c>
      <c r="C392" s="129" t="n">
        <v>775</v>
      </c>
      <c r="D392" s="130" t="n">
        <v>48</v>
      </c>
      <c r="E392" s="131" t="n">
        <v>15</v>
      </c>
      <c r="F392" s="130" t="n">
        <v>34.7</v>
      </c>
      <c r="G392" s="17" t="n">
        <v>11</v>
      </c>
      <c r="H392" s="132" t="n">
        <v>400</v>
      </c>
      <c r="I392" s="133" t="n">
        <v>16000</v>
      </c>
      <c r="J392" s="133" t="inlineStr">
        <is>
          <t>5</t>
        </is>
      </c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17" t="n">
        <v>2</v>
      </c>
      <c r="R392" s="117" t="n">
        <v>1</v>
      </c>
      <c r="S392" s="117" t="inlineStr">
        <is>
          <t>계</t>
        </is>
      </c>
      <c r="T392" s="5" t="n">
        <v>48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17">
        <f>S392</f>
        <v/>
      </c>
      <c r="AF392" s="117">
        <f>Q392&amp;"/"&amp;R392</f>
        <v/>
      </c>
      <c r="AH392" s="20">
        <f>IF(A392="","",A392)</f>
        <v/>
      </c>
      <c r="AI392" s="131">
        <f>IF(E392="","",E392)</f>
        <v/>
      </c>
      <c r="AJ392" s="117">
        <f>IF(AI392="","",$AJ$2)</f>
        <v/>
      </c>
      <c r="AK392" s="117" t="inlineStr">
        <is>
          <t>A</t>
        </is>
      </c>
      <c r="AL392" s="117" t="inlineStr">
        <is>
          <t>A+</t>
        </is>
      </c>
      <c r="AM392" s="117" t="inlineStr">
        <is>
          <t>B+</t>
        </is>
      </c>
      <c r="AN392" s="117">
        <f>IF(AI392="","",$AN$2)</f>
        <v/>
      </c>
      <c r="AO392" s="117">
        <f>IF(N392="","",IF(N392&gt;=$AO$1/100,"O","X"))</f>
        <v/>
      </c>
      <c r="AP392" s="117">
        <f>IF(I392="","",IF(I392&lt;=$AP$1,"O","X"))</f>
        <v/>
      </c>
      <c r="AQ392" s="117">
        <f>IF(O392="","",IF(O392&lt;=$AQ$1,"O","X"))</f>
        <v/>
      </c>
      <c r="AR392" s="117">
        <f>IF(M392="","",IF(M392&lt;=$AR$1,"O","X"))</f>
        <v/>
      </c>
      <c r="AS392" s="117" t="inlineStr">
        <is>
          <t>X</t>
        </is>
      </c>
      <c r="AT392" s="117">
        <f>IF(OR(F392="",AI392=""),"",IF(AND((F392&lt;=85),(AI392&gt;=15)),"O","X"))</f>
        <v/>
      </c>
      <c r="AU392" s="117">
        <f>IF(C392="","",IF(C392&gt;=$AU$1,"O","X"))</f>
        <v/>
      </c>
      <c r="AV392" s="117">
        <f>IF(AO392="","",IF(AND(AO392="O",AP392="O",AR392="O",AT392="O",AU392="O"),"후보","X"))</f>
        <v/>
      </c>
    </row>
    <row r="393" ht="12" customFormat="1" customHeight="1" s="38">
      <c r="A393" s="120" t="inlineStr">
        <is>
          <t>효성동 뉴서울2차</t>
        </is>
      </c>
      <c r="B393" s="121" t="inlineStr">
        <is>
          <t>86.12.</t>
        </is>
      </c>
      <c r="C393" s="129" t="n">
        <v>775</v>
      </c>
      <c r="D393" s="130" t="n">
        <v>54.1</v>
      </c>
      <c r="E393" s="131" t="n">
        <v>16</v>
      </c>
      <c r="F393" s="130" t="n">
        <v>39.8</v>
      </c>
      <c r="G393" s="17" t="n">
        <v>12</v>
      </c>
      <c r="H393" s="132" t="n">
        <v>190</v>
      </c>
      <c r="I393" s="133" t="n">
        <v>17500</v>
      </c>
      <c r="J393" s="133" t="inlineStr">
        <is>
          <t>5</t>
        </is>
      </c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17" t="n">
        <v>2</v>
      </c>
      <c r="R393" s="117" t="n">
        <v>1</v>
      </c>
      <c r="S393" s="117" t="inlineStr">
        <is>
          <t>계</t>
        </is>
      </c>
      <c r="T393" s="5" t="n">
        <v>54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17">
        <f>S393</f>
        <v/>
      </c>
      <c r="AF393" s="117">
        <f>Q393&amp;"/"&amp;R393</f>
        <v/>
      </c>
      <c r="AH393" s="20">
        <f>IF(A393="","",A393)</f>
        <v/>
      </c>
      <c r="AI393" s="131">
        <f>IF(E393="","",E393)</f>
        <v/>
      </c>
      <c r="AJ393" s="117">
        <f>IF(AI393="","",$AJ$2)</f>
        <v/>
      </c>
      <c r="AK393" s="117" t="inlineStr">
        <is>
          <t>A</t>
        </is>
      </c>
      <c r="AL393" s="117" t="inlineStr">
        <is>
          <t>A+</t>
        </is>
      </c>
      <c r="AM393" s="117" t="inlineStr">
        <is>
          <t>B+</t>
        </is>
      </c>
      <c r="AN393" s="117">
        <f>IF(AI393="","",$AN$2)</f>
        <v/>
      </c>
      <c r="AO393" s="117">
        <f>IF(N393="","",IF(N393&gt;=$AO$1/100,"O","X"))</f>
        <v/>
      </c>
      <c r="AP393" s="117">
        <f>IF(I393="","",IF(I393&lt;=$AP$1,"O","X"))</f>
        <v/>
      </c>
      <c r="AQ393" s="117">
        <f>IF(O393="","",IF(O393&lt;=$AQ$1,"O","X"))</f>
        <v/>
      </c>
      <c r="AR393" s="117">
        <f>IF(M393="","",IF(M393&lt;=$AR$1,"O","X"))</f>
        <v/>
      </c>
      <c r="AS393" s="117" t="inlineStr">
        <is>
          <t>X</t>
        </is>
      </c>
      <c r="AT393" s="117">
        <f>IF(OR(F393="",AI393=""),"",IF(AND((F393&lt;=85),(AI393&gt;=15)),"O","X"))</f>
        <v/>
      </c>
      <c r="AU393" s="117">
        <f>IF(C393="","",IF(C393&gt;=$AU$1,"O","X"))</f>
        <v/>
      </c>
      <c r="AV393" s="117">
        <f>IF(AO393="","",IF(AND(AO393="O",AP393="O",AR393="O",AT393="O",AU393="O"),"후보","X"))</f>
        <v/>
      </c>
    </row>
    <row r="394" ht="12" customFormat="1" customHeight="1" s="38">
      <c r="A394" s="120" t="inlineStr">
        <is>
          <t>효성동 뉴서울2차</t>
        </is>
      </c>
      <c r="B394" s="121" t="inlineStr">
        <is>
          <t>86.12.</t>
        </is>
      </c>
      <c r="C394" s="129" t="n">
        <v>775</v>
      </c>
      <c r="D394" s="130" t="n">
        <v>62.8</v>
      </c>
      <c r="E394" s="131" t="n">
        <v>19</v>
      </c>
      <c r="F394" s="130" t="n">
        <v>46.6</v>
      </c>
      <c r="G394" s="17" t="n">
        <v>14</v>
      </c>
      <c r="H394" s="132" t="n">
        <v>50</v>
      </c>
      <c r="I394" s="133" t="n">
        <v>19500</v>
      </c>
      <c r="J394" s="133" t="inlineStr">
        <is>
          <t>고</t>
        </is>
      </c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17" t="n">
        <v>3</v>
      </c>
      <c r="R394" s="117" t="n">
        <v>1</v>
      </c>
      <c r="S394" s="117" t="inlineStr">
        <is>
          <t>계</t>
        </is>
      </c>
      <c r="T394" s="5" t="n">
        <v>62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17">
        <f>S394</f>
        <v/>
      </c>
      <c r="AF394" s="117">
        <f>Q394&amp;"/"&amp;R394</f>
        <v/>
      </c>
      <c r="AH394" s="20">
        <f>IF(A394="","",A394)</f>
        <v/>
      </c>
      <c r="AI394" s="131">
        <f>IF(E394="","",E394)</f>
        <v/>
      </c>
      <c r="AJ394" s="117">
        <f>IF(AI394="","",$AJ$2)</f>
        <v/>
      </c>
      <c r="AK394" s="117" t="inlineStr">
        <is>
          <t>A</t>
        </is>
      </c>
      <c r="AL394" s="117" t="inlineStr">
        <is>
          <t>A+</t>
        </is>
      </c>
      <c r="AM394" s="117" t="inlineStr">
        <is>
          <t>B+</t>
        </is>
      </c>
      <c r="AN394" s="117">
        <f>IF(AI394="","",$AN$2)</f>
        <v/>
      </c>
      <c r="AO394" s="117">
        <f>IF(N394="","",IF(N394&gt;=$AO$1/100,"O","X"))</f>
        <v/>
      </c>
      <c r="AP394" s="117">
        <f>IF(I394="","",IF(I394&lt;=$AP$1,"O","X"))</f>
        <v/>
      </c>
      <c r="AQ394" s="117">
        <f>IF(O394="","",IF(O394&lt;=$AQ$1,"O","X"))</f>
        <v/>
      </c>
      <c r="AR394" s="117">
        <f>IF(M394="","",IF(M394&lt;=$AR$1,"O","X"))</f>
        <v/>
      </c>
      <c r="AS394" s="117" t="inlineStr">
        <is>
          <t>X</t>
        </is>
      </c>
      <c r="AT394" s="117">
        <f>IF(OR(F394="",AI394=""),"",IF(AND((F394&lt;=85),(AI394&gt;=15)),"O","X"))</f>
        <v/>
      </c>
      <c r="AU394" s="117">
        <f>IF(C394="","",IF(C394&gt;=$AU$1,"O","X"))</f>
        <v/>
      </c>
      <c r="AV394" s="117">
        <f>IF(AO394="","",IF(AND(AO394="O",AP394="O",AR394="O",AT394="O",AU394="O"),"후보","X"))</f>
        <v/>
      </c>
    </row>
    <row r="395" ht="12" customFormat="1" customHeight="1" s="38">
      <c r="A395" s="120" t="inlineStr">
        <is>
          <t>효성동 뉴서울2차</t>
        </is>
      </c>
      <c r="B395" s="121" t="inlineStr">
        <is>
          <t>86.12.</t>
        </is>
      </c>
      <c r="C395" s="129" t="n">
        <v>775</v>
      </c>
      <c r="D395" s="130" t="n">
        <v>66.90000000000001</v>
      </c>
      <c r="E395" s="131" t="n">
        <v>20</v>
      </c>
      <c r="F395" s="130" t="n">
        <v>45.7</v>
      </c>
      <c r="G395" s="17" t="n">
        <v>14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17" t="n">
        <v>3</v>
      </c>
      <c r="R395" s="117" t="n">
        <v>1</v>
      </c>
      <c r="S395" s="117" t="inlineStr">
        <is>
          <t>계</t>
        </is>
      </c>
      <c r="T395" s="5" t="n">
        <v>66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17">
        <f>S395</f>
        <v/>
      </c>
      <c r="AF395" s="117">
        <f>Q395&amp;"/"&amp;R395</f>
        <v/>
      </c>
      <c r="AH395" s="20">
        <f>IF(A395="","",A395)</f>
        <v/>
      </c>
      <c r="AI395" s="131">
        <f>IF(E395="","",E395)</f>
        <v/>
      </c>
      <c r="AJ395" s="117">
        <f>IF(AI395="","",$AJ$2)</f>
        <v/>
      </c>
      <c r="AK395" s="117" t="inlineStr">
        <is>
          <t>A</t>
        </is>
      </c>
      <c r="AL395" s="117" t="inlineStr">
        <is>
          <t>A+</t>
        </is>
      </c>
      <c r="AM395" s="117" t="inlineStr">
        <is>
          <t>B+</t>
        </is>
      </c>
      <c r="AN395" s="117">
        <f>IF(AI395="","",$AN$2)</f>
        <v/>
      </c>
      <c r="AO395" s="117">
        <f>IF(N395="","",IF(N395&gt;=$AO$1/100,"O","X"))</f>
        <v/>
      </c>
      <c r="AP395" s="117">
        <f>IF(I395="","",IF(I395&lt;=$AP$1,"O","X"))</f>
        <v/>
      </c>
      <c r="AQ395" s="117">
        <f>IF(O395="","",IF(O395&lt;=$AQ$1,"O","X"))</f>
        <v/>
      </c>
      <c r="AR395" s="117">
        <f>IF(M395="","",IF(M395&lt;=$AR$1,"O","X"))</f>
        <v/>
      </c>
      <c r="AS395" s="117" t="inlineStr">
        <is>
          <t>X</t>
        </is>
      </c>
      <c r="AT395" s="117">
        <f>IF(OR(F395="",AI395=""),"",IF(AND((F395&lt;=85),(AI395&gt;=15)),"O","X"))</f>
        <v/>
      </c>
      <c r="AU395" s="117">
        <f>IF(C395="","",IF(C395&gt;=$AU$1,"O","X"))</f>
        <v/>
      </c>
      <c r="AV395" s="117">
        <f>IF(AO395="","",IF(AND(AO395="O",AP395="O",AR395="O",AT395="O",AU395="O"),"후보","X"))</f>
        <v/>
      </c>
    </row>
    <row r="396" ht="12" customFormat="1" customHeight="1" s="38">
      <c r="A396" s="120" t="inlineStr">
        <is>
          <t>효성동 e편한세상계양더프리미어</t>
        </is>
      </c>
      <c r="B396" s="121" t="inlineStr">
        <is>
          <t>21.10.</t>
        </is>
      </c>
      <c r="C396" s="129" t="n">
        <v>1646</v>
      </c>
      <c r="D396" s="130" t="n">
        <v>56.5</v>
      </c>
      <c r="E396" s="131" t="n">
        <v>17</v>
      </c>
      <c r="F396" s="130" t="n">
        <v>40</v>
      </c>
      <c r="G396" s="17" t="n">
        <v>12</v>
      </c>
      <c r="H396" s="132" t="n">
        <v>85</v>
      </c>
      <c r="I396" s="133" t="n"/>
      <c r="J396" s="133" t="n"/>
      <c r="K396" s="133" t="n">
        <v>23000</v>
      </c>
      <c r="L396" s="133" t="inlineStr">
        <is>
          <t>13</t>
        </is>
      </c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17" t="n">
        <v>2</v>
      </c>
      <c r="R396" s="117" t="n">
        <v>1</v>
      </c>
      <c r="S396" s="117" t="inlineStr">
        <is>
          <t>계</t>
        </is>
      </c>
      <c r="T396" s="5" t="n">
        <v>56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17">
        <f>S396</f>
        <v/>
      </c>
      <c r="AF396" s="117">
        <f>Q396&amp;"/"&amp;R396</f>
        <v/>
      </c>
      <c r="AH396" s="20">
        <f>IF(A396="","",A396)</f>
        <v/>
      </c>
      <c r="AI396" s="131">
        <f>IF(E396="","",E396)</f>
        <v/>
      </c>
      <c r="AJ396" s="117">
        <f>IF(AI396="","",$AJ$2)</f>
        <v/>
      </c>
      <c r="AK396" s="117" t="inlineStr">
        <is>
          <t>A</t>
        </is>
      </c>
      <c r="AL396" s="117" t="inlineStr">
        <is>
          <t>A+</t>
        </is>
      </c>
      <c r="AM396" s="117" t="inlineStr">
        <is>
          <t>B+</t>
        </is>
      </c>
      <c r="AN396" s="117">
        <f>IF(AI396="","",$AN$2)</f>
        <v/>
      </c>
      <c r="AO396" s="117">
        <f>IF(N396="","",IF(N396&gt;=$AO$1/100,"O","X"))</f>
        <v/>
      </c>
      <c r="AP396" s="117">
        <f>IF(I396="","",IF(I396&lt;=$AP$1,"O","X"))</f>
        <v/>
      </c>
      <c r="AQ396" s="117">
        <f>IF(O396="","",IF(O396&lt;=$AQ$1,"O","X"))</f>
        <v/>
      </c>
      <c r="AR396" s="117">
        <f>IF(M396="","",IF(M396&lt;=$AR$1,"O","X"))</f>
        <v/>
      </c>
      <c r="AS396" s="117" t="inlineStr">
        <is>
          <t>X</t>
        </is>
      </c>
      <c r="AT396" s="117">
        <f>IF(OR(F396="",AI396=""),"",IF(AND((F396&lt;=85),(AI396&gt;=15)),"O","X"))</f>
        <v/>
      </c>
      <c r="AU396" s="117">
        <f>IF(C396="","",IF(C396&gt;=$AU$1,"O","X"))</f>
        <v/>
      </c>
      <c r="AV396" s="117">
        <f>IF(AO396="","",IF(AND(AO396="O",AP396="O",AR396="O",AT396="O",AU396="O"),"후보","X"))</f>
        <v/>
      </c>
    </row>
    <row r="397" ht="12" customFormat="1" customHeight="1" s="38">
      <c r="A397" s="120" t="inlineStr">
        <is>
          <t>효성동 e편한세상계양더프리미어</t>
        </is>
      </c>
      <c r="B397" s="121" t="inlineStr">
        <is>
          <t>21.10.</t>
        </is>
      </c>
      <c r="C397" s="129" t="n">
        <v>1646</v>
      </c>
      <c r="D397" s="130" t="n">
        <v>65.8</v>
      </c>
      <c r="E397" s="131" t="n">
        <v>20</v>
      </c>
      <c r="F397" s="130" t="n">
        <v>46.5</v>
      </c>
      <c r="G397" s="17" t="n">
        <v>14</v>
      </c>
      <c r="H397" s="132" t="n">
        <v>87</v>
      </c>
      <c r="I397" s="133" t="n">
        <v>48000</v>
      </c>
      <c r="J397" s="133" t="inlineStr">
        <is>
          <t>12</t>
        </is>
      </c>
      <c r="K397" s="133" t="n"/>
      <c r="L397" s="133" t="n"/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17" t="n">
        <v>2</v>
      </c>
      <c r="R397" s="117" t="n">
        <v>1</v>
      </c>
      <c r="S397" s="117" t="inlineStr">
        <is>
          <t>계</t>
        </is>
      </c>
      <c r="T397" s="5" t="n">
        <v>65</v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17">
        <f>S397</f>
        <v/>
      </c>
      <c r="AF397" s="117">
        <f>Q397&amp;"/"&amp;R397</f>
        <v/>
      </c>
      <c r="AH397" s="20">
        <f>IF(A397="","",A397)</f>
        <v/>
      </c>
      <c r="AI397" s="131">
        <f>IF(E397="","",E397)</f>
        <v/>
      </c>
      <c r="AJ397" s="117">
        <f>IF(AI397="","",$AJ$2)</f>
        <v/>
      </c>
      <c r="AK397" s="117" t="inlineStr">
        <is>
          <t>A</t>
        </is>
      </c>
      <c r="AL397" s="117" t="inlineStr">
        <is>
          <t>A+</t>
        </is>
      </c>
      <c r="AM397" s="117" t="inlineStr">
        <is>
          <t>B+</t>
        </is>
      </c>
      <c r="AN397" s="117">
        <f>IF(AI397="","",$AN$2)</f>
        <v/>
      </c>
      <c r="AO397" s="117">
        <f>IF(N397="","",IF(N397&gt;=$AO$1/100,"O","X"))</f>
        <v/>
      </c>
      <c r="AP397" s="117">
        <f>IF(I397="","",IF(I397&lt;=$AP$1,"O","X"))</f>
        <v/>
      </c>
      <c r="AQ397" s="117">
        <f>IF(O397="","",IF(O397&lt;=$AQ$1,"O","X"))</f>
        <v/>
      </c>
      <c r="AR397" s="117">
        <f>IF(M397="","",IF(M397&lt;=$AR$1,"O","X"))</f>
        <v/>
      </c>
      <c r="AS397" s="117" t="inlineStr">
        <is>
          <t>X</t>
        </is>
      </c>
      <c r="AT397" s="117">
        <f>IF(OR(F397="",AI397=""),"",IF(AND((F397&lt;=85),(AI397&gt;=15)),"O","X"))</f>
        <v/>
      </c>
      <c r="AU397" s="117">
        <f>IF(C397="","",IF(C397&gt;=$AU$1,"O","X"))</f>
        <v/>
      </c>
      <c r="AV397" s="117">
        <f>IF(AO397="","",IF(AND(AO397="O",AP397="O",AR397="O",AT397="O",AU397="O"),"후보","X"))</f>
        <v/>
      </c>
    </row>
    <row r="398" ht="12" customFormat="1" customHeight="1" s="38">
      <c r="A398" s="120" t="inlineStr">
        <is>
          <t>효성동 e편한세상계양더프리미어</t>
        </is>
      </c>
      <c r="B398" s="121" t="inlineStr">
        <is>
          <t>21.10.</t>
        </is>
      </c>
      <c r="C398" s="129" t="n">
        <v>1646</v>
      </c>
      <c r="D398" s="130" t="n">
        <v>79.8</v>
      </c>
      <c r="E398" s="131" t="n">
        <v>24</v>
      </c>
      <c r="F398" s="130" t="n">
        <v>59.9</v>
      </c>
      <c r="G398" s="17" t="n">
        <v>18</v>
      </c>
      <c r="H398" s="132" t="n">
        <v>723</v>
      </c>
      <c r="I398" s="133" t="n">
        <v>58000</v>
      </c>
      <c r="J398" s="133" t="inlineStr">
        <is>
          <t>6</t>
        </is>
      </c>
      <c r="K398" s="133" t="n">
        <v>39000</v>
      </c>
      <c r="L398" s="133" t="inlineStr">
        <is>
          <t>15</t>
        </is>
      </c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17" t="n">
        <v>3</v>
      </c>
      <c r="R398" s="117" t="n">
        <v>2</v>
      </c>
      <c r="S398" s="117" t="inlineStr">
        <is>
          <t>계</t>
        </is>
      </c>
      <c r="T398" s="5" t="inlineStr">
        <is>
          <t>79A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17">
        <f>S398</f>
        <v/>
      </c>
      <c r="AF398" s="117">
        <f>Q398&amp;"/"&amp;R398</f>
        <v/>
      </c>
      <c r="AH398" s="20">
        <f>IF(A398="","",A398)</f>
        <v/>
      </c>
      <c r="AI398" s="131">
        <f>IF(E398="","",E398)</f>
        <v/>
      </c>
      <c r="AJ398" s="117">
        <f>IF(AI398="","",$AJ$2)</f>
        <v/>
      </c>
      <c r="AK398" s="117" t="inlineStr">
        <is>
          <t>A</t>
        </is>
      </c>
      <c r="AL398" s="117" t="inlineStr">
        <is>
          <t>A+</t>
        </is>
      </c>
      <c r="AM398" s="117" t="inlineStr">
        <is>
          <t>B+</t>
        </is>
      </c>
      <c r="AN398" s="117">
        <f>IF(AI398="","",$AN$2)</f>
        <v/>
      </c>
      <c r="AO398" s="117">
        <f>IF(N398="","",IF(N398&gt;=$AO$1/100,"O","X"))</f>
        <v/>
      </c>
      <c r="AP398" s="117">
        <f>IF(I398="","",IF(I398&lt;=$AP$1,"O","X"))</f>
        <v/>
      </c>
      <c r="AQ398" s="117">
        <f>IF(O398="","",IF(O398&lt;=$AQ$1,"O","X"))</f>
        <v/>
      </c>
      <c r="AR398" s="117">
        <f>IF(M398="","",IF(M398&lt;=$AR$1,"O","X"))</f>
        <v/>
      </c>
      <c r="AS398" s="117" t="inlineStr">
        <is>
          <t>X</t>
        </is>
      </c>
      <c r="AT398" s="117">
        <f>IF(OR(F398="",AI398=""),"",IF(AND((F398&lt;=85),(AI398&gt;=15)),"O","X"))</f>
        <v/>
      </c>
      <c r="AU398" s="117">
        <f>IF(C398="","",IF(C398&gt;=$AU$1,"O","X"))</f>
        <v/>
      </c>
      <c r="AV398" s="117">
        <f>IF(AO398="","",IF(AND(AO398="O",AP398="O",AR398="O",AT398="O",AU398="O"),"후보","X"))</f>
        <v/>
      </c>
    </row>
    <row r="399" ht="12" customFormat="1" customHeight="1" s="38">
      <c r="A399" s="120" t="inlineStr">
        <is>
          <t>효성동 e편한세상계양더프리미어</t>
        </is>
      </c>
      <c r="B399" s="121" t="inlineStr">
        <is>
          <t>21.10.</t>
        </is>
      </c>
      <c r="C399" s="129" t="n">
        <v>1646</v>
      </c>
      <c r="D399" s="130" t="n">
        <v>79.7</v>
      </c>
      <c r="E399" s="131" t="n">
        <v>24</v>
      </c>
      <c r="F399" s="130" t="n">
        <v>60</v>
      </c>
      <c r="G399" s="17" t="n">
        <v>18</v>
      </c>
      <c r="H399" s="132" t="n">
        <v>193</v>
      </c>
      <c r="I399" s="133" t="n"/>
      <c r="J399" s="133" t="n"/>
      <c r="K399" s="133" t="n">
        <v>38000</v>
      </c>
      <c r="L399" s="133" t="inlineStr">
        <is>
          <t>29</t>
        </is>
      </c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17" t="n">
        <v>3</v>
      </c>
      <c r="R399" s="117" t="n">
        <v>2</v>
      </c>
      <c r="S399" s="117" t="inlineStr">
        <is>
          <t>계</t>
        </is>
      </c>
      <c r="T399" s="5" t="inlineStr">
        <is>
          <t>79B</t>
        </is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17">
        <f>S399</f>
        <v/>
      </c>
      <c r="AF399" s="117">
        <f>Q399&amp;"/"&amp;R399</f>
        <v/>
      </c>
      <c r="AH399" s="20">
        <f>IF(A399="","",A399)</f>
        <v/>
      </c>
      <c r="AI399" s="131">
        <f>IF(E399="","",E399)</f>
        <v/>
      </c>
      <c r="AJ399" s="117">
        <f>IF(AI399="","",$AJ$2)</f>
        <v/>
      </c>
      <c r="AK399" s="117" t="inlineStr">
        <is>
          <t>A</t>
        </is>
      </c>
      <c r="AL399" s="117" t="inlineStr">
        <is>
          <t>A+</t>
        </is>
      </c>
      <c r="AM399" s="117" t="inlineStr">
        <is>
          <t>B+</t>
        </is>
      </c>
      <c r="AN399" s="117">
        <f>IF(AI399="","",$AN$2)</f>
        <v/>
      </c>
      <c r="AO399" s="117">
        <f>IF(N399="","",IF(N399&gt;=$AO$1/100,"O","X"))</f>
        <v/>
      </c>
      <c r="AP399" s="117">
        <f>IF(I399="","",IF(I399&lt;=$AP$1,"O","X"))</f>
        <v/>
      </c>
      <c r="AQ399" s="117">
        <f>IF(O399="","",IF(O399&lt;=$AQ$1,"O","X"))</f>
        <v/>
      </c>
      <c r="AR399" s="117">
        <f>IF(M399="","",IF(M399&lt;=$AR$1,"O","X"))</f>
        <v/>
      </c>
      <c r="AS399" s="117" t="inlineStr">
        <is>
          <t>X</t>
        </is>
      </c>
      <c r="AT399" s="117">
        <f>IF(OR(F399="",AI399=""),"",IF(AND((F399&lt;=85),(AI399&gt;=15)),"O","X"))</f>
        <v/>
      </c>
      <c r="AU399" s="117">
        <f>IF(C399="","",IF(C399&gt;=$AU$1,"O","X"))</f>
        <v/>
      </c>
      <c r="AV399" s="117">
        <f>IF(AO399="","",IF(AND(AO399="O",AP399="O",AR399="O",AT399="O",AU399="O"),"후보","X"))</f>
        <v/>
      </c>
    </row>
    <row r="400" ht="12" customFormat="1" customHeight="1" s="38">
      <c r="A400" s="120" t="inlineStr">
        <is>
          <t>효성동 e편한세상계양더프리미어</t>
        </is>
      </c>
      <c r="B400" s="121" t="inlineStr">
        <is>
          <t>21.10.</t>
        </is>
      </c>
      <c r="C400" s="129" t="n">
        <v>1646</v>
      </c>
      <c r="D400" s="130" t="n">
        <v>98</v>
      </c>
      <c r="E400" s="131" t="n">
        <v>30</v>
      </c>
      <c r="F400" s="130" t="n">
        <v>74.90000000000001</v>
      </c>
      <c r="G400" s="17" t="n">
        <v>23</v>
      </c>
      <c r="H400" s="132" t="n">
        <v>253</v>
      </c>
      <c r="I400" s="133" t="n">
        <v>68000</v>
      </c>
      <c r="J400" s="133" t="inlineStr">
        <is>
          <t>5</t>
        </is>
      </c>
      <c r="K400" s="133" t="n">
        <v>42000</v>
      </c>
      <c r="L400" s="133" t="inlineStr">
        <is>
          <t>12</t>
        </is>
      </c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17" t="n">
        <v>3</v>
      </c>
      <c r="R400" s="117" t="n">
        <v>2</v>
      </c>
      <c r="S400" s="117" t="inlineStr">
        <is>
          <t>계</t>
        </is>
      </c>
      <c r="T400" s="5" t="n">
        <v>98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17">
        <f>S400</f>
        <v/>
      </c>
      <c r="AF400" s="117">
        <f>Q400&amp;"/"&amp;R400</f>
        <v/>
      </c>
      <c r="AH400" s="20">
        <f>IF(A400="","",A400)</f>
        <v/>
      </c>
      <c r="AI400" s="131">
        <f>IF(E400="","",E400)</f>
        <v/>
      </c>
      <c r="AJ400" s="117">
        <f>IF(AI400="","",$AJ$2)</f>
        <v/>
      </c>
      <c r="AK400" s="117" t="inlineStr">
        <is>
          <t>A</t>
        </is>
      </c>
      <c r="AL400" s="117" t="inlineStr">
        <is>
          <t>A+</t>
        </is>
      </c>
      <c r="AM400" s="117" t="inlineStr">
        <is>
          <t>B+</t>
        </is>
      </c>
      <c r="AN400" s="117">
        <f>IF(AI400="","",$AN$2)</f>
        <v/>
      </c>
      <c r="AO400" s="117">
        <f>IF(N400="","",IF(N400&gt;=$AO$1/100,"O","X"))</f>
        <v/>
      </c>
      <c r="AP400" s="117">
        <f>IF(I400="","",IF(I400&lt;=$AP$1,"O","X"))</f>
        <v/>
      </c>
      <c r="AQ400" s="117">
        <f>IF(O400="","",IF(O400&lt;=$AQ$1,"O","X"))</f>
        <v/>
      </c>
      <c r="AR400" s="117">
        <f>IF(M400="","",IF(M400&lt;=$AR$1,"O","X"))</f>
        <v/>
      </c>
      <c r="AS400" s="117" t="inlineStr">
        <is>
          <t>X</t>
        </is>
      </c>
      <c r="AT400" s="117">
        <f>IF(OR(F400="",AI400=""),"",IF(AND((F400&lt;=85),(AI400&gt;=15)),"O","X"))</f>
        <v/>
      </c>
      <c r="AU400" s="117">
        <f>IF(C400="","",IF(C400&gt;=$AU$1,"O","X"))</f>
        <v/>
      </c>
      <c r="AV400" s="117">
        <f>IF(AO400="","",IF(AND(AO400="O",AP400="O",AR400="O",AT400="O",AU400="O"),"후보","X"))</f>
        <v/>
      </c>
    </row>
    <row r="401" ht="12" customFormat="1" customHeight="1" s="38">
      <c r="A401" s="120" t="inlineStr">
        <is>
          <t>효성동 e편한세상계양더프리미어</t>
        </is>
      </c>
      <c r="B401" s="121" t="inlineStr">
        <is>
          <t>21.10.</t>
        </is>
      </c>
      <c r="C401" s="129" t="n">
        <v>1646</v>
      </c>
      <c r="D401" s="130" t="n">
        <v>107.2</v>
      </c>
      <c r="E401" s="131" t="n">
        <v>32</v>
      </c>
      <c r="F401" s="130" t="n">
        <v>84.90000000000001</v>
      </c>
      <c r="G401" s="17" t="n">
        <v>26</v>
      </c>
      <c r="H401" s="132" t="n">
        <v>305</v>
      </c>
      <c r="I401" s="133" t="n">
        <v>70000</v>
      </c>
      <c r="J401" s="133" t="inlineStr">
        <is>
          <t>15</t>
        </is>
      </c>
      <c r="K401" s="133" t="n">
        <v>45000</v>
      </c>
      <c r="L401" s="133" t="inlineStr">
        <is>
          <t>28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17" t="n">
        <v>3</v>
      </c>
      <c r="R401" s="117" t="n">
        <v>2</v>
      </c>
      <c r="S401" s="117" t="inlineStr">
        <is>
          <t>계</t>
        </is>
      </c>
      <c r="T401" s="5" t="n">
        <v>107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17">
        <f>S401</f>
        <v/>
      </c>
      <c r="AF401" s="117">
        <f>Q401&amp;"/"&amp;R401</f>
        <v/>
      </c>
      <c r="AH401" s="20">
        <f>IF(A401="","",A401)</f>
        <v/>
      </c>
      <c r="AI401" s="131">
        <f>IF(E401="","",E401)</f>
        <v/>
      </c>
      <c r="AJ401" s="117">
        <f>IF(AI401="","",$AJ$2)</f>
        <v/>
      </c>
      <c r="AK401" s="117" t="inlineStr">
        <is>
          <t>A</t>
        </is>
      </c>
      <c r="AL401" s="117" t="inlineStr">
        <is>
          <t>A+</t>
        </is>
      </c>
      <c r="AM401" s="117" t="inlineStr">
        <is>
          <t>B+</t>
        </is>
      </c>
      <c r="AN401" s="117">
        <f>IF(AI401="","",$AN$2)</f>
        <v/>
      </c>
      <c r="AO401" s="117">
        <f>IF(N401="","",IF(N401&gt;=$AO$1/100,"O","X"))</f>
        <v/>
      </c>
      <c r="AP401" s="117">
        <f>IF(I401="","",IF(I401&lt;=$AP$1,"O","X"))</f>
        <v/>
      </c>
      <c r="AQ401" s="117">
        <f>IF(O401="","",IF(O401&lt;=$AQ$1,"O","X"))</f>
        <v/>
      </c>
      <c r="AR401" s="117">
        <f>IF(M401="","",IF(M401&lt;=$AR$1,"O","X"))</f>
        <v/>
      </c>
      <c r="AS401" s="117" t="inlineStr">
        <is>
          <t>X</t>
        </is>
      </c>
      <c r="AT401" s="117">
        <f>IF(OR(F401="",AI401=""),"",IF(AND((F401&lt;=85),(AI401&gt;=15)),"O","X"))</f>
        <v/>
      </c>
      <c r="AU401" s="117">
        <f>IF(C401="","",IF(C401&gt;=$AU$1,"O","X"))</f>
        <v/>
      </c>
      <c r="AV401" s="117">
        <f>IF(AO401="","",IF(AND(AO401="O",AP401="O",AR401="O",AT401="O",AU401="O"),"후보","X"))</f>
        <v/>
      </c>
    </row>
    <row r="402" ht="12" customFormat="1" customHeight="1" s="38">
      <c r="A402" s="120" t="inlineStr">
        <is>
          <t>효성동 신한</t>
        </is>
      </c>
      <c r="B402" s="121" t="inlineStr">
        <is>
          <t>96.12.</t>
        </is>
      </c>
      <c r="C402" s="129" t="n">
        <v>324</v>
      </c>
      <c r="D402" s="130" t="n">
        <v>77.5</v>
      </c>
      <c r="E402" s="131" t="n">
        <v>23</v>
      </c>
      <c r="F402" s="130" t="n">
        <v>60</v>
      </c>
      <c r="G402" s="17" t="n">
        <v>18</v>
      </c>
      <c r="H402" s="132" t="n">
        <v>160</v>
      </c>
      <c r="I402" s="133" t="n">
        <v>31000</v>
      </c>
      <c r="J402" s="133" t="inlineStr">
        <is>
          <t>6</t>
        </is>
      </c>
      <c r="K402" s="133" t="n"/>
      <c r="L402" s="133" t="n"/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17" t="n">
        <v>3</v>
      </c>
      <c r="R402" s="117" t="n">
        <v>1</v>
      </c>
      <c r="S402" s="117" t="inlineStr">
        <is>
          <t>계</t>
        </is>
      </c>
      <c r="T402" s="5" t="n">
        <v>77</v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17">
        <f>S402</f>
        <v/>
      </c>
      <c r="AF402" s="117">
        <f>Q402&amp;"/"&amp;R402</f>
        <v/>
      </c>
      <c r="AH402" s="20">
        <f>IF(A402="","",A402)</f>
        <v/>
      </c>
      <c r="AI402" s="131">
        <f>IF(E402="","",E402)</f>
        <v/>
      </c>
      <c r="AJ402" s="117">
        <f>IF(AI402="","",$AJ$2)</f>
        <v/>
      </c>
      <c r="AK402" s="117" t="inlineStr">
        <is>
          <t>A</t>
        </is>
      </c>
      <c r="AL402" s="117" t="inlineStr">
        <is>
          <t>A+</t>
        </is>
      </c>
      <c r="AM402" s="117" t="inlineStr">
        <is>
          <t>B+</t>
        </is>
      </c>
      <c r="AN402" s="117">
        <f>IF(AI402="","",$AN$2)</f>
        <v/>
      </c>
      <c r="AO402" s="117">
        <f>IF(N402="","",IF(N402&gt;=$AO$1/100,"O","X"))</f>
        <v/>
      </c>
      <c r="AP402" s="117">
        <f>IF(I402="","",IF(I402&lt;=$AP$1,"O","X"))</f>
        <v/>
      </c>
      <c r="AQ402" s="117">
        <f>IF(O402="","",IF(O402&lt;=$AQ$1,"O","X"))</f>
        <v/>
      </c>
      <c r="AR402" s="117">
        <f>IF(M402="","",IF(M402&lt;=$AR$1,"O","X"))</f>
        <v/>
      </c>
      <c r="AS402" s="117" t="inlineStr">
        <is>
          <t>X</t>
        </is>
      </c>
      <c r="AT402" s="117">
        <f>IF(OR(F402="",AI402=""),"",IF(AND((F402&lt;=85),(AI402&gt;=15)),"O","X"))</f>
        <v/>
      </c>
      <c r="AU402" s="117">
        <f>IF(C402="","",IF(C402&gt;=$AU$1,"O","X"))</f>
        <v/>
      </c>
      <c r="AV402" s="117">
        <f>IF(AO402="","",IF(AND(AO402="O",AP402="O",AR402="O",AT402="O",AU402="O"),"후보","X"))</f>
        <v/>
      </c>
    </row>
    <row r="403" ht="12" customFormat="1" customHeight="1" s="38">
      <c r="A403" s="120" t="inlineStr">
        <is>
          <t>효성동 신한</t>
        </is>
      </c>
      <c r="B403" s="121" t="inlineStr">
        <is>
          <t>96.12.</t>
        </is>
      </c>
      <c r="C403" s="129" t="n">
        <v>324</v>
      </c>
      <c r="D403" s="130" t="n">
        <v>105.9</v>
      </c>
      <c r="E403" s="131" t="n">
        <v>32</v>
      </c>
      <c r="F403" s="130" t="n">
        <v>85</v>
      </c>
      <c r="G403" s="17" t="n">
        <v>26</v>
      </c>
      <c r="H403" s="132" t="n">
        <v>164</v>
      </c>
      <c r="I403" s="133" t="n">
        <v>47000</v>
      </c>
      <c r="J403" s="133" t="inlineStr">
        <is>
          <t>16</t>
        </is>
      </c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17" t="n">
        <v>3</v>
      </c>
      <c r="R403" s="117" t="n">
        <v>2</v>
      </c>
      <c r="S403" s="117" t="inlineStr">
        <is>
          <t>계</t>
        </is>
      </c>
      <c r="T403" s="5" t="n">
        <v>105</v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17">
        <f>S403</f>
        <v/>
      </c>
      <c r="AF403" s="117">
        <f>Q403&amp;"/"&amp;R403</f>
        <v/>
      </c>
      <c r="AH403" s="20">
        <f>IF(A403="","",A403)</f>
        <v/>
      </c>
      <c r="AI403" s="131">
        <f>IF(E403="","",E403)</f>
        <v/>
      </c>
      <c r="AJ403" s="117">
        <f>IF(AI403="","",$AJ$2)</f>
        <v/>
      </c>
      <c r="AK403" s="117" t="inlineStr">
        <is>
          <t>A</t>
        </is>
      </c>
      <c r="AL403" s="117" t="inlineStr">
        <is>
          <t>A+</t>
        </is>
      </c>
      <c r="AM403" s="117" t="inlineStr">
        <is>
          <t>B+</t>
        </is>
      </c>
      <c r="AN403" s="117">
        <f>IF(AI403="","",$AN$2)</f>
        <v/>
      </c>
      <c r="AO403" s="117">
        <f>IF(N403="","",IF(N403&gt;=$AO$1/100,"O","X"))</f>
        <v/>
      </c>
      <c r="AP403" s="117">
        <f>IF(I403="","",IF(I403&lt;=$AP$1,"O","X"))</f>
        <v/>
      </c>
      <c r="AQ403" s="117">
        <f>IF(O403="","",IF(O403&lt;=$AQ$1,"O","X"))</f>
        <v/>
      </c>
      <c r="AR403" s="117">
        <f>IF(M403="","",IF(M403&lt;=$AR$1,"O","X"))</f>
        <v/>
      </c>
      <c r="AS403" s="117" t="inlineStr">
        <is>
          <t>X</t>
        </is>
      </c>
      <c r="AT403" s="117">
        <f>IF(OR(F403="",AI403=""),"",IF(AND((F403&lt;=85),(AI403&gt;=15)),"O","X"))</f>
        <v/>
      </c>
      <c r="AU403" s="117">
        <f>IF(C403="","",IF(C403&gt;=$AU$1,"O","X"))</f>
        <v/>
      </c>
      <c r="AV403" s="117">
        <f>IF(AO403="","",IF(AND(AO403="O",AP403="O",AR403="O",AT403="O",AU403="O"),"후보","X"))</f>
        <v/>
      </c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  <c r="W404" s="76" t="n"/>
      <c r="X404" s="76" t="n"/>
      <c r="Y404" s="76" t="n"/>
      <c r="Z404" s="76" t="n"/>
      <c r="AA404" s="76" t="n"/>
      <c r="AB404" s="76" t="n"/>
      <c r="AC404" s="76" t="n"/>
      <c r="AD404" s="76" t="n"/>
      <c r="AE404" s="76" t="n"/>
      <c r="AF404" s="76" t="n"/>
      <c r="AG404" s="76" t="n"/>
      <c r="AH404" s="76" t="n"/>
      <c r="AI404" s="76" t="n"/>
      <c r="AJ404" s="76" t="n"/>
      <c r="AK404" s="76" t="n"/>
      <c r="AL404" s="76" t="n"/>
      <c r="AM404" s="76" t="n"/>
      <c r="AN404" s="76" t="n"/>
      <c r="AO404" s="76" t="n"/>
      <c r="AP404" s="76" t="n"/>
      <c r="AQ404" s="76" t="n"/>
      <c r="AR404" s="76" t="n"/>
      <c r="AS404" s="76" t="n"/>
      <c r="AT404" s="76" t="n"/>
      <c r="AU404" s="76" t="n"/>
      <c r="AV404" s="76" t="n"/>
      <c r="AX404" s="137" t="n"/>
      <c r="AY404" s="137" t="n"/>
      <c r="AZ404" s="137" t="n"/>
      <c r="BA404" s="117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  <c r="W405" s="76" t="n"/>
      <c r="X405" s="76" t="n"/>
      <c r="Y405" s="76" t="n"/>
      <c r="Z405" s="76" t="n"/>
      <c r="AA405" s="76" t="n"/>
      <c r="AB405" s="76" t="n"/>
      <c r="AC405" s="76" t="n"/>
      <c r="AD405" s="76" t="n"/>
      <c r="AE405" s="76" t="n"/>
      <c r="AF405" s="76" t="n"/>
      <c r="AG405" s="76" t="n"/>
      <c r="AH405" s="76" t="n"/>
      <c r="AI405" s="76" t="n"/>
      <c r="AJ405" s="76" t="n"/>
      <c r="AK405" s="76" t="n"/>
      <c r="AL405" s="76" t="n"/>
      <c r="AM405" s="76" t="n"/>
      <c r="AN405" s="76" t="n"/>
      <c r="AO405" s="76" t="n"/>
      <c r="AP405" s="76" t="n"/>
      <c r="AQ405" s="76" t="n"/>
      <c r="AR405" s="76" t="n"/>
      <c r="AS405" s="76" t="n"/>
      <c r="AT405" s="76" t="n"/>
      <c r="AU405" s="76" t="n"/>
      <c r="AV405" s="76" t="n"/>
      <c r="AX405" s="137" t="n"/>
      <c r="AY405" s="137" t="n"/>
      <c r="AZ405" s="137" t="n"/>
      <c r="BA405" s="117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  <c r="W406" s="76" t="n"/>
      <c r="X406" s="76" t="n"/>
      <c r="Y406" s="76" t="n"/>
      <c r="Z406" s="76" t="n"/>
      <c r="AA406" s="76" t="n"/>
      <c r="AB406" s="76" t="n"/>
      <c r="AC406" s="76" t="n"/>
      <c r="AD406" s="76" t="n"/>
      <c r="AE406" s="76" t="n"/>
      <c r="AF406" s="76" t="n"/>
      <c r="AG406" s="76" t="n"/>
      <c r="AH406" s="76" t="n"/>
      <c r="AI406" s="76" t="n"/>
      <c r="AJ406" s="76" t="n"/>
      <c r="AK406" s="76" t="n"/>
      <c r="AL406" s="76" t="n"/>
      <c r="AM406" s="76" t="n"/>
      <c r="AN406" s="76" t="n"/>
      <c r="AO406" s="76" t="n"/>
      <c r="AP406" s="76" t="n"/>
      <c r="AQ406" s="76" t="n"/>
      <c r="AR406" s="76" t="n"/>
      <c r="AS406" s="76" t="n"/>
      <c r="AT406" s="76" t="n"/>
      <c r="AU406" s="76" t="n"/>
      <c r="AV406" s="76" t="n"/>
      <c r="AX406" s="137" t="n"/>
      <c r="AY406" s="137" t="n"/>
      <c r="AZ406" s="137" t="n"/>
      <c r="BA406" s="117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  <c r="W407" s="76" t="n"/>
      <c r="X407" s="76" t="n"/>
      <c r="Y407" s="76" t="n"/>
      <c r="Z407" s="76" t="n"/>
      <c r="AA407" s="76" t="n"/>
      <c r="AB407" s="76" t="n"/>
      <c r="AC407" s="76" t="n"/>
      <c r="AD407" s="76" t="n"/>
      <c r="AE407" s="76" t="n"/>
      <c r="AF407" s="76" t="n"/>
      <c r="AG407" s="76" t="n"/>
      <c r="AH407" s="76" t="n"/>
      <c r="AI407" s="76" t="n"/>
      <c r="AJ407" s="76" t="n"/>
      <c r="AK407" s="76" t="n"/>
      <c r="AL407" s="76" t="n"/>
      <c r="AM407" s="76" t="n"/>
      <c r="AN407" s="76" t="n"/>
      <c r="AO407" s="76" t="n"/>
      <c r="AP407" s="76" t="n"/>
      <c r="AQ407" s="76" t="n"/>
      <c r="AR407" s="76" t="n"/>
      <c r="AS407" s="76" t="n"/>
      <c r="AT407" s="76" t="n"/>
      <c r="AU407" s="76" t="n"/>
      <c r="AV407" s="76" t="n"/>
      <c r="AX407" s="137" t="n"/>
      <c r="AY407" s="137" t="n"/>
      <c r="AZ407" s="137" t="n"/>
      <c r="BA407" s="2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  <c r="W408" s="76" t="n"/>
      <c r="X408" s="76" t="n"/>
      <c r="Y408" s="76" t="n"/>
      <c r="Z408" s="76" t="n"/>
      <c r="AA408" s="76" t="n"/>
      <c r="AB408" s="76" t="n"/>
      <c r="AC408" s="76" t="n"/>
      <c r="AD408" s="76" t="n"/>
      <c r="AE408" s="76" t="n"/>
      <c r="AF408" s="76" t="n"/>
      <c r="AG408" s="76" t="n"/>
      <c r="AH408" s="76" t="n"/>
      <c r="AI408" s="76" t="n"/>
      <c r="AJ408" s="76" t="n"/>
      <c r="AK408" s="76" t="n"/>
      <c r="AL408" s="76" t="n"/>
      <c r="AM408" s="76" t="n"/>
      <c r="AN408" s="76" t="n"/>
      <c r="AO408" s="76" t="n"/>
      <c r="AP408" s="76" t="n"/>
      <c r="AQ408" s="76" t="n"/>
      <c r="AR408" s="76" t="n"/>
      <c r="AS408" s="76" t="n"/>
      <c r="AT408" s="76" t="n"/>
      <c r="AU408" s="76" t="n"/>
      <c r="AV408" s="76" t="n"/>
      <c r="AX408" s="137" t="n"/>
      <c r="AY408" s="137" t="n"/>
      <c r="AZ408" s="137" t="n"/>
      <c r="BA408" s="117" t="n"/>
      <c r="BB408" s="117" t="inlineStr">
        <is>
          <t>10년 이하</t>
        </is>
      </c>
      <c r="BC408" s="117" t="inlineStr">
        <is>
          <t>10~20년</t>
        </is>
      </c>
      <c r="BD408" s="117" t="inlineStr">
        <is>
          <t>20~30년</t>
        </is>
      </c>
      <c r="BE408" s="117" t="inlineStr">
        <is>
          <t>30년 이상</t>
        </is>
      </c>
      <c r="BF408" s="117" t="inlineStr">
        <is>
          <t>합계</t>
        </is>
      </c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  <c r="W409" s="76" t="n"/>
      <c r="X409" s="76" t="n"/>
      <c r="Y409" s="76" t="n"/>
      <c r="Z409" s="76" t="n"/>
      <c r="AA409" s="76" t="n"/>
      <c r="AB409" s="76" t="n"/>
      <c r="AC409" s="76" t="n"/>
      <c r="AD409" s="76" t="n"/>
      <c r="AE409" s="76" t="n"/>
      <c r="AF409" s="76" t="n"/>
      <c r="AG409" s="76" t="n"/>
      <c r="AH409" s="76" t="n"/>
      <c r="AI409" s="76" t="n"/>
      <c r="AJ409" s="76" t="n"/>
      <c r="AK409" s="76" t="n"/>
      <c r="AL409" s="76" t="n"/>
      <c r="AM409" s="76" t="n"/>
      <c r="AN409" s="76" t="n"/>
      <c r="AO409" s="76" t="n"/>
      <c r="AP409" s="76" t="n"/>
      <c r="AQ409" s="76" t="n"/>
      <c r="AR409" s="76" t="n"/>
      <c r="AS409" s="76" t="n"/>
      <c r="AT409" s="76" t="n"/>
      <c r="AU409" s="76" t="n"/>
      <c r="AV409" s="76" t="n"/>
      <c r="AX409" s="137" t="n"/>
      <c r="AY409" s="137" t="n"/>
      <c r="BA409" s="117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  <c r="W410" s="76" t="n"/>
      <c r="X410" s="76" t="n"/>
      <c r="Y410" s="76" t="n"/>
      <c r="Z410" s="76" t="n"/>
      <c r="AA410" s="76" t="n"/>
      <c r="AB410" s="76" t="n"/>
      <c r="AC410" s="76" t="n"/>
      <c r="AD410" s="76" t="n"/>
      <c r="AE410" s="76" t="n"/>
      <c r="AF410" s="76" t="n"/>
      <c r="AG410" s="76" t="n"/>
      <c r="AH410" s="76" t="n"/>
      <c r="AI410" s="76" t="n"/>
      <c r="AJ410" s="76" t="n"/>
      <c r="AK410" s="76" t="n"/>
      <c r="AL410" s="76" t="n"/>
      <c r="AM410" s="76" t="n"/>
      <c r="AN410" s="76" t="n"/>
      <c r="AO410" s="76" t="n"/>
      <c r="AP410" s="76" t="n"/>
      <c r="AQ410" s="76" t="n"/>
      <c r="AR410" s="76" t="n"/>
      <c r="AS410" s="76" t="n"/>
      <c r="AT410" s="76" t="n"/>
      <c r="AU410" s="76" t="n"/>
      <c r="AV410" s="76" t="n"/>
      <c r="AX410" s="137" t="n"/>
      <c r="AY410" s="137" t="n"/>
      <c r="BA410" s="117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  <c r="W411" s="76" t="n"/>
      <c r="X411" s="76" t="n"/>
      <c r="Y411" s="76" t="n"/>
      <c r="Z411" s="76" t="n"/>
      <c r="AA411" s="76" t="n"/>
      <c r="AB411" s="76" t="n"/>
      <c r="AC411" s="76" t="n"/>
      <c r="AD411" s="76" t="n"/>
      <c r="AE411" s="76" t="n"/>
      <c r="AF411" s="76" t="n"/>
      <c r="AG411" s="76" t="n"/>
      <c r="AH411" s="76" t="n"/>
      <c r="AI411" s="76" t="n"/>
      <c r="AJ411" s="76" t="n"/>
      <c r="AK411" s="76" t="n"/>
      <c r="AL411" s="76" t="n"/>
      <c r="AM411" s="76" t="n"/>
      <c r="AN411" s="76" t="n"/>
      <c r="AO411" s="76" t="n"/>
      <c r="AP411" s="76" t="n"/>
      <c r="AQ411" s="76" t="n"/>
      <c r="AR411" s="76" t="n"/>
      <c r="AS411" s="76" t="n"/>
      <c r="AT411" s="76" t="n"/>
      <c r="AU411" s="76" t="n"/>
      <c r="AV411" s="76" t="n"/>
      <c r="AX411" s="137" t="n"/>
      <c r="AY411" s="137" t="n"/>
      <c r="BA411" s="117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  <c r="W412" s="76" t="n"/>
      <c r="X412" s="76" t="n"/>
      <c r="Y412" s="76" t="n"/>
      <c r="Z412" s="76" t="n"/>
      <c r="AA412" s="76" t="n"/>
      <c r="AB412" s="76" t="n"/>
      <c r="AC412" s="76" t="n"/>
      <c r="AD412" s="76" t="n"/>
      <c r="AE412" s="76" t="n"/>
      <c r="AF412" s="76" t="n"/>
      <c r="AG412" s="76" t="n"/>
      <c r="AH412" s="76" t="n"/>
      <c r="AI412" s="76" t="n"/>
      <c r="AJ412" s="76" t="n"/>
      <c r="AK412" s="76" t="n"/>
      <c r="AL412" s="76" t="n"/>
      <c r="AM412" s="76" t="n"/>
      <c r="AN412" s="76" t="n"/>
      <c r="AO412" s="76" t="n"/>
      <c r="AP412" s="76" t="n"/>
      <c r="AQ412" s="76" t="n"/>
      <c r="AR412" s="76" t="n"/>
      <c r="AS412" s="76" t="n"/>
      <c r="AT412" s="76" t="n"/>
      <c r="AU412" s="76" t="n"/>
      <c r="AV412" s="76" t="n"/>
      <c r="AX412" s="137" t="n"/>
      <c r="AY412" s="137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  <c r="W413" s="76" t="n"/>
      <c r="X413" s="76" t="n"/>
      <c r="Y413" s="76" t="n"/>
      <c r="Z413" s="76" t="n"/>
      <c r="AA413" s="76" t="n"/>
      <c r="AB413" s="76" t="n"/>
      <c r="AC413" s="76" t="n"/>
      <c r="AD413" s="76" t="n"/>
      <c r="AE413" s="76" t="n"/>
      <c r="AF413" s="76" t="n"/>
      <c r="AG413" s="76" t="n"/>
      <c r="AH413" s="76" t="n"/>
      <c r="AI413" s="76" t="n"/>
      <c r="AJ413" s="76" t="n"/>
      <c r="AK413" s="76" t="n"/>
      <c r="AL413" s="76" t="n"/>
      <c r="AM413" s="76" t="n"/>
      <c r="AN413" s="76" t="n"/>
      <c r="AO413" s="76" t="n"/>
      <c r="AP413" s="76" t="n"/>
      <c r="AQ413" s="76" t="n"/>
      <c r="AR413" s="76" t="n"/>
      <c r="AS413" s="76" t="n"/>
      <c r="AT413" s="76" t="n"/>
      <c r="AU413" s="76" t="n"/>
      <c r="AV413" s="76" t="n"/>
      <c r="AX413" s="137" t="n"/>
      <c r="AY413" s="137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  <c r="W414" s="76" t="n"/>
      <c r="X414" s="76" t="n"/>
      <c r="Y414" s="76" t="n"/>
      <c r="Z414" s="76" t="n"/>
      <c r="AA414" s="76" t="n"/>
      <c r="AB414" s="76" t="n"/>
      <c r="AC414" s="76" t="n"/>
      <c r="AD414" s="76" t="n"/>
      <c r="AE414" s="76" t="n"/>
      <c r="AF414" s="76" t="n"/>
      <c r="AG414" s="76" t="n"/>
      <c r="AH414" s="76" t="n"/>
      <c r="AI414" s="76" t="n"/>
      <c r="AJ414" s="76" t="n"/>
      <c r="AK414" s="76" t="n"/>
      <c r="AL414" s="76" t="n"/>
      <c r="AM414" s="76" t="n"/>
      <c r="AN414" s="76" t="n"/>
      <c r="AO414" s="76" t="n"/>
      <c r="AP414" s="76" t="n"/>
      <c r="AQ414" s="76" t="n"/>
      <c r="AR414" s="76" t="n"/>
      <c r="AS414" s="76" t="n"/>
      <c r="AT414" s="76" t="n"/>
      <c r="AU414" s="76" t="n"/>
      <c r="AV414" s="76" t="n"/>
      <c r="AX414" s="137" t="n"/>
      <c r="AY414" s="137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  <c r="W415" s="76" t="n"/>
      <c r="X415" s="76" t="n"/>
      <c r="Y415" s="76" t="n"/>
      <c r="Z415" s="76" t="n"/>
      <c r="AA415" s="76" t="n"/>
      <c r="AB415" s="76" t="n"/>
      <c r="AC415" s="76" t="n"/>
      <c r="AD415" s="76" t="n"/>
      <c r="AE415" s="76" t="n"/>
      <c r="AF415" s="76" t="n"/>
      <c r="AG415" s="76" t="n"/>
      <c r="AH415" s="76" t="n"/>
      <c r="AI415" s="76" t="n"/>
      <c r="AJ415" s="76" t="n"/>
      <c r="AK415" s="76" t="n"/>
      <c r="AL415" s="76" t="n"/>
      <c r="AM415" s="76" t="n"/>
      <c r="AN415" s="76" t="n"/>
      <c r="AO415" s="76" t="n"/>
      <c r="AP415" s="76" t="n"/>
      <c r="AQ415" s="76" t="n"/>
      <c r="AR415" s="76" t="n"/>
      <c r="AS415" s="76" t="n"/>
      <c r="AT415" s="76" t="n"/>
      <c r="AU415" s="76" t="n"/>
      <c r="AV415" s="76" t="n"/>
      <c r="AX415" s="137" t="n"/>
      <c r="AY415" s="137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  <c r="W416" s="76" t="n"/>
      <c r="X416" s="76" t="n"/>
      <c r="Y416" s="76" t="n"/>
      <c r="Z416" s="76" t="n"/>
      <c r="AA416" s="76" t="n"/>
      <c r="AB416" s="76" t="n"/>
      <c r="AC416" s="76" t="n"/>
      <c r="AD416" s="76" t="n"/>
      <c r="AE416" s="76" t="n"/>
      <c r="AF416" s="76" t="n"/>
      <c r="AG416" s="76" t="n"/>
      <c r="AH416" s="76" t="n"/>
      <c r="AI416" s="76" t="n"/>
      <c r="AJ416" s="76" t="n"/>
      <c r="AK416" s="76" t="n"/>
      <c r="AL416" s="76" t="n"/>
      <c r="AM416" s="76" t="n"/>
      <c r="AN416" s="76" t="n"/>
      <c r="AO416" s="76" t="n"/>
      <c r="AP416" s="76" t="n"/>
      <c r="AQ416" s="76" t="n"/>
      <c r="AR416" s="76" t="n"/>
      <c r="AS416" s="76" t="n"/>
      <c r="AT416" s="76" t="n"/>
      <c r="AU416" s="76" t="n"/>
      <c r="AV416" s="76" t="n"/>
      <c r="AX416" s="137" t="n"/>
      <c r="AY416" s="137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  <c r="W417" s="76" t="n"/>
      <c r="X417" s="76" t="n"/>
      <c r="Y417" s="76" t="n"/>
      <c r="Z417" s="76" t="n"/>
      <c r="AA417" s="76" t="n"/>
      <c r="AB417" s="76" t="n"/>
      <c r="AC417" s="76" t="n"/>
      <c r="AD417" s="76" t="n"/>
      <c r="AE417" s="76" t="n"/>
      <c r="AF417" s="76" t="n"/>
      <c r="AG417" s="76" t="n"/>
      <c r="AH417" s="76" t="n"/>
      <c r="AI417" s="76" t="n"/>
      <c r="AJ417" s="76" t="n"/>
      <c r="AK417" s="76" t="n"/>
      <c r="AL417" s="76" t="n"/>
      <c r="AM417" s="76" t="n"/>
      <c r="AN417" s="76" t="n"/>
      <c r="AO417" s="76" t="n"/>
      <c r="AP417" s="76" t="n"/>
      <c r="AQ417" s="76" t="n"/>
      <c r="AR417" s="76" t="n"/>
      <c r="AS417" s="76" t="n"/>
      <c r="AT417" s="76" t="n"/>
      <c r="AU417" s="76" t="n"/>
      <c r="AV417" s="76" t="n"/>
      <c r="AX417" s="137" t="n"/>
      <c r="AY417" s="137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  <c r="W418" s="76" t="n"/>
      <c r="X418" s="76" t="n"/>
      <c r="Y418" s="76" t="n"/>
      <c r="Z418" s="76" t="n"/>
      <c r="AA418" s="76" t="n"/>
      <c r="AB418" s="76" t="n"/>
      <c r="AC418" s="76" t="n"/>
      <c r="AD418" s="76" t="n"/>
      <c r="AE418" s="76" t="n"/>
      <c r="AF418" s="76" t="n"/>
      <c r="AG418" s="76" t="n"/>
      <c r="AH418" s="76" t="n"/>
      <c r="AI418" s="76" t="n"/>
      <c r="AJ418" s="76" t="n"/>
      <c r="AK418" s="76" t="n"/>
      <c r="AL418" s="76" t="n"/>
      <c r="AM418" s="76" t="n"/>
      <c r="AN418" s="76" t="n"/>
      <c r="AO418" s="76" t="n"/>
      <c r="AP418" s="76" t="n"/>
      <c r="AQ418" s="76" t="n"/>
      <c r="AR418" s="76" t="n"/>
      <c r="AS418" s="76" t="n"/>
      <c r="AT418" s="76" t="n"/>
      <c r="AU418" s="76" t="n"/>
      <c r="AV418" s="76" t="n"/>
      <c r="AX418" s="137" t="n"/>
      <c r="AY418" s="137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  <c r="W419" s="76" t="n"/>
      <c r="X419" s="76" t="n"/>
      <c r="Y419" s="76" t="n"/>
      <c r="Z419" s="76" t="n"/>
      <c r="AA419" s="76" t="n"/>
      <c r="AB419" s="76" t="n"/>
      <c r="AC419" s="76" t="n"/>
      <c r="AD419" s="76" t="n"/>
      <c r="AE419" s="76" t="n"/>
      <c r="AF419" s="76" t="n"/>
      <c r="AG419" s="76" t="n"/>
      <c r="AH419" s="76" t="n"/>
      <c r="AI419" s="76" t="n"/>
      <c r="AJ419" s="76" t="n"/>
      <c r="AK419" s="76" t="n"/>
      <c r="AL419" s="76" t="n"/>
      <c r="AM419" s="76" t="n"/>
      <c r="AN419" s="76" t="n"/>
      <c r="AO419" s="76" t="n"/>
      <c r="AP419" s="76" t="n"/>
      <c r="AQ419" s="76" t="n"/>
      <c r="AR419" s="76" t="n"/>
      <c r="AS419" s="76" t="n"/>
      <c r="AT419" s="76" t="n"/>
      <c r="AU419" s="76" t="n"/>
      <c r="AV419" s="76" t="n"/>
      <c r="AX419" s="137" t="n"/>
      <c r="AY419" s="137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  <c r="W420" s="76" t="n"/>
      <c r="X420" s="76" t="n"/>
      <c r="Y420" s="76" t="n"/>
      <c r="Z420" s="76" t="n"/>
      <c r="AA420" s="76" t="n"/>
      <c r="AB420" s="76" t="n"/>
      <c r="AC420" s="76" t="n"/>
      <c r="AD420" s="76" t="n"/>
      <c r="AE420" s="76" t="n"/>
      <c r="AF420" s="76" t="n"/>
      <c r="AG420" s="76" t="n"/>
      <c r="AH420" s="76" t="n"/>
      <c r="AI420" s="76" t="n"/>
      <c r="AJ420" s="76" t="n"/>
      <c r="AK420" s="76" t="n"/>
      <c r="AL420" s="76" t="n"/>
      <c r="AM420" s="76" t="n"/>
      <c r="AN420" s="76" t="n"/>
      <c r="AO420" s="76" t="n"/>
      <c r="AP420" s="76" t="n"/>
      <c r="AQ420" s="76" t="n"/>
      <c r="AR420" s="76" t="n"/>
      <c r="AS420" s="76" t="n"/>
      <c r="AT420" s="76" t="n"/>
      <c r="AU420" s="76" t="n"/>
      <c r="AV420" s="76" t="n"/>
      <c r="AX420" s="137" t="n"/>
      <c r="AY420" s="137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  <c r="W421" s="76" t="n"/>
      <c r="X421" s="76" t="n"/>
      <c r="Y421" s="76" t="n"/>
      <c r="Z421" s="76" t="n"/>
      <c r="AA421" s="76" t="n"/>
      <c r="AB421" s="76" t="n"/>
      <c r="AC421" s="76" t="n"/>
      <c r="AD421" s="76" t="n"/>
      <c r="AE421" s="76" t="n"/>
      <c r="AF421" s="76" t="n"/>
      <c r="AG421" s="76" t="n"/>
      <c r="AH421" s="76" t="n"/>
      <c r="AI421" s="76" t="n"/>
      <c r="AJ421" s="76" t="n"/>
      <c r="AK421" s="76" t="n"/>
      <c r="AL421" s="76" t="n"/>
      <c r="AM421" s="76" t="n"/>
      <c r="AN421" s="76" t="n"/>
      <c r="AO421" s="76" t="n"/>
      <c r="AP421" s="76" t="n"/>
      <c r="AQ421" s="76" t="n"/>
      <c r="AR421" s="76" t="n"/>
      <c r="AS421" s="76" t="n"/>
      <c r="AT421" s="76" t="n"/>
      <c r="AU421" s="76" t="n"/>
      <c r="AV421" s="76" t="n"/>
      <c r="AX421" s="137" t="n"/>
      <c r="AY421" s="137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  <c r="W422" s="76" t="n"/>
      <c r="X422" s="76" t="n"/>
      <c r="Y422" s="76" t="n"/>
      <c r="Z422" s="76" t="n"/>
      <c r="AA422" s="76" t="n"/>
      <c r="AB422" s="76" t="n"/>
      <c r="AC422" s="76" t="n"/>
      <c r="AD422" s="76" t="n"/>
      <c r="AE422" s="76" t="n"/>
      <c r="AF422" s="76" t="n"/>
      <c r="AG422" s="76" t="n"/>
      <c r="AH422" s="76" t="n"/>
      <c r="AI422" s="76" t="n"/>
      <c r="AJ422" s="76" t="n"/>
      <c r="AK422" s="76" t="n"/>
      <c r="AL422" s="76" t="n"/>
      <c r="AM422" s="76" t="n"/>
      <c r="AN422" s="76" t="n"/>
      <c r="AO422" s="76" t="n"/>
      <c r="AP422" s="76" t="n"/>
      <c r="AQ422" s="76" t="n"/>
      <c r="AR422" s="76" t="n"/>
      <c r="AS422" s="76" t="n"/>
      <c r="AT422" s="76" t="n"/>
      <c r="AU422" s="76" t="n"/>
      <c r="AV422" s="76" t="n"/>
      <c r="AX422" s="137" t="n"/>
      <c r="AY422" s="137" t="n"/>
      <c r="AZ422" s="137" t="n"/>
      <c r="BA422" s="117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  <c r="W423" s="76" t="n"/>
      <c r="X423" s="76" t="n"/>
      <c r="Y423" s="76" t="n"/>
      <c r="Z423" s="76" t="n"/>
      <c r="AA423" s="76" t="n"/>
      <c r="AB423" s="76" t="n"/>
      <c r="AC423" s="76" t="n"/>
      <c r="AD423" s="76" t="n"/>
      <c r="AE423" s="76" t="n"/>
      <c r="AF423" s="76" t="n"/>
      <c r="AG423" s="76" t="n"/>
      <c r="AH423" s="76" t="n"/>
      <c r="AI423" s="76" t="n"/>
      <c r="AJ423" s="76" t="n"/>
      <c r="AK423" s="76" t="n"/>
      <c r="AL423" s="76" t="n"/>
      <c r="AM423" s="76" t="n"/>
      <c r="AN423" s="76" t="n"/>
      <c r="AO423" s="76" t="n"/>
      <c r="AP423" s="76" t="n"/>
      <c r="AQ423" s="76" t="n"/>
      <c r="AR423" s="76" t="n"/>
      <c r="AS423" s="76" t="n"/>
      <c r="AT423" s="76" t="n"/>
      <c r="AU423" s="76" t="n"/>
      <c r="AV423" s="76" t="n"/>
      <c r="AX423" s="137" t="n"/>
      <c r="AY423" s="137" t="n"/>
      <c r="AZ423" s="137" t="n"/>
      <c r="BA423" s="117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  <c r="W424" s="76" t="n"/>
      <c r="X424" s="76" t="n"/>
      <c r="Y424" s="76" t="n"/>
      <c r="Z424" s="76" t="n"/>
      <c r="AA424" s="76" t="n"/>
      <c r="AB424" s="76" t="n"/>
      <c r="AC424" s="76" t="n"/>
      <c r="AD424" s="76" t="n"/>
      <c r="AE424" s="76" t="n"/>
      <c r="AF424" s="76" t="n"/>
      <c r="AG424" s="76" t="n"/>
      <c r="AH424" s="76" t="n"/>
      <c r="AI424" s="76" t="n"/>
      <c r="AJ424" s="76" t="n"/>
      <c r="AK424" s="76" t="n"/>
      <c r="AL424" s="76" t="n"/>
      <c r="AM424" s="76" t="n"/>
      <c r="AN424" s="76" t="n"/>
      <c r="AO424" s="76" t="n"/>
      <c r="AP424" s="76" t="n"/>
      <c r="AQ424" s="76" t="n"/>
      <c r="AR424" s="76" t="n"/>
      <c r="AS424" s="76" t="n"/>
      <c r="AT424" s="76" t="n"/>
      <c r="AU424" s="76" t="n"/>
      <c r="AV424" s="76" t="n"/>
      <c r="AX424" s="137" t="n"/>
      <c r="AY424" s="137" t="n"/>
      <c r="AZ424" s="137" t="n"/>
      <c r="BA424" s="75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  <c r="W425" s="76" t="n"/>
      <c r="X425" s="76" t="n"/>
      <c r="Y425" s="76" t="n"/>
      <c r="Z425" s="76" t="n"/>
      <c r="AA425" s="76" t="n"/>
      <c r="AB425" s="76" t="n"/>
      <c r="AC425" s="76" t="n"/>
      <c r="AD425" s="76" t="n"/>
      <c r="AE425" s="76" t="n"/>
      <c r="AF425" s="76" t="n"/>
      <c r="AG425" s="76" t="n"/>
      <c r="AH425" s="76" t="n"/>
      <c r="AI425" s="76" t="n"/>
      <c r="AJ425" s="76" t="n"/>
      <c r="AK425" s="76" t="n"/>
      <c r="AL425" s="76" t="n"/>
      <c r="AM425" s="76" t="n"/>
      <c r="AN425" s="76" t="n"/>
      <c r="AO425" s="76" t="n"/>
      <c r="AP425" s="76" t="n"/>
      <c r="AQ425" s="76" t="n"/>
      <c r="AR425" s="76" t="n"/>
      <c r="AS425" s="76" t="n"/>
      <c r="AT425" s="76" t="n"/>
      <c r="AU425" s="76" t="n"/>
      <c r="AV425" s="76" t="n"/>
      <c r="AX425" s="137" t="n"/>
      <c r="AY425" s="137" t="n"/>
      <c r="AZ425" s="137" t="n"/>
      <c r="BA425" s="2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  <c r="W426" s="76" t="n"/>
      <c r="X426" s="76" t="n"/>
      <c r="Y426" s="76" t="n"/>
      <c r="Z426" s="76" t="n"/>
      <c r="AA426" s="76" t="n"/>
      <c r="AB426" s="76" t="n"/>
      <c r="AC426" s="76" t="n"/>
      <c r="AD426" s="76" t="n"/>
      <c r="AE426" s="76" t="n"/>
      <c r="AF426" s="76" t="n"/>
      <c r="AG426" s="76" t="n"/>
      <c r="AH426" s="76" t="n"/>
      <c r="AI426" s="76" t="n"/>
      <c r="AJ426" s="76" t="n"/>
      <c r="AK426" s="76" t="n"/>
      <c r="AL426" s="76" t="n"/>
      <c r="AM426" s="76" t="n"/>
      <c r="AN426" s="76" t="n"/>
      <c r="AO426" s="76" t="n"/>
      <c r="AP426" s="76" t="n"/>
      <c r="AQ426" s="76" t="n"/>
      <c r="AR426" s="76" t="n"/>
      <c r="AS426" s="76" t="n"/>
      <c r="AT426" s="76" t="n"/>
      <c r="AU426" s="76" t="n"/>
      <c r="AV426" s="76" t="n"/>
      <c r="AX426" s="137" t="n"/>
      <c r="AY426" s="137" t="n"/>
      <c r="AZ426" s="137" t="n"/>
      <c r="BA426" s="117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  <c r="W427" s="76" t="n"/>
      <c r="X427" s="76" t="n"/>
      <c r="Y427" s="76" t="n"/>
      <c r="Z427" s="76" t="n"/>
      <c r="AA427" s="76" t="n"/>
      <c r="AB427" s="76" t="n"/>
      <c r="AC427" s="76" t="n"/>
      <c r="AD427" s="76" t="n"/>
      <c r="AE427" s="76" t="n"/>
      <c r="AF427" s="76" t="n"/>
      <c r="AG427" s="76" t="n"/>
      <c r="AH427" s="76" t="n"/>
      <c r="AI427" s="76" t="n"/>
      <c r="AJ427" s="76" t="n"/>
      <c r="AK427" s="76" t="n"/>
      <c r="AL427" s="76" t="n"/>
      <c r="AM427" s="76" t="n"/>
      <c r="AN427" s="76" t="n"/>
      <c r="AO427" s="76" t="n"/>
      <c r="AP427" s="76" t="n"/>
      <c r="AQ427" s="76" t="n"/>
      <c r="AR427" s="76" t="n"/>
      <c r="AS427" s="76" t="n"/>
      <c r="AT427" s="76" t="n"/>
      <c r="AU427" s="76" t="n"/>
      <c r="AV427" s="76" t="n"/>
      <c r="AX427" s="137" t="n"/>
      <c r="AY427" s="137" t="n"/>
      <c r="BA427" s="117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  <c r="W428" s="76" t="n"/>
      <c r="X428" s="76" t="n"/>
      <c r="Y428" s="76" t="n"/>
      <c r="Z428" s="76" t="n"/>
      <c r="AA428" s="76" t="n"/>
      <c r="AB428" s="76" t="n"/>
      <c r="AC428" s="76" t="n"/>
      <c r="AD428" s="76" t="n"/>
      <c r="AE428" s="76" t="n"/>
      <c r="AF428" s="76" t="n"/>
      <c r="AG428" s="76" t="n"/>
      <c r="AH428" s="76" t="n"/>
      <c r="AI428" s="76" t="n"/>
      <c r="AJ428" s="76" t="n"/>
      <c r="AK428" s="76" t="n"/>
      <c r="AL428" s="76" t="n"/>
      <c r="AM428" s="76" t="n"/>
      <c r="AN428" s="76" t="n"/>
      <c r="AO428" s="76" t="n"/>
      <c r="AP428" s="76" t="n"/>
      <c r="AQ428" s="76" t="n"/>
      <c r="AR428" s="76" t="n"/>
      <c r="AS428" s="76" t="n"/>
      <c r="AT428" s="76" t="n"/>
      <c r="AU428" s="76" t="n"/>
      <c r="AV428" s="76" t="n"/>
      <c r="AX428" s="137" t="n"/>
      <c r="AY428" s="137" t="n"/>
      <c r="BA428" s="75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  <c r="W429" s="76" t="n"/>
      <c r="X429" s="76" t="n"/>
      <c r="Y429" s="76" t="n"/>
      <c r="Z429" s="76" t="n"/>
      <c r="AA429" s="76" t="n"/>
      <c r="AB429" s="76" t="n"/>
      <c r="AC429" s="76" t="n"/>
      <c r="AD429" s="76" t="n"/>
      <c r="AE429" s="76" t="n"/>
      <c r="AF429" s="76" t="n"/>
      <c r="AG429" s="76" t="n"/>
      <c r="AH429" s="76" t="n"/>
      <c r="AI429" s="76" t="n"/>
      <c r="AJ429" s="76" t="n"/>
      <c r="AK429" s="76" t="n"/>
      <c r="AL429" s="76" t="n"/>
      <c r="AM429" s="76" t="n"/>
      <c r="AN429" s="76" t="n"/>
      <c r="AO429" s="76" t="n"/>
      <c r="AP429" s="76" t="n"/>
      <c r="AQ429" s="76" t="n"/>
      <c r="AR429" s="76" t="n"/>
      <c r="AS429" s="76" t="n"/>
      <c r="AT429" s="76" t="n"/>
      <c r="AU429" s="76" t="n"/>
      <c r="AV429" s="76" t="n"/>
      <c r="AX429" s="137" t="n"/>
      <c r="AY429" s="137" t="n"/>
      <c r="BA429" s="117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  <c r="W430" s="76" t="n"/>
      <c r="X430" s="76" t="n"/>
      <c r="Y430" s="76" t="n"/>
      <c r="Z430" s="76" t="n"/>
      <c r="AA430" s="76" t="n"/>
      <c r="AB430" s="76" t="n"/>
      <c r="AC430" s="76" t="n"/>
      <c r="AD430" s="76" t="n"/>
      <c r="AE430" s="76" t="n"/>
      <c r="AF430" s="76" t="n"/>
      <c r="AG430" s="76" t="n"/>
      <c r="AH430" s="76" t="n"/>
      <c r="AI430" s="76" t="n"/>
      <c r="AJ430" s="76" t="n"/>
      <c r="AK430" s="76" t="n"/>
      <c r="AL430" s="76" t="n"/>
      <c r="AM430" s="76" t="n"/>
      <c r="AN430" s="76" t="n"/>
      <c r="AO430" s="76" t="n"/>
      <c r="AP430" s="76" t="n"/>
      <c r="AQ430" s="76" t="n"/>
      <c r="AR430" s="76" t="n"/>
      <c r="AS430" s="76" t="n"/>
      <c r="AT430" s="76" t="n"/>
      <c r="AU430" s="76" t="n"/>
      <c r="AV430" s="76" t="n"/>
      <c r="AX430" s="137" t="n"/>
      <c r="AY430" s="137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  <c r="W431" s="76" t="n"/>
      <c r="X431" s="76" t="n"/>
      <c r="Y431" s="76" t="n"/>
      <c r="Z431" s="76" t="n"/>
      <c r="AA431" s="76" t="n"/>
      <c r="AB431" s="76" t="n"/>
      <c r="AC431" s="76" t="n"/>
      <c r="AD431" s="76" t="n"/>
      <c r="AE431" s="76" t="n"/>
      <c r="AF431" s="76" t="n"/>
      <c r="AG431" s="76" t="n"/>
      <c r="AH431" s="76" t="n"/>
      <c r="AI431" s="76" t="n"/>
      <c r="AJ431" s="76" t="n"/>
      <c r="AK431" s="76" t="n"/>
      <c r="AL431" s="76" t="n"/>
      <c r="AM431" s="76" t="n"/>
      <c r="AN431" s="76" t="n"/>
      <c r="AO431" s="76" t="n"/>
      <c r="AP431" s="76" t="n"/>
      <c r="AQ431" s="76" t="n"/>
      <c r="AR431" s="76" t="n"/>
      <c r="AS431" s="76" t="n"/>
      <c r="AT431" s="76" t="n"/>
      <c r="AU431" s="76" t="n"/>
      <c r="AV431" s="76" t="n"/>
      <c r="AX431" s="137" t="n"/>
      <c r="AY431" s="137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  <c r="W432" s="76" t="n"/>
      <c r="X432" s="76" t="n"/>
      <c r="Y432" s="76" t="n"/>
      <c r="Z432" s="76" t="n"/>
      <c r="AA432" s="76" t="n"/>
      <c r="AB432" s="76" t="n"/>
      <c r="AC432" s="76" t="n"/>
      <c r="AD432" s="76" t="n"/>
      <c r="AE432" s="76" t="n"/>
      <c r="AF432" s="76" t="n"/>
      <c r="AG432" s="76" t="n"/>
      <c r="AH432" s="76" t="n"/>
      <c r="AI432" s="76" t="n"/>
      <c r="AJ432" s="76" t="n"/>
      <c r="AK432" s="76" t="n"/>
      <c r="AL432" s="76" t="n"/>
      <c r="AM432" s="76" t="n"/>
      <c r="AN432" s="76" t="n"/>
      <c r="AO432" s="76" t="n"/>
      <c r="AP432" s="76" t="n"/>
      <c r="AQ432" s="76" t="n"/>
      <c r="AR432" s="76" t="n"/>
      <c r="AS432" s="76" t="n"/>
      <c r="AT432" s="76" t="n"/>
      <c r="AU432" s="76" t="n"/>
      <c r="AV432" s="76" t="n"/>
      <c r="AX432" s="137" t="n"/>
      <c r="AY432" s="137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  <c r="W433" s="76" t="n"/>
      <c r="X433" s="76" t="n"/>
      <c r="Y433" s="76" t="n"/>
      <c r="Z433" s="76" t="n"/>
      <c r="AA433" s="76" t="n"/>
      <c r="AB433" s="76" t="n"/>
      <c r="AC433" s="76" t="n"/>
      <c r="AD433" s="76" t="n"/>
      <c r="AE433" s="76" t="n"/>
      <c r="AF433" s="76" t="n"/>
      <c r="AG433" s="76" t="n"/>
      <c r="AH433" s="76" t="n"/>
      <c r="AI433" s="76" t="n"/>
      <c r="AJ433" s="76" t="n"/>
      <c r="AK433" s="76" t="n"/>
      <c r="AL433" s="76" t="n"/>
      <c r="AM433" s="76" t="n"/>
      <c r="AN433" s="76" t="n"/>
      <c r="AO433" s="76" t="n"/>
      <c r="AP433" s="76" t="n"/>
      <c r="AQ433" s="76" t="n"/>
      <c r="AR433" s="76" t="n"/>
      <c r="AS433" s="76" t="n"/>
      <c r="AT433" s="76" t="n"/>
      <c r="AU433" s="76" t="n"/>
      <c r="AV433" s="76" t="n"/>
      <c r="AX433" s="137" t="n"/>
      <c r="AY433" s="137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  <c r="W434" s="76" t="n"/>
      <c r="X434" s="76" t="n"/>
      <c r="Y434" s="76" t="n"/>
      <c r="Z434" s="76" t="n"/>
      <c r="AA434" s="76" t="n"/>
      <c r="AB434" s="76" t="n"/>
      <c r="AC434" s="76" t="n"/>
      <c r="AD434" s="76" t="n"/>
      <c r="AE434" s="76" t="n"/>
      <c r="AF434" s="76" t="n"/>
      <c r="AG434" s="76" t="n"/>
      <c r="AH434" s="76" t="n"/>
      <c r="AI434" s="76" t="n"/>
      <c r="AJ434" s="76" t="n"/>
      <c r="AK434" s="76" t="n"/>
      <c r="AL434" s="76" t="n"/>
      <c r="AM434" s="76" t="n"/>
      <c r="AN434" s="76" t="n"/>
      <c r="AO434" s="76" t="n"/>
      <c r="AP434" s="76" t="n"/>
      <c r="AQ434" s="76" t="n"/>
      <c r="AR434" s="76" t="n"/>
      <c r="AS434" s="76" t="n"/>
      <c r="AT434" s="76" t="n"/>
      <c r="AU434" s="76" t="n"/>
      <c r="AV434" s="76" t="n"/>
      <c r="AX434" s="137" t="n"/>
      <c r="AY434" s="137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  <c r="W435" s="76" t="n"/>
      <c r="X435" s="76" t="n"/>
      <c r="Y435" s="76" t="n"/>
      <c r="Z435" s="76" t="n"/>
      <c r="AA435" s="76" t="n"/>
      <c r="AB435" s="76" t="n"/>
      <c r="AC435" s="76" t="n"/>
      <c r="AD435" s="76" t="n"/>
      <c r="AE435" s="76" t="n"/>
      <c r="AF435" s="76" t="n"/>
      <c r="AG435" s="76" t="n"/>
      <c r="AH435" s="76" t="n"/>
      <c r="AI435" s="76" t="n"/>
      <c r="AJ435" s="76" t="n"/>
      <c r="AK435" s="76" t="n"/>
      <c r="AL435" s="76" t="n"/>
      <c r="AM435" s="76" t="n"/>
      <c r="AN435" s="76" t="n"/>
      <c r="AO435" s="76" t="n"/>
      <c r="AP435" s="76" t="n"/>
      <c r="AQ435" s="76" t="n"/>
      <c r="AR435" s="76" t="n"/>
      <c r="AS435" s="76" t="n"/>
      <c r="AT435" s="76" t="n"/>
      <c r="AU435" s="76" t="n"/>
      <c r="AV435" s="76" t="n"/>
      <c r="AX435" s="137" t="n"/>
      <c r="AY435" s="137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  <c r="W436" s="76" t="n"/>
      <c r="X436" s="76" t="n"/>
      <c r="Y436" s="76" t="n"/>
      <c r="Z436" s="76" t="n"/>
      <c r="AA436" s="76" t="n"/>
      <c r="AB436" s="76" t="n"/>
      <c r="AC436" s="76" t="n"/>
      <c r="AD436" s="76" t="n"/>
      <c r="AE436" s="76" t="n"/>
      <c r="AF436" s="76" t="n"/>
      <c r="AG436" s="76" t="n"/>
      <c r="AH436" s="76" t="n"/>
      <c r="AI436" s="76" t="n"/>
      <c r="AJ436" s="76" t="n"/>
      <c r="AK436" s="76" t="n"/>
      <c r="AL436" s="76" t="n"/>
      <c r="AM436" s="76" t="n"/>
      <c r="AN436" s="76" t="n"/>
      <c r="AO436" s="76" t="n"/>
      <c r="AP436" s="76" t="n"/>
      <c r="AQ436" s="76" t="n"/>
      <c r="AR436" s="76" t="n"/>
      <c r="AS436" s="76" t="n"/>
      <c r="AT436" s="76" t="n"/>
      <c r="AU436" s="76" t="n"/>
      <c r="AV436" s="76" t="n"/>
      <c r="AX436" s="137" t="n"/>
      <c r="AY436" s="137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  <c r="W437" s="76" t="n"/>
      <c r="X437" s="76" t="n"/>
      <c r="Y437" s="76" t="n"/>
      <c r="Z437" s="76" t="n"/>
      <c r="AA437" s="76" t="n"/>
      <c r="AB437" s="76" t="n"/>
      <c r="AC437" s="76" t="n"/>
      <c r="AD437" s="76" t="n"/>
      <c r="AE437" s="76" t="n"/>
      <c r="AF437" s="76" t="n"/>
      <c r="AG437" s="76" t="n"/>
      <c r="AH437" s="76" t="n"/>
      <c r="AI437" s="76" t="n"/>
      <c r="AJ437" s="76" t="n"/>
      <c r="AK437" s="76" t="n"/>
      <c r="AL437" s="76" t="n"/>
      <c r="AM437" s="76" t="n"/>
      <c r="AN437" s="76" t="n"/>
      <c r="AO437" s="76" t="n"/>
      <c r="AP437" s="76" t="n"/>
      <c r="AQ437" s="76" t="n"/>
      <c r="AR437" s="76" t="n"/>
      <c r="AS437" s="76" t="n"/>
      <c r="AT437" s="76" t="n"/>
      <c r="AU437" s="76" t="n"/>
      <c r="AV437" s="76" t="n"/>
      <c r="AX437" s="137" t="n"/>
      <c r="AY437" s="137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  <c r="W438" s="76" t="n"/>
      <c r="X438" s="76" t="n"/>
      <c r="Y438" s="76" t="n"/>
      <c r="Z438" s="76" t="n"/>
      <c r="AA438" s="76" t="n"/>
      <c r="AB438" s="76" t="n"/>
      <c r="AC438" s="76" t="n"/>
      <c r="AD438" s="76" t="n"/>
      <c r="AE438" s="76" t="n"/>
      <c r="AF438" s="76" t="n"/>
      <c r="AG438" s="76" t="n"/>
      <c r="AH438" s="76" t="n"/>
      <c r="AI438" s="76" t="n"/>
      <c r="AJ438" s="76" t="n"/>
      <c r="AK438" s="76" t="n"/>
      <c r="AL438" s="76" t="n"/>
      <c r="AM438" s="76" t="n"/>
      <c r="AN438" s="76" t="n"/>
      <c r="AO438" s="76" t="n"/>
      <c r="AP438" s="76" t="n"/>
      <c r="AQ438" s="76" t="n"/>
      <c r="AR438" s="76" t="n"/>
      <c r="AS438" s="76" t="n"/>
      <c r="AT438" s="76" t="n"/>
      <c r="AU438" s="76" t="n"/>
      <c r="AV438" s="76" t="n"/>
      <c r="AX438" s="137" t="n"/>
      <c r="AY438" s="137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  <c r="W439" s="76" t="n"/>
      <c r="X439" s="76" t="n"/>
      <c r="Y439" s="76" t="n"/>
      <c r="Z439" s="76" t="n"/>
      <c r="AA439" s="76" t="n"/>
      <c r="AB439" s="76" t="n"/>
      <c r="AC439" s="76" t="n"/>
      <c r="AD439" s="76" t="n"/>
      <c r="AE439" s="76" t="n"/>
      <c r="AF439" s="76" t="n"/>
      <c r="AG439" s="76" t="n"/>
      <c r="AH439" s="76" t="n"/>
      <c r="AI439" s="76" t="n"/>
      <c r="AJ439" s="76" t="n"/>
      <c r="AK439" s="76" t="n"/>
      <c r="AL439" s="76" t="n"/>
      <c r="AM439" s="76" t="n"/>
      <c r="AN439" s="76" t="n"/>
      <c r="AO439" s="76" t="n"/>
      <c r="AP439" s="76" t="n"/>
      <c r="AQ439" s="76" t="n"/>
      <c r="AR439" s="76" t="n"/>
      <c r="AS439" s="76" t="n"/>
      <c r="AT439" s="76" t="n"/>
      <c r="AU439" s="76" t="n"/>
      <c r="AV439" s="76" t="n"/>
      <c r="AX439" s="137" t="n"/>
      <c r="AY439" s="137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  <c r="W440" s="76" t="n"/>
      <c r="X440" s="76" t="n"/>
      <c r="Y440" s="76" t="n"/>
      <c r="Z440" s="76" t="n"/>
      <c r="AA440" s="76" t="n"/>
      <c r="AB440" s="76" t="n"/>
      <c r="AC440" s="76" t="n"/>
      <c r="AD440" s="76" t="n"/>
      <c r="AE440" s="76" t="n"/>
      <c r="AF440" s="76" t="n"/>
      <c r="AG440" s="76" t="n"/>
      <c r="AH440" s="76" t="n"/>
      <c r="AI440" s="76" t="n"/>
      <c r="AJ440" s="76" t="n"/>
      <c r="AK440" s="76" t="n"/>
      <c r="AL440" s="76" t="n"/>
      <c r="AM440" s="76" t="n"/>
      <c r="AN440" s="76" t="n"/>
      <c r="AO440" s="76" t="n"/>
      <c r="AP440" s="76" t="n"/>
      <c r="AQ440" s="76" t="n"/>
      <c r="AR440" s="76" t="n"/>
      <c r="AS440" s="76" t="n"/>
      <c r="AT440" s="76" t="n"/>
      <c r="AU440" s="76" t="n"/>
      <c r="AV440" s="76" t="n"/>
      <c r="AX440" s="137" t="n"/>
      <c r="AY440" s="137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  <c r="W441" s="76" t="n"/>
      <c r="X441" s="76" t="n"/>
      <c r="Y441" s="76" t="n"/>
      <c r="Z441" s="76" t="n"/>
      <c r="AA441" s="76" t="n"/>
      <c r="AB441" s="76" t="n"/>
      <c r="AC441" s="76" t="n"/>
      <c r="AD441" s="76" t="n"/>
      <c r="AE441" s="76" t="n"/>
      <c r="AF441" s="76" t="n"/>
      <c r="AG441" s="76" t="n"/>
      <c r="AH441" s="76" t="n"/>
      <c r="AI441" s="76" t="n"/>
      <c r="AJ441" s="76" t="n"/>
      <c r="AK441" s="76" t="n"/>
      <c r="AL441" s="76" t="n"/>
      <c r="AM441" s="76" t="n"/>
      <c r="AN441" s="76" t="n"/>
      <c r="AO441" s="76" t="n"/>
      <c r="AP441" s="76" t="n"/>
      <c r="AQ441" s="76" t="n"/>
      <c r="AR441" s="76" t="n"/>
      <c r="AS441" s="76" t="n"/>
      <c r="AT441" s="76" t="n"/>
      <c r="AU441" s="76" t="n"/>
      <c r="AV441" s="76" t="n"/>
      <c r="AX441" s="137" t="n"/>
      <c r="AY441" s="137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  <c r="W442" s="76" t="n"/>
      <c r="X442" s="76" t="n"/>
      <c r="Y442" s="76" t="n"/>
      <c r="Z442" s="76" t="n"/>
      <c r="AA442" s="76" t="n"/>
      <c r="AB442" s="76" t="n"/>
      <c r="AC442" s="76" t="n"/>
      <c r="AD442" s="76" t="n"/>
      <c r="AE442" s="76" t="n"/>
      <c r="AF442" s="76" t="n"/>
      <c r="AG442" s="76" t="n"/>
      <c r="AH442" s="76" t="n"/>
      <c r="AI442" s="76" t="n"/>
      <c r="AJ442" s="76" t="n"/>
      <c r="AK442" s="76" t="n"/>
      <c r="AL442" s="76" t="n"/>
      <c r="AM442" s="76" t="n"/>
      <c r="AN442" s="76" t="n"/>
      <c r="AO442" s="76" t="n"/>
      <c r="AP442" s="76" t="n"/>
      <c r="AQ442" s="76" t="n"/>
      <c r="AR442" s="76" t="n"/>
      <c r="AS442" s="76" t="n"/>
      <c r="AT442" s="76" t="n"/>
      <c r="AU442" s="76" t="n"/>
      <c r="AV442" s="76" t="n"/>
      <c r="AX442" s="137" t="n"/>
      <c r="AY442" s="137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  <c r="W443" s="76" t="n"/>
      <c r="X443" s="76" t="n"/>
      <c r="Y443" s="76" t="n"/>
      <c r="Z443" s="76" t="n"/>
      <c r="AA443" s="76" t="n"/>
      <c r="AB443" s="76" t="n"/>
      <c r="AC443" s="76" t="n"/>
      <c r="AD443" s="76" t="n"/>
      <c r="AE443" s="76" t="n"/>
      <c r="AF443" s="76" t="n"/>
      <c r="AG443" s="76" t="n"/>
      <c r="AH443" s="76" t="n"/>
      <c r="AI443" s="76" t="n"/>
      <c r="AJ443" s="76" t="n"/>
      <c r="AK443" s="76" t="n"/>
      <c r="AL443" s="76" t="n"/>
      <c r="AM443" s="76" t="n"/>
      <c r="AN443" s="76" t="n"/>
      <c r="AO443" s="76" t="n"/>
      <c r="AP443" s="76" t="n"/>
      <c r="AQ443" s="76" t="n"/>
      <c r="AR443" s="76" t="n"/>
      <c r="AS443" s="76" t="n"/>
      <c r="AT443" s="76" t="n"/>
      <c r="AU443" s="76" t="n"/>
      <c r="AV443" s="76" t="n"/>
      <c r="AX443" s="137" t="n"/>
      <c r="AY443" s="137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  <c r="W444" s="76" t="n"/>
      <c r="X444" s="76" t="n"/>
      <c r="Y444" s="76" t="n"/>
      <c r="Z444" s="76" t="n"/>
      <c r="AA444" s="76" t="n"/>
      <c r="AB444" s="76" t="n"/>
      <c r="AC444" s="76" t="n"/>
      <c r="AD444" s="76" t="n"/>
      <c r="AE444" s="76" t="n"/>
      <c r="AF444" s="76" t="n"/>
      <c r="AG444" s="76" t="n"/>
      <c r="AH444" s="76" t="n"/>
      <c r="AI444" s="76" t="n"/>
      <c r="AJ444" s="76" t="n"/>
      <c r="AK444" s="76" t="n"/>
      <c r="AL444" s="76" t="n"/>
      <c r="AM444" s="76" t="n"/>
      <c r="AN444" s="76" t="n"/>
      <c r="AO444" s="76" t="n"/>
      <c r="AP444" s="76" t="n"/>
      <c r="AQ444" s="76" t="n"/>
      <c r="AR444" s="76" t="n"/>
      <c r="AS444" s="76" t="n"/>
      <c r="AT444" s="76" t="n"/>
      <c r="AU444" s="76" t="n"/>
      <c r="AV444" s="76" t="n"/>
      <c r="AX444" s="137" t="n"/>
      <c r="AY444" s="137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  <c r="W445" s="76" t="n"/>
      <c r="X445" s="76" t="n"/>
      <c r="Y445" s="76" t="n"/>
      <c r="Z445" s="76" t="n"/>
      <c r="AA445" s="76" t="n"/>
      <c r="AB445" s="76" t="n"/>
      <c r="AC445" s="76" t="n"/>
      <c r="AD445" s="76" t="n"/>
      <c r="AE445" s="76" t="n"/>
      <c r="AF445" s="76" t="n"/>
      <c r="AG445" s="76" t="n"/>
      <c r="AH445" s="76" t="n"/>
      <c r="AI445" s="76" t="n"/>
      <c r="AJ445" s="76" t="n"/>
      <c r="AK445" s="76" t="n"/>
      <c r="AL445" s="76" t="n"/>
      <c r="AM445" s="76" t="n"/>
      <c r="AN445" s="76" t="n"/>
      <c r="AO445" s="76" t="n"/>
      <c r="AP445" s="76" t="n"/>
      <c r="AQ445" s="76" t="n"/>
      <c r="AR445" s="76" t="n"/>
      <c r="AS445" s="76" t="n"/>
      <c r="AT445" s="76" t="n"/>
      <c r="AU445" s="76" t="n"/>
      <c r="AV445" s="76" t="n"/>
      <c r="AX445" s="137" t="n"/>
      <c r="AY445" s="137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  <c r="W446" s="76" t="n"/>
      <c r="X446" s="76" t="n"/>
      <c r="Y446" s="76" t="n"/>
      <c r="Z446" s="76" t="n"/>
      <c r="AA446" s="76" t="n"/>
      <c r="AB446" s="76" t="n"/>
      <c r="AC446" s="76" t="n"/>
      <c r="AD446" s="76" t="n"/>
      <c r="AE446" s="76" t="n"/>
      <c r="AF446" s="76" t="n"/>
      <c r="AG446" s="76" t="n"/>
      <c r="AH446" s="76" t="n"/>
      <c r="AI446" s="76" t="n"/>
      <c r="AJ446" s="76" t="n"/>
      <c r="AK446" s="76" t="n"/>
      <c r="AL446" s="76" t="n"/>
      <c r="AM446" s="76" t="n"/>
      <c r="AN446" s="76" t="n"/>
      <c r="AO446" s="76" t="n"/>
      <c r="AP446" s="76" t="n"/>
      <c r="AQ446" s="76" t="n"/>
      <c r="AR446" s="76" t="n"/>
      <c r="AS446" s="76" t="n"/>
      <c r="AT446" s="76" t="n"/>
      <c r="AU446" s="76" t="n"/>
      <c r="AV446" s="76" t="n"/>
      <c r="AX446" s="137" t="n"/>
      <c r="AY446" s="137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  <c r="W447" s="76" t="n"/>
      <c r="X447" s="76" t="n"/>
      <c r="Y447" s="76" t="n"/>
      <c r="Z447" s="76" t="n"/>
      <c r="AA447" s="76" t="n"/>
      <c r="AB447" s="76" t="n"/>
      <c r="AC447" s="76" t="n"/>
      <c r="AD447" s="76" t="n"/>
      <c r="AE447" s="76" t="n"/>
      <c r="AF447" s="76" t="n"/>
      <c r="AG447" s="76" t="n"/>
      <c r="AH447" s="76" t="n"/>
      <c r="AI447" s="76" t="n"/>
      <c r="AJ447" s="76" t="n"/>
      <c r="AK447" s="76" t="n"/>
      <c r="AL447" s="76" t="n"/>
      <c r="AM447" s="76" t="n"/>
      <c r="AN447" s="76" t="n"/>
      <c r="AO447" s="76" t="n"/>
      <c r="AP447" s="76" t="n"/>
      <c r="AQ447" s="76" t="n"/>
      <c r="AR447" s="76" t="n"/>
      <c r="AS447" s="76" t="n"/>
      <c r="AT447" s="76" t="n"/>
      <c r="AU447" s="76" t="n"/>
      <c r="AV447" s="76" t="n"/>
      <c r="AX447" s="137" t="n"/>
      <c r="AY447" s="137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  <c r="W448" s="76" t="n"/>
      <c r="X448" s="76" t="n"/>
      <c r="Y448" s="76" t="n"/>
      <c r="Z448" s="76" t="n"/>
      <c r="AA448" s="76" t="n"/>
      <c r="AB448" s="76" t="n"/>
      <c r="AC448" s="76" t="n"/>
      <c r="AD448" s="76" t="n"/>
      <c r="AE448" s="76" t="n"/>
      <c r="AF448" s="76" t="n"/>
      <c r="AG448" s="76" t="n"/>
      <c r="AH448" s="76" t="n"/>
      <c r="AI448" s="76" t="n"/>
      <c r="AJ448" s="76" t="n"/>
      <c r="AK448" s="76" t="n"/>
      <c r="AL448" s="76" t="n"/>
      <c r="AM448" s="76" t="n"/>
      <c r="AN448" s="76" t="n"/>
      <c r="AO448" s="76" t="n"/>
      <c r="AP448" s="76" t="n"/>
      <c r="AQ448" s="76" t="n"/>
      <c r="AR448" s="76" t="n"/>
      <c r="AS448" s="76" t="n"/>
      <c r="AT448" s="76" t="n"/>
      <c r="AU448" s="76" t="n"/>
      <c r="AV448" s="76" t="n"/>
      <c r="AX448" s="137" t="n"/>
      <c r="AY448" s="137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  <c r="W449" s="76" t="n"/>
      <c r="X449" s="76" t="n"/>
      <c r="Y449" s="76" t="n"/>
      <c r="Z449" s="76" t="n"/>
      <c r="AA449" s="76" t="n"/>
      <c r="AB449" s="76" t="n"/>
      <c r="AC449" s="76" t="n"/>
      <c r="AD449" s="76" t="n"/>
      <c r="AE449" s="76" t="n"/>
      <c r="AF449" s="76" t="n"/>
      <c r="AG449" s="76" t="n"/>
      <c r="AH449" s="76" t="n"/>
      <c r="AI449" s="76" t="n"/>
      <c r="AJ449" s="76" t="n"/>
      <c r="AK449" s="76" t="n"/>
      <c r="AL449" s="76" t="n"/>
      <c r="AM449" s="76" t="n"/>
      <c r="AN449" s="76" t="n"/>
      <c r="AO449" s="76" t="n"/>
      <c r="AP449" s="76" t="n"/>
      <c r="AQ449" s="76" t="n"/>
      <c r="AR449" s="76" t="n"/>
      <c r="AS449" s="76" t="n"/>
      <c r="AT449" s="76" t="n"/>
      <c r="AU449" s="76" t="n"/>
      <c r="AV449" s="76" t="n"/>
      <c r="AX449" s="137" t="n"/>
      <c r="AY449" s="137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  <c r="W450" s="76" t="n"/>
      <c r="X450" s="76" t="n"/>
      <c r="Y450" s="76" t="n"/>
      <c r="Z450" s="76" t="n"/>
      <c r="AA450" s="76" t="n"/>
      <c r="AB450" s="76" t="n"/>
      <c r="AC450" s="76" t="n"/>
      <c r="AD450" s="76" t="n"/>
      <c r="AE450" s="76" t="n"/>
      <c r="AF450" s="76" t="n"/>
      <c r="AG450" s="76" t="n"/>
      <c r="AH450" s="76" t="n"/>
      <c r="AI450" s="76" t="n"/>
      <c r="AJ450" s="76" t="n"/>
      <c r="AK450" s="76" t="n"/>
      <c r="AL450" s="76" t="n"/>
      <c r="AM450" s="76" t="n"/>
      <c r="AN450" s="76" t="n"/>
      <c r="AO450" s="76" t="n"/>
      <c r="AP450" s="76" t="n"/>
      <c r="AQ450" s="76" t="n"/>
      <c r="AR450" s="76" t="n"/>
      <c r="AS450" s="76" t="n"/>
      <c r="AT450" s="76" t="n"/>
      <c r="AU450" s="76" t="n"/>
      <c r="AV450" s="76" t="n"/>
      <c r="AX450" s="137" t="n"/>
      <c r="AY450" s="137" t="n"/>
    </row>
    <row r="451" ht="16.5" customFormat="1" customHeight="1" s="38">
      <c r="A451" s="76" t="n"/>
      <c r="B451" s="76" t="n"/>
      <c r="C451" s="76" t="n"/>
      <c r="D451" s="76" t="n"/>
      <c r="E451" s="76" t="n"/>
      <c r="F451" s="76" t="n"/>
      <c r="G451" s="76" t="n"/>
      <c r="H451" s="76" t="n"/>
      <c r="I451" s="76" t="n"/>
      <c r="J451" s="76" t="n"/>
      <c r="K451" s="76" t="n"/>
      <c r="L451" s="76" t="n"/>
      <c r="M451" s="76" t="n"/>
      <c r="N451" s="76" t="n"/>
      <c r="O451" s="76" t="n"/>
      <c r="P451" s="76" t="n"/>
      <c r="Q451" s="76" t="n"/>
      <c r="R451" s="76" t="n"/>
      <c r="S451" s="76" t="n"/>
      <c r="T451" s="76" t="n"/>
      <c r="U451" s="76" t="n"/>
      <c r="V451" s="76" t="n"/>
      <c r="W451" s="76" t="n"/>
      <c r="X451" s="76" t="n"/>
      <c r="Y451" s="76" t="n"/>
      <c r="Z451" s="76" t="n"/>
      <c r="AA451" s="76" t="n"/>
      <c r="AB451" s="76" t="n"/>
      <c r="AC451" s="76" t="n"/>
      <c r="AD451" s="76" t="n"/>
      <c r="AE451" s="76" t="n"/>
      <c r="AF451" s="76" t="n"/>
      <c r="AG451" s="76" t="n"/>
      <c r="AH451" s="76" t="n"/>
      <c r="AI451" s="76" t="n"/>
      <c r="AJ451" s="76" t="n"/>
      <c r="AK451" s="76" t="n"/>
      <c r="AL451" s="76" t="n"/>
      <c r="AM451" s="76" t="n"/>
      <c r="AN451" s="76" t="n"/>
      <c r="AO451" s="76" t="n"/>
      <c r="AP451" s="76" t="n"/>
      <c r="AQ451" s="76" t="n"/>
      <c r="AR451" s="76" t="n"/>
      <c r="AS451" s="76" t="n"/>
      <c r="AT451" s="76" t="n"/>
      <c r="AU451" s="76" t="n"/>
      <c r="AV451" s="76" t="n"/>
      <c r="AX451" s="137" t="n"/>
      <c r="AY451" s="137" t="n"/>
    </row>
    <row r="452" ht="16.5" customFormat="1" customHeight="1" s="38">
      <c r="A452" s="76" t="n"/>
      <c r="B452" s="76" t="n"/>
      <c r="C452" s="76" t="n"/>
      <c r="D452" s="76" t="n"/>
      <c r="E452" s="76" t="n"/>
      <c r="F452" s="76" t="n"/>
      <c r="G452" s="76" t="n"/>
      <c r="H452" s="76" t="n"/>
      <c r="I452" s="76" t="n"/>
      <c r="J452" s="76" t="n"/>
      <c r="K452" s="76" t="n"/>
      <c r="L452" s="76" t="n"/>
      <c r="M452" s="76" t="n"/>
      <c r="N452" s="76" t="n"/>
      <c r="O452" s="76" t="n"/>
      <c r="P452" s="76" t="n"/>
      <c r="Q452" s="76" t="n"/>
      <c r="R452" s="76" t="n"/>
      <c r="S452" s="76" t="n"/>
      <c r="T452" s="76" t="n"/>
      <c r="U452" s="76" t="n"/>
      <c r="V452" s="76" t="n"/>
      <c r="W452" s="76" t="n"/>
      <c r="X452" s="76" t="n"/>
      <c r="Y452" s="76" t="n"/>
      <c r="Z452" s="76" t="n"/>
      <c r="AA452" s="76" t="n"/>
      <c r="AB452" s="76" t="n"/>
      <c r="AC452" s="76" t="n"/>
      <c r="AD452" s="76" t="n"/>
      <c r="AE452" s="76" t="n"/>
      <c r="AF452" s="76" t="n"/>
      <c r="AG452" s="76" t="n"/>
      <c r="AH452" s="76" t="n"/>
      <c r="AI452" s="76" t="n"/>
      <c r="AJ452" s="76" t="n"/>
      <c r="AK452" s="76" t="n"/>
      <c r="AL452" s="76" t="n"/>
      <c r="AM452" s="76" t="n"/>
      <c r="AN452" s="76" t="n"/>
      <c r="AO452" s="76" t="n"/>
      <c r="AP452" s="76" t="n"/>
      <c r="AQ452" s="76" t="n"/>
      <c r="AR452" s="76" t="n"/>
      <c r="AS452" s="76" t="n"/>
      <c r="AT452" s="76" t="n"/>
      <c r="AU452" s="76" t="n"/>
      <c r="AV452" s="76" t="n"/>
      <c r="AX452" s="137" t="n"/>
      <c r="AY452" s="137" t="n"/>
    </row>
    <row r="453" ht="16.5" customFormat="1" customHeight="1" s="38">
      <c r="A453" s="76" t="n"/>
      <c r="B453" s="76" t="n"/>
      <c r="C453" s="76" t="n"/>
      <c r="D453" s="76" t="n"/>
      <c r="E453" s="76" t="n"/>
      <c r="F453" s="76" t="n"/>
      <c r="G453" s="76" t="n"/>
      <c r="H453" s="76" t="n"/>
      <c r="I453" s="76" t="n"/>
      <c r="J453" s="76" t="n"/>
      <c r="K453" s="76" t="n"/>
      <c r="L453" s="76" t="n"/>
      <c r="M453" s="76" t="n"/>
      <c r="N453" s="76" t="n"/>
      <c r="O453" s="76" t="n"/>
      <c r="P453" s="76" t="n"/>
      <c r="Q453" s="76" t="n"/>
      <c r="R453" s="76" t="n"/>
      <c r="S453" s="76" t="n"/>
      <c r="T453" s="76" t="n"/>
      <c r="U453" s="76" t="n"/>
      <c r="V453" s="76" t="n"/>
      <c r="W453" s="76" t="n"/>
      <c r="X453" s="76" t="n"/>
      <c r="Y453" s="76" t="n"/>
      <c r="Z453" s="76" t="n"/>
      <c r="AA453" s="76" t="n"/>
      <c r="AB453" s="76" t="n"/>
      <c r="AC453" s="76" t="n"/>
      <c r="AD453" s="76" t="n"/>
      <c r="AE453" s="76" t="n"/>
      <c r="AF453" s="76" t="n"/>
      <c r="AG453" s="76" t="n"/>
      <c r="AH453" s="76" t="n"/>
      <c r="AI453" s="76" t="n"/>
      <c r="AJ453" s="76" t="n"/>
      <c r="AK453" s="76" t="n"/>
      <c r="AL453" s="76" t="n"/>
      <c r="AM453" s="76" t="n"/>
      <c r="AN453" s="76" t="n"/>
      <c r="AO453" s="76" t="n"/>
      <c r="AP453" s="76" t="n"/>
      <c r="AQ453" s="76" t="n"/>
      <c r="AR453" s="76" t="n"/>
      <c r="AS453" s="76" t="n"/>
      <c r="AT453" s="76" t="n"/>
      <c r="AU453" s="76" t="n"/>
      <c r="AV453" s="76" t="n"/>
      <c r="AX453" s="137" t="n"/>
      <c r="AY453" s="137" t="n"/>
    </row>
    <row r="454" ht="16.5" customFormat="1" customHeight="1" s="38">
      <c r="A454" s="76" t="n"/>
      <c r="B454" s="76" t="n"/>
      <c r="C454" s="76" t="n"/>
      <c r="D454" s="76" t="n"/>
      <c r="E454" s="76" t="n"/>
      <c r="F454" s="76" t="n"/>
      <c r="G454" s="76" t="n"/>
      <c r="H454" s="76" t="n"/>
      <c r="I454" s="76" t="n"/>
      <c r="J454" s="76" t="n"/>
      <c r="K454" s="76" t="n"/>
      <c r="L454" s="76" t="n"/>
      <c r="M454" s="76" t="n"/>
      <c r="N454" s="76" t="n"/>
      <c r="O454" s="76" t="n"/>
      <c r="P454" s="76" t="n"/>
      <c r="Q454" s="76" t="n"/>
      <c r="R454" s="76" t="n"/>
      <c r="S454" s="76" t="n"/>
      <c r="T454" s="76" t="n"/>
      <c r="U454" s="76" t="n"/>
      <c r="V454" s="76" t="n"/>
      <c r="W454" s="76" t="n"/>
      <c r="X454" s="76" t="n"/>
      <c r="Y454" s="76" t="n"/>
      <c r="Z454" s="76" t="n"/>
      <c r="AA454" s="76" t="n"/>
      <c r="AB454" s="76" t="n"/>
      <c r="AC454" s="76" t="n"/>
      <c r="AD454" s="76" t="n"/>
      <c r="AE454" s="76" t="n"/>
      <c r="AF454" s="76" t="n"/>
      <c r="AG454" s="76" t="n"/>
      <c r="AH454" s="76" t="n"/>
      <c r="AI454" s="76" t="n"/>
      <c r="AJ454" s="76" t="n"/>
      <c r="AK454" s="76" t="n"/>
      <c r="AL454" s="76" t="n"/>
      <c r="AM454" s="76" t="n"/>
      <c r="AN454" s="76" t="n"/>
      <c r="AO454" s="76" t="n"/>
      <c r="AP454" s="76" t="n"/>
      <c r="AQ454" s="76" t="n"/>
      <c r="AR454" s="76" t="n"/>
      <c r="AS454" s="76" t="n"/>
      <c r="AT454" s="76" t="n"/>
      <c r="AU454" s="76" t="n"/>
      <c r="AV454" s="76" t="n"/>
      <c r="AX454" s="137" t="n"/>
      <c r="AY454" s="137" t="n"/>
    </row>
    <row r="455" ht="16.5" customFormat="1" customHeight="1" s="38">
      <c r="A455" s="76" t="n"/>
      <c r="B455" s="76" t="n"/>
      <c r="C455" s="76" t="n"/>
      <c r="D455" s="76" t="n"/>
      <c r="E455" s="76" t="n"/>
      <c r="F455" s="76" t="n"/>
      <c r="G455" s="76" t="n"/>
      <c r="H455" s="76" t="n"/>
      <c r="I455" s="76" t="n"/>
      <c r="J455" s="76" t="n"/>
      <c r="K455" s="76" t="n"/>
      <c r="L455" s="76" t="n"/>
      <c r="M455" s="76" t="n"/>
      <c r="N455" s="76" t="n"/>
      <c r="O455" s="76" t="n"/>
      <c r="P455" s="76" t="n"/>
      <c r="Q455" s="76" t="n"/>
      <c r="R455" s="76" t="n"/>
      <c r="S455" s="76" t="n"/>
      <c r="T455" s="76" t="n"/>
      <c r="U455" s="76" t="n"/>
      <c r="V455" s="76" t="n"/>
      <c r="W455" s="76" t="n"/>
      <c r="X455" s="76" t="n"/>
      <c r="Y455" s="76" t="n"/>
      <c r="Z455" s="76" t="n"/>
      <c r="AA455" s="76" t="n"/>
      <c r="AB455" s="76" t="n"/>
      <c r="AC455" s="76" t="n"/>
      <c r="AD455" s="76" t="n"/>
      <c r="AE455" s="76" t="n"/>
      <c r="AF455" s="76" t="n"/>
      <c r="AG455" s="76" t="n"/>
      <c r="AH455" s="76" t="n"/>
      <c r="AI455" s="76" t="n"/>
      <c r="AJ455" s="76" t="n"/>
      <c r="AK455" s="76" t="n"/>
      <c r="AL455" s="76" t="n"/>
      <c r="AM455" s="76" t="n"/>
      <c r="AN455" s="76" t="n"/>
      <c r="AO455" s="76" t="n"/>
      <c r="AP455" s="76" t="n"/>
      <c r="AQ455" s="76" t="n"/>
      <c r="AR455" s="76" t="n"/>
      <c r="AS455" s="76" t="n"/>
      <c r="AT455" s="76" t="n"/>
      <c r="AU455" s="76" t="n"/>
      <c r="AV455" s="76" t="n"/>
      <c r="AX455" s="137" t="n"/>
      <c r="AY455" s="137" t="n"/>
    </row>
    <row r="456" ht="16.5" customFormat="1" customHeight="1" s="38">
      <c r="A456" s="76" t="n"/>
      <c r="B456" s="76" t="n"/>
      <c r="C456" s="76" t="n"/>
      <c r="D456" s="76" t="n"/>
      <c r="E456" s="76" t="n"/>
      <c r="F456" s="76" t="n"/>
      <c r="G456" s="76" t="n"/>
      <c r="H456" s="76" t="n"/>
      <c r="I456" s="76" t="n"/>
      <c r="J456" s="76" t="n"/>
      <c r="K456" s="76" t="n"/>
      <c r="L456" s="76" t="n"/>
      <c r="M456" s="76" t="n"/>
      <c r="N456" s="76" t="n"/>
      <c r="O456" s="76" t="n"/>
      <c r="P456" s="76" t="n"/>
      <c r="Q456" s="76" t="n"/>
      <c r="R456" s="76" t="n"/>
      <c r="S456" s="76" t="n"/>
      <c r="T456" s="76" t="n"/>
      <c r="U456" s="76" t="n"/>
      <c r="V456" s="76" t="n"/>
      <c r="W456" s="76" t="n"/>
      <c r="X456" s="76" t="n"/>
      <c r="Y456" s="76" t="n"/>
      <c r="Z456" s="76" t="n"/>
      <c r="AA456" s="76" t="n"/>
      <c r="AB456" s="76" t="n"/>
      <c r="AC456" s="76" t="n"/>
      <c r="AD456" s="76" t="n"/>
      <c r="AE456" s="76" t="n"/>
      <c r="AF456" s="76" t="n"/>
      <c r="AG456" s="76" t="n"/>
      <c r="AH456" s="76" t="n"/>
      <c r="AI456" s="76" t="n"/>
      <c r="AJ456" s="76" t="n"/>
      <c r="AK456" s="76" t="n"/>
      <c r="AL456" s="76" t="n"/>
      <c r="AM456" s="76" t="n"/>
      <c r="AN456" s="76" t="n"/>
      <c r="AO456" s="76" t="n"/>
      <c r="AP456" s="76" t="n"/>
      <c r="AQ456" s="76" t="n"/>
      <c r="AR456" s="76" t="n"/>
      <c r="AS456" s="76" t="n"/>
      <c r="AT456" s="76" t="n"/>
      <c r="AU456" s="76" t="n"/>
      <c r="AV456" s="76" t="n"/>
      <c r="AX456" s="137" t="n"/>
      <c r="AY456" s="137" t="n"/>
    </row>
    <row r="457" ht="16.5" customFormat="1" customHeight="1" s="38">
      <c r="A457" s="76" t="n"/>
      <c r="B457" s="76" t="n"/>
      <c r="C457" s="76" t="n"/>
      <c r="D457" s="76" t="n"/>
      <c r="E457" s="76" t="n"/>
      <c r="F457" s="76" t="n"/>
      <c r="G457" s="76" t="n"/>
      <c r="H457" s="76" t="n"/>
      <c r="I457" s="76" t="n"/>
      <c r="J457" s="76" t="n"/>
      <c r="K457" s="76" t="n"/>
      <c r="L457" s="76" t="n"/>
      <c r="M457" s="76" t="n"/>
      <c r="N457" s="76" t="n"/>
      <c r="O457" s="76" t="n"/>
      <c r="P457" s="76" t="n"/>
      <c r="Q457" s="76" t="n"/>
      <c r="R457" s="76" t="n"/>
      <c r="S457" s="76" t="n"/>
      <c r="T457" s="76" t="n"/>
      <c r="U457" s="76" t="n"/>
      <c r="V457" s="76" t="n"/>
      <c r="W457" s="76" t="n"/>
      <c r="X457" s="76" t="n"/>
      <c r="Y457" s="76" t="n"/>
      <c r="Z457" s="76" t="n"/>
      <c r="AA457" s="76" t="n"/>
      <c r="AB457" s="76" t="n"/>
      <c r="AC457" s="76" t="n"/>
      <c r="AD457" s="76" t="n"/>
      <c r="AE457" s="76" t="n"/>
      <c r="AF457" s="76" t="n"/>
      <c r="AG457" s="76" t="n"/>
      <c r="AH457" s="76" t="n"/>
      <c r="AI457" s="76" t="n"/>
      <c r="AJ457" s="76" t="n"/>
      <c r="AK457" s="76" t="n"/>
      <c r="AL457" s="76" t="n"/>
      <c r="AM457" s="76" t="n"/>
      <c r="AN457" s="76" t="n"/>
      <c r="AO457" s="76" t="n"/>
      <c r="AP457" s="76" t="n"/>
      <c r="AQ457" s="76" t="n"/>
      <c r="AR457" s="76" t="n"/>
      <c r="AS457" s="76" t="n"/>
      <c r="AT457" s="76" t="n"/>
      <c r="AU457" s="76" t="n"/>
      <c r="AV457" s="76" t="n"/>
      <c r="AX457" s="137" t="n"/>
      <c r="AY457" s="137" t="n"/>
    </row>
    <row r="458" ht="16.5" customFormat="1" customHeight="1" s="38">
      <c r="A458" s="76" t="n"/>
      <c r="B458" s="76" t="n"/>
      <c r="C458" s="76" t="n"/>
      <c r="D458" s="76" t="n"/>
      <c r="E458" s="76" t="n"/>
      <c r="F458" s="76" t="n"/>
      <c r="G458" s="76" t="n"/>
      <c r="H458" s="76" t="n"/>
      <c r="I458" s="76" t="n"/>
      <c r="J458" s="76" t="n"/>
      <c r="K458" s="76" t="n"/>
      <c r="L458" s="76" t="n"/>
      <c r="M458" s="76" t="n"/>
      <c r="N458" s="76" t="n"/>
      <c r="O458" s="76" t="n"/>
      <c r="P458" s="76" t="n"/>
      <c r="Q458" s="76" t="n"/>
      <c r="R458" s="76" t="n"/>
      <c r="S458" s="76" t="n"/>
      <c r="T458" s="76" t="n"/>
      <c r="U458" s="76" t="n"/>
      <c r="V458" s="76" t="n"/>
      <c r="W458" s="76" t="n"/>
      <c r="X458" s="76" t="n"/>
      <c r="Y458" s="76" t="n"/>
      <c r="Z458" s="76" t="n"/>
      <c r="AA458" s="76" t="n"/>
      <c r="AB458" s="76" t="n"/>
      <c r="AC458" s="76" t="n"/>
      <c r="AD458" s="76" t="n"/>
      <c r="AE458" s="76" t="n"/>
      <c r="AF458" s="76" t="n"/>
      <c r="AG458" s="76" t="n"/>
      <c r="AH458" s="76" t="n"/>
      <c r="AI458" s="76" t="n"/>
      <c r="AJ458" s="76" t="n"/>
      <c r="AK458" s="76" t="n"/>
      <c r="AL458" s="76" t="n"/>
      <c r="AM458" s="76" t="n"/>
      <c r="AN458" s="76" t="n"/>
      <c r="AO458" s="76" t="n"/>
      <c r="AP458" s="76" t="n"/>
      <c r="AQ458" s="76" t="n"/>
      <c r="AR458" s="76" t="n"/>
      <c r="AS458" s="76" t="n"/>
      <c r="AT458" s="76" t="n"/>
      <c r="AU458" s="76" t="n"/>
      <c r="AV458" s="76" t="n"/>
      <c r="AX458" s="137" t="n"/>
      <c r="AY458" s="137" t="n"/>
    </row>
    <row r="459" ht="16.5" customFormat="1" customHeight="1" s="38">
      <c r="A459" s="76" t="n"/>
      <c r="B459" s="76" t="n"/>
      <c r="C459" s="76" t="n"/>
      <c r="D459" s="76" t="n"/>
      <c r="E459" s="76" t="n"/>
      <c r="F459" s="76" t="n"/>
      <c r="G459" s="76" t="n"/>
      <c r="H459" s="76" t="n"/>
      <c r="I459" s="76" t="n"/>
      <c r="J459" s="76" t="n"/>
      <c r="K459" s="76" t="n"/>
      <c r="L459" s="76" t="n"/>
      <c r="M459" s="76" t="n"/>
      <c r="N459" s="76" t="n"/>
      <c r="O459" s="76" t="n"/>
      <c r="P459" s="76" t="n"/>
      <c r="Q459" s="76" t="n"/>
      <c r="R459" s="76" t="n"/>
      <c r="S459" s="76" t="n"/>
      <c r="T459" s="76" t="n"/>
      <c r="U459" s="76" t="n"/>
      <c r="V459" s="76" t="n"/>
      <c r="W459" s="76" t="n"/>
      <c r="X459" s="76" t="n"/>
      <c r="Y459" s="76" t="n"/>
      <c r="Z459" s="76" t="n"/>
      <c r="AA459" s="76" t="n"/>
      <c r="AB459" s="76" t="n"/>
      <c r="AC459" s="76" t="n"/>
      <c r="AD459" s="76" t="n"/>
      <c r="AE459" s="76" t="n"/>
      <c r="AF459" s="76" t="n"/>
      <c r="AG459" s="76" t="n"/>
      <c r="AH459" s="76" t="n"/>
      <c r="AI459" s="76" t="n"/>
      <c r="AJ459" s="76" t="n"/>
      <c r="AK459" s="76" t="n"/>
      <c r="AL459" s="76" t="n"/>
      <c r="AM459" s="76" t="n"/>
      <c r="AN459" s="76" t="n"/>
      <c r="AO459" s="76" t="n"/>
      <c r="AP459" s="76" t="n"/>
      <c r="AQ459" s="76" t="n"/>
      <c r="AR459" s="76" t="n"/>
      <c r="AS459" s="76" t="n"/>
      <c r="AT459" s="76" t="n"/>
      <c r="AU459" s="76" t="n"/>
      <c r="AV459" s="76" t="n"/>
      <c r="AX459" s="137" t="n"/>
      <c r="AY459" s="137" t="n"/>
    </row>
    <row r="460" ht="16.5" customFormat="1" customHeight="1" s="38">
      <c r="A460" s="76" t="n"/>
      <c r="B460" s="76" t="n"/>
      <c r="C460" s="76" t="n"/>
      <c r="D460" s="76" t="n"/>
      <c r="E460" s="76" t="n"/>
      <c r="F460" s="76" t="n"/>
      <c r="G460" s="76" t="n"/>
      <c r="H460" s="76" t="n"/>
      <c r="I460" s="76" t="n"/>
      <c r="J460" s="76" t="n"/>
      <c r="K460" s="76" t="n"/>
      <c r="L460" s="76" t="n"/>
      <c r="M460" s="76" t="n"/>
      <c r="N460" s="76" t="n"/>
      <c r="O460" s="76" t="n"/>
      <c r="P460" s="76" t="n"/>
      <c r="Q460" s="76" t="n"/>
      <c r="R460" s="76" t="n"/>
      <c r="S460" s="76" t="n"/>
      <c r="T460" s="76" t="n"/>
      <c r="U460" s="76" t="n"/>
      <c r="V460" s="76" t="n"/>
      <c r="W460" s="76" t="n"/>
      <c r="X460" s="76" t="n"/>
      <c r="Y460" s="76" t="n"/>
      <c r="Z460" s="76" t="n"/>
      <c r="AA460" s="76" t="n"/>
      <c r="AB460" s="76" t="n"/>
      <c r="AC460" s="76" t="n"/>
      <c r="AD460" s="76" t="n"/>
      <c r="AE460" s="76" t="n"/>
      <c r="AF460" s="76" t="n"/>
      <c r="AG460" s="76" t="n"/>
      <c r="AH460" s="76" t="n"/>
      <c r="AI460" s="76" t="n"/>
      <c r="AJ460" s="76" t="n"/>
      <c r="AK460" s="76" t="n"/>
      <c r="AL460" s="76" t="n"/>
      <c r="AM460" s="76" t="n"/>
      <c r="AN460" s="76" t="n"/>
      <c r="AO460" s="76" t="n"/>
      <c r="AP460" s="76" t="n"/>
      <c r="AQ460" s="76" t="n"/>
      <c r="AR460" s="76" t="n"/>
      <c r="AS460" s="76" t="n"/>
      <c r="AT460" s="76" t="n"/>
      <c r="AU460" s="76" t="n"/>
      <c r="AV460" s="76" t="n"/>
      <c r="AX460" s="137" t="n"/>
      <c r="AY460" s="137" t="n"/>
    </row>
    <row r="461" ht="16.5" customFormat="1" customHeight="1" s="38">
      <c r="A461" s="76" t="n"/>
      <c r="B461" s="76" t="n"/>
      <c r="C461" s="76" t="n"/>
      <c r="D461" s="76" t="n"/>
      <c r="E461" s="76" t="n"/>
      <c r="F461" s="76" t="n"/>
      <c r="G461" s="76" t="n"/>
      <c r="H461" s="76" t="n"/>
      <c r="I461" s="76" t="n"/>
      <c r="J461" s="76" t="n"/>
      <c r="K461" s="76" t="n"/>
      <c r="L461" s="76" t="n"/>
      <c r="M461" s="76" t="n"/>
      <c r="N461" s="76" t="n"/>
      <c r="O461" s="76" t="n"/>
      <c r="P461" s="76" t="n"/>
      <c r="Q461" s="76" t="n"/>
      <c r="R461" s="76" t="n"/>
      <c r="S461" s="76" t="n"/>
      <c r="T461" s="76" t="n"/>
      <c r="U461" s="76" t="n"/>
      <c r="V461" s="76" t="n"/>
      <c r="W461" s="76" t="n"/>
      <c r="X461" s="76" t="n"/>
      <c r="Y461" s="76" t="n"/>
      <c r="Z461" s="76" t="n"/>
      <c r="AA461" s="76" t="n"/>
      <c r="AB461" s="76" t="n"/>
      <c r="AC461" s="76" t="n"/>
      <c r="AD461" s="76" t="n"/>
      <c r="AE461" s="76" t="n"/>
      <c r="AF461" s="76" t="n"/>
      <c r="AG461" s="76" t="n"/>
      <c r="AH461" s="76" t="n"/>
      <c r="AI461" s="76" t="n"/>
      <c r="AJ461" s="76" t="n"/>
      <c r="AK461" s="76" t="n"/>
      <c r="AL461" s="76" t="n"/>
      <c r="AM461" s="76" t="n"/>
      <c r="AN461" s="76" t="n"/>
      <c r="AO461" s="76" t="n"/>
      <c r="AP461" s="76" t="n"/>
      <c r="AQ461" s="76" t="n"/>
      <c r="AR461" s="76" t="n"/>
      <c r="AS461" s="76" t="n"/>
      <c r="AT461" s="76" t="n"/>
      <c r="AU461" s="76" t="n"/>
      <c r="AV461" s="76" t="n"/>
      <c r="AX461" s="137" t="n"/>
      <c r="AY461" s="137" t="n"/>
    </row>
    <row r="462" ht="16.5" customFormat="1" customHeight="1" s="38">
      <c r="A462" s="76" t="n"/>
      <c r="B462" s="76" t="n"/>
      <c r="C462" s="76" t="n"/>
      <c r="D462" s="76" t="n"/>
      <c r="E462" s="76" t="n"/>
      <c r="F462" s="76" t="n"/>
      <c r="G462" s="76" t="n"/>
      <c r="H462" s="76" t="n"/>
      <c r="I462" s="76" t="n"/>
      <c r="J462" s="76" t="n"/>
      <c r="K462" s="76" t="n"/>
      <c r="L462" s="76" t="n"/>
      <c r="M462" s="76" t="n"/>
      <c r="N462" s="76" t="n"/>
      <c r="O462" s="76" t="n"/>
      <c r="P462" s="76" t="n"/>
      <c r="Q462" s="76" t="n"/>
      <c r="R462" s="76" t="n"/>
      <c r="S462" s="76" t="n"/>
      <c r="T462" s="76" t="n"/>
      <c r="U462" s="76" t="n"/>
      <c r="V462" s="76" t="n"/>
      <c r="W462" s="76" t="n"/>
      <c r="X462" s="76" t="n"/>
      <c r="Y462" s="76" t="n"/>
      <c r="Z462" s="76" t="n"/>
      <c r="AA462" s="76" t="n"/>
      <c r="AB462" s="76" t="n"/>
      <c r="AC462" s="76" t="n"/>
      <c r="AD462" s="76" t="n"/>
      <c r="AE462" s="76" t="n"/>
      <c r="AF462" s="76" t="n"/>
      <c r="AG462" s="76" t="n"/>
      <c r="AH462" s="76" t="n"/>
      <c r="AI462" s="76" t="n"/>
      <c r="AJ462" s="76" t="n"/>
      <c r="AK462" s="76" t="n"/>
      <c r="AL462" s="76" t="n"/>
      <c r="AM462" s="76" t="n"/>
      <c r="AN462" s="76" t="n"/>
      <c r="AO462" s="76" t="n"/>
      <c r="AP462" s="76" t="n"/>
      <c r="AQ462" s="76" t="n"/>
      <c r="AR462" s="76" t="n"/>
      <c r="AS462" s="76" t="n"/>
      <c r="AT462" s="76" t="n"/>
      <c r="AU462" s="76" t="n"/>
      <c r="AV462" s="76" t="n"/>
      <c r="AX462" s="137" t="n"/>
      <c r="AY462" s="137" t="n"/>
    </row>
    <row r="463" ht="16.5" customFormat="1" customHeight="1" s="38">
      <c r="A463" s="76" t="n"/>
      <c r="B463" s="76" t="n"/>
      <c r="C463" s="76" t="n"/>
      <c r="D463" s="76" t="n"/>
      <c r="E463" s="76" t="n"/>
      <c r="F463" s="76" t="n"/>
      <c r="G463" s="76" t="n"/>
      <c r="H463" s="76" t="n"/>
      <c r="I463" s="76" t="n"/>
      <c r="J463" s="76" t="n"/>
      <c r="K463" s="76" t="n"/>
      <c r="L463" s="76" t="n"/>
      <c r="M463" s="76" t="n"/>
      <c r="N463" s="76" t="n"/>
      <c r="O463" s="76" t="n"/>
      <c r="P463" s="76" t="n"/>
      <c r="Q463" s="76" t="n"/>
      <c r="R463" s="76" t="n"/>
      <c r="S463" s="76" t="n"/>
      <c r="T463" s="76" t="n"/>
      <c r="U463" s="76" t="n"/>
      <c r="V463" s="76" t="n"/>
      <c r="W463" s="76" t="n"/>
      <c r="X463" s="76" t="n"/>
      <c r="Y463" s="76" t="n"/>
      <c r="Z463" s="76" t="n"/>
      <c r="AA463" s="76" t="n"/>
      <c r="AB463" s="76" t="n"/>
      <c r="AC463" s="76" t="n"/>
      <c r="AD463" s="76" t="n"/>
      <c r="AE463" s="76" t="n"/>
      <c r="AF463" s="76" t="n"/>
      <c r="AG463" s="76" t="n"/>
      <c r="AH463" s="76" t="n"/>
      <c r="AI463" s="76" t="n"/>
      <c r="AJ463" s="76" t="n"/>
      <c r="AK463" s="76" t="n"/>
      <c r="AL463" s="76" t="n"/>
      <c r="AM463" s="76" t="n"/>
      <c r="AN463" s="76" t="n"/>
      <c r="AO463" s="76" t="n"/>
      <c r="AP463" s="76" t="n"/>
      <c r="AQ463" s="76" t="n"/>
      <c r="AR463" s="76" t="n"/>
      <c r="AS463" s="76" t="n"/>
      <c r="AT463" s="76" t="n"/>
      <c r="AU463" s="76" t="n"/>
      <c r="AV463" s="76" t="n"/>
      <c r="AX463" s="137" t="n"/>
      <c r="AY463" s="137" t="n"/>
    </row>
    <row r="464" ht="16.5" customFormat="1" customHeight="1" s="38">
      <c r="A464" s="76" t="n"/>
      <c r="B464" s="76" t="n"/>
      <c r="C464" s="76" t="n"/>
      <c r="D464" s="76" t="n"/>
      <c r="E464" s="76" t="n"/>
      <c r="F464" s="76" t="n"/>
      <c r="G464" s="76" t="n"/>
      <c r="H464" s="76" t="n"/>
      <c r="I464" s="76" t="n"/>
      <c r="J464" s="76" t="n"/>
      <c r="K464" s="76" t="n"/>
      <c r="L464" s="76" t="n"/>
      <c r="M464" s="76" t="n"/>
      <c r="N464" s="76" t="n"/>
      <c r="O464" s="76" t="n"/>
      <c r="P464" s="76" t="n"/>
      <c r="Q464" s="76" t="n"/>
      <c r="R464" s="76" t="n"/>
      <c r="S464" s="76" t="n"/>
      <c r="T464" s="76" t="n"/>
      <c r="U464" s="76" t="n"/>
      <c r="V464" s="76" t="n"/>
      <c r="W464" s="76" t="n"/>
      <c r="X464" s="76" t="n"/>
      <c r="Y464" s="76" t="n"/>
      <c r="Z464" s="76" t="n"/>
      <c r="AA464" s="76" t="n"/>
      <c r="AB464" s="76" t="n"/>
      <c r="AC464" s="76" t="n"/>
      <c r="AD464" s="76" t="n"/>
      <c r="AE464" s="76" t="n"/>
      <c r="AF464" s="76" t="n"/>
      <c r="AG464" s="76" t="n"/>
      <c r="AH464" s="76" t="n"/>
      <c r="AI464" s="76" t="n"/>
      <c r="AJ464" s="76" t="n"/>
      <c r="AK464" s="76" t="n"/>
      <c r="AL464" s="76" t="n"/>
      <c r="AM464" s="76" t="n"/>
      <c r="AN464" s="76" t="n"/>
      <c r="AO464" s="76" t="n"/>
      <c r="AP464" s="76" t="n"/>
      <c r="AQ464" s="76" t="n"/>
      <c r="AR464" s="76" t="n"/>
      <c r="AS464" s="76" t="n"/>
      <c r="AT464" s="76" t="n"/>
      <c r="AU464" s="76" t="n"/>
      <c r="AV464" s="76" t="n"/>
      <c r="AX464" s="137" t="n"/>
      <c r="AY464" s="137" t="n"/>
      <c r="AZ464" s="137" t="n"/>
      <c r="BA464" s="117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8">
      <c r="A465" s="76" t="n"/>
      <c r="B465" s="76" t="n"/>
      <c r="C465" s="76" t="n"/>
      <c r="D465" s="76" t="n"/>
      <c r="E465" s="76" t="n"/>
      <c r="F465" s="76" t="n"/>
      <c r="G465" s="76" t="n"/>
      <c r="H465" s="76" t="n"/>
      <c r="I465" s="76" t="n"/>
      <c r="J465" s="76" t="n"/>
      <c r="K465" s="76" t="n"/>
      <c r="L465" s="76" t="n"/>
      <c r="M465" s="76" t="n"/>
      <c r="N465" s="76" t="n"/>
      <c r="O465" s="76" t="n"/>
      <c r="P465" s="76" t="n"/>
      <c r="Q465" s="76" t="n"/>
      <c r="R465" s="76" t="n"/>
      <c r="S465" s="76" t="n"/>
      <c r="T465" s="76" t="n"/>
      <c r="U465" s="76" t="n"/>
      <c r="V465" s="76" t="n"/>
      <c r="W465" s="76" t="n"/>
      <c r="X465" s="76" t="n"/>
      <c r="Y465" s="76" t="n"/>
      <c r="Z465" s="76" t="n"/>
      <c r="AA465" s="76" t="n"/>
      <c r="AB465" s="76" t="n"/>
      <c r="AC465" s="76" t="n"/>
      <c r="AD465" s="76" t="n"/>
      <c r="AE465" s="76" t="n"/>
      <c r="AF465" s="76" t="n"/>
      <c r="AG465" s="76" t="n"/>
      <c r="AH465" s="76" t="n"/>
      <c r="AI465" s="76" t="n"/>
      <c r="AJ465" s="76" t="n"/>
      <c r="AK465" s="76" t="n"/>
      <c r="AL465" s="76" t="n"/>
      <c r="AM465" s="76" t="n"/>
      <c r="AN465" s="76" t="n"/>
      <c r="AO465" s="76" t="n"/>
      <c r="AP465" s="76" t="n"/>
      <c r="AQ465" s="76" t="n"/>
      <c r="AR465" s="76" t="n"/>
      <c r="AS465" s="76" t="n"/>
      <c r="AT465" s="76" t="n"/>
      <c r="AU465" s="76" t="n"/>
      <c r="AV465" s="76" t="n"/>
      <c r="AX465" s="137" t="n"/>
      <c r="AY465" s="137" t="n"/>
      <c r="AZ465" s="137" t="n"/>
      <c r="BA465" s="117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8">
      <c r="A466" s="76" t="n"/>
      <c r="B466" s="76" t="n"/>
      <c r="C466" s="76" t="n"/>
      <c r="D466" s="76" t="n"/>
      <c r="E466" s="76" t="n"/>
      <c r="F466" s="76" t="n"/>
      <c r="G466" s="76" t="n"/>
      <c r="H466" s="76" t="n"/>
      <c r="I466" s="76" t="n"/>
      <c r="J466" s="76" t="n"/>
      <c r="K466" s="76" t="n"/>
      <c r="L466" s="76" t="n"/>
      <c r="M466" s="76" t="n"/>
      <c r="N466" s="76" t="n"/>
      <c r="O466" s="76" t="n"/>
      <c r="P466" s="76" t="n"/>
      <c r="Q466" s="76" t="n"/>
      <c r="R466" s="76" t="n"/>
      <c r="S466" s="76" t="n"/>
      <c r="T466" s="76" t="n"/>
      <c r="U466" s="76" t="n"/>
      <c r="V466" s="76" t="n"/>
      <c r="W466" s="76" t="n"/>
      <c r="X466" s="76" t="n"/>
      <c r="Y466" s="76" t="n"/>
      <c r="Z466" s="76" t="n"/>
      <c r="AA466" s="76" t="n"/>
      <c r="AB466" s="76" t="n"/>
      <c r="AC466" s="76" t="n"/>
      <c r="AD466" s="76" t="n"/>
      <c r="AE466" s="76" t="n"/>
      <c r="AF466" s="76" t="n"/>
      <c r="AG466" s="76" t="n"/>
      <c r="AH466" s="76" t="n"/>
      <c r="AI466" s="76" t="n"/>
      <c r="AJ466" s="76" t="n"/>
      <c r="AK466" s="76" t="n"/>
      <c r="AL466" s="76" t="n"/>
      <c r="AM466" s="76" t="n"/>
      <c r="AN466" s="76" t="n"/>
      <c r="AO466" s="76" t="n"/>
      <c r="AP466" s="76" t="n"/>
      <c r="AQ466" s="76" t="n"/>
      <c r="AR466" s="76" t="n"/>
      <c r="AS466" s="76" t="n"/>
      <c r="AT466" s="76" t="n"/>
      <c r="AU466" s="76" t="n"/>
      <c r="AV466" s="76" t="n"/>
      <c r="AX466" s="137" t="n"/>
      <c r="AY466" s="137" t="n"/>
      <c r="AZ466" s="137" t="n"/>
      <c r="BA466" s="75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8">
      <c r="A467" s="76" t="n"/>
      <c r="B467" s="76" t="n"/>
      <c r="C467" s="76" t="n"/>
      <c r="D467" s="76" t="n"/>
      <c r="E467" s="76" t="n"/>
      <c r="F467" s="76" t="n"/>
      <c r="G467" s="76" t="n"/>
      <c r="H467" s="76" t="n"/>
      <c r="I467" s="76" t="n"/>
      <c r="J467" s="76" t="n"/>
      <c r="K467" s="76" t="n"/>
      <c r="L467" s="76" t="n"/>
      <c r="M467" s="76" t="n"/>
      <c r="N467" s="76" t="n"/>
      <c r="O467" s="76" t="n"/>
      <c r="P467" s="76" t="n"/>
      <c r="Q467" s="76" t="n"/>
      <c r="R467" s="76" t="n"/>
      <c r="S467" s="76" t="n"/>
      <c r="T467" s="76" t="n"/>
      <c r="U467" s="76" t="n"/>
      <c r="V467" s="76" t="n"/>
      <c r="W467" s="76" t="n"/>
      <c r="X467" s="76" t="n"/>
      <c r="Y467" s="76" t="n"/>
      <c r="Z467" s="76" t="n"/>
      <c r="AA467" s="76" t="n"/>
      <c r="AB467" s="76" t="n"/>
      <c r="AC467" s="76" t="n"/>
      <c r="AD467" s="76" t="n"/>
      <c r="AE467" s="76" t="n"/>
      <c r="AF467" s="76" t="n"/>
      <c r="AG467" s="76" t="n"/>
      <c r="AH467" s="76" t="n"/>
      <c r="AI467" s="76" t="n"/>
      <c r="AJ467" s="76" t="n"/>
      <c r="AK467" s="76" t="n"/>
      <c r="AL467" s="76" t="n"/>
      <c r="AM467" s="76" t="n"/>
      <c r="AN467" s="76" t="n"/>
      <c r="AO467" s="76" t="n"/>
      <c r="AP467" s="76" t="n"/>
      <c r="AQ467" s="76" t="n"/>
      <c r="AR467" s="76" t="n"/>
      <c r="AS467" s="76" t="n"/>
      <c r="AT467" s="76" t="n"/>
      <c r="AU467" s="76" t="n"/>
      <c r="AV467" s="76" t="n"/>
      <c r="AX467" s="137" t="n"/>
      <c r="AY467" s="137" t="n"/>
      <c r="AZ467" s="137" t="n"/>
      <c r="BA467" s="117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8">
      <c r="A468" s="76" t="n"/>
      <c r="B468" s="76" t="n"/>
      <c r="C468" s="76" t="n"/>
      <c r="D468" s="76" t="n"/>
      <c r="E468" s="76" t="n"/>
      <c r="F468" s="76" t="n"/>
      <c r="G468" s="76" t="n"/>
      <c r="H468" s="76" t="n"/>
      <c r="I468" s="76" t="n"/>
      <c r="J468" s="76" t="n"/>
      <c r="K468" s="76" t="n"/>
      <c r="L468" s="76" t="n"/>
      <c r="M468" s="76" t="n"/>
      <c r="N468" s="76" t="n"/>
      <c r="O468" s="76" t="n"/>
      <c r="P468" s="76" t="n"/>
      <c r="Q468" s="76" t="n"/>
      <c r="R468" s="76" t="n"/>
      <c r="S468" s="76" t="n"/>
      <c r="T468" s="76" t="n"/>
      <c r="U468" s="76" t="n"/>
      <c r="V468" s="76" t="n"/>
      <c r="W468" s="76" t="n"/>
      <c r="X468" s="76" t="n"/>
      <c r="Y468" s="76" t="n"/>
      <c r="Z468" s="76" t="n"/>
      <c r="AA468" s="76" t="n"/>
      <c r="AB468" s="76" t="n"/>
      <c r="AC468" s="76" t="n"/>
      <c r="AD468" s="76" t="n"/>
      <c r="AE468" s="76" t="n"/>
      <c r="AF468" s="76" t="n"/>
      <c r="AG468" s="76" t="n"/>
      <c r="AH468" s="76" t="n"/>
      <c r="AI468" s="76" t="n"/>
      <c r="AJ468" s="76" t="n"/>
      <c r="AK468" s="76" t="n"/>
      <c r="AL468" s="76" t="n"/>
      <c r="AM468" s="76" t="n"/>
      <c r="AN468" s="76" t="n"/>
      <c r="AO468" s="76" t="n"/>
      <c r="AP468" s="76" t="n"/>
      <c r="AQ468" s="76" t="n"/>
      <c r="AR468" s="76" t="n"/>
      <c r="AS468" s="76" t="n"/>
      <c r="AT468" s="76" t="n"/>
      <c r="AU468" s="76" t="n"/>
      <c r="AV468" s="76" t="n"/>
      <c r="AX468" s="137" t="n"/>
      <c r="AY468" s="137" t="n"/>
      <c r="AZ468" s="137" t="n"/>
      <c r="BA468" s="117" t="n"/>
      <c r="BB468" s="117" t="inlineStr">
        <is>
          <t>10년 이하</t>
        </is>
      </c>
      <c r="BC468" s="117" t="inlineStr">
        <is>
          <t>10~20년</t>
        </is>
      </c>
      <c r="BD468" s="117" t="inlineStr">
        <is>
          <t>20~30년</t>
        </is>
      </c>
      <c r="BE468" s="117" t="inlineStr">
        <is>
          <t>30년 이상</t>
        </is>
      </c>
      <c r="BF468" s="117" t="inlineStr">
        <is>
          <t>합계</t>
        </is>
      </c>
    </row>
    <row r="469" ht="16.5" customFormat="1" customHeight="1" s="38">
      <c r="A469" s="76" t="n"/>
      <c r="B469" s="76" t="n"/>
      <c r="C469" s="76" t="n"/>
      <c r="D469" s="76" t="n"/>
      <c r="E469" s="76" t="n"/>
      <c r="F469" s="76" t="n"/>
      <c r="G469" s="76" t="n"/>
      <c r="H469" s="76" t="n"/>
      <c r="I469" s="76" t="n"/>
      <c r="J469" s="76" t="n"/>
      <c r="K469" s="76" t="n"/>
      <c r="L469" s="76" t="n"/>
      <c r="M469" s="76" t="n"/>
      <c r="N469" s="76" t="n"/>
      <c r="O469" s="76" t="n"/>
      <c r="P469" s="76" t="n"/>
      <c r="Q469" s="76" t="n"/>
      <c r="R469" s="76" t="n"/>
      <c r="S469" s="76" t="n"/>
      <c r="T469" s="76" t="n"/>
      <c r="U469" s="76" t="n"/>
      <c r="V469" s="76" t="n"/>
      <c r="W469" s="76" t="n"/>
      <c r="X469" s="76" t="n"/>
      <c r="Y469" s="76" t="n"/>
      <c r="Z469" s="76" t="n"/>
      <c r="AA469" s="76" t="n"/>
      <c r="AB469" s="76" t="n"/>
      <c r="AC469" s="76" t="n"/>
      <c r="AD469" s="76" t="n"/>
      <c r="AE469" s="76" t="n"/>
      <c r="AF469" s="76" t="n"/>
      <c r="AG469" s="76" t="n"/>
      <c r="AH469" s="76" t="n"/>
      <c r="AI469" s="76" t="n"/>
      <c r="AJ469" s="76" t="n"/>
      <c r="AK469" s="76" t="n"/>
      <c r="AL469" s="76" t="n"/>
      <c r="AM469" s="76" t="n"/>
      <c r="AN469" s="76" t="n"/>
      <c r="AO469" s="76" t="n"/>
      <c r="AP469" s="76" t="n"/>
      <c r="AQ469" s="76" t="n"/>
      <c r="AR469" s="76" t="n"/>
      <c r="AS469" s="76" t="n"/>
      <c r="AT469" s="76" t="n"/>
      <c r="AU469" s="76" t="n"/>
      <c r="AV469" s="76" t="n"/>
      <c r="AX469" s="137" t="n"/>
      <c r="AY469" s="137" t="n"/>
      <c r="AZ469" s="137" t="n"/>
      <c r="BA469" s="117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8">
      <c r="A470" s="76" t="n"/>
      <c r="B470" s="76" t="n"/>
      <c r="C470" s="76" t="n"/>
      <c r="D470" s="76" t="n"/>
      <c r="E470" s="76" t="n"/>
      <c r="F470" s="76" t="n"/>
      <c r="G470" s="76" t="n"/>
      <c r="H470" s="76" t="n"/>
      <c r="I470" s="76" t="n"/>
      <c r="J470" s="76" t="n"/>
      <c r="K470" s="76" t="n"/>
      <c r="L470" s="76" t="n"/>
      <c r="M470" s="76" t="n"/>
      <c r="N470" s="76" t="n"/>
      <c r="O470" s="76" t="n"/>
      <c r="P470" s="76" t="n"/>
      <c r="Q470" s="76" t="n"/>
      <c r="R470" s="76" t="n"/>
      <c r="S470" s="76" t="n"/>
      <c r="T470" s="76" t="n"/>
      <c r="U470" s="76" t="n"/>
      <c r="V470" s="76" t="n"/>
      <c r="W470" s="76" t="n"/>
      <c r="X470" s="76" t="n"/>
      <c r="Y470" s="76" t="n"/>
      <c r="Z470" s="76" t="n"/>
      <c r="AA470" s="76" t="n"/>
      <c r="AB470" s="76" t="n"/>
      <c r="AC470" s="76" t="n"/>
      <c r="AD470" s="76" t="n"/>
      <c r="AE470" s="76" t="n"/>
      <c r="AF470" s="76" t="n"/>
      <c r="AG470" s="76" t="n"/>
      <c r="AH470" s="76" t="n"/>
      <c r="AI470" s="76" t="n"/>
      <c r="AJ470" s="76" t="n"/>
      <c r="AK470" s="76" t="n"/>
      <c r="AL470" s="76" t="n"/>
      <c r="AM470" s="76" t="n"/>
      <c r="AN470" s="76" t="n"/>
      <c r="AO470" s="76" t="n"/>
      <c r="AP470" s="76" t="n"/>
      <c r="AQ470" s="76" t="n"/>
      <c r="AR470" s="76" t="n"/>
      <c r="AS470" s="76" t="n"/>
      <c r="AT470" s="76" t="n"/>
      <c r="AU470" s="76" t="n"/>
      <c r="AV470" s="76" t="n"/>
      <c r="AX470" s="137" t="n"/>
      <c r="AY470" s="137" t="n"/>
      <c r="BA470" s="117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8">
      <c r="A471" s="76" t="n"/>
      <c r="B471" s="76" t="n"/>
      <c r="C471" s="76" t="n"/>
      <c r="D471" s="76" t="n"/>
      <c r="E471" s="76" t="n"/>
      <c r="F471" s="76" t="n"/>
      <c r="G471" s="76" t="n"/>
      <c r="H471" s="76" t="n"/>
      <c r="I471" s="76" t="n"/>
      <c r="J471" s="76" t="n"/>
      <c r="K471" s="76" t="n"/>
      <c r="L471" s="76" t="n"/>
      <c r="M471" s="76" t="n"/>
      <c r="N471" s="76" t="n"/>
      <c r="O471" s="76" t="n"/>
      <c r="P471" s="76" t="n"/>
      <c r="Q471" s="76" t="n"/>
      <c r="R471" s="76" t="n"/>
      <c r="S471" s="76" t="n"/>
      <c r="T471" s="76" t="n"/>
      <c r="U471" s="76" t="n"/>
      <c r="V471" s="76" t="n"/>
      <c r="W471" s="76" t="n"/>
      <c r="X471" s="76" t="n"/>
      <c r="Y471" s="76" t="n"/>
      <c r="Z471" s="76" t="n"/>
      <c r="AA471" s="76" t="n"/>
      <c r="AB471" s="76" t="n"/>
      <c r="AC471" s="76" t="n"/>
      <c r="AD471" s="76" t="n"/>
      <c r="AE471" s="76" t="n"/>
      <c r="AF471" s="76" t="n"/>
      <c r="AG471" s="76" t="n"/>
      <c r="AH471" s="76" t="n"/>
      <c r="AI471" s="76" t="n"/>
      <c r="AJ471" s="76" t="n"/>
      <c r="AK471" s="76" t="n"/>
      <c r="AL471" s="76" t="n"/>
      <c r="AM471" s="76" t="n"/>
      <c r="AN471" s="76" t="n"/>
      <c r="AO471" s="76" t="n"/>
      <c r="AP471" s="76" t="n"/>
      <c r="AQ471" s="76" t="n"/>
      <c r="AR471" s="76" t="n"/>
      <c r="AS471" s="76" t="n"/>
      <c r="AT471" s="76" t="n"/>
      <c r="AU471" s="76" t="n"/>
      <c r="AV471" s="76" t="n"/>
      <c r="AX471" s="137" t="n"/>
      <c r="AY471" s="137" t="n"/>
      <c r="BA471" s="75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8">
      <c r="A472" s="76" t="n"/>
      <c r="B472" s="76" t="n"/>
      <c r="C472" s="76" t="n"/>
      <c r="D472" s="76" t="n"/>
      <c r="E472" s="76" t="n"/>
      <c r="F472" s="76" t="n"/>
      <c r="G472" s="76" t="n"/>
      <c r="H472" s="76" t="n"/>
      <c r="I472" s="76" t="n"/>
      <c r="J472" s="76" t="n"/>
      <c r="K472" s="76" t="n"/>
      <c r="L472" s="76" t="n"/>
      <c r="M472" s="76" t="n"/>
      <c r="N472" s="76" t="n"/>
      <c r="O472" s="76" t="n"/>
      <c r="P472" s="76" t="n"/>
      <c r="Q472" s="76" t="n"/>
      <c r="R472" s="76" t="n"/>
      <c r="S472" s="76" t="n"/>
      <c r="T472" s="76" t="n"/>
      <c r="U472" s="76" t="n"/>
      <c r="V472" s="76" t="n"/>
      <c r="W472" s="76" t="n"/>
      <c r="X472" s="76" t="n"/>
      <c r="Y472" s="76" t="n"/>
      <c r="Z472" s="76" t="n"/>
      <c r="AA472" s="76" t="n"/>
      <c r="AB472" s="76" t="n"/>
      <c r="AC472" s="76" t="n"/>
      <c r="AD472" s="76" t="n"/>
      <c r="AE472" s="76" t="n"/>
      <c r="AF472" s="76" t="n"/>
      <c r="AG472" s="76" t="n"/>
      <c r="AH472" s="76" t="n"/>
      <c r="AI472" s="76" t="n"/>
      <c r="AJ472" s="76" t="n"/>
      <c r="AK472" s="76" t="n"/>
      <c r="AL472" s="76" t="n"/>
      <c r="AM472" s="76" t="n"/>
      <c r="AN472" s="76" t="n"/>
      <c r="AO472" s="76" t="n"/>
      <c r="AP472" s="76" t="n"/>
      <c r="AQ472" s="76" t="n"/>
      <c r="AR472" s="76" t="n"/>
      <c r="AS472" s="76" t="n"/>
      <c r="AT472" s="76" t="n"/>
      <c r="AU472" s="76" t="n"/>
      <c r="AV472" s="76" t="n"/>
      <c r="AX472" s="137" t="n"/>
      <c r="AY472" s="137" t="n"/>
      <c r="BA472" s="117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8">
      <c r="A473" s="76" t="n"/>
      <c r="B473" s="76" t="n"/>
      <c r="C473" s="76" t="n"/>
      <c r="D473" s="76" t="n"/>
      <c r="E473" s="76" t="n"/>
      <c r="F473" s="76" t="n"/>
      <c r="G473" s="76" t="n"/>
      <c r="H473" s="76" t="n"/>
      <c r="I473" s="76" t="n"/>
      <c r="J473" s="76" t="n"/>
      <c r="K473" s="76" t="n"/>
      <c r="L473" s="76" t="n"/>
      <c r="M473" s="76" t="n"/>
      <c r="N473" s="76" t="n"/>
      <c r="O473" s="76" t="n"/>
      <c r="P473" s="76" t="n"/>
      <c r="Q473" s="76" t="n"/>
      <c r="R473" s="76" t="n"/>
      <c r="S473" s="76" t="n"/>
      <c r="T473" s="76" t="n"/>
      <c r="U473" s="76" t="n"/>
      <c r="V473" s="76" t="n"/>
      <c r="W473" s="76" t="n"/>
      <c r="X473" s="76" t="n"/>
      <c r="Y473" s="76" t="n"/>
      <c r="Z473" s="76" t="n"/>
      <c r="AA473" s="76" t="n"/>
      <c r="AB473" s="76" t="n"/>
      <c r="AC473" s="76" t="n"/>
      <c r="AD473" s="76" t="n"/>
      <c r="AE473" s="76" t="n"/>
      <c r="AF473" s="76" t="n"/>
      <c r="AG473" s="76" t="n"/>
      <c r="AH473" s="76" t="n"/>
      <c r="AI473" s="76" t="n"/>
      <c r="AJ473" s="76" t="n"/>
      <c r="AK473" s="76" t="n"/>
      <c r="AL473" s="76" t="n"/>
      <c r="AM473" s="76" t="n"/>
      <c r="AN473" s="76" t="n"/>
      <c r="AO473" s="76" t="n"/>
      <c r="AP473" s="76" t="n"/>
      <c r="AQ473" s="76" t="n"/>
      <c r="AR473" s="76" t="n"/>
      <c r="AS473" s="76" t="n"/>
      <c r="AT473" s="76" t="n"/>
      <c r="AU473" s="76" t="n"/>
      <c r="AV473" s="76" t="n"/>
      <c r="AX473" s="137" t="n"/>
      <c r="AY473" s="137" t="n"/>
    </row>
    <row r="474" ht="16.5" customFormat="1" customHeight="1" s="38">
      <c r="A474" s="76" t="n"/>
      <c r="B474" s="76" t="n"/>
      <c r="C474" s="76" t="n"/>
      <c r="D474" s="76" t="n"/>
      <c r="E474" s="76" t="n"/>
      <c r="F474" s="76" t="n"/>
      <c r="G474" s="76" t="n"/>
      <c r="H474" s="76" t="n"/>
      <c r="I474" s="76" t="n"/>
      <c r="J474" s="76" t="n"/>
      <c r="K474" s="76" t="n"/>
      <c r="L474" s="76" t="n"/>
      <c r="M474" s="76" t="n"/>
      <c r="N474" s="76" t="n"/>
      <c r="O474" s="76" t="n"/>
      <c r="P474" s="76" t="n"/>
      <c r="Q474" s="76" t="n"/>
      <c r="R474" s="76" t="n"/>
      <c r="S474" s="76" t="n"/>
      <c r="T474" s="76" t="n"/>
      <c r="U474" s="76" t="n"/>
      <c r="V474" s="76" t="n"/>
      <c r="W474" s="76" t="n"/>
      <c r="X474" s="76" t="n"/>
      <c r="Y474" s="76" t="n"/>
      <c r="Z474" s="76" t="n"/>
      <c r="AA474" s="76" t="n"/>
      <c r="AB474" s="76" t="n"/>
      <c r="AC474" s="76" t="n"/>
      <c r="AD474" s="76" t="n"/>
      <c r="AE474" s="76" t="n"/>
      <c r="AF474" s="76" t="n"/>
      <c r="AG474" s="76" t="n"/>
      <c r="AH474" s="76" t="n"/>
      <c r="AI474" s="76" t="n"/>
      <c r="AJ474" s="76" t="n"/>
      <c r="AK474" s="76" t="n"/>
      <c r="AL474" s="76" t="n"/>
      <c r="AM474" s="76" t="n"/>
      <c r="AN474" s="76" t="n"/>
      <c r="AO474" s="76" t="n"/>
      <c r="AP474" s="76" t="n"/>
      <c r="AQ474" s="76" t="n"/>
      <c r="AR474" s="76" t="n"/>
      <c r="AS474" s="76" t="n"/>
      <c r="AT474" s="76" t="n"/>
      <c r="AU474" s="76" t="n"/>
      <c r="AV474" s="76" t="n"/>
      <c r="AX474" s="137" t="n"/>
      <c r="AY474" s="137" t="n"/>
    </row>
    <row r="475" ht="16.5" customFormat="1" customHeight="1" s="38">
      <c r="A475" s="76" t="n"/>
      <c r="B475" s="76" t="n"/>
      <c r="C475" s="76" t="n"/>
      <c r="D475" s="76" t="n"/>
      <c r="E475" s="76" t="n"/>
      <c r="F475" s="76" t="n"/>
      <c r="G475" s="76" t="n"/>
      <c r="H475" s="76" t="n"/>
      <c r="I475" s="76" t="n"/>
      <c r="J475" s="76" t="n"/>
      <c r="K475" s="76" t="n"/>
      <c r="L475" s="76" t="n"/>
      <c r="M475" s="76" t="n"/>
      <c r="N475" s="76" t="n"/>
      <c r="O475" s="76" t="n"/>
      <c r="P475" s="76" t="n"/>
      <c r="Q475" s="76" t="n"/>
      <c r="R475" s="76" t="n"/>
      <c r="S475" s="76" t="n"/>
      <c r="T475" s="76" t="n"/>
      <c r="U475" s="76" t="n"/>
      <c r="V475" s="76" t="n"/>
      <c r="W475" s="76" t="n"/>
      <c r="X475" s="76" t="n"/>
      <c r="Y475" s="76" t="n"/>
      <c r="Z475" s="76" t="n"/>
      <c r="AA475" s="76" t="n"/>
      <c r="AB475" s="76" t="n"/>
      <c r="AC475" s="76" t="n"/>
      <c r="AD475" s="76" t="n"/>
      <c r="AE475" s="76" t="n"/>
      <c r="AF475" s="76" t="n"/>
      <c r="AG475" s="76" t="n"/>
      <c r="AH475" s="76" t="n"/>
      <c r="AI475" s="76" t="n"/>
      <c r="AJ475" s="76" t="n"/>
      <c r="AK475" s="76" t="n"/>
      <c r="AL475" s="76" t="n"/>
      <c r="AM475" s="76" t="n"/>
      <c r="AN475" s="76" t="n"/>
      <c r="AO475" s="76" t="n"/>
      <c r="AP475" s="76" t="n"/>
      <c r="AQ475" s="76" t="n"/>
      <c r="AR475" s="76" t="n"/>
      <c r="AS475" s="76" t="n"/>
      <c r="AT475" s="76" t="n"/>
      <c r="AU475" s="76" t="n"/>
      <c r="AV475" s="76" t="n"/>
      <c r="AX475" s="137" t="n"/>
      <c r="AY475" s="137" t="n"/>
    </row>
    <row r="476" ht="16.5" customFormat="1" customHeight="1" s="38">
      <c r="A476" s="76" t="n"/>
      <c r="B476" s="76" t="n"/>
      <c r="C476" s="76" t="n"/>
      <c r="D476" s="76" t="n"/>
      <c r="E476" s="76" t="n"/>
      <c r="F476" s="76" t="n"/>
      <c r="G476" s="76" t="n"/>
      <c r="H476" s="76" t="n"/>
      <c r="I476" s="76" t="n"/>
      <c r="J476" s="76" t="n"/>
      <c r="K476" s="76" t="n"/>
      <c r="L476" s="76" t="n"/>
      <c r="M476" s="76" t="n"/>
      <c r="N476" s="76" t="n"/>
      <c r="O476" s="76" t="n"/>
      <c r="P476" s="76" t="n"/>
      <c r="Q476" s="76" t="n"/>
      <c r="R476" s="76" t="n"/>
      <c r="S476" s="76" t="n"/>
      <c r="T476" s="76" t="n"/>
      <c r="U476" s="76" t="n"/>
      <c r="V476" s="76" t="n"/>
      <c r="W476" s="76" t="n"/>
      <c r="X476" s="76" t="n"/>
      <c r="Y476" s="76" t="n"/>
      <c r="Z476" s="76" t="n"/>
      <c r="AA476" s="76" t="n"/>
      <c r="AB476" s="76" t="n"/>
      <c r="AC476" s="76" t="n"/>
      <c r="AD476" s="76" t="n"/>
      <c r="AE476" s="76" t="n"/>
      <c r="AF476" s="76" t="n"/>
      <c r="AG476" s="76" t="n"/>
      <c r="AH476" s="76" t="n"/>
      <c r="AI476" s="76" t="n"/>
      <c r="AJ476" s="76" t="n"/>
      <c r="AK476" s="76" t="n"/>
      <c r="AL476" s="76" t="n"/>
      <c r="AM476" s="76" t="n"/>
      <c r="AN476" s="76" t="n"/>
      <c r="AO476" s="76" t="n"/>
      <c r="AP476" s="76" t="n"/>
      <c r="AQ476" s="76" t="n"/>
      <c r="AR476" s="76" t="n"/>
      <c r="AS476" s="76" t="n"/>
      <c r="AT476" s="76" t="n"/>
      <c r="AU476" s="76" t="n"/>
      <c r="AV476" s="76" t="n"/>
      <c r="AX476" s="137" t="n"/>
      <c r="AY476" s="137" t="n"/>
    </row>
    <row r="477" ht="16.5" customFormat="1" customHeight="1" s="38">
      <c r="A477" s="76" t="n"/>
      <c r="B477" s="76" t="n"/>
      <c r="C477" s="76" t="n"/>
      <c r="D477" s="76" t="n"/>
      <c r="E477" s="76" t="n"/>
      <c r="F477" s="76" t="n"/>
      <c r="G477" s="76" t="n"/>
      <c r="H477" s="76" t="n"/>
      <c r="I477" s="76" t="n"/>
      <c r="J477" s="76" t="n"/>
      <c r="K477" s="76" t="n"/>
      <c r="L477" s="76" t="n"/>
      <c r="M477" s="76" t="n"/>
      <c r="N477" s="76" t="n"/>
      <c r="O477" s="76" t="n"/>
      <c r="P477" s="76" t="n"/>
      <c r="Q477" s="76" t="n"/>
      <c r="R477" s="76" t="n"/>
      <c r="S477" s="76" t="n"/>
      <c r="T477" s="76" t="n"/>
      <c r="U477" s="76" t="n"/>
      <c r="V477" s="76" t="n"/>
      <c r="W477" s="76" t="n"/>
      <c r="X477" s="76" t="n"/>
      <c r="Y477" s="76" t="n"/>
      <c r="Z477" s="76" t="n"/>
      <c r="AA477" s="76" t="n"/>
      <c r="AB477" s="76" t="n"/>
      <c r="AC477" s="76" t="n"/>
      <c r="AD477" s="76" t="n"/>
      <c r="AE477" s="76" t="n"/>
      <c r="AF477" s="76" t="n"/>
      <c r="AG477" s="76" t="n"/>
      <c r="AH477" s="76" t="n"/>
      <c r="AI477" s="76" t="n"/>
      <c r="AJ477" s="76" t="n"/>
      <c r="AK477" s="76" t="n"/>
      <c r="AL477" s="76" t="n"/>
      <c r="AM477" s="76" t="n"/>
      <c r="AN477" s="76" t="n"/>
      <c r="AO477" s="76" t="n"/>
      <c r="AP477" s="76" t="n"/>
      <c r="AQ477" s="76" t="n"/>
      <c r="AR477" s="76" t="n"/>
      <c r="AS477" s="76" t="n"/>
      <c r="AT477" s="76" t="n"/>
      <c r="AU477" s="76" t="n"/>
      <c r="AV477" s="76" t="n"/>
      <c r="AX477" s="137" t="n"/>
      <c r="AY477" s="137" t="n"/>
    </row>
    <row r="478" ht="16.5" customFormat="1" customHeight="1" s="38">
      <c r="A478" s="76" t="n"/>
      <c r="B478" s="76" t="n"/>
      <c r="C478" s="76" t="n"/>
      <c r="D478" s="76" t="n"/>
      <c r="E478" s="76" t="n"/>
      <c r="F478" s="76" t="n"/>
      <c r="G478" s="76" t="n"/>
      <c r="H478" s="76" t="n"/>
      <c r="I478" s="76" t="n"/>
      <c r="J478" s="76" t="n"/>
      <c r="K478" s="76" t="n"/>
      <c r="L478" s="76" t="n"/>
      <c r="M478" s="76" t="n"/>
      <c r="N478" s="76" t="n"/>
      <c r="O478" s="76" t="n"/>
      <c r="P478" s="76" t="n"/>
      <c r="Q478" s="76" t="n"/>
      <c r="R478" s="76" t="n"/>
      <c r="S478" s="76" t="n"/>
      <c r="T478" s="76" t="n"/>
      <c r="U478" s="76" t="n"/>
      <c r="V478" s="76" t="n"/>
      <c r="W478" s="76" t="n"/>
      <c r="X478" s="76" t="n"/>
      <c r="Y478" s="76" t="n"/>
      <c r="Z478" s="76" t="n"/>
      <c r="AA478" s="76" t="n"/>
      <c r="AB478" s="76" t="n"/>
      <c r="AC478" s="76" t="n"/>
      <c r="AD478" s="76" t="n"/>
      <c r="AE478" s="76" t="n"/>
      <c r="AF478" s="76" t="n"/>
      <c r="AG478" s="76" t="n"/>
      <c r="AH478" s="76" t="n"/>
      <c r="AI478" s="76" t="n"/>
      <c r="AJ478" s="76" t="n"/>
      <c r="AK478" s="76" t="n"/>
      <c r="AL478" s="76" t="n"/>
      <c r="AM478" s="76" t="n"/>
      <c r="AN478" s="76" t="n"/>
      <c r="AO478" s="76" t="n"/>
      <c r="AP478" s="76" t="n"/>
      <c r="AQ478" s="76" t="n"/>
      <c r="AR478" s="76" t="n"/>
      <c r="AS478" s="76" t="n"/>
      <c r="AT478" s="76" t="n"/>
      <c r="AU478" s="76" t="n"/>
      <c r="AV478" s="76" t="n"/>
      <c r="AX478" s="137" t="n"/>
      <c r="AY478" s="137" t="n"/>
    </row>
    <row r="479" ht="16.5" customFormat="1" customHeight="1" s="38">
      <c r="A479" s="76" t="n"/>
      <c r="B479" s="76" t="n"/>
      <c r="C479" s="76" t="n"/>
      <c r="D479" s="76" t="n"/>
      <c r="E479" s="76" t="n"/>
      <c r="F479" s="76" t="n"/>
      <c r="G479" s="76" t="n"/>
      <c r="H479" s="76" t="n"/>
      <c r="I479" s="76" t="n"/>
      <c r="J479" s="76" t="n"/>
      <c r="K479" s="76" t="n"/>
      <c r="L479" s="76" t="n"/>
      <c r="M479" s="76" t="n"/>
      <c r="N479" s="76" t="n"/>
      <c r="O479" s="76" t="n"/>
      <c r="P479" s="76" t="n"/>
      <c r="Q479" s="76" t="n"/>
      <c r="R479" s="76" t="n"/>
      <c r="S479" s="76" t="n"/>
      <c r="T479" s="76" t="n"/>
      <c r="U479" s="76" t="n"/>
      <c r="V479" s="76" t="n"/>
      <c r="W479" s="76" t="n"/>
      <c r="X479" s="76" t="n"/>
      <c r="Y479" s="76" t="n"/>
      <c r="Z479" s="76" t="n"/>
      <c r="AA479" s="76" t="n"/>
      <c r="AB479" s="76" t="n"/>
      <c r="AC479" s="76" t="n"/>
      <c r="AD479" s="76" t="n"/>
      <c r="AE479" s="76" t="n"/>
      <c r="AF479" s="76" t="n"/>
      <c r="AG479" s="76" t="n"/>
      <c r="AH479" s="76" t="n"/>
      <c r="AI479" s="76" t="n"/>
      <c r="AJ479" s="76" t="n"/>
      <c r="AK479" s="76" t="n"/>
      <c r="AL479" s="76" t="n"/>
      <c r="AM479" s="76" t="n"/>
      <c r="AN479" s="76" t="n"/>
      <c r="AO479" s="76" t="n"/>
      <c r="AP479" s="76" t="n"/>
      <c r="AQ479" s="76" t="n"/>
      <c r="AR479" s="76" t="n"/>
      <c r="AS479" s="76" t="n"/>
      <c r="AT479" s="76" t="n"/>
      <c r="AU479" s="76" t="n"/>
      <c r="AV479" s="76" t="n"/>
      <c r="AX479" s="137" t="n"/>
      <c r="AY479" s="137" t="n"/>
    </row>
    <row r="480" ht="16.5" customFormat="1" customHeight="1" s="38">
      <c r="A480" s="76" t="n"/>
      <c r="B480" s="76" t="n"/>
      <c r="C480" s="76" t="n"/>
      <c r="D480" s="76" t="n"/>
      <c r="E480" s="76" t="n"/>
      <c r="F480" s="76" t="n"/>
      <c r="G480" s="76" t="n"/>
      <c r="H480" s="76" t="n"/>
      <c r="I480" s="76" t="n"/>
      <c r="J480" s="76" t="n"/>
      <c r="K480" s="76" t="n"/>
      <c r="L480" s="76" t="n"/>
      <c r="M480" s="76" t="n"/>
      <c r="N480" s="76" t="n"/>
      <c r="O480" s="76" t="n"/>
      <c r="P480" s="76" t="n"/>
      <c r="Q480" s="76" t="n"/>
      <c r="R480" s="76" t="n"/>
      <c r="S480" s="76" t="n"/>
      <c r="T480" s="76" t="n"/>
      <c r="U480" s="76" t="n"/>
      <c r="V480" s="76" t="n"/>
      <c r="W480" s="76" t="n"/>
      <c r="X480" s="76" t="n"/>
      <c r="Y480" s="76" t="n"/>
      <c r="Z480" s="76" t="n"/>
      <c r="AA480" s="76" t="n"/>
      <c r="AB480" s="76" t="n"/>
      <c r="AC480" s="76" t="n"/>
      <c r="AD480" s="76" t="n"/>
      <c r="AE480" s="76" t="n"/>
      <c r="AF480" s="76" t="n"/>
      <c r="AG480" s="76" t="n"/>
      <c r="AH480" s="76" t="n"/>
      <c r="AI480" s="76" t="n"/>
      <c r="AJ480" s="76" t="n"/>
      <c r="AK480" s="76" t="n"/>
      <c r="AL480" s="76" t="n"/>
      <c r="AM480" s="76" t="n"/>
      <c r="AN480" s="76" t="n"/>
      <c r="AO480" s="76" t="n"/>
      <c r="AP480" s="76" t="n"/>
      <c r="AQ480" s="76" t="n"/>
      <c r="AR480" s="76" t="n"/>
      <c r="AS480" s="76" t="n"/>
      <c r="AT480" s="76" t="n"/>
      <c r="AU480" s="76" t="n"/>
      <c r="AV480" s="76" t="n"/>
      <c r="AX480" s="137" t="n"/>
      <c r="AY480" s="137" t="n"/>
    </row>
    <row r="481" ht="16.5" customFormat="1" customHeight="1" s="38">
      <c r="A481" s="76" t="n"/>
      <c r="B481" s="76" t="n"/>
      <c r="C481" s="76" t="n"/>
      <c r="D481" s="76" t="n"/>
      <c r="E481" s="76" t="n"/>
      <c r="F481" s="76" t="n"/>
      <c r="G481" s="76" t="n"/>
      <c r="H481" s="76" t="n"/>
      <c r="I481" s="76" t="n"/>
      <c r="J481" s="76" t="n"/>
      <c r="K481" s="76" t="n"/>
      <c r="L481" s="76" t="n"/>
      <c r="M481" s="76" t="n"/>
      <c r="N481" s="76" t="n"/>
      <c r="O481" s="76" t="n"/>
      <c r="P481" s="76" t="n"/>
      <c r="Q481" s="76" t="n"/>
      <c r="R481" s="76" t="n"/>
      <c r="S481" s="76" t="n"/>
      <c r="T481" s="76" t="n"/>
      <c r="U481" s="76" t="n"/>
      <c r="V481" s="76" t="n"/>
      <c r="W481" s="76" t="n"/>
      <c r="X481" s="76" t="n"/>
      <c r="Y481" s="76" t="n"/>
      <c r="Z481" s="76" t="n"/>
      <c r="AA481" s="76" t="n"/>
      <c r="AB481" s="76" t="n"/>
      <c r="AC481" s="76" t="n"/>
      <c r="AD481" s="76" t="n"/>
      <c r="AE481" s="76" t="n"/>
      <c r="AF481" s="76" t="n"/>
      <c r="AG481" s="76" t="n"/>
      <c r="AH481" s="76" t="n"/>
      <c r="AI481" s="76" t="n"/>
      <c r="AJ481" s="76" t="n"/>
      <c r="AK481" s="76" t="n"/>
      <c r="AL481" s="76" t="n"/>
      <c r="AM481" s="76" t="n"/>
      <c r="AN481" s="76" t="n"/>
      <c r="AO481" s="76" t="n"/>
      <c r="AP481" s="76" t="n"/>
      <c r="AQ481" s="76" t="n"/>
      <c r="AR481" s="76" t="n"/>
      <c r="AS481" s="76" t="n"/>
      <c r="AT481" s="76" t="n"/>
      <c r="AU481" s="76" t="n"/>
      <c r="AV481" s="76" t="n"/>
      <c r="AX481" s="137" t="n"/>
      <c r="AY481" s="137" t="n"/>
    </row>
    <row r="482" ht="16.5" customFormat="1" customHeight="1" s="38">
      <c r="A482" s="76" t="n"/>
      <c r="B482" s="76" t="n"/>
      <c r="C482" s="76" t="n"/>
      <c r="D482" s="76" t="n"/>
      <c r="E482" s="76" t="n"/>
      <c r="F482" s="76" t="n"/>
      <c r="G482" s="76" t="n"/>
      <c r="H482" s="76" t="n"/>
      <c r="I482" s="76" t="n"/>
      <c r="J482" s="76" t="n"/>
      <c r="K482" s="76" t="n"/>
      <c r="L482" s="76" t="n"/>
      <c r="M482" s="76" t="n"/>
      <c r="N482" s="76" t="n"/>
      <c r="O482" s="76" t="n"/>
      <c r="P482" s="76" t="n"/>
      <c r="Q482" s="76" t="n"/>
      <c r="R482" s="76" t="n"/>
      <c r="S482" s="76" t="n"/>
      <c r="T482" s="76" t="n"/>
      <c r="U482" s="76" t="n"/>
      <c r="V482" s="76" t="n"/>
      <c r="W482" s="76" t="n"/>
      <c r="X482" s="76" t="n"/>
      <c r="Y482" s="76" t="n"/>
      <c r="Z482" s="76" t="n"/>
      <c r="AA482" s="76" t="n"/>
      <c r="AB482" s="76" t="n"/>
      <c r="AC482" s="76" t="n"/>
      <c r="AD482" s="76" t="n"/>
      <c r="AE482" s="76" t="n"/>
      <c r="AF482" s="76" t="n"/>
      <c r="AG482" s="76" t="n"/>
      <c r="AH482" s="76" t="n"/>
      <c r="AI482" s="76" t="n"/>
      <c r="AJ482" s="76" t="n"/>
      <c r="AK482" s="76" t="n"/>
      <c r="AL482" s="76" t="n"/>
      <c r="AM482" s="76" t="n"/>
      <c r="AN482" s="76" t="n"/>
      <c r="AO482" s="76" t="n"/>
      <c r="AP482" s="76" t="n"/>
      <c r="AQ482" s="76" t="n"/>
      <c r="AR482" s="76" t="n"/>
      <c r="AS482" s="76" t="n"/>
      <c r="AT482" s="76" t="n"/>
      <c r="AU482" s="76" t="n"/>
      <c r="AV482" s="76" t="n"/>
      <c r="AX482" s="137" t="n"/>
      <c r="AY482" s="137" t="n"/>
    </row>
    <row r="483" ht="16.5" customFormat="1" customHeight="1" s="38">
      <c r="A483" s="76" t="n"/>
      <c r="B483" s="76" t="n"/>
      <c r="C483" s="76" t="n"/>
      <c r="D483" s="76" t="n"/>
      <c r="E483" s="76" t="n"/>
      <c r="F483" s="76" t="n"/>
      <c r="G483" s="76" t="n"/>
      <c r="H483" s="76" t="n"/>
      <c r="I483" s="76" t="n"/>
      <c r="J483" s="76" t="n"/>
      <c r="K483" s="76" t="n"/>
      <c r="L483" s="76" t="n"/>
      <c r="M483" s="76" t="n"/>
      <c r="N483" s="76" t="n"/>
      <c r="O483" s="76" t="n"/>
      <c r="P483" s="76" t="n"/>
      <c r="Q483" s="76" t="n"/>
      <c r="R483" s="76" t="n"/>
      <c r="S483" s="76" t="n"/>
      <c r="T483" s="76" t="n"/>
      <c r="U483" s="76" t="n"/>
      <c r="V483" s="76" t="n"/>
      <c r="W483" s="76" t="n"/>
      <c r="X483" s="76" t="n"/>
      <c r="Y483" s="76" t="n"/>
      <c r="Z483" s="76" t="n"/>
      <c r="AA483" s="76" t="n"/>
      <c r="AB483" s="76" t="n"/>
      <c r="AC483" s="76" t="n"/>
      <c r="AD483" s="76" t="n"/>
      <c r="AE483" s="76" t="n"/>
      <c r="AF483" s="76" t="n"/>
      <c r="AG483" s="76" t="n"/>
      <c r="AH483" s="76" t="n"/>
      <c r="AI483" s="76" t="n"/>
      <c r="AJ483" s="76" t="n"/>
      <c r="AK483" s="76" t="n"/>
      <c r="AL483" s="76" t="n"/>
      <c r="AM483" s="76" t="n"/>
      <c r="AN483" s="76" t="n"/>
      <c r="AO483" s="76" t="n"/>
      <c r="AP483" s="76" t="n"/>
      <c r="AQ483" s="76" t="n"/>
      <c r="AR483" s="76" t="n"/>
      <c r="AS483" s="76" t="n"/>
      <c r="AT483" s="76" t="n"/>
      <c r="AU483" s="76" t="n"/>
      <c r="AV483" s="76" t="n"/>
      <c r="AX483" s="137" t="n"/>
      <c r="AY483" s="137" t="n"/>
    </row>
    <row r="484" ht="16.5" customFormat="1" customHeight="1" s="38">
      <c r="A484" s="76" t="n"/>
      <c r="B484" s="76" t="n"/>
      <c r="C484" s="76" t="n"/>
      <c r="D484" s="76" t="n"/>
      <c r="E484" s="76" t="n"/>
      <c r="F484" s="76" t="n"/>
      <c r="G484" s="76" t="n"/>
      <c r="H484" s="76" t="n"/>
      <c r="I484" s="76" t="n"/>
      <c r="J484" s="76" t="n"/>
      <c r="K484" s="76" t="n"/>
      <c r="L484" s="76" t="n"/>
      <c r="M484" s="76" t="n"/>
      <c r="N484" s="76" t="n"/>
      <c r="O484" s="76" t="n"/>
      <c r="P484" s="76" t="n"/>
      <c r="Q484" s="76" t="n"/>
      <c r="R484" s="76" t="n"/>
      <c r="S484" s="76" t="n"/>
      <c r="T484" s="76" t="n"/>
      <c r="U484" s="76" t="n"/>
      <c r="V484" s="76" t="n"/>
      <c r="W484" s="76" t="n"/>
      <c r="X484" s="76" t="n"/>
      <c r="Y484" s="76" t="n"/>
      <c r="Z484" s="76" t="n"/>
      <c r="AA484" s="76" t="n"/>
      <c r="AB484" s="76" t="n"/>
      <c r="AC484" s="76" t="n"/>
      <c r="AD484" s="76" t="n"/>
      <c r="AE484" s="76" t="n"/>
      <c r="AF484" s="76" t="n"/>
      <c r="AG484" s="76" t="n"/>
      <c r="AH484" s="76" t="n"/>
      <c r="AI484" s="76" t="n"/>
      <c r="AJ484" s="76" t="n"/>
      <c r="AK484" s="76" t="n"/>
      <c r="AL484" s="76" t="n"/>
      <c r="AM484" s="76" t="n"/>
      <c r="AN484" s="76" t="n"/>
      <c r="AO484" s="76" t="n"/>
      <c r="AP484" s="76" t="n"/>
      <c r="AQ484" s="76" t="n"/>
      <c r="AR484" s="76" t="n"/>
      <c r="AS484" s="76" t="n"/>
      <c r="AT484" s="76" t="n"/>
      <c r="AU484" s="76" t="n"/>
      <c r="AV484" s="76" t="n"/>
      <c r="AX484" s="137" t="n"/>
      <c r="AY484" s="137" t="n"/>
    </row>
    <row r="485" ht="16.5" customFormat="1" customHeight="1" s="38">
      <c r="A485" s="76" t="n"/>
      <c r="B485" s="76" t="n"/>
      <c r="C485" s="76" t="n"/>
      <c r="D485" s="76" t="n"/>
      <c r="E485" s="76" t="n"/>
      <c r="F485" s="76" t="n"/>
      <c r="G485" s="76" t="n"/>
      <c r="H485" s="76" t="n"/>
      <c r="I485" s="76" t="n"/>
      <c r="J485" s="76" t="n"/>
      <c r="K485" s="76" t="n"/>
      <c r="L485" s="76" t="n"/>
      <c r="M485" s="76" t="n"/>
      <c r="N485" s="76" t="n"/>
      <c r="O485" s="76" t="n"/>
      <c r="P485" s="76" t="n"/>
      <c r="Q485" s="76" t="n"/>
      <c r="R485" s="76" t="n"/>
      <c r="S485" s="76" t="n"/>
      <c r="T485" s="76" t="n"/>
      <c r="U485" s="76" t="n"/>
      <c r="V485" s="76" t="n"/>
      <c r="W485" s="76" t="n"/>
      <c r="X485" s="76" t="n"/>
      <c r="Y485" s="76" t="n"/>
      <c r="Z485" s="76" t="n"/>
      <c r="AA485" s="76" t="n"/>
      <c r="AB485" s="76" t="n"/>
      <c r="AC485" s="76" t="n"/>
      <c r="AD485" s="76" t="n"/>
      <c r="AE485" s="76" t="n"/>
      <c r="AF485" s="76" t="n"/>
      <c r="AG485" s="76" t="n"/>
      <c r="AH485" s="76" t="n"/>
      <c r="AI485" s="76" t="n"/>
      <c r="AJ485" s="76" t="n"/>
      <c r="AK485" s="76" t="n"/>
      <c r="AL485" s="76" t="n"/>
      <c r="AM485" s="76" t="n"/>
      <c r="AN485" s="76" t="n"/>
      <c r="AO485" s="76" t="n"/>
      <c r="AP485" s="76" t="n"/>
      <c r="AQ485" s="76" t="n"/>
      <c r="AR485" s="76" t="n"/>
      <c r="AS485" s="76" t="n"/>
      <c r="AT485" s="76" t="n"/>
      <c r="AU485" s="76" t="n"/>
      <c r="AV485" s="76" t="n"/>
      <c r="AX485" s="137" t="n"/>
      <c r="AY485" s="137" t="n"/>
    </row>
    <row r="486" ht="16.5" customFormat="1" customHeight="1" s="38">
      <c r="A486" s="76" t="n"/>
      <c r="B486" s="76" t="n"/>
      <c r="C486" s="76" t="n"/>
      <c r="D486" s="76" t="n"/>
      <c r="E486" s="76" t="n"/>
      <c r="F486" s="76" t="n"/>
      <c r="G486" s="76" t="n"/>
      <c r="H486" s="76" t="n"/>
      <c r="I486" s="76" t="n"/>
      <c r="J486" s="76" t="n"/>
      <c r="K486" s="76" t="n"/>
      <c r="L486" s="76" t="n"/>
      <c r="M486" s="76" t="n"/>
      <c r="N486" s="76" t="n"/>
      <c r="O486" s="76" t="n"/>
      <c r="P486" s="76" t="n"/>
      <c r="Q486" s="76" t="n"/>
      <c r="R486" s="76" t="n"/>
      <c r="S486" s="76" t="n"/>
      <c r="T486" s="76" t="n"/>
      <c r="U486" s="76" t="n"/>
      <c r="V486" s="76" t="n"/>
      <c r="W486" s="76" t="n"/>
      <c r="X486" s="76" t="n"/>
      <c r="Y486" s="76" t="n"/>
      <c r="Z486" s="76" t="n"/>
      <c r="AA486" s="76" t="n"/>
      <c r="AB486" s="76" t="n"/>
      <c r="AC486" s="76" t="n"/>
      <c r="AD486" s="76" t="n"/>
      <c r="AE486" s="76" t="n"/>
      <c r="AF486" s="76" t="n"/>
      <c r="AG486" s="76" t="n"/>
      <c r="AH486" s="76" t="n"/>
      <c r="AI486" s="76" t="n"/>
      <c r="AJ486" s="76" t="n"/>
      <c r="AK486" s="76" t="n"/>
      <c r="AL486" s="76" t="n"/>
      <c r="AM486" s="76" t="n"/>
      <c r="AN486" s="76" t="n"/>
      <c r="AO486" s="76" t="n"/>
      <c r="AP486" s="76" t="n"/>
      <c r="AQ486" s="76" t="n"/>
      <c r="AR486" s="76" t="n"/>
      <c r="AS486" s="76" t="n"/>
      <c r="AT486" s="76" t="n"/>
      <c r="AU486" s="76" t="n"/>
      <c r="AV486" s="76" t="n"/>
      <c r="AX486" s="137" t="n"/>
      <c r="AY486" s="137" t="n"/>
    </row>
    <row r="487" ht="16.5" customFormat="1" customHeight="1" s="38">
      <c r="A487" s="76" t="n"/>
      <c r="B487" s="76" t="n"/>
      <c r="C487" s="76" t="n"/>
      <c r="D487" s="76" t="n"/>
      <c r="E487" s="76" t="n"/>
      <c r="F487" s="76" t="n"/>
      <c r="G487" s="76" t="n"/>
      <c r="H487" s="76" t="n"/>
      <c r="I487" s="76" t="n"/>
      <c r="J487" s="76" t="n"/>
      <c r="K487" s="76" t="n"/>
      <c r="L487" s="76" t="n"/>
      <c r="M487" s="76" t="n"/>
      <c r="N487" s="76" t="n"/>
      <c r="O487" s="76" t="n"/>
      <c r="P487" s="76" t="n"/>
      <c r="Q487" s="76" t="n"/>
      <c r="R487" s="76" t="n"/>
      <c r="S487" s="76" t="n"/>
      <c r="T487" s="76" t="n"/>
      <c r="U487" s="76" t="n"/>
      <c r="V487" s="76" t="n"/>
      <c r="W487" s="76" t="n"/>
      <c r="X487" s="76" t="n"/>
      <c r="Y487" s="76" t="n"/>
      <c r="Z487" s="76" t="n"/>
      <c r="AA487" s="76" t="n"/>
      <c r="AB487" s="76" t="n"/>
      <c r="AC487" s="76" t="n"/>
      <c r="AD487" s="76" t="n"/>
      <c r="AE487" s="76" t="n"/>
      <c r="AF487" s="76" t="n"/>
      <c r="AG487" s="76" t="n"/>
      <c r="AH487" s="76" t="n"/>
      <c r="AI487" s="76" t="n"/>
      <c r="AJ487" s="76" t="n"/>
      <c r="AK487" s="76" t="n"/>
      <c r="AL487" s="76" t="n"/>
      <c r="AM487" s="76" t="n"/>
      <c r="AN487" s="76" t="n"/>
      <c r="AO487" s="76" t="n"/>
      <c r="AP487" s="76" t="n"/>
      <c r="AQ487" s="76" t="n"/>
      <c r="AR487" s="76" t="n"/>
      <c r="AS487" s="76" t="n"/>
      <c r="AT487" s="76" t="n"/>
      <c r="AU487" s="76" t="n"/>
      <c r="AV487" s="76" t="n"/>
      <c r="AX487" s="137" t="n"/>
      <c r="AY487" s="137" t="n"/>
    </row>
    <row r="488" ht="16.5" customFormat="1" customHeight="1" s="38">
      <c r="A488" s="76" t="n"/>
      <c r="B488" s="76" t="n"/>
      <c r="C488" s="76" t="n"/>
      <c r="D488" s="76" t="n"/>
      <c r="E488" s="76" t="n"/>
      <c r="F488" s="76" t="n"/>
      <c r="G488" s="76" t="n"/>
      <c r="H488" s="76" t="n"/>
      <c r="I488" s="76" t="n"/>
      <c r="J488" s="76" t="n"/>
      <c r="K488" s="76" t="n"/>
      <c r="L488" s="76" t="n"/>
      <c r="M488" s="76" t="n"/>
      <c r="N488" s="76" t="n"/>
      <c r="O488" s="76" t="n"/>
      <c r="P488" s="76" t="n"/>
      <c r="Q488" s="76" t="n"/>
      <c r="R488" s="76" t="n"/>
      <c r="S488" s="76" t="n"/>
      <c r="T488" s="76" t="n"/>
      <c r="U488" s="76" t="n"/>
      <c r="V488" s="76" t="n"/>
      <c r="W488" s="76" t="n"/>
      <c r="X488" s="76" t="n"/>
      <c r="Y488" s="76" t="n"/>
      <c r="Z488" s="76" t="n"/>
      <c r="AA488" s="76" t="n"/>
      <c r="AB488" s="76" t="n"/>
      <c r="AC488" s="76" t="n"/>
      <c r="AD488" s="76" t="n"/>
      <c r="AE488" s="76" t="n"/>
      <c r="AF488" s="76" t="n"/>
      <c r="AG488" s="76" t="n"/>
      <c r="AH488" s="76" t="n"/>
      <c r="AI488" s="76" t="n"/>
      <c r="AJ488" s="76" t="n"/>
      <c r="AK488" s="76" t="n"/>
      <c r="AL488" s="76" t="n"/>
      <c r="AM488" s="76" t="n"/>
      <c r="AN488" s="76" t="n"/>
      <c r="AO488" s="76" t="n"/>
      <c r="AP488" s="76" t="n"/>
      <c r="AQ488" s="76" t="n"/>
      <c r="AR488" s="76" t="n"/>
      <c r="AS488" s="76" t="n"/>
      <c r="AT488" s="76" t="n"/>
      <c r="AU488" s="76" t="n"/>
      <c r="AV488" s="76" t="n"/>
      <c r="AX488" s="137" t="n"/>
      <c r="AY488" s="137" t="n"/>
    </row>
    <row r="489" ht="16.5" customFormat="1" customHeight="1" s="38">
      <c r="A489" s="76" t="n"/>
      <c r="B489" s="76" t="n"/>
      <c r="C489" s="76" t="n"/>
      <c r="D489" s="76" t="n"/>
      <c r="E489" s="76" t="n"/>
      <c r="F489" s="76" t="n"/>
      <c r="G489" s="76" t="n"/>
      <c r="H489" s="76" t="n"/>
      <c r="I489" s="76" t="n"/>
      <c r="J489" s="76" t="n"/>
      <c r="K489" s="76" t="n"/>
      <c r="L489" s="76" t="n"/>
      <c r="M489" s="76" t="n"/>
      <c r="N489" s="76" t="n"/>
      <c r="O489" s="76" t="n"/>
      <c r="P489" s="76" t="n"/>
      <c r="Q489" s="76" t="n"/>
      <c r="R489" s="76" t="n"/>
      <c r="S489" s="76" t="n"/>
      <c r="T489" s="76" t="n"/>
      <c r="U489" s="76" t="n"/>
      <c r="V489" s="76" t="n"/>
      <c r="W489" s="76" t="n"/>
      <c r="X489" s="76" t="n"/>
      <c r="Y489" s="76" t="n"/>
      <c r="Z489" s="76" t="n"/>
      <c r="AA489" s="76" t="n"/>
      <c r="AB489" s="76" t="n"/>
      <c r="AC489" s="76" t="n"/>
      <c r="AD489" s="76" t="n"/>
      <c r="AE489" s="76" t="n"/>
      <c r="AF489" s="76" t="n"/>
      <c r="AG489" s="76" t="n"/>
      <c r="AH489" s="76" t="n"/>
      <c r="AI489" s="76" t="n"/>
      <c r="AJ489" s="76" t="n"/>
      <c r="AK489" s="76" t="n"/>
      <c r="AL489" s="76" t="n"/>
      <c r="AM489" s="76" t="n"/>
      <c r="AN489" s="76" t="n"/>
      <c r="AO489" s="76" t="n"/>
      <c r="AP489" s="76" t="n"/>
      <c r="AQ489" s="76" t="n"/>
      <c r="AR489" s="76" t="n"/>
      <c r="AS489" s="76" t="n"/>
      <c r="AT489" s="76" t="n"/>
      <c r="AU489" s="76" t="n"/>
      <c r="AV489" s="76" t="n"/>
      <c r="AX489" s="137" t="n"/>
      <c r="AY489" s="137" t="n"/>
    </row>
    <row r="490" ht="16.5" customFormat="1" customHeight="1" s="38">
      <c r="A490" s="76" t="n"/>
      <c r="B490" s="76" t="n"/>
      <c r="C490" s="76" t="n"/>
      <c r="D490" s="76" t="n"/>
      <c r="E490" s="76" t="n"/>
      <c r="F490" s="76" t="n"/>
      <c r="G490" s="76" t="n"/>
      <c r="H490" s="76" t="n"/>
      <c r="I490" s="76" t="n"/>
      <c r="J490" s="76" t="n"/>
      <c r="K490" s="76" t="n"/>
      <c r="L490" s="76" t="n"/>
      <c r="M490" s="76" t="n"/>
      <c r="N490" s="76" t="n"/>
      <c r="O490" s="76" t="n"/>
      <c r="P490" s="76" t="n"/>
      <c r="Q490" s="76" t="n"/>
      <c r="R490" s="76" t="n"/>
      <c r="S490" s="76" t="n"/>
      <c r="T490" s="76" t="n"/>
      <c r="U490" s="76" t="n"/>
      <c r="V490" s="76" t="n"/>
      <c r="W490" s="76" t="n"/>
      <c r="X490" s="76" t="n"/>
      <c r="Y490" s="76" t="n"/>
      <c r="Z490" s="76" t="n"/>
      <c r="AA490" s="76" t="n"/>
      <c r="AB490" s="76" t="n"/>
      <c r="AC490" s="76" t="n"/>
      <c r="AD490" s="76" t="n"/>
      <c r="AE490" s="76" t="n"/>
      <c r="AF490" s="76" t="n"/>
      <c r="AG490" s="76" t="n"/>
      <c r="AH490" s="76" t="n"/>
      <c r="AI490" s="76" t="n"/>
      <c r="AJ490" s="76" t="n"/>
      <c r="AK490" s="76" t="n"/>
      <c r="AL490" s="76" t="n"/>
      <c r="AM490" s="76" t="n"/>
      <c r="AN490" s="76" t="n"/>
      <c r="AO490" s="76" t="n"/>
      <c r="AP490" s="76" t="n"/>
      <c r="AQ490" s="76" t="n"/>
      <c r="AR490" s="76" t="n"/>
      <c r="AS490" s="76" t="n"/>
      <c r="AT490" s="76" t="n"/>
      <c r="AU490" s="76" t="n"/>
      <c r="AV490" s="76" t="n"/>
      <c r="AX490" s="137" t="n"/>
      <c r="AY490" s="137" t="n"/>
    </row>
    <row r="491" ht="16.5" customFormat="1" customHeight="1" s="38">
      <c r="A491" s="76" t="n"/>
      <c r="B491" s="76" t="n"/>
      <c r="C491" s="76" t="n"/>
      <c r="D491" s="76" t="n"/>
      <c r="E491" s="76" t="n"/>
      <c r="F491" s="76" t="n"/>
      <c r="G491" s="76" t="n"/>
      <c r="H491" s="76" t="n"/>
      <c r="I491" s="76" t="n"/>
      <c r="J491" s="76" t="n"/>
      <c r="K491" s="76" t="n"/>
      <c r="L491" s="76" t="n"/>
      <c r="M491" s="76" t="n"/>
      <c r="N491" s="76" t="n"/>
      <c r="O491" s="76" t="n"/>
      <c r="P491" s="76" t="n"/>
      <c r="Q491" s="76" t="n"/>
      <c r="R491" s="76" t="n"/>
      <c r="S491" s="76" t="n"/>
      <c r="T491" s="76" t="n"/>
      <c r="U491" s="76" t="n"/>
      <c r="V491" s="76" t="n"/>
      <c r="W491" s="76" t="n"/>
      <c r="X491" s="76" t="n"/>
      <c r="Y491" s="76" t="n"/>
      <c r="Z491" s="76" t="n"/>
      <c r="AA491" s="76" t="n"/>
      <c r="AB491" s="76" t="n"/>
      <c r="AC491" s="76" t="n"/>
      <c r="AD491" s="76" t="n"/>
      <c r="AE491" s="76" t="n"/>
      <c r="AF491" s="76" t="n"/>
      <c r="AG491" s="76" t="n"/>
      <c r="AH491" s="76" t="n"/>
      <c r="AI491" s="76" t="n"/>
      <c r="AJ491" s="76" t="n"/>
      <c r="AK491" s="76" t="n"/>
      <c r="AL491" s="76" t="n"/>
      <c r="AM491" s="76" t="n"/>
      <c r="AN491" s="76" t="n"/>
      <c r="AO491" s="76" t="n"/>
      <c r="AP491" s="76" t="n"/>
      <c r="AQ491" s="76" t="n"/>
      <c r="AR491" s="76" t="n"/>
      <c r="AS491" s="76" t="n"/>
      <c r="AT491" s="76" t="n"/>
      <c r="AU491" s="76" t="n"/>
      <c r="AV491" s="76" t="n"/>
      <c r="AX491" s="137" t="n"/>
      <c r="AY491" s="137" t="n"/>
    </row>
    <row r="492" ht="16.5" customFormat="1" customHeight="1" s="38">
      <c r="A492" s="76" t="n"/>
      <c r="B492" s="76" t="n"/>
      <c r="C492" s="76" t="n"/>
      <c r="D492" s="76" t="n"/>
      <c r="E492" s="76" t="n"/>
      <c r="F492" s="76" t="n"/>
      <c r="G492" s="76" t="n"/>
      <c r="H492" s="76" t="n"/>
      <c r="I492" s="76" t="n"/>
      <c r="J492" s="76" t="n"/>
      <c r="K492" s="76" t="n"/>
      <c r="L492" s="76" t="n"/>
      <c r="M492" s="76" t="n"/>
      <c r="N492" s="76" t="n"/>
      <c r="O492" s="76" t="n"/>
      <c r="P492" s="76" t="n"/>
      <c r="Q492" s="76" t="n"/>
      <c r="R492" s="76" t="n"/>
      <c r="S492" s="76" t="n"/>
      <c r="T492" s="76" t="n"/>
      <c r="U492" s="76" t="n"/>
      <c r="V492" s="76" t="n"/>
      <c r="W492" s="76" t="n"/>
      <c r="X492" s="76" t="n"/>
      <c r="Y492" s="76" t="n"/>
      <c r="Z492" s="76" t="n"/>
      <c r="AA492" s="76" t="n"/>
      <c r="AB492" s="76" t="n"/>
      <c r="AC492" s="76" t="n"/>
      <c r="AD492" s="76" t="n"/>
      <c r="AE492" s="76" t="n"/>
      <c r="AF492" s="76" t="n"/>
      <c r="AG492" s="76" t="n"/>
      <c r="AH492" s="76" t="n"/>
      <c r="AI492" s="76" t="n"/>
      <c r="AJ492" s="76" t="n"/>
      <c r="AK492" s="76" t="n"/>
      <c r="AL492" s="76" t="n"/>
      <c r="AM492" s="76" t="n"/>
      <c r="AN492" s="76" t="n"/>
      <c r="AO492" s="76" t="n"/>
      <c r="AP492" s="76" t="n"/>
      <c r="AQ492" s="76" t="n"/>
      <c r="AR492" s="76" t="n"/>
      <c r="AS492" s="76" t="n"/>
      <c r="AT492" s="76" t="n"/>
      <c r="AU492" s="76" t="n"/>
      <c r="AV492" s="76" t="n"/>
      <c r="AX492" s="137" t="n"/>
      <c r="AY492" s="137" t="n"/>
    </row>
    <row r="493" ht="16.5" customFormat="1" customHeight="1" s="38">
      <c r="A493" s="76" t="n"/>
      <c r="B493" s="76" t="n"/>
      <c r="C493" s="76" t="n"/>
      <c r="D493" s="76" t="n"/>
      <c r="E493" s="76" t="n"/>
      <c r="F493" s="76" t="n"/>
      <c r="G493" s="76" t="n"/>
      <c r="H493" s="76" t="n"/>
      <c r="I493" s="76" t="n"/>
      <c r="J493" s="76" t="n"/>
      <c r="K493" s="76" t="n"/>
      <c r="L493" s="76" t="n"/>
      <c r="M493" s="76" t="n"/>
      <c r="N493" s="76" t="n"/>
      <c r="O493" s="76" t="n"/>
      <c r="P493" s="76" t="n"/>
      <c r="Q493" s="76" t="n"/>
      <c r="R493" s="76" t="n"/>
      <c r="S493" s="76" t="n"/>
      <c r="T493" s="76" t="n"/>
      <c r="U493" s="76" t="n"/>
      <c r="V493" s="76" t="n"/>
      <c r="W493" s="76" t="n"/>
      <c r="X493" s="76" t="n"/>
      <c r="Y493" s="76" t="n"/>
      <c r="Z493" s="76" t="n"/>
      <c r="AA493" s="76" t="n"/>
      <c r="AB493" s="76" t="n"/>
      <c r="AC493" s="76" t="n"/>
      <c r="AD493" s="76" t="n"/>
      <c r="AE493" s="76" t="n"/>
      <c r="AF493" s="76" t="n"/>
      <c r="AG493" s="76" t="n"/>
      <c r="AH493" s="76" t="n"/>
      <c r="AI493" s="76" t="n"/>
      <c r="AJ493" s="76" t="n"/>
      <c r="AK493" s="76" t="n"/>
      <c r="AL493" s="76" t="n"/>
      <c r="AM493" s="76" t="n"/>
      <c r="AN493" s="76" t="n"/>
      <c r="AO493" s="76" t="n"/>
      <c r="AP493" s="76" t="n"/>
      <c r="AQ493" s="76" t="n"/>
      <c r="AR493" s="76" t="n"/>
      <c r="AS493" s="76" t="n"/>
      <c r="AT493" s="76" t="n"/>
      <c r="AU493" s="76" t="n"/>
      <c r="AV493" s="76" t="n"/>
      <c r="AX493" s="137" t="n"/>
      <c r="AY493" s="137" t="n"/>
    </row>
    <row r="494" ht="16.5" customFormat="1" customHeight="1" s="38">
      <c r="A494" s="76" t="n"/>
      <c r="B494" s="76" t="n"/>
      <c r="C494" s="76" t="n"/>
      <c r="D494" s="76" t="n"/>
      <c r="E494" s="76" t="n"/>
      <c r="F494" s="76" t="n"/>
      <c r="G494" s="76" t="n"/>
      <c r="H494" s="76" t="n"/>
      <c r="I494" s="76" t="n"/>
      <c r="J494" s="76" t="n"/>
      <c r="K494" s="76" t="n"/>
      <c r="L494" s="76" t="n"/>
      <c r="M494" s="76" t="n"/>
      <c r="N494" s="76" t="n"/>
      <c r="O494" s="76" t="n"/>
      <c r="P494" s="76" t="n"/>
      <c r="Q494" s="76" t="n"/>
      <c r="R494" s="76" t="n"/>
      <c r="S494" s="76" t="n"/>
      <c r="T494" s="76" t="n"/>
      <c r="U494" s="76" t="n"/>
      <c r="V494" s="76" t="n"/>
      <c r="W494" s="76" t="n"/>
      <c r="X494" s="76" t="n"/>
      <c r="Y494" s="76" t="n"/>
      <c r="Z494" s="76" t="n"/>
      <c r="AA494" s="76" t="n"/>
      <c r="AB494" s="76" t="n"/>
      <c r="AC494" s="76" t="n"/>
      <c r="AD494" s="76" t="n"/>
      <c r="AE494" s="76" t="n"/>
      <c r="AF494" s="76" t="n"/>
      <c r="AG494" s="76" t="n"/>
      <c r="AH494" s="76" t="n"/>
      <c r="AI494" s="76" t="n"/>
      <c r="AJ494" s="76" t="n"/>
      <c r="AK494" s="76" t="n"/>
      <c r="AL494" s="76" t="n"/>
      <c r="AM494" s="76" t="n"/>
      <c r="AN494" s="76" t="n"/>
      <c r="AO494" s="76" t="n"/>
      <c r="AP494" s="76" t="n"/>
      <c r="AQ494" s="76" t="n"/>
      <c r="AR494" s="76" t="n"/>
      <c r="AS494" s="76" t="n"/>
      <c r="AT494" s="76" t="n"/>
      <c r="AU494" s="76" t="n"/>
      <c r="AV494" s="76" t="n"/>
      <c r="AX494" s="137" t="n"/>
      <c r="AY494" s="137" t="n"/>
    </row>
    <row r="495" ht="16.5" customFormat="1" customHeight="1" s="38">
      <c r="A495" s="76" t="n"/>
      <c r="B495" s="76" t="n"/>
      <c r="C495" s="76" t="n"/>
      <c r="D495" s="76" t="n"/>
      <c r="E495" s="76" t="n"/>
      <c r="F495" s="76" t="n"/>
      <c r="G495" s="76" t="n"/>
      <c r="H495" s="76" t="n"/>
      <c r="I495" s="76" t="n"/>
      <c r="J495" s="76" t="n"/>
      <c r="K495" s="76" t="n"/>
      <c r="L495" s="76" t="n"/>
      <c r="M495" s="76" t="n"/>
      <c r="N495" s="76" t="n"/>
      <c r="O495" s="76" t="n"/>
      <c r="P495" s="76" t="n"/>
      <c r="Q495" s="76" t="n"/>
      <c r="R495" s="76" t="n"/>
      <c r="S495" s="76" t="n"/>
      <c r="T495" s="76" t="n"/>
      <c r="U495" s="76" t="n"/>
      <c r="V495" s="76" t="n"/>
      <c r="W495" s="76" t="n"/>
      <c r="X495" s="76" t="n"/>
      <c r="Y495" s="76" t="n"/>
      <c r="Z495" s="76" t="n"/>
      <c r="AA495" s="76" t="n"/>
      <c r="AB495" s="76" t="n"/>
      <c r="AC495" s="76" t="n"/>
      <c r="AD495" s="76" t="n"/>
      <c r="AE495" s="76" t="n"/>
      <c r="AF495" s="76" t="n"/>
      <c r="AG495" s="76" t="n"/>
      <c r="AH495" s="76" t="n"/>
      <c r="AI495" s="76" t="n"/>
      <c r="AJ495" s="76" t="n"/>
      <c r="AK495" s="76" t="n"/>
      <c r="AL495" s="76" t="n"/>
      <c r="AM495" s="76" t="n"/>
      <c r="AN495" s="76" t="n"/>
      <c r="AO495" s="76" t="n"/>
      <c r="AP495" s="76" t="n"/>
      <c r="AQ495" s="76" t="n"/>
      <c r="AR495" s="76" t="n"/>
      <c r="AS495" s="76" t="n"/>
      <c r="AT495" s="76" t="n"/>
      <c r="AU495" s="76" t="n"/>
      <c r="AV495" s="76" t="n"/>
      <c r="AX495" s="137" t="n"/>
      <c r="AY495" s="137" t="n"/>
    </row>
    <row r="496" ht="16.5" customFormat="1" customHeight="1" s="38">
      <c r="A496" s="76" t="n"/>
      <c r="B496" s="76" t="n"/>
      <c r="C496" s="76" t="n"/>
      <c r="D496" s="76" t="n"/>
      <c r="E496" s="76" t="n"/>
      <c r="F496" s="76" t="n"/>
      <c r="G496" s="76" t="n"/>
      <c r="H496" s="76" t="n"/>
      <c r="I496" s="76" t="n"/>
      <c r="J496" s="76" t="n"/>
      <c r="K496" s="76" t="n"/>
      <c r="L496" s="76" t="n"/>
      <c r="M496" s="76" t="n"/>
      <c r="N496" s="76" t="n"/>
      <c r="O496" s="76" t="n"/>
      <c r="P496" s="76" t="n"/>
      <c r="Q496" s="76" t="n"/>
      <c r="R496" s="76" t="n"/>
      <c r="S496" s="76" t="n"/>
      <c r="T496" s="76" t="n"/>
      <c r="U496" s="76" t="n"/>
      <c r="V496" s="76" t="n"/>
      <c r="W496" s="76" t="n"/>
      <c r="X496" s="76" t="n"/>
      <c r="Y496" s="76" t="n"/>
      <c r="Z496" s="76" t="n"/>
      <c r="AA496" s="76" t="n"/>
      <c r="AB496" s="76" t="n"/>
      <c r="AC496" s="76" t="n"/>
      <c r="AD496" s="76" t="n"/>
      <c r="AE496" s="76" t="n"/>
      <c r="AF496" s="76" t="n"/>
      <c r="AG496" s="76" t="n"/>
      <c r="AH496" s="76" t="n"/>
      <c r="AI496" s="76" t="n"/>
      <c r="AJ496" s="76" t="n"/>
      <c r="AK496" s="76" t="n"/>
      <c r="AL496" s="76" t="n"/>
      <c r="AM496" s="76" t="n"/>
      <c r="AN496" s="76" t="n"/>
      <c r="AO496" s="76" t="n"/>
      <c r="AP496" s="76" t="n"/>
      <c r="AQ496" s="76" t="n"/>
      <c r="AR496" s="76" t="n"/>
      <c r="AS496" s="76" t="n"/>
      <c r="AT496" s="76" t="n"/>
      <c r="AU496" s="76" t="n"/>
      <c r="AV496" s="76" t="n"/>
      <c r="AX496" s="137" t="n"/>
      <c r="AY496" s="137" t="n"/>
    </row>
    <row r="497" ht="16.5" customFormat="1" customHeight="1" s="38">
      <c r="A497" s="76" t="n"/>
      <c r="B497" s="76" t="n"/>
      <c r="C497" s="76" t="n"/>
      <c r="D497" s="76" t="n"/>
      <c r="E497" s="76" t="n"/>
      <c r="F497" s="76" t="n"/>
      <c r="G497" s="76" t="n"/>
      <c r="H497" s="76" t="n"/>
      <c r="I497" s="76" t="n"/>
      <c r="J497" s="76" t="n"/>
      <c r="K497" s="76" t="n"/>
      <c r="L497" s="76" t="n"/>
      <c r="M497" s="76" t="n"/>
      <c r="N497" s="76" t="n"/>
      <c r="O497" s="76" t="n"/>
      <c r="P497" s="76" t="n"/>
      <c r="Q497" s="76" t="n"/>
      <c r="R497" s="76" t="n"/>
      <c r="S497" s="76" t="n"/>
      <c r="T497" s="76" t="n"/>
      <c r="U497" s="76" t="n"/>
      <c r="V497" s="76" t="n"/>
      <c r="W497" s="76" t="n"/>
      <c r="X497" s="76" t="n"/>
      <c r="Y497" s="76" t="n"/>
      <c r="Z497" s="76" t="n"/>
      <c r="AA497" s="76" t="n"/>
      <c r="AB497" s="76" t="n"/>
      <c r="AC497" s="76" t="n"/>
      <c r="AD497" s="76" t="n"/>
      <c r="AE497" s="76" t="n"/>
      <c r="AF497" s="76" t="n"/>
      <c r="AG497" s="76" t="n"/>
      <c r="AH497" s="76" t="n"/>
      <c r="AI497" s="76" t="n"/>
      <c r="AJ497" s="76" t="n"/>
      <c r="AK497" s="76" t="n"/>
      <c r="AL497" s="76" t="n"/>
      <c r="AM497" s="76" t="n"/>
      <c r="AN497" s="76" t="n"/>
      <c r="AO497" s="76" t="n"/>
      <c r="AP497" s="76" t="n"/>
      <c r="AQ497" s="76" t="n"/>
      <c r="AR497" s="76" t="n"/>
      <c r="AS497" s="76" t="n"/>
      <c r="AT497" s="76" t="n"/>
      <c r="AU497" s="76" t="n"/>
      <c r="AV497" s="76" t="n"/>
      <c r="AX497" s="137" t="n"/>
      <c r="AY497" s="137" t="n"/>
    </row>
    <row r="498" ht="16.5" customFormat="1" customHeight="1" s="38">
      <c r="A498" s="76" t="n"/>
      <c r="B498" s="76" t="n"/>
      <c r="C498" s="76" t="n"/>
      <c r="D498" s="76" t="n"/>
      <c r="E498" s="76" t="n"/>
      <c r="F498" s="76" t="n"/>
      <c r="G498" s="76" t="n"/>
      <c r="H498" s="76" t="n"/>
      <c r="I498" s="76" t="n"/>
      <c r="J498" s="76" t="n"/>
      <c r="K498" s="76" t="n"/>
      <c r="L498" s="76" t="n"/>
      <c r="M498" s="76" t="n"/>
      <c r="N498" s="76" t="n"/>
      <c r="O498" s="76" t="n"/>
      <c r="P498" s="76" t="n"/>
      <c r="Q498" s="76" t="n"/>
      <c r="R498" s="76" t="n"/>
      <c r="S498" s="76" t="n"/>
      <c r="T498" s="76" t="n"/>
      <c r="U498" s="76" t="n"/>
      <c r="V498" s="76" t="n"/>
      <c r="W498" s="76" t="n"/>
      <c r="X498" s="76" t="n"/>
      <c r="Y498" s="76" t="n"/>
      <c r="Z498" s="76" t="n"/>
      <c r="AA498" s="76" t="n"/>
      <c r="AB498" s="76" t="n"/>
      <c r="AC498" s="76" t="n"/>
      <c r="AD498" s="76" t="n"/>
      <c r="AE498" s="76" t="n"/>
      <c r="AF498" s="76" t="n"/>
      <c r="AG498" s="76" t="n"/>
      <c r="AH498" s="76" t="n"/>
      <c r="AI498" s="76" t="n"/>
      <c r="AJ498" s="76" t="n"/>
      <c r="AK498" s="76" t="n"/>
      <c r="AL498" s="76" t="n"/>
      <c r="AM498" s="76" t="n"/>
      <c r="AN498" s="76" t="n"/>
      <c r="AO498" s="76" t="n"/>
      <c r="AP498" s="76" t="n"/>
      <c r="AQ498" s="76" t="n"/>
      <c r="AR498" s="76" t="n"/>
      <c r="AS498" s="76" t="n"/>
      <c r="AT498" s="76" t="n"/>
      <c r="AU498" s="76" t="n"/>
      <c r="AV498" s="76" t="n"/>
      <c r="AX498" s="137" t="n"/>
      <c r="AY498" s="137" t="n"/>
    </row>
    <row r="499" ht="16.5" customFormat="1" customHeight="1" s="38">
      <c r="A499" s="76" t="n"/>
      <c r="B499" s="76" t="n"/>
      <c r="C499" s="76" t="n"/>
      <c r="D499" s="76" t="n"/>
      <c r="E499" s="76" t="n"/>
      <c r="F499" s="76" t="n"/>
      <c r="G499" s="76" t="n"/>
      <c r="H499" s="76" t="n"/>
      <c r="I499" s="76" t="n"/>
      <c r="J499" s="76" t="n"/>
      <c r="K499" s="76" t="n"/>
      <c r="L499" s="76" t="n"/>
      <c r="M499" s="76" t="n"/>
      <c r="N499" s="76" t="n"/>
      <c r="O499" s="76" t="n"/>
      <c r="P499" s="76" t="n"/>
      <c r="Q499" s="76" t="n"/>
      <c r="R499" s="76" t="n"/>
      <c r="S499" s="76" t="n"/>
      <c r="T499" s="76" t="n"/>
      <c r="U499" s="76" t="n"/>
      <c r="V499" s="76" t="n"/>
      <c r="W499" s="76" t="n"/>
      <c r="X499" s="76" t="n"/>
      <c r="Y499" s="76" t="n"/>
      <c r="Z499" s="76" t="n"/>
      <c r="AA499" s="76" t="n"/>
      <c r="AB499" s="76" t="n"/>
      <c r="AC499" s="76" t="n"/>
      <c r="AD499" s="76" t="n"/>
      <c r="AE499" s="76" t="n"/>
      <c r="AF499" s="76" t="n"/>
      <c r="AG499" s="76" t="n"/>
      <c r="AH499" s="76" t="n"/>
      <c r="AI499" s="76" t="n"/>
      <c r="AJ499" s="76" t="n"/>
      <c r="AK499" s="76" t="n"/>
      <c r="AL499" s="76" t="n"/>
      <c r="AM499" s="76" t="n"/>
      <c r="AN499" s="76" t="n"/>
      <c r="AO499" s="76" t="n"/>
      <c r="AP499" s="76" t="n"/>
      <c r="AQ499" s="76" t="n"/>
      <c r="AR499" s="76" t="n"/>
      <c r="AS499" s="76" t="n"/>
      <c r="AT499" s="76" t="n"/>
      <c r="AU499" s="76" t="n"/>
      <c r="AV499" s="76" t="n"/>
      <c r="AX499" s="137" t="n"/>
      <c r="AY499" s="137" t="n"/>
    </row>
    <row r="500" ht="16.5" customFormat="1" customHeight="1" s="38">
      <c r="A500" s="76" t="n"/>
      <c r="B500" s="76" t="n"/>
      <c r="C500" s="76" t="n"/>
      <c r="D500" s="76" t="n"/>
      <c r="E500" s="76" t="n"/>
      <c r="F500" s="76" t="n"/>
      <c r="G500" s="76" t="n"/>
      <c r="H500" s="76" t="n"/>
      <c r="I500" s="76" t="n"/>
      <c r="J500" s="76" t="n"/>
      <c r="K500" s="76" t="n"/>
      <c r="L500" s="76" t="n"/>
      <c r="M500" s="76" t="n"/>
      <c r="N500" s="76" t="n"/>
      <c r="O500" s="76" t="n"/>
      <c r="P500" s="76" t="n"/>
      <c r="Q500" s="76" t="n"/>
      <c r="R500" s="76" t="n"/>
      <c r="S500" s="76" t="n"/>
      <c r="T500" s="76" t="n"/>
      <c r="U500" s="76" t="n"/>
      <c r="V500" s="76" t="n"/>
      <c r="W500" s="76" t="n"/>
      <c r="X500" s="76" t="n"/>
      <c r="Y500" s="76" t="n"/>
      <c r="Z500" s="76" t="n"/>
      <c r="AA500" s="76" t="n"/>
      <c r="AB500" s="76" t="n"/>
      <c r="AC500" s="76" t="n"/>
      <c r="AD500" s="76" t="n"/>
      <c r="AE500" s="76" t="n"/>
      <c r="AF500" s="76" t="n"/>
      <c r="AG500" s="76" t="n"/>
      <c r="AH500" s="76" t="n"/>
      <c r="AI500" s="76" t="n"/>
      <c r="AJ500" s="76" t="n"/>
      <c r="AK500" s="76" t="n"/>
      <c r="AL500" s="76" t="n"/>
      <c r="AM500" s="76" t="n"/>
      <c r="AN500" s="76" t="n"/>
      <c r="AO500" s="76" t="n"/>
      <c r="AP500" s="76" t="n"/>
      <c r="AQ500" s="76" t="n"/>
      <c r="AR500" s="76" t="n"/>
      <c r="AS500" s="76" t="n"/>
      <c r="AT500" s="76" t="n"/>
      <c r="AU500" s="76" t="n"/>
      <c r="AV500" s="76" t="n"/>
      <c r="AX500" s="137" t="n"/>
      <c r="AY500" s="137" t="n"/>
    </row>
    <row r="501" ht="16.5" customFormat="1" customHeight="1" s="38">
      <c r="A501" s="76" t="n"/>
      <c r="B501" s="76" t="n"/>
      <c r="C501" s="76" t="n"/>
      <c r="D501" s="76" t="n"/>
      <c r="E501" s="76" t="n"/>
      <c r="F501" s="76" t="n"/>
      <c r="G501" s="76" t="n"/>
      <c r="H501" s="76" t="n"/>
      <c r="I501" s="76" t="n"/>
      <c r="J501" s="76" t="n"/>
      <c r="K501" s="76" t="n"/>
      <c r="L501" s="76" t="n"/>
      <c r="M501" s="76" t="n"/>
      <c r="N501" s="76" t="n"/>
      <c r="O501" s="76" t="n"/>
      <c r="P501" s="76" t="n"/>
      <c r="Q501" s="76" t="n"/>
      <c r="R501" s="76" t="n"/>
      <c r="S501" s="76" t="n"/>
      <c r="T501" s="76" t="n"/>
      <c r="U501" s="76" t="n"/>
      <c r="V501" s="76" t="n"/>
      <c r="W501" s="76" t="n"/>
      <c r="X501" s="76" t="n"/>
      <c r="Y501" s="76" t="n"/>
      <c r="Z501" s="76" t="n"/>
      <c r="AA501" s="76" t="n"/>
      <c r="AB501" s="76" t="n"/>
      <c r="AC501" s="76" t="n"/>
      <c r="AD501" s="76" t="n"/>
      <c r="AE501" s="76" t="n"/>
      <c r="AF501" s="76" t="n"/>
      <c r="AG501" s="76" t="n"/>
      <c r="AH501" s="76" t="n"/>
      <c r="AI501" s="76" t="n"/>
      <c r="AJ501" s="76" t="n"/>
      <c r="AK501" s="76" t="n"/>
      <c r="AL501" s="76" t="n"/>
      <c r="AM501" s="76" t="n"/>
      <c r="AN501" s="76" t="n"/>
      <c r="AO501" s="76" t="n"/>
      <c r="AP501" s="76" t="n"/>
      <c r="AQ501" s="76" t="n"/>
      <c r="AR501" s="76" t="n"/>
      <c r="AS501" s="76" t="n"/>
      <c r="AT501" s="76" t="n"/>
      <c r="AU501" s="76" t="n"/>
      <c r="AV501" s="76" t="n"/>
      <c r="AX501" s="137" t="n"/>
      <c r="AY501" s="137" t="n"/>
    </row>
    <row r="502" ht="16.5" customFormat="1" customHeight="1" s="38">
      <c r="A502" s="76" t="n"/>
      <c r="B502" s="76" t="n"/>
      <c r="C502" s="76" t="n"/>
      <c r="D502" s="76" t="n"/>
      <c r="E502" s="76" t="n"/>
      <c r="F502" s="76" t="n"/>
      <c r="G502" s="76" t="n"/>
      <c r="H502" s="76" t="n"/>
      <c r="I502" s="76" t="n"/>
      <c r="J502" s="76" t="n"/>
      <c r="K502" s="76" t="n"/>
      <c r="L502" s="76" t="n"/>
      <c r="M502" s="76" t="n"/>
      <c r="N502" s="76" t="n"/>
      <c r="O502" s="76" t="n"/>
      <c r="P502" s="76" t="n"/>
      <c r="Q502" s="76" t="n"/>
      <c r="R502" s="76" t="n"/>
      <c r="S502" s="76" t="n"/>
      <c r="T502" s="76" t="n"/>
      <c r="U502" s="76" t="n"/>
      <c r="V502" s="76" t="n"/>
      <c r="W502" s="76" t="n"/>
      <c r="X502" s="76" t="n"/>
      <c r="Y502" s="76" t="n"/>
      <c r="Z502" s="76" t="n"/>
      <c r="AA502" s="76" t="n"/>
      <c r="AB502" s="76" t="n"/>
      <c r="AC502" s="76" t="n"/>
      <c r="AD502" s="76" t="n"/>
      <c r="AE502" s="76" t="n"/>
      <c r="AF502" s="76" t="n"/>
      <c r="AG502" s="76" t="n"/>
      <c r="AH502" s="76" t="n"/>
      <c r="AI502" s="76" t="n"/>
      <c r="AJ502" s="76" t="n"/>
      <c r="AK502" s="76" t="n"/>
      <c r="AL502" s="76" t="n"/>
      <c r="AM502" s="76" t="n"/>
      <c r="AN502" s="76" t="n"/>
      <c r="AO502" s="76" t="n"/>
      <c r="AP502" s="76" t="n"/>
      <c r="AQ502" s="76" t="n"/>
      <c r="AR502" s="76" t="n"/>
      <c r="AS502" s="76" t="n"/>
      <c r="AT502" s="76" t="n"/>
      <c r="AU502" s="76" t="n"/>
      <c r="AV502" s="76" t="n"/>
      <c r="AX502" s="137" t="n"/>
      <c r="AY502" s="137" t="n"/>
    </row>
    <row r="503" ht="16.5" customFormat="1" customHeight="1" s="38">
      <c r="A503" s="76" t="n"/>
      <c r="B503" s="76" t="n"/>
      <c r="C503" s="76" t="n"/>
      <c r="D503" s="76" t="n"/>
      <c r="E503" s="76" t="n"/>
      <c r="F503" s="76" t="n"/>
      <c r="G503" s="76" t="n"/>
      <c r="H503" s="76" t="n"/>
      <c r="I503" s="76" t="n"/>
      <c r="J503" s="76" t="n"/>
      <c r="K503" s="76" t="n"/>
      <c r="L503" s="76" t="n"/>
      <c r="M503" s="76" t="n"/>
      <c r="N503" s="76" t="n"/>
      <c r="O503" s="76" t="n"/>
      <c r="P503" s="76" t="n"/>
      <c r="Q503" s="76" t="n"/>
      <c r="R503" s="76" t="n"/>
      <c r="S503" s="76" t="n"/>
      <c r="T503" s="76" t="n"/>
      <c r="U503" s="76" t="n"/>
      <c r="V503" s="76" t="n"/>
      <c r="W503" s="76" t="n"/>
      <c r="X503" s="76" t="n"/>
      <c r="Y503" s="76" t="n"/>
      <c r="Z503" s="76" t="n"/>
      <c r="AA503" s="76" t="n"/>
      <c r="AB503" s="76" t="n"/>
      <c r="AC503" s="76" t="n"/>
      <c r="AD503" s="76" t="n"/>
      <c r="AE503" s="76" t="n"/>
      <c r="AF503" s="76" t="n"/>
      <c r="AG503" s="76" t="n"/>
      <c r="AH503" s="76" t="n"/>
      <c r="AI503" s="76" t="n"/>
      <c r="AJ503" s="76" t="n"/>
      <c r="AK503" s="76" t="n"/>
      <c r="AL503" s="76" t="n"/>
      <c r="AM503" s="76" t="n"/>
      <c r="AN503" s="76" t="n"/>
      <c r="AO503" s="76" t="n"/>
      <c r="AP503" s="76" t="n"/>
      <c r="AQ503" s="76" t="n"/>
      <c r="AR503" s="76" t="n"/>
      <c r="AS503" s="76" t="n"/>
      <c r="AT503" s="76" t="n"/>
      <c r="AU503" s="76" t="n"/>
      <c r="AV503" s="76" t="n"/>
      <c r="AX503" s="137" t="n"/>
      <c r="AY503" s="137" t="n"/>
    </row>
    <row r="504" ht="16.5" customFormat="1" customHeight="1" s="38">
      <c r="A504" s="76" t="n"/>
      <c r="B504" s="76" t="n"/>
      <c r="C504" s="76" t="n"/>
      <c r="D504" s="76" t="n"/>
      <c r="E504" s="76" t="n"/>
      <c r="F504" s="76" t="n"/>
      <c r="G504" s="76" t="n"/>
      <c r="H504" s="76" t="n"/>
      <c r="I504" s="76" t="n"/>
      <c r="J504" s="76" t="n"/>
      <c r="K504" s="76" t="n"/>
      <c r="L504" s="76" t="n"/>
      <c r="M504" s="76" t="n"/>
      <c r="N504" s="76" t="n"/>
      <c r="O504" s="76" t="n"/>
      <c r="P504" s="76" t="n"/>
      <c r="Q504" s="76" t="n"/>
      <c r="R504" s="76" t="n"/>
      <c r="S504" s="76" t="n"/>
      <c r="T504" s="76" t="n"/>
      <c r="U504" s="76" t="n"/>
      <c r="V504" s="76" t="n"/>
      <c r="W504" s="76" t="n"/>
      <c r="X504" s="76" t="n"/>
      <c r="Y504" s="76" t="n"/>
      <c r="Z504" s="76" t="n"/>
      <c r="AA504" s="76" t="n"/>
      <c r="AB504" s="76" t="n"/>
      <c r="AC504" s="76" t="n"/>
      <c r="AD504" s="76" t="n"/>
      <c r="AE504" s="76" t="n"/>
      <c r="AF504" s="76" t="n"/>
      <c r="AG504" s="76" t="n"/>
      <c r="AH504" s="76" t="n"/>
      <c r="AI504" s="76" t="n"/>
      <c r="AJ504" s="76" t="n"/>
      <c r="AK504" s="76" t="n"/>
      <c r="AL504" s="76" t="n"/>
      <c r="AM504" s="76" t="n"/>
      <c r="AN504" s="76" t="n"/>
      <c r="AO504" s="76" t="n"/>
      <c r="AP504" s="76" t="n"/>
      <c r="AQ504" s="76" t="n"/>
      <c r="AR504" s="76" t="n"/>
      <c r="AS504" s="76" t="n"/>
      <c r="AT504" s="76" t="n"/>
      <c r="AU504" s="76" t="n"/>
      <c r="AV504" s="76" t="n"/>
      <c r="AX504" s="137" t="n"/>
      <c r="AY504" s="137" t="n"/>
    </row>
    <row r="505" ht="16.5" customFormat="1" customHeight="1" s="38">
      <c r="A505" s="76" t="n"/>
      <c r="B505" s="76" t="n"/>
      <c r="C505" s="76" t="n"/>
      <c r="D505" s="76" t="n"/>
      <c r="E505" s="76" t="n"/>
      <c r="F505" s="76" t="n"/>
      <c r="G505" s="76" t="n"/>
      <c r="H505" s="76" t="n"/>
      <c r="I505" s="76" t="n"/>
      <c r="J505" s="76" t="n"/>
      <c r="K505" s="76" t="n"/>
      <c r="L505" s="76" t="n"/>
      <c r="M505" s="76" t="n"/>
      <c r="N505" s="76" t="n"/>
      <c r="O505" s="76" t="n"/>
      <c r="P505" s="76" t="n"/>
      <c r="Q505" s="76" t="n"/>
      <c r="R505" s="76" t="n"/>
      <c r="S505" s="76" t="n"/>
      <c r="T505" s="76" t="n"/>
      <c r="U505" s="76" t="n"/>
      <c r="V505" s="76" t="n"/>
      <c r="W505" s="76" t="n"/>
      <c r="X505" s="76" t="n"/>
      <c r="Y505" s="76" t="n"/>
      <c r="Z505" s="76" t="n"/>
      <c r="AA505" s="76" t="n"/>
      <c r="AB505" s="76" t="n"/>
      <c r="AC505" s="76" t="n"/>
      <c r="AD505" s="76" t="n"/>
      <c r="AE505" s="76" t="n"/>
      <c r="AF505" s="76" t="n"/>
      <c r="AG505" s="76" t="n"/>
      <c r="AH505" s="76" t="n"/>
      <c r="AI505" s="76" t="n"/>
      <c r="AJ505" s="76" t="n"/>
      <c r="AK505" s="76" t="n"/>
      <c r="AL505" s="76" t="n"/>
      <c r="AM505" s="76" t="n"/>
      <c r="AN505" s="76" t="n"/>
      <c r="AO505" s="76" t="n"/>
      <c r="AP505" s="76" t="n"/>
      <c r="AQ505" s="76" t="n"/>
      <c r="AR505" s="76" t="n"/>
      <c r="AS505" s="76" t="n"/>
      <c r="AT505" s="76" t="n"/>
      <c r="AU505" s="76" t="n"/>
      <c r="AV505" s="76" t="n"/>
      <c r="AX505" s="137" t="n"/>
      <c r="AY505" s="137" t="n"/>
    </row>
    <row r="506" ht="16.5" customFormat="1" customHeight="1" s="38">
      <c r="A506" s="76" t="n"/>
      <c r="B506" s="76" t="n"/>
      <c r="C506" s="76" t="n"/>
      <c r="D506" s="76" t="n"/>
      <c r="E506" s="76" t="n"/>
      <c r="F506" s="76" t="n"/>
      <c r="G506" s="76" t="n"/>
      <c r="H506" s="76" t="n"/>
      <c r="I506" s="76" t="n"/>
      <c r="J506" s="76" t="n"/>
      <c r="K506" s="76" t="n"/>
      <c r="L506" s="76" t="n"/>
      <c r="M506" s="76" t="n"/>
      <c r="N506" s="76" t="n"/>
      <c r="O506" s="76" t="n"/>
      <c r="P506" s="76" t="n"/>
      <c r="Q506" s="76" t="n"/>
      <c r="R506" s="76" t="n"/>
      <c r="S506" s="76" t="n"/>
      <c r="T506" s="76" t="n"/>
      <c r="U506" s="76" t="n"/>
      <c r="V506" s="76" t="n"/>
      <c r="W506" s="76" t="n"/>
      <c r="X506" s="76" t="n"/>
      <c r="Y506" s="76" t="n"/>
      <c r="Z506" s="76" t="n"/>
      <c r="AA506" s="76" t="n"/>
      <c r="AB506" s="76" t="n"/>
      <c r="AC506" s="76" t="n"/>
      <c r="AD506" s="76" t="n"/>
      <c r="AE506" s="76" t="n"/>
      <c r="AF506" s="76" t="n"/>
      <c r="AG506" s="76" t="n"/>
      <c r="AH506" s="76" t="n"/>
      <c r="AI506" s="76" t="n"/>
      <c r="AJ506" s="76" t="n"/>
      <c r="AK506" s="76" t="n"/>
      <c r="AL506" s="76" t="n"/>
      <c r="AM506" s="76" t="n"/>
      <c r="AN506" s="76" t="n"/>
      <c r="AO506" s="76" t="n"/>
      <c r="AP506" s="76" t="n"/>
      <c r="AQ506" s="76" t="n"/>
      <c r="AR506" s="76" t="n"/>
      <c r="AS506" s="76" t="n"/>
      <c r="AT506" s="76" t="n"/>
      <c r="AU506" s="76" t="n"/>
      <c r="AV506" s="76" t="n"/>
      <c r="AX506" s="137" t="n"/>
      <c r="AY506" s="137" t="n"/>
    </row>
    <row r="507" ht="16.5" customFormat="1" customHeight="1" s="38">
      <c r="A507" s="76" t="n"/>
      <c r="B507" s="76" t="n"/>
      <c r="C507" s="76" t="n"/>
      <c r="D507" s="76" t="n"/>
      <c r="E507" s="76" t="n"/>
      <c r="F507" s="76" t="n"/>
      <c r="G507" s="76" t="n"/>
      <c r="H507" s="76" t="n"/>
      <c r="I507" s="76" t="n"/>
      <c r="J507" s="76" t="n"/>
      <c r="K507" s="76" t="n"/>
      <c r="L507" s="76" t="n"/>
      <c r="M507" s="76" t="n"/>
      <c r="N507" s="76" t="n"/>
      <c r="O507" s="76" t="n"/>
      <c r="P507" s="76" t="n"/>
      <c r="Q507" s="76" t="n"/>
      <c r="R507" s="76" t="n"/>
      <c r="S507" s="76" t="n"/>
      <c r="T507" s="76" t="n"/>
      <c r="U507" s="76" t="n"/>
      <c r="V507" s="76" t="n"/>
      <c r="W507" s="76" t="n"/>
      <c r="X507" s="76" t="n"/>
      <c r="Y507" s="76" t="n"/>
      <c r="Z507" s="76" t="n"/>
      <c r="AA507" s="76" t="n"/>
      <c r="AB507" s="76" t="n"/>
      <c r="AC507" s="76" t="n"/>
      <c r="AD507" s="76" t="n"/>
      <c r="AE507" s="76" t="n"/>
      <c r="AF507" s="76" t="n"/>
      <c r="AG507" s="76" t="n"/>
      <c r="AH507" s="76" t="n"/>
      <c r="AI507" s="76" t="n"/>
      <c r="AJ507" s="76" t="n"/>
      <c r="AK507" s="76" t="n"/>
      <c r="AL507" s="76" t="n"/>
      <c r="AM507" s="76" t="n"/>
      <c r="AN507" s="76" t="n"/>
      <c r="AO507" s="76" t="n"/>
      <c r="AP507" s="76" t="n"/>
      <c r="AQ507" s="76" t="n"/>
      <c r="AR507" s="76" t="n"/>
      <c r="AS507" s="76" t="n"/>
      <c r="AT507" s="76" t="n"/>
      <c r="AU507" s="76" t="n"/>
      <c r="AV507" s="76" t="n"/>
      <c r="AX507" s="137" t="n"/>
      <c r="AY507" s="137" t="n"/>
    </row>
    <row r="508" ht="16.5" customFormat="1" customHeight="1" s="38">
      <c r="A508" s="76" t="n"/>
      <c r="B508" s="76" t="n"/>
      <c r="C508" s="76" t="n"/>
      <c r="D508" s="76" t="n"/>
      <c r="E508" s="76" t="n"/>
      <c r="F508" s="76" t="n"/>
      <c r="G508" s="76" t="n"/>
      <c r="H508" s="76" t="n"/>
      <c r="I508" s="76" t="n"/>
      <c r="J508" s="76" t="n"/>
      <c r="K508" s="76" t="n"/>
      <c r="L508" s="76" t="n"/>
      <c r="M508" s="76" t="n"/>
      <c r="N508" s="76" t="n"/>
      <c r="O508" s="76" t="n"/>
      <c r="P508" s="76" t="n"/>
      <c r="Q508" s="76" t="n"/>
      <c r="R508" s="76" t="n"/>
      <c r="S508" s="76" t="n"/>
      <c r="T508" s="76" t="n"/>
      <c r="U508" s="76" t="n"/>
      <c r="V508" s="76" t="n"/>
      <c r="W508" s="76" t="n"/>
      <c r="X508" s="76" t="n"/>
      <c r="Y508" s="76" t="n"/>
      <c r="Z508" s="76" t="n"/>
      <c r="AA508" s="76" t="n"/>
      <c r="AB508" s="76" t="n"/>
      <c r="AC508" s="76" t="n"/>
      <c r="AD508" s="76" t="n"/>
      <c r="AE508" s="76" t="n"/>
      <c r="AF508" s="76" t="n"/>
      <c r="AG508" s="76" t="n"/>
      <c r="AH508" s="76" t="n"/>
      <c r="AI508" s="76" t="n"/>
      <c r="AJ508" s="76" t="n"/>
      <c r="AK508" s="76" t="n"/>
      <c r="AL508" s="76" t="n"/>
      <c r="AM508" s="76" t="n"/>
      <c r="AN508" s="76" t="n"/>
      <c r="AO508" s="76" t="n"/>
      <c r="AP508" s="76" t="n"/>
      <c r="AQ508" s="76" t="n"/>
      <c r="AR508" s="76" t="n"/>
      <c r="AS508" s="76" t="n"/>
      <c r="AT508" s="76" t="n"/>
      <c r="AU508" s="76" t="n"/>
      <c r="AV508" s="76" t="n"/>
      <c r="AX508" s="137" t="n"/>
      <c r="AY508" s="137" t="n"/>
    </row>
    <row r="509" ht="16.5" customFormat="1" customHeight="1" s="38">
      <c r="A509" s="76" t="n"/>
      <c r="B509" s="76" t="n"/>
      <c r="C509" s="76" t="n"/>
      <c r="D509" s="76" t="n"/>
      <c r="E509" s="76" t="n"/>
      <c r="F509" s="76" t="n"/>
      <c r="G509" s="76" t="n"/>
      <c r="H509" s="76" t="n"/>
      <c r="I509" s="76" t="n"/>
      <c r="J509" s="76" t="n"/>
      <c r="K509" s="76" t="n"/>
      <c r="L509" s="76" t="n"/>
      <c r="M509" s="76" t="n"/>
      <c r="N509" s="76" t="n"/>
      <c r="O509" s="76" t="n"/>
      <c r="P509" s="76" t="n"/>
      <c r="Q509" s="76" t="n"/>
      <c r="R509" s="76" t="n"/>
      <c r="S509" s="76" t="n"/>
      <c r="T509" s="76" t="n"/>
      <c r="U509" s="76" t="n"/>
      <c r="V509" s="76" t="n"/>
      <c r="W509" s="76" t="n"/>
      <c r="X509" s="76" t="n"/>
      <c r="Y509" s="76" t="n"/>
      <c r="Z509" s="76" t="n"/>
      <c r="AA509" s="76" t="n"/>
      <c r="AB509" s="76" t="n"/>
      <c r="AC509" s="76" t="n"/>
      <c r="AD509" s="76" t="n"/>
      <c r="AE509" s="76" t="n"/>
      <c r="AF509" s="76" t="n"/>
      <c r="AG509" s="76" t="n"/>
      <c r="AH509" s="76" t="n"/>
      <c r="AI509" s="76" t="n"/>
      <c r="AJ509" s="76" t="n"/>
      <c r="AK509" s="76" t="n"/>
      <c r="AL509" s="76" t="n"/>
      <c r="AM509" s="76" t="n"/>
      <c r="AN509" s="76" t="n"/>
      <c r="AO509" s="76" t="n"/>
      <c r="AP509" s="76" t="n"/>
      <c r="AQ509" s="76" t="n"/>
      <c r="AR509" s="76" t="n"/>
      <c r="AS509" s="76" t="n"/>
      <c r="AT509" s="76" t="n"/>
      <c r="AU509" s="76" t="n"/>
      <c r="AV509" s="76" t="n"/>
      <c r="AX509" s="137" t="n"/>
      <c r="AY509" s="137" t="n"/>
    </row>
    <row r="510" ht="16.5" customFormat="1" customHeight="1" s="38">
      <c r="A510" s="76" t="n"/>
      <c r="B510" s="76" t="n"/>
      <c r="C510" s="76" t="n"/>
      <c r="D510" s="76" t="n"/>
      <c r="E510" s="76" t="n"/>
      <c r="F510" s="76" t="n"/>
      <c r="G510" s="76" t="n"/>
      <c r="H510" s="76" t="n"/>
      <c r="I510" s="76" t="n"/>
      <c r="J510" s="76" t="n"/>
      <c r="K510" s="76" t="n"/>
      <c r="L510" s="76" t="n"/>
      <c r="M510" s="76" t="n"/>
      <c r="N510" s="76" t="n"/>
      <c r="O510" s="76" t="n"/>
      <c r="P510" s="76" t="n"/>
      <c r="Q510" s="76" t="n"/>
      <c r="R510" s="76" t="n"/>
      <c r="S510" s="76" t="n"/>
      <c r="T510" s="76" t="n"/>
      <c r="U510" s="76" t="n"/>
      <c r="V510" s="76" t="n"/>
      <c r="W510" s="76" t="n"/>
      <c r="X510" s="76" t="n"/>
      <c r="Y510" s="76" t="n"/>
      <c r="Z510" s="76" t="n"/>
      <c r="AA510" s="76" t="n"/>
      <c r="AB510" s="76" t="n"/>
      <c r="AC510" s="76" t="n"/>
      <c r="AD510" s="76" t="n"/>
      <c r="AE510" s="76" t="n"/>
      <c r="AF510" s="76" t="n"/>
      <c r="AG510" s="76" t="n"/>
      <c r="AH510" s="76" t="n"/>
      <c r="AI510" s="76" t="n"/>
      <c r="AJ510" s="76" t="n"/>
      <c r="AK510" s="76" t="n"/>
      <c r="AL510" s="76" t="n"/>
      <c r="AM510" s="76" t="n"/>
      <c r="AN510" s="76" t="n"/>
      <c r="AO510" s="76" t="n"/>
      <c r="AP510" s="76" t="n"/>
      <c r="AQ510" s="76" t="n"/>
      <c r="AR510" s="76" t="n"/>
      <c r="AS510" s="76" t="n"/>
      <c r="AT510" s="76" t="n"/>
      <c r="AU510" s="76" t="n"/>
      <c r="AV510" s="76" t="n"/>
      <c r="AX510" s="137" t="n"/>
      <c r="AY510" s="137" t="n"/>
    </row>
    <row r="511" ht="16.5" customFormat="1" customHeight="1" s="38">
      <c r="A511" s="76" t="n"/>
      <c r="B511" s="76" t="n"/>
      <c r="C511" s="76" t="n"/>
      <c r="D511" s="76" t="n"/>
      <c r="E511" s="76" t="n"/>
      <c r="F511" s="76" t="n"/>
      <c r="G511" s="76" t="n"/>
      <c r="H511" s="76" t="n"/>
      <c r="I511" s="76" t="n"/>
      <c r="J511" s="76" t="n"/>
      <c r="K511" s="76" t="n"/>
      <c r="L511" s="76" t="n"/>
      <c r="M511" s="76" t="n"/>
      <c r="N511" s="76" t="n"/>
      <c r="O511" s="76" t="n"/>
      <c r="P511" s="76" t="n"/>
      <c r="Q511" s="76" t="n"/>
      <c r="R511" s="76" t="n"/>
      <c r="S511" s="76" t="n"/>
      <c r="T511" s="76" t="n"/>
      <c r="U511" s="76" t="n"/>
      <c r="V511" s="76" t="n"/>
      <c r="W511" s="76" t="n"/>
      <c r="X511" s="76" t="n"/>
      <c r="Y511" s="76" t="n"/>
      <c r="Z511" s="76" t="n"/>
      <c r="AA511" s="76" t="n"/>
      <c r="AB511" s="76" t="n"/>
      <c r="AC511" s="76" t="n"/>
      <c r="AD511" s="76" t="n"/>
      <c r="AE511" s="76" t="n"/>
      <c r="AF511" s="76" t="n"/>
      <c r="AG511" s="76" t="n"/>
      <c r="AH511" s="76" t="n"/>
      <c r="AI511" s="76" t="n"/>
      <c r="AJ511" s="76" t="n"/>
      <c r="AK511" s="76" t="n"/>
      <c r="AL511" s="76" t="n"/>
      <c r="AM511" s="76" t="n"/>
      <c r="AN511" s="76" t="n"/>
      <c r="AO511" s="76" t="n"/>
      <c r="AP511" s="76" t="n"/>
      <c r="AQ511" s="76" t="n"/>
      <c r="AR511" s="76" t="n"/>
      <c r="AS511" s="76" t="n"/>
      <c r="AT511" s="76" t="n"/>
      <c r="AU511" s="76" t="n"/>
      <c r="AV511" s="76" t="n"/>
      <c r="AX511" s="137" t="n"/>
      <c r="AY511" s="137" t="n"/>
    </row>
    <row r="512" ht="16.5" customFormat="1" customHeight="1" s="38">
      <c r="A512" s="76" t="n"/>
      <c r="B512" s="76" t="n"/>
      <c r="C512" s="76" t="n"/>
      <c r="D512" s="76" t="n"/>
      <c r="E512" s="76" t="n"/>
      <c r="F512" s="76" t="n"/>
      <c r="G512" s="76" t="n"/>
      <c r="H512" s="76" t="n"/>
      <c r="I512" s="76" t="n"/>
      <c r="J512" s="76" t="n"/>
      <c r="K512" s="76" t="n"/>
      <c r="L512" s="76" t="n"/>
      <c r="M512" s="76" t="n"/>
      <c r="N512" s="76" t="n"/>
      <c r="O512" s="76" t="n"/>
      <c r="P512" s="76" t="n"/>
      <c r="Q512" s="76" t="n"/>
      <c r="R512" s="76" t="n"/>
      <c r="S512" s="76" t="n"/>
      <c r="T512" s="76" t="n"/>
      <c r="U512" s="76" t="n"/>
      <c r="V512" s="76" t="n"/>
      <c r="W512" s="76" t="n"/>
      <c r="X512" s="76" t="n"/>
      <c r="Y512" s="76" t="n"/>
      <c r="Z512" s="76" t="n"/>
      <c r="AA512" s="76" t="n"/>
      <c r="AB512" s="76" t="n"/>
      <c r="AC512" s="76" t="n"/>
      <c r="AD512" s="76" t="n"/>
      <c r="AE512" s="76" t="n"/>
      <c r="AF512" s="76" t="n"/>
      <c r="AG512" s="76" t="n"/>
      <c r="AH512" s="76" t="n"/>
      <c r="AI512" s="76" t="n"/>
      <c r="AJ512" s="76" t="n"/>
      <c r="AK512" s="76" t="n"/>
      <c r="AL512" s="76" t="n"/>
      <c r="AM512" s="76" t="n"/>
      <c r="AN512" s="76" t="n"/>
      <c r="AO512" s="76" t="n"/>
      <c r="AP512" s="76" t="n"/>
      <c r="AQ512" s="76" t="n"/>
      <c r="AR512" s="76" t="n"/>
      <c r="AS512" s="76" t="n"/>
      <c r="AT512" s="76" t="n"/>
      <c r="AU512" s="76" t="n"/>
      <c r="AV512" s="76" t="n"/>
      <c r="AX512" s="137" t="n"/>
      <c r="AY512" s="137" t="n"/>
    </row>
    <row r="513" ht="16.5" customFormat="1" customHeight="1" s="38">
      <c r="A513" s="76" t="n"/>
      <c r="B513" s="76" t="n"/>
      <c r="C513" s="76" t="n"/>
      <c r="D513" s="76" t="n"/>
      <c r="E513" s="76" t="n"/>
      <c r="F513" s="76" t="n"/>
      <c r="G513" s="76" t="n"/>
      <c r="H513" s="76" t="n"/>
      <c r="I513" s="76" t="n"/>
      <c r="J513" s="76" t="n"/>
      <c r="K513" s="76" t="n"/>
      <c r="L513" s="76" t="n"/>
      <c r="M513" s="76" t="n"/>
      <c r="N513" s="76" t="n"/>
      <c r="O513" s="76" t="n"/>
      <c r="P513" s="76" t="n"/>
      <c r="Q513" s="76" t="n"/>
      <c r="R513" s="76" t="n"/>
      <c r="S513" s="76" t="n"/>
      <c r="T513" s="76" t="n"/>
      <c r="U513" s="76" t="n"/>
      <c r="V513" s="76" t="n"/>
      <c r="W513" s="76" t="n"/>
      <c r="X513" s="76" t="n"/>
      <c r="Y513" s="76" t="n"/>
      <c r="Z513" s="76" t="n"/>
      <c r="AA513" s="76" t="n"/>
      <c r="AB513" s="76" t="n"/>
      <c r="AC513" s="76" t="n"/>
      <c r="AD513" s="76" t="n"/>
      <c r="AE513" s="76" t="n"/>
      <c r="AF513" s="76" t="n"/>
      <c r="AG513" s="76" t="n"/>
      <c r="AH513" s="76" t="n"/>
      <c r="AI513" s="76" t="n"/>
      <c r="AJ513" s="76" t="n"/>
      <c r="AK513" s="76" t="n"/>
      <c r="AL513" s="76" t="n"/>
      <c r="AM513" s="76" t="n"/>
      <c r="AN513" s="76" t="n"/>
      <c r="AO513" s="76" t="n"/>
      <c r="AP513" s="76" t="n"/>
      <c r="AQ513" s="76" t="n"/>
      <c r="AR513" s="76" t="n"/>
      <c r="AS513" s="76" t="n"/>
      <c r="AT513" s="76" t="n"/>
      <c r="AU513" s="76" t="n"/>
      <c r="AV513" s="76" t="n"/>
      <c r="AX513" s="137" t="n"/>
      <c r="AY513" s="137" t="n"/>
    </row>
    <row r="514" ht="16.5" customFormat="1" customHeight="1" s="38">
      <c r="A514" s="76" t="n"/>
      <c r="B514" s="76" t="n"/>
      <c r="C514" s="76" t="n"/>
      <c r="D514" s="76" t="n"/>
      <c r="E514" s="76" t="n"/>
      <c r="F514" s="76" t="n"/>
      <c r="G514" s="76" t="n"/>
      <c r="H514" s="76" t="n"/>
      <c r="I514" s="76" t="n"/>
      <c r="J514" s="76" t="n"/>
      <c r="K514" s="76" t="n"/>
      <c r="L514" s="76" t="n"/>
      <c r="M514" s="76" t="n"/>
      <c r="N514" s="76" t="n"/>
      <c r="O514" s="76" t="n"/>
      <c r="P514" s="76" t="n"/>
      <c r="Q514" s="76" t="n"/>
      <c r="R514" s="76" t="n"/>
      <c r="S514" s="76" t="n"/>
      <c r="T514" s="76" t="n"/>
      <c r="U514" s="76" t="n"/>
      <c r="V514" s="76" t="n"/>
      <c r="W514" s="76" t="n"/>
      <c r="X514" s="76" t="n"/>
      <c r="Y514" s="76" t="n"/>
      <c r="Z514" s="76" t="n"/>
      <c r="AA514" s="76" t="n"/>
      <c r="AB514" s="76" t="n"/>
      <c r="AC514" s="76" t="n"/>
      <c r="AD514" s="76" t="n"/>
      <c r="AE514" s="76" t="n"/>
      <c r="AF514" s="76" t="n"/>
      <c r="AG514" s="76" t="n"/>
      <c r="AH514" s="76" t="n"/>
      <c r="AI514" s="76" t="n"/>
      <c r="AJ514" s="76" t="n"/>
      <c r="AK514" s="76" t="n"/>
      <c r="AL514" s="76" t="n"/>
      <c r="AM514" s="76" t="n"/>
      <c r="AN514" s="76" t="n"/>
      <c r="AO514" s="76" t="n"/>
      <c r="AP514" s="76" t="n"/>
      <c r="AQ514" s="76" t="n"/>
      <c r="AR514" s="76" t="n"/>
      <c r="AS514" s="76" t="n"/>
      <c r="AT514" s="76" t="n"/>
      <c r="AU514" s="76" t="n"/>
      <c r="AV514" s="76" t="n"/>
      <c r="AX514" s="137" t="n"/>
      <c r="AY514" s="137" t="n"/>
    </row>
    <row r="515" ht="16.5" customFormat="1" customHeight="1" s="38">
      <c r="A515" s="76" t="n"/>
      <c r="B515" s="76" t="n"/>
      <c r="C515" s="76" t="n"/>
      <c r="D515" s="76" t="n"/>
      <c r="E515" s="76" t="n"/>
      <c r="F515" s="76" t="n"/>
      <c r="G515" s="76" t="n"/>
      <c r="H515" s="76" t="n"/>
      <c r="I515" s="76" t="n"/>
      <c r="J515" s="76" t="n"/>
      <c r="K515" s="76" t="n"/>
      <c r="L515" s="76" t="n"/>
      <c r="M515" s="76" t="n"/>
      <c r="N515" s="76" t="n"/>
      <c r="O515" s="76" t="n"/>
      <c r="P515" s="76" t="n"/>
      <c r="Q515" s="76" t="n"/>
      <c r="R515" s="76" t="n"/>
      <c r="S515" s="76" t="n"/>
      <c r="T515" s="76" t="n"/>
      <c r="U515" s="76" t="n"/>
      <c r="V515" s="76" t="n"/>
      <c r="W515" s="76" t="n"/>
      <c r="X515" s="76" t="n"/>
      <c r="Y515" s="76" t="n"/>
      <c r="Z515" s="76" t="n"/>
      <c r="AA515" s="76" t="n"/>
      <c r="AB515" s="76" t="n"/>
      <c r="AC515" s="76" t="n"/>
      <c r="AD515" s="76" t="n"/>
      <c r="AE515" s="76" t="n"/>
      <c r="AF515" s="76" t="n"/>
      <c r="AG515" s="76" t="n"/>
      <c r="AH515" s="76" t="n"/>
      <c r="AI515" s="76" t="n"/>
      <c r="AJ515" s="76" t="n"/>
      <c r="AK515" s="76" t="n"/>
      <c r="AL515" s="76" t="n"/>
      <c r="AM515" s="76" t="n"/>
      <c r="AN515" s="76" t="n"/>
      <c r="AO515" s="76" t="n"/>
      <c r="AP515" s="76" t="n"/>
      <c r="AQ515" s="76" t="n"/>
      <c r="AR515" s="76" t="n"/>
      <c r="AS515" s="76" t="n"/>
      <c r="AT515" s="76" t="n"/>
      <c r="AU515" s="76" t="n"/>
      <c r="AV515" s="76" t="n"/>
      <c r="AX515" s="137" t="n"/>
      <c r="AY515" s="137" t="n"/>
    </row>
    <row r="516" ht="16.5" customFormat="1" customHeight="1" s="38">
      <c r="A516" s="76" t="n"/>
      <c r="B516" s="76" t="n"/>
      <c r="C516" s="76" t="n"/>
      <c r="D516" s="76" t="n"/>
      <c r="E516" s="76" t="n"/>
      <c r="F516" s="76" t="n"/>
      <c r="G516" s="76" t="n"/>
      <c r="H516" s="76" t="n"/>
      <c r="I516" s="76" t="n"/>
      <c r="J516" s="76" t="n"/>
      <c r="K516" s="76" t="n"/>
      <c r="L516" s="76" t="n"/>
      <c r="M516" s="76" t="n"/>
      <c r="N516" s="76" t="n"/>
      <c r="O516" s="76" t="n"/>
      <c r="P516" s="76" t="n"/>
      <c r="Q516" s="76" t="n"/>
      <c r="R516" s="76" t="n"/>
      <c r="S516" s="76" t="n"/>
      <c r="T516" s="76" t="n"/>
      <c r="U516" s="76" t="n"/>
      <c r="V516" s="76" t="n"/>
      <c r="W516" s="76" t="n"/>
      <c r="X516" s="76" t="n"/>
      <c r="Y516" s="76" t="n"/>
      <c r="Z516" s="76" t="n"/>
      <c r="AA516" s="76" t="n"/>
      <c r="AB516" s="76" t="n"/>
      <c r="AC516" s="76" t="n"/>
      <c r="AD516" s="76" t="n"/>
      <c r="AE516" s="76" t="n"/>
      <c r="AF516" s="76" t="n"/>
      <c r="AG516" s="76" t="n"/>
      <c r="AH516" s="76" t="n"/>
      <c r="AI516" s="76" t="n"/>
      <c r="AJ516" s="76" t="n"/>
      <c r="AK516" s="76" t="n"/>
      <c r="AL516" s="76" t="n"/>
      <c r="AM516" s="76" t="n"/>
      <c r="AN516" s="76" t="n"/>
      <c r="AO516" s="76" t="n"/>
      <c r="AP516" s="76" t="n"/>
      <c r="AQ516" s="76" t="n"/>
      <c r="AR516" s="76" t="n"/>
      <c r="AS516" s="76" t="n"/>
      <c r="AT516" s="76" t="n"/>
      <c r="AU516" s="76" t="n"/>
      <c r="AV516" s="76" t="n"/>
      <c r="AX516" s="137" t="n"/>
      <c r="AY516" s="137" t="n"/>
    </row>
    <row r="517" ht="16.5" customFormat="1" customHeight="1" s="38">
      <c r="A517" s="76" t="n"/>
      <c r="B517" s="76" t="n"/>
      <c r="C517" s="76" t="n"/>
      <c r="D517" s="76" t="n"/>
      <c r="E517" s="76" t="n"/>
      <c r="F517" s="76" t="n"/>
      <c r="G517" s="76" t="n"/>
      <c r="H517" s="76" t="n"/>
      <c r="I517" s="76" t="n"/>
      <c r="J517" s="76" t="n"/>
      <c r="K517" s="76" t="n"/>
      <c r="L517" s="76" t="n"/>
      <c r="M517" s="76" t="n"/>
      <c r="N517" s="76" t="n"/>
      <c r="O517" s="76" t="n"/>
      <c r="P517" s="76" t="n"/>
      <c r="Q517" s="76" t="n"/>
      <c r="R517" s="76" t="n"/>
      <c r="S517" s="76" t="n"/>
      <c r="T517" s="76" t="n"/>
      <c r="U517" s="76" t="n"/>
      <c r="V517" s="76" t="n"/>
      <c r="W517" s="76" t="n"/>
      <c r="X517" s="76" t="n"/>
      <c r="Y517" s="76" t="n"/>
      <c r="Z517" s="76" t="n"/>
      <c r="AA517" s="76" t="n"/>
      <c r="AB517" s="76" t="n"/>
      <c r="AC517" s="76" t="n"/>
      <c r="AD517" s="76" t="n"/>
      <c r="AE517" s="76" t="n"/>
      <c r="AF517" s="76" t="n"/>
      <c r="AG517" s="76" t="n"/>
      <c r="AH517" s="76" t="n"/>
      <c r="AI517" s="76" t="n"/>
      <c r="AJ517" s="76" t="n"/>
      <c r="AK517" s="76" t="n"/>
      <c r="AL517" s="76" t="n"/>
      <c r="AM517" s="76" t="n"/>
      <c r="AN517" s="76" t="n"/>
      <c r="AO517" s="76" t="n"/>
      <c r="AP517" s="76" t="n"/>
      <c r="AQ517" s="76" t="n"/>
      <c r="AR517" s="76" t="n"/>
      <c r="AS517" s="76" t="n"/>
      <c r="AT517" s="76" t="n"/>
      <c r="AU517" s="76" t="n"/>
      <c r="AV517" s="76" t="n"/>
      <c r="AX517" s="137" t="n"/>
      <c r="AY517" s="137" t="n"/>
    </row>
    <row r="518" ht="16.5" customFormat="1" customHeight="1" s="38">
      <c r="A518" s="76" t="n"/>
      <c r="B518" s="76" t="n"/>
      <c r="C518" s="76" t="n"/>
      <c r="D518" s="76" t="n"/>
      <c r="E518" s="76" t="n"/>
      <c r="F518" s="76" t="n"/>
      <c r="G518" s="76" t="n"/>
      <c r="H518" s="76" t="n"/>
      <c r="I518" s="76" t="n"/>
      <c r="J518" s="76" t="n"/>
      <c r="K518" s="76" t="n"/>
      <c r="L518" s="76" t="n"/>
      <c r="M518" s="76" t="n"/>
      <c r="N518" s="76" t="n"/>
      <c r="O518" s="76" t="n"/>
      <c r="P518" s="76" t="n"/>
      <c r="Q518" s="76" t="n"/>
      <c r="R518" s="76" t="n"/>
      <c r="S518" s="76" t="n"/>
      <c r="T518" s="76" t="n"/>
      <c r="U518" s="76" t="n"/>
      <c r="V518" s="76" t="n"/>
      <c r="W518" s="76" t="n"/>
      <c r="X518" s="76" t="n"/>
      <c r="Y518" s="76" t="n"/>
      <c r="Z518" s="76" t="n"/>
      <c r="AA518" s="76" t="n"/>
      <c r="AB518" s="76" t="n"/>
      <c r="AC518" s="76" t="n"/>
      <c r="AD518" s="76" t="n"/>
      <c r="AE518" s="76" t="n"/>
      <c r="AF518" s="76" t="n"/>
      <c r="AG518" s="76" t="n"/>
      <c r="AH518" s="76" t="n"/>
      <c r="AI518" s="76" t="n"/>
      <c r="AJ518" s="76" t="n"/>
      <c r="AK518" s="76" t="n"/>
      <c r="AL518" s="76" t="n"/>
      <c r="AM518" s="76" t="n"/>
      <c r="AN518" s="76" t="n"/>
      <c r="AO518" s="76" t="n"/>
      <c r="AP518" s="76" t="n"/>
      <c r="AQ518" s="76" t="n"/>
      <c r="AR518" s="76" t="n"/>
      <c r="AS518" s="76" t="n"/>
      <c r="AT518" s="76" t="n"/>
      <c r="AU518" s="76" t="n"/>
      <c r="AV518" s="76" t="n"/>
      <c r="AX518" s="137" t="n"/>
      <c r="AY518" s="137" t="n"/>
    </row>
    <row r="519" ht="16.5" customFormat="1" customHeight="1" s="38">
      <c r="A519" s="76" t="n"/>
      <c r="B519" s="76" t="n"/>
      <c r="C519" s="76" t="n"/>
      <c r="D519" s="76" t="n"/>
      <c r="E519" s="76" t="n"/>
      <c r="F519" s="76" t="n"/>
      <c r="G519" s="76" t="n"/>
      <c r="H519" s="76" t="n"/>
      <c r="I519" s="76" t="n"/>
      <c r="J519" s="76" t="n"/>
      <c r="K519" s="76" t="n"/>
      <c r="L519" s="76" t="n"/>
      <c r="M519" s="76" t="n"/>
      <c r="N519" s="76" t="n"/>
      <c r="O519" s="76" t="n"/>
      <c r="P519" s="76" t="n"/>
      <c r="Q519" s="76" t="n"/>
      <c r="R519" s="76" t="n"/>
      <c r="S519" s="76" t="n"/>
      <c r="T519" s="76" t="n"/>
      <c r="U519" s="76" t="n"/>
      <c r="V519" s="76" t="n"/>
      <c r="W519" s="76" t="n"/>
      <c r="X519" s="76" t="n"/>
      <c r="Y519" s="76" t="n"/>
      <c r="Z519" s="76" t="n"/>
      <c r="AA519" s="76" t="n"/>
      <c r="AB519" s="76" t="n"/>
      <c r="AC519" s="76" t="n"/>
      <c r="AD519" s="76" t="n"/>
      <c r="AE519" s="76" t="n"/>
      <c r="AF519" s="76" t="n"/>
      <c r="AG519" s="76" t="n"/>
      <c r="AH519" s="76" t="n"/>
      <c r="AI519" s="76" t="n"/>
      <c r="AJ519" s="76" t="n"/>
      <c r="AK519" s="76" t="n"/>
      <c r="AL519" s="76" t="n"/>
      <c r="AM519" s="76" t="n"/>
      <c r="AN519" s="76" t="n"/>
      <c r="AO519" s="76" t="n"/>
      <c r="AP519" s="76" t="n"/>
      <c r="AQ519" s="76" t="n"/>
      <c r="AR519" s="76" t="n"/>
      <c r="AS519" s="76" t="n"/>
      <c r="AT519" s="76" t="n"/>
      <c r="AU519" s="76" t="n"/>
      <c r="AV519" s="76" t="n"/>
      <c r="AX519" s="137" t="n"/>
      <c r="AY519" s="137" t="n"/>
    </row>
    <row r="520" ht="16.5" customFormat="1" customHeight="1" s="38">
      <c r="A520" s="76" t="n"/>
      <c r="B520" s="76" t="n"/>
      <c r="C520" s="76" t="n"/>
      <c r="D520" s="76" t="n"/>
      <c r="E520" s="76" t="n"/>
      <c r="F520" s="76" t="n"/>
      <c r="G520" s="76" t="n"/>
      <c r="H520" s="76" t="n"/>
      <c r="I520" s="76" t="n"/>
      <c r="J520" s="76" t="n"/>
      <c r="K520" s="76" t="n"/>
      <c r="L520" s="76" t="n"/>
      <c r="M520" s="76" t="n"/>
      <c r="N520" s="76" t="n"/>
      <c r="O520" s="76" t="n"/>
      <c r="P520" s="76" t="n"/>
      <c r="Q520" s="76" t="n"/>
      <c r="R520" s="76" t="n"/>
      <c r="S520" s="76" t="n"/>
      <c r="T520" s="76" t="n"/>
      <c r="U520" s="76" t="n"/>
      <c r="V520" s="76" t="n"/>
      <c r="W520" s="76" t="n"/>
      <c r="X520" s="76" t="n"/>
      <c r="Y520" s="76" t="n"/>
      <c r="Z520" s="76" t="n"/>
      <c r="AA520" s="76" t="n"/>
      <c r="AB520" s="76" t="n"/>
      <c r="AC520" s="76" t="n"/>
      <c r="AD520" s="76" t="n"/>
      <c r="AE520" s="76" t="n"/>
      <c r="AF520" s="76" t="n"/>
      <c r="AG520" s="76" t="n"/>
      <c r="AH520" s="76" t="n"/>
      <c r="AI520" s="76" t="n"/>
      <c r="AJ520" s="76" t="n"/>
      <c r="AK520" s="76" t="n"/>
      <c r="AL520" s="76" t="n"/>
      <c r="AM520" s="76" t="n"/>
      <c r="AN520" s="76" t="n"/>
      <c r="AO520" s="76" t="n"/>
      <c r="AP520" s="76" t="n"/>
      <c r="AQ520" s="76" t="n"/>
      <c r="AR520" s="76" t="n"/>
      <c r="AS520" s="76" t="n"/>
      <c r="AT520" s="76" t="n"/>
      <c r="AU520" s="76" t="n"/>
      <c r="AV520" s="76" t="n"/>
      <c r="AX520" s="137" t="n"/>
      <c r="AY520" s="137" t="n"/>
    </row>
    <row r="521" ht="16.5" customFormat="1" customHeight="1" s="38">
      <c r="A521" s="76" t="n"/>
      <c r="B521" s="76" t="n"/>
      <c r="C521" s="76" t="n"/>
      <c r="D521" s="76" t="n"/>
      <c r="E521" s="76" t="n"/>
      <c r="F521" s="76" t="n"/>
      <c r="G521" s="76" t="n"/>
      <c r="H521" s="76" t="n"/>
      <c r="I521" s="76" t="n"/>
      <c r="J521" s="76" t="n"/>
      <c r="K521" s="76" t="n"/>
      <c r="L521" s="76" t="n"/>
      <c r="M521" s="76" t="n"/>
      <c r="N521" s="76" t="n"/>
      <c r="O521" s="76" t="n"/>
      <c r="P521" s="76" t="n"/>
      <c r="Q521" s="76" t="n"/>
      <c r="R521" s="76" t="n"/>
      <c r="S521" s="76" t="n"/>
      <c r="T521" s="76" t="n"/>
      <c r="U521" s="76" t="n"/>
      <c r="V521" s="76" t="n"/>
      <c r="W521" s="76" t="n"/>
      <c r="X521" s="76" t="n"/>
      <c r="Y521" s="76" t="n"/>
      <c r="Z521" s="76" t="n"/>
      <c r="AA521" s="76" t="n"/>
      <c r="AB521" s="76" t="n"/>
      <c r="AC521" s="76" t="n"/>
      <c r="AD521" s="76" t="n"/>
      <c r="AE521" s="76" t="n"/>
      <c r="AF521" s="76" t="n"/>
      <c r="AG521" s="76" t="n"/>
      <c r="AH521" s="76" t="n"/>
      <c r="AI521" s="76" t="n"/>
      <c r="AJ521" s="76" t="n"/>
      <c r="AK521" s="76" t="n"/>
      <c r="AL521" s="76" t="n"/>
      <c r="AM521" s="76" t="n"/>
      <c r="AN521" s="76" t="n"/>
      <c r="AO521" s="76" t="n"/>
      <c r="AP521" s="76" t="n"/>
      <c r="AQ521" s="76" t="n"/>
      <c r="AR521" s="76" t="n"/>
      <c r="AS521" s="76" t="n"/>
      <c r="AT521" s="76" t="n"/>
      <c r="AU521" s="76" t="n"/>
      <c r="AV521" s="76" t="n"/>
      <c r="AX521" s="137" t="n"/>
      <c r="AY521" s="137" t="n"/>
    </row>
    <row r="522" ht="16.5" customFormat="1" customHeight="1" s="38">
      <c r="A522" s="76" t="n"/>
      <c r="B522" s="76" t="n"/>
      <c r="C522" s="76" t="n"/>
      <c r="D522" s="76" t="n"/>
      <c r="E522" s="76" t="n"/>
      <c r="F522" s="76" t="n"/>
      <c r="G522" s="76" t="n"/>
      <c r="H522" s="76" t="n"/>
      <c r="I522" s="76" t="n"/>
      <c r="J522" s="76" t="n"/>
      <c r="K522" s="76" t="n"/>
      <c r="L522" s="76" t="n"/>
      <c r="M522" s="76" t="n"/>
      <c r="N522" s="76" t="n"/>
      <c r="O522" s="76" t="n"/>
      <c r="P522" s="76" t="n"/>
      <c r="Q522" s="76" t="n"/>
      <c r="R522" s="76" t="n"/>
      <c r="S522" s="76" t="n"/>
      <c r="T522" s="76" t="n"/>
      <c r="U522" s="76" t="n"/>
      <c r="V522" s="76" t="n"/>
      <c r="W522" s="76" t="n"/>
      <c r="X522" s="76" t="n"/>
      <c r="Y522" s="76" t="n"/>
      <c r="Z522" s="76" t="n"/>
      <c r="AA522" s="76" t="n"/>
      <c r="AB522" s="76" t="n"/>
      <c r="AC522" s="76" t="n"/>
      <c r="AD522" s="76" t="n"/>
      <c r="AE522" s="76" t="n"/>
      <c r="AF522" s="76" t="n"/>
      <c r="AG522" s="76" t="n"/>
      <c r="AH522" s="76" t="n"/>
      <c r="AI522" s="76" t="n"/>
      <c r="AJ522" s="76" t="n"/>
      <c r="AK522" s="76" t="n"/>
      <c r="AL522" s="76" t="n"/>
      <c r="AM522" s="76" t="n"/>
      <c r="AN522" s="76" t="n"/>
      <c r="AO522" s="76" t="n"/>
      <c r="AP522" s="76" t="n"/>
      <c r="AQ522" s="76" t="n"/>
      <c r="AR522" s="76" t="n"/>
      <c r="AS522" s="76" t="n"/>
      <c r="AT522" s="76" t="n"/>
      <c r="AU522" s="76" t="n"/>
      <c r="AV522" s="76" t="n"/>
      <c r="AX522" s="137" t="n"/>
      <c r="AY522" s="137" t="n"/>
    </row>
    <row r="523" ht="16.5" customFormat="1" customHeight="1" s="38">
      <c r="A523" s="76" t="n"/>
      <c r="B523" s="76" t="n"/>
      <c r="C523" s="76" t="n"/>
      <c r="D523" s="76" t="n"/>
      <c r="E523" s="76" t="n"/>
      <c r="F523" s="76" t="n"/>
      <c r="G523" s="76" t="n"/>
      <c r="H523" s="76" t="n"/>
      <c r="I523" s="76" t="n"/>
      <c r="J523" s="76" t="n"/>
      <c r="K523" s="76" t="n"/>
      <c r="L523" s="76" t="n"/>
      <c r="M523" s="76" t="n"/>
      <c r="N523" s="76" t="n"/>
      <c r="O523" s="76" t="n"/>
      <c r="P523" s="76" t="n"/>
      <c r="Q523" s="76" t="n"/>
      <c r="R523" s="76" t="n"/>
      <c r="S523" s="76" t="n"/>
      <c r="T523" s="76" t="n"/>
      <c r="U523" s="76" t="n"/>
      <c r="V523" s="76" t="n"/>
      <c r="W523" s="76" t="n"/>
      <c r="X523" s="76" t="n"/>
      <c r="Y523" s="76" t="n"/>
      <c r="Z523" s="76" t="n"/>
      <c r="AA523" s="76" t="n"/>
      <c r="AB523" s="76" t="n"/>
      <c r="AC523" s="76" t="n"/>
      <c r="AD523" s="76" t="n"/>
      <c r="AE523" s="76" t="n"/>
      <c r="AF523" s="76" t="n"/>
      <c r="AG523" s="76" t="n"/>
      <c r="AH523" s="76" t="n"/>
      <c r="AI523" s="76" t="n"/>
      <c r="AJ523" s="76" t="n"/>
      <c r="AK523" s="76" t="n"/>
      <c r="AL523" s="76" t="n"/>
      <c r="AM523" s="76" t="n"/>
      <c r="AN523" s="76" t="n"/>
      <c r="AO523" s="76" t="n"/>
      <c r="AP523" s="76" t="n"/>
      <c r="AQ523" s="76" t="n"/>
      <c r="AR523" s="76" t="n"/>
      <c r="AS523" s="76" t="n"/>
      <c r="AT523" s="76" t="n"/>
      <c r="AU523" s="76" t="n"/>
      <c r="AV523" s="76" t="n"/>
      <c r="AX523" s="137" t="n"/>
      <c r="AY523" s="137" t="n"/>
    </row>
    <row r="524" ht="16.5" customFormat="1" customHeight="1" s="38">
      <c r="A524" s="76" t="n"/>
      <c r="B524" s="76" t="n"/>
      <c r="C524" s="76" t="n"/>
      <c r="D524" s="76" t="n"/>
      <c r="E524" s="76" t="n"/>
      <c r="F524" s="76" t="n"/>
      <c r="G524" s="76" t="n"/>
      <c r="H524" s="76" t="n"/>
      <c r="I524" s="76" t="n"/>
      <c r="J524" s="76" t="n"/>
      <c r="K524" s="76" t="n"/>
      <c r="L524" s="76" t="n"/>
      <c r="M524" s="76" t="n"/>
      <c r="N524" s="76" t="n"/>
      <c r="O524" s="76" t="n"/>
      <c r="P524" s="76" t="n"/>
      <c r="Q524" s="76" t="n"/>
      <c r="R524" s="76" t="n"/>
      <c r="S524" s="76" t="n"/>
      <c r="T524" s="76" t="n"/>
      <c r="U524" s="76" t="n"/>
      <c r="V524" s="76" t="n"/>
      <c r="W524" s="76" t="n"/>
      <c r="X524" s="76" t="n"/>
      <c r="Y524" s="76" t="n"/>
      <c r="Z524" s="76" t="n"/>
      <c r="AA524" s="76" t="n"/>
      <c r="AB524" s="76" t="n"/>
      <c r="AC524" s="76" t="n"/>
      <c r="AD524" s="76" t="n"/>
      <c r="AE524" s="76" t="n"/>
      <c r="AF524" s="76" t="n"/>
      <c r="AG524" s="76" t="n"/>
      <c r="AH524" s="76" t="n"/>
      <c r="AI524" s="76" t="n"/>
      <c r="AJ524" s="76" t="n"/>
      <c r="AK524" s="76" t="n"/>
      <c r="AL524" s="76" t="n"/>
      <c r="AM524" s="76" t="n"/>
      <c r="AN524" s="76" t="n"/>
      <c r="AO524" s="76" t="n"/>
      <c r="AP524" s="76" t="n"/>
      <c r="AQ524" s="76" t="n"/>
      <c r="AR524" s="76" t="n"/>
      <c r="AS524" s="76" t="n"/>
      <c r="AT524" s="76" t="n"/>
      <c r="AU524" s="76" t="n"/>
      <c r="AV524" s="76" t="n"/>
      <c r="AX524" s="137" t="n"/>
      <c r="AY524" s="137" t="n"/>
    </row>
    <row r="525" ht="16.5" customFormat="1" customHeight="1" s="38">
      <c r="A525" s="76" t="n"/>
      <c r="B525" s="76" t="n"/>
      <c r="C525" s="76" t="n"/>
      <c r="D525" s="76" t="n"/>
      <c r="E525" s="76" t="n"/>
      <c r="F525" s="76" t="n"/>
      <c r="G525" s="76" t="n"/>
      <c r="H525" s="76" t="n"/>
      <c r="I525" s="76" t="n"/>
      <c r="J525" s="76" t="n"/>
      <c r="K525" s="76" t="n"/>
      <c r="L525" s="76" t="n"/>
      <c r="M525" s="76" t="n"/>
      <c r="N525" s="76" t="n"/>
      <c r="O525" s="76" t="n"/>
      <c r="P525" s="76" t="n"/>
      <c r="Q525" s="76" t="n"/>
      <c r="R525" s="76" t="n"/>
      <c r="S525" s="76" t="n"/>
      <c r="T525" s="76" t="n"/>
      <c r="U525" s="76" t="n"/>
      <c r="V525" s="76" t="n"/>
      <c r="W525" s="76" t="n"/>
      <c r="X525" s="76" t="n"/>
      <c r="Y525" s="76" t="n"/>
      <c r="Z525" s="76" t="n"/>
      <c r="AA525" s="76" t="n"/>
      <c r="AB525" s="76" t="n"/>
      <c r="AC525" s="76" t="n"/>
      <c r="AD525" s="76" t="n"/>
      <c r="AE525" s="76" t="n"/>
      <c r="AF525" s="76" t="n"/>
      <c r="AG525" s="76" t="n"/>
      <c r="AH525" s="76" t="n"/>
      <c r="AI525" s="76" t="n"/>
      <c r="AJ525" s="76" t="n"/>
      <c r="AK525" s="76" t="n"/>
      <c r="AL525" s="76" t="n"/>
      <c r="AM525" s="76" t="n"/>
      <c r="AN525" s="76" t="n"/>
      <c r="AO525" s="76" t="n"/>
      <c r="AP525" s="76" t="n"/>
      <c r="AQ525" s="76" t="n"/>
      <c r="AR525" s="76" t="n"/>
      <c r="AS525" s="76" t="n"/>
      <c r="AT525" s="76" t="n"/>
      <c r="AU525" s="76" t="n"/>
      <c r="AV525" s="76" t="n"/>
      <c r="AX525" s="137" t="n"/>
      <c r="AY525" s="137" t="n"/>
    </row>
    <row r="526" ht="16.5" customFormat="1" customHeight="1" s="38">
      <c r="A526" s="76" t="n"/>
      <c r="B526" s="76" t="n"/>
      <c r="C526" s="76" t="n"/>
      <c r="D526" s="76" t="n"/>
      <c r="E526" s="76" t="n"/>
      <c r="F526" s="76" t="n"/>
      <c r="G526" s="76" t="n"/>
      <c r="H526" s="76" t="n"/>
      <c r="I526" s="76" t="n"/>
      <c r="J526" s="76" t="n"/>
      <c r="K526" s="76" t="n"/>
      <c r="L526" s="76" t="n"/>
      <c r="M526" s="76" t="n"/>
      <c r="N526" s="76" t="n"/>
      <c r="O526" s="76" t="n"/>
      <c r="P526" s="76" t="n"/>
      <c r="Q526" s="76" t="n"/>
      <c r="R526" s="76" t="n"/>
      <c r="S526" s="76" t="n"/>
      <c r="T526" s="76" t="n"/>
      <c r="U526" s="76" t="n"/>
      <c r="V526" s="76" t="n"/>
      <c r="W526" s="76" t="n"/>
      <c r="X526" s="76" t="n"/>
      <c r="Y526" s="76" t="n"/>
      <c r="Z526" s="76" t="n"/>
      <c r="AA526" s="76" t="n"/>
      <c r="AB526" s="76" t="n"/>
      <c r="AC526" s="76" t="n"/>
      <c r="AD526" s="76" t="n"/>
      <c r="AE526" s="76" t="n"/>
      <c r="AF526" s="76" t="n"/>
      <c r="AG526" s="76" t="n"/>
      <c r="AH526" s="76" t="n"/>
      <c r="AI526" s="76" t="n"/>
      <c r="AJ526" s="76" t="n"/>
      <c r="AK526" s="76" t="n"/>
      <c r="AL526" s="76" t="n"/>
      <c r="AM526" s="76" t="n"/>
      <c r="AN526" s="76" t="n"/>
      <c r="AO526" s="76" t="n"/>
      <c r="AP526" s="76" t="n"/>
      <c r="AQ526" s="76" t="n"/>
      <c r="AR526" s="76" t="n"/>
      <c r="AS526" s="76" t="n"/>
      <c r="AT526" s="76" t="n"/>
      <c r="AU526" s="76" t="n"/>
      <c r="AV526" s="76" t="n"/>
      <c r="AX526" s="137" t="n"/>
      <c r="AY526" s="137" t="n"/>
    </row>
    <row r="527" ht="16.5" customFormat="1" customHeight="1" s="38">
      <c r="A527" s="76" t="n"/>
      <c r="B527" s="76" t="n"/>
      <c r="C527" s="76" t="n"/>
      <c r="D527" s="76" t="n"/>
      <c r="E527" s="76" t="n"/>
      <c r="F527" s="76" t="n"/>
      <c r="G527" s="76" t="n"/>
      <c r="H527" s="76" t="n"/>
      <c r="I527" s="76" t="n"/>
      <c r="J527" s="76" t="n"/>
      <c r="K527" s="76" t="n"/>
      <c r="L527" s="76" t="n"/>
      <c r="M527" s="76" t="n"/>
      <c r="N527" s="76" t="n"/>
      <c r="O527" s="76" t="n"/>
      <c r="P527" s="76" t="n"/>
      <c r="Q527" s="76" t="n"/>
      <c r="R527" s="76" t="n"/>
      <c r="S527" s="76" t="n"/>
      <c r="T527" s="76" t="n"/>
      <c r="U527" s="76" t="n"/>
      <c r="V527" s="76" t="n"/>
      <c r="W527" s="76" t="n"/>
      <c r="X527" s="76" t="n"/>
      <c r="Y527" s="76" t="n"/>
      <c r="Z527" s="76" t="n"/>
      <c r="AA527" s="76" t="n"/>
      <c r="AB527" s="76" t="n"/>
      <c r="AC527" s="76" t="n"/>
      <c r="AD527" s="76" t="n"/>
      <c r="AE527" s="76" t="n"/>
      <c r="AF527" s="76" t="n"/>
      <c r="AG527" s="76" t="n"/>
      <c r="AH527" s="76" t="n"/>
      <c r="AI527" s="76" t="n"/>
      <c r="AJ527" s="76" t="n"/>
      <c r="AK527" s="76" t="n"/>
      <c r="AL527" s="76" t="n"/>
      <c r="AM527" s="76" t="n"/>
      <c r="AN527" s="76" t="n"/>
      <c r="AO527" s="76" t="n"/>
      <c r="AP527" s="76" t="n"/>
      <c r="AQ527" s="76" t="n"/>
      <c r="AR527" s="76" t="n"/>
      <c r="AS527" s="76" t="n"/>
      <c r="AT527" s="76" t="n"/>
      <c r="AU527" s="76" t="n"/>
      <c r="AV527" s="76" t="n"/>
      <c r="AX527" s="137" t="n"/>
      <c r="AY527" s="137" t="n"/>
    </row>
    <row r="528" ht="16.5" customFormat="1" customHeight="1" s="38">
      <c r="A528" s="76" t="n"/>
      <c r="B528" s="76" t="n"/>
      <c r="C528" s="76" t="n"/>
      <c r="D528" s="76" t="n"/>
      <c r="E528" s="76" t="n"/>
      <c r="F528" s="76" t="n"/>
      <c r="G528" s="76" t="n"/>
      <c r="H528" s="76" t="n"/>
      <c r="I528" s="76" t="n"/>
      <c r="J528" s="76" t="n"/>
      <c r="K528" s="76" t="n"/>
      <c r="L528" s="76" t="n"/>
      <c r="M528" s="76" t="n"/>
      <c r="N528" s="76" t="n"/>
      <c r="O528" s="76" t="n"/>
      <c r="P528" s="76" t="n"/>
      <c r="Q528" s="76" t="n"/>
      <c r="R528" s="76" t="n"/>
      <c r="S528" s="76" t="n"/>
      <c r="T528" s="76" t="n"/>
      <c r="U528" s="76" t="n"/>
      <c r="V528" s="76" t="n"/>
      <c r="W528" s="76" t="n"/>
      <c r="X528" s="76" t="n"/>
      <c r="Y528" s="76" t="n"/>
      <c r="Z528" s="76" t="n"/>
      <c r="AA528" s="76" t="n"/>
      <c r="AB528" s="76" t="n"/>
      <c r="AC528" s="76" t="n"/>
      <c r="AD528" s="76" t="n"/>
      <c r="AE528" s="76" t="n"/>
      <c r="AF528" s="76" t="n"/>
      <c r="AG528" s="76" t="n"/>
      <c r="AH528" s="76" t="n"/>
      <c r="AI528" s="76" t="n"/>
      <c r="AJ528" s="76" t="n"/>
      <c r="AK528" s="76" t="n"/>
      <c r="AL528" s="76" t="n"/>
      <c r="AM528" s="76" t="n"/>
      <c r="AN528" s="76" t="n"/>
      <c r="AO528" s="76" t="n"/>
      <c r="AP528" s="76" t="n"/>
      <c r="AQ528" s="76" t="n"/>
      <c r="AR528" s="76" t="n"/>
      <c r="AS528" s="76" t="n"/>
      <c r="AT528" s="76" t="n"/>
      <c r="AU528" s="76" t="n"/>
      <c r="AV528" s="76" t="n"/>
      <c r="AX528" s="137" t="n"/>
      <c r="AY528" s="137" t="n"/>
      <c r="AZ528" s="137" t="n"/>
      <c r="BA528" s="117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8">
      <c r="A529" s="76" t="n"/>
      <c r="B529" s="76" t="n"/>
      <c r="C529" s="76" t="n"/>
      <c r="D529" s="76" t="n"/>
      <c r="E529" s="76" t="n"/>
      <c r="F529" s="76" t="n"/>
      <c r="G529" s="76" t="n"/>
      <c r="H529" s="76" t="n"/>
      <c r="I529" s="76" t="n"/>
      <c r="J529" s="76" t="n"/>
      <c r="K529" s="76" t="n"/>
      <c r="L529" s="76" t="n"/>
      <c r="M529" s="76" t="n"/>
      <c r="N529" s="76" t="n"/>
      <c r="O529" s="76" t="n"/>
      <c r="P529" s="76" t="n"/>
      <c r="Q529" s="76" t="n"/>
      <c r="R529" s="76" t="n"/>
      <c r="S529" s="76" t="n"/>
      <c r="T529" s="76" t="n"/>
      <c r="U529" s="76" t="n"/>
      <c r="V529" s="76" t="n"/>
      <c r="W529" s="76" t="n"/>
      <c r="X529" s="76" t="n"/>
      <c r="Y529" s="76" t="n"/>
      <c r="Z529" s="76" t="n"/>
      <c r="AA529" s="76" t="n"/>
      <c r="AB529" s="76" t="n"/>
      <c r="AC529" s="76" t="n"/>
      <c r="AD529" s="76" t="n"/>
      <c r="AE529" s="76" t="n"/>
      <c r="AF529" s="76" t="n"/>
      <c r="AG529" s="76" t="n"/>
      <c r="AH529" s="76" t="n"/>
      <c r="AI529" s="76" t="n"/>
      <c r="AJ529" s="76" t="n"/>
      <c r="AK529" s="76" t="n"/>
      <c r="AL529" s="76" t="n"/>
      <c r="AM529" s="76" t="n"/>
      <c r="AN529" s="76" t="n"/>
      <c r="AO529" s="76" t="n"/>
      <c r="AP529" s="76" t="n"/>
      <c r="AQ529" s="76" t="n"/>
      <c r="AR529" s="76" t="n"/>
      <c r="AS529" s="76" t="n"/>
      <c r="AT529" s="76" t="n"/>
      <c r="AU529" s="76" t="n"/>
      <c r="AV529" s="76" t="n"/>
      <c r="AX529" s="137" t="n"/>
      <c r="AY529" s="137" t="n"/>
      <c r="AZ529" s="137" t="n"/>
      <c r="BA529" s="117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8">
      <c r="A530" s="76" t="n"/>
      <c r="B530" s="76" t="n"/>
      <c r="C530" s="76" t="n"/>
      <c r="D530" s="76" t="n"/>
      <c r="E530" s="76" t="n"/>
      <c r="F530" s="76" t="n"/>
      <c r="G530" s="76" t="n"/>
      <c r="H530" s="76" t="n"/>
      <c r="I530" s="76" t="n"/>
      <c r="J530" s="76" t="n"/>
      <c r="K530" s="76" t="n"/>
      <c r="L530" s="76" t="n"/>
      <c r="M530" s="76" t="n"/>
      <c r="N530" s="76" t="n"/>
      <c r="O530" s="76" t="n"/>
      <c r="P530" s="76" t="n"/>
      <c r="Q530" s="76" t="n"/>
      <c r="R530" s="76" t="n"/>
      <c r="S530" s="76" t="n"/>
      <c r="T530" s="76" t="n"/>
      <c r="U530" s="76" t="n"/>
      <c r="V530" s="76" t="n"/>
      <c r="W530" s="76" t="n"/>
      <c r="X530" s="76" t="n"/>
      <c r="Y530" s="76" t="n"/>
      <c r="Z530" s="76" t="n"/>
      <c r="AA530" s="76" t="n"/>
      <c r="AB530" s="76" t="n"/>
      <c r="AC530" s="76" t="n"/>
      <c r="AD530" s="76" t="n"/>
      <c r="AE530" s="76" t="n"/>
      <c r="AF530" s="76" t="n"/>
      <c r="AG530" s="76" t="n"/>
      <c r="AH530" s="76" t="n"/>
      <c r="AI530" s="76" t="n"/>
      <c r="AJ530" s="76" t="n"/>
      <c r="AK530" s="76" t="n"/>
      <c r="AL530" s="76" t="n"/>
      <c r="AM530" s="76" t="n"/>
      <c r="AN530" s="76" t="n"/>
      <c r="AO530" s="76" t="n"/>
      <c r="AP530" s="76" t="n"/>
      <c r="AQ530" s="76" t="n"/>
      <c r="AR530" s="76" t="n"/>
      <c r="AS530" s="76" t="n"/>
      <c r="AT530" s="76" t="n"/>
      <c r="AU530" s="76" t="n"/>
      <c r="AV530" s="76" t="n"/>
      <c r="AX530" s="137" t="n"/>
      <c r="AY530" s="137" t="n"/>
      <c r="AZ530" s="137" t="n"/>
      <c r="BA530" s="117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8">
      <c r="A531" s="76" t="n"/>
      <c r="B531" s="76" t="n"/>
      <c r="C531" s="76" t="n"/>
      <c r="D531" s="76" t="n"/>
      <c r="E531" s="76" t="n"/>
      <c r="F531" s="76" t="n"/>
      <c r="G531" s="76" t="n"/>
      <c r="H531" s="76" t="n"/>
      <c r="I531" s="76" t="n"/>
      <c r="J531" s="76" t="n"/>
      <c r="K531" s="76" t="n"/>
      <c r="L531" s="76" t="n"/>
      <c r="M531" s="76" t="n"/>
      <c r="N531" s="76" t="n"/>
      <c r="O531" s="76" t="n"/>
      <c r="P531" s="76" t="n"/>
      <c r="Q531" s="76" t="n"/>
      <c r="R531" s="76" t="n"/>
      <c r="S531" s="76" t="n"/>
      <c r="T531" s="76" t="n"/>
      <c r="U531" s="76" t="n"/>
      <c r="V531" s="76" t="n"/>
      <c r="W531" s="76" t="n"/>
      <c r="X531" s="76" t="n"/>
      <c r="Y531" s="76" t="n"/>
      <c r="Z531" s="76" t="n"/>
      <c r="AA531" s="76" t="n"/>
      <c r="AB531" s="76" t="n"/>
      <c r="AC531" s="76" t="n"/>
      <c r="AD531" s="76" t="n"/>
      <c r="AE531" s="76" t="n"/>
      <c r="AF531" s="76" t="n"/>
      <c r="AG531" s="76" t="n"/>
      <c r="AH531" s="76" t="n"/>
      <c r="AI531" s="76" t="n"/>
      <c r="AJ531" s="76" t="n"/>
      <c r="AK531" s="76" t="n"/>
      <c r="AL531" s="76" t="n"/>
      <c r="AM531" s="76" t="n"/>
      <c r="AN531" s="76" t="n"/>
      <c r="AO531" s="76" t="n"/>
      <c r="AP531" s="76" t="n"/>
      <c r="AQ531" s="76" t="n"/>
      <c r="AR531" s="76" t="n"/>
      <c r="AS531" s="76" t="n"/>
      <c r="AT531" s="76" t="n"/>
      <c r="AU531" s="76" t="n"/>
      <c r="AV531" s="76" t="n"/>
      <c r="AX531" s="137" t="n"/>
      <c r="AY531" s="137" t="n"/>
      <c r="AZ531" s="137" t="n"/>
      <c r="BA531" s="2" t="n"/>
    </row>
    <row r="532" ht="16.5" customFormat="1" customHeight="1" s="38">
      <c r="A532" s="76" t="n"/>
      <c r="B532" s="76" t="n"/>
      <c r="C532" s="76" t="n"/>
      <c r="D532" s="76" t="n"/>
      <c r="E532" s="76" t="n"/>
      <c r="F532" s="76" t="n"/>
      <c r="G532" s="76" t="n"/>
      <c r="H532" s="76" t="n"/>
      <c r="I532" s="76" t="n"/>
      <c r="J532" s="76" t="n"/>
      <c r="K532" s="76" t="n"/>
      <c r="L532" s="76" t="n"/>
      <c r="M532" s="76" t="n"/>
      <c r="N532" s="76" t="n"/>
      <c r="O532" s="76" t="n"/>
      <c r="P532" s="76" t="n"/>
      <c r="Q532" s="76" t="n"/>
      <c r="R532" s="76" t="n"/>
      <c r="S532" s="76" t="n"/>
      <c r="T532" s="76" t="n"/>
      <c r="U532" s="76" t="n"/>
      <c r="V532" s="76" t="n"/>
      <c r="W532" s="76" t="n"/>
      <c r="X532" s="76" t="n"/>
      <c r="Y532" s="76" t="n"/>
      <c r="Z532" s="76" t="n"/>
      <c r="AA532" s="76" t="n"/>
      <c r="AB532" s="76" t="n"/>
      <c r="AC532" s="76" t="n"/>
      <c r="AD532" s="76" t="n"/>
      <c r="AE532" s="76" t="n"/>
      <c r="AF532" s="76" t="n"/>
      <c r="AG532" s="76" t="n"/>
      <c r="AH532" s="76" t="n"/>
      <c r="AI532" s="76" t="n"/>
      <c r="AJ532" s="76" t="n"/>
      <c r="AK532" s="76" t="n"/>
      <c r="AL532" s="76" t="n"/>
      <c r="AM532" s="76" t="n"/>
      <c r="AN532" s="76" t="n"/>
      <c r="AO532" s="76" t="n"/>
      <c r="AP532" s="76" t="n"/>
      <c r="AQ532" s="76" t="n"/>
      <c r="AR532" s="76" t="n"/>
      <c r="AS532" s="76" t="n"/>
      <c r="AT532" s="76" t="n"/>
      <c r="AU532" s="76" t="n"/>
      <c r="AV532" s="76" t="n"/>
      <c r="AX532" s="137" t="n"/>
      <c r="AY532" s="137" t="n"/>
      <c r="AZ532" s="137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8">
      <c r="A533" s="76" t="n"/>
      <c r="B533" s="76" t="n"/>
      <c r="C533" s="76" t="n"/>
      <c r="D533" s="76" t="n"/>
      <c r="E533" s="76" t="n"/>
      <c r="F533" s="76" t="n"/>
      <c r="G533" s="76" t="n"/>
      <c r="H533" s="76" t="n"/>
      <c r="I533" s="76" t="n"/>
      <c r="J533" s="76" t="n"/>
      <c r="K533" s="76" t="n"/>
      <c r="L533" s="76" t="n"/>
      <c r="M533" s="76" t="n"/>
      <c r="N533" s="76" t="n"/>
      <c r="O533" s="76" t="n"/>
      <c r="P533" s="76" t="n"/>
      <c r="Q533" s="76" t="n"/>
      <c r="R533" s="76" t="n"/>
      <c r="S533" s="76" t="n"/>
      <c r="T533" s="76" t="n"/>
      <c r="U533" s="76" t="n"/>
      <c r="V533" s="76" t="n"/>
      <c r="W533" s="76" t="n"/>
      <c r="X533" s="76" t="n"/>
      <c r="Y533" s="76" t="n"/>
      <c r="Z533" s="76" t="n"/>
      <c r="AA533" s="76" t="n"/>
      <c r="AB533" s="76" t="n"/>
      <c r="AC533" s="76" t="n"/>
      <c r="AD533" s="76" t="n"/>
      <c r="AE533" s="76" t="n"/>
      <c r="AF533" s="76" t="n"/>
      <c r="AG533" s="76" t="n"/>
      <c r="AH533" s="76" t="n"/>
      <c r="AI533" s="76" t="n"/>
      <c r="AJ533" s="76" t="n"/>
      <c r="AK533" s="76" t="n"/>
      <c r="AL533" s="76" t="n"/>
      <c r="AM533" s="76" t="n"/>
      <c r="AN533" s="76" t="n"/>
      <c r="AO533" s="76" t="n"/>
      <c r="AP533" s="76" t="n"/>
      <c r="AQ533" s="76" t="n"/>
      <c r="AR533" s="76" t="n"/>
      <c r="AS533" s="76" t="n"/>
      <c r="AT533" s="76" t="n"/>
      <c r="AU533" s="76" t="n"/>
      <c r="AV533" s="76" t="n"/>
      <c r="AX533" s="137" t="n"/>
      <c r="AY533" s="137" t="n"/>
      <c r="BA533" s="117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8">
      <c r="A534" s="76" t="n"/>
      <c r="B534" s="76" t="n"/>
      <c r="C534" s="76" t="n"/>
      <c r="D534" s="76" t="n"/>
      <c r="E534" s="76" t="n"/>
      <c r="F534" s="76" t="n"/>
      <c r="G534" s="76" t="n"/>
      <c r="H534" s="76" t="n"/>
      <c r="I534" s="76" t="n"/>
      <c r="J534" s="76" t="n"/>
      <c r="K534" s="76" t="n"/>
      <c r="L534" s="76" t="n"/>
      <c r="M534" s="76" t="n"/>
      <c r="N534" s="76" t="n"/>
      <c r="O534" s="76" t="n"/>
      <c r="P534" s="76" t="n"/>
      <c r="Q534" s="76" t="n"/>
      <c r="R534" s="76" t="n"/>
      <c r="S534" s="76" t="n"/>
      <c r="T534" s="76" t="n"/>
      <c r="U534" s="76" t="n"/>
      <c r="V534" s="76" t="n"/>
      <c r="W534" s="76" t="n"/>
      <c r="X534" s="76" t="n"/>
      <c r="Y534" s="76" t="n"/>
      <c r="Z534" s="76" t="n"/>
      <c r="AA534" s="76" t="n"/>
      <c r="AB534" s="76" t="n"/>
      <c r="AC534" s="76" t="n"/>
      <c r="AD534" s="76" t="n"/>
      <c r="AE534" s="76" t="n"/>
      <c r="AF534" s="76" t="n"/>
      <c r="AG534" s="76" t="n"/>
      <c r="AH534" s="76" t="n"/>
      <c r="AI534" s="76" t="n"/>
      <c r="AJ534" s="76" t="n"/>
      <c r="AK534" s="76" t="n"/>
      <c r="AL534" s="76" t="n"/>
      <c r="AM534" s="76" t="n"/>
      <c r="AN534" s="76" t="n"/>
      <c r="AO534" s="76" t="n"/>
      <c r="AP534" s="76" t="n"/>
      <c r="AQ534" s="76" t="n"/>
      <c r="AR534" s="76" t="n"/>
      <c r="AS534" s="76" t="n"/>
      <c r="AT534" s="76" t="n"/>
      <c r="AU534" s="76" t="n"/>
      <c r="AV534" s="76" t="n"/>
      <c r="AX534" s="137" t="n"/>
      <c r="AY534" s="137" t="n"/>
      <c r="BA534" s="117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8">
      <c r="A535" s="76" t="n"/>
      <c r="B535" s="76" t="n"/>
      <c r="C535" s="76" t="n"/>
      <c r="D535" s="76" t="n"/>
      <c r="E535" s="76" t="n"/>
      <c r="F535" s="76" t="n"/>
      <c r="G535" s="76" t="n"/>
      <c r="H535" s="76" t="n"/>
      <c r="I535" s="76" t="n"/>
      <c r="J535" s="76" t="n"/>
      <c r="K535" s="76" t="n"/>
      <c r="L535" s="76" t="n"/>
      <c r="M535" s="76" t="n"/>
      <c r="N535" s="76" t="n"/>
      <c r="O535" s="76" t="n"/>
      <c r="P535" s="76" t="n"/>
      <c r="Q535" s="76" t="n"/>
      <c r="R535" s="76" t="n"/>
      <c r="S535" s="76" t="n"/>
      <c r="T535" s="76" t="n"/>
      <c r="U535" s="76" t="n"/>
      <c r="V535" s="76" t="n"/>
      <c r="W535" s="76" t="n"/>
      <c r="X535" s="76" t="n"/>
      <c r="Y535" s="76" t="n"/>
      <c r="Z535" s="76" t="n"/>
      <c r="AA535" s="76" t="n"/>
      <c r="AB535" s="76" t="n"/>
      <c r="AC535" s="76" t="n"/>
      <c r="AD535" s="76" t="n"/>
      <c r="AE535" s="76" t="n"/>
      <c r="AF535" s="76" t="n"/>
      <c r="AG535" s="76" t="n"/>
      <c r="AH535" s="76" t="n"/>
      <c r="AI535" s="76" t="n"/>
      <c r="AJ535" s="76" t="n"/>
      <c r="AK535" s="76" t="n"/>
      <c r="AL535" s="76" t="n"/>
      <c r="AM535" s="76" t="n"/>
      <c r="AN535" s="76" t="n"/>
      <c r="AO535" s="76" t="n"/>
      <c r="AP535" s="76" t="n"/>
      <c r="AQ535" s="76" t="n"/>
      <c r="AR535" s="76" t="n"/>
      <c r="AS535" s="76" t="n"/>
      <c r="AT535" s="76" t="n"/>
      <c r="AU535" s="76" t="n"/>
      <c r="AV535" s="76" t="n"/>
      <c r="AX535" s="137" t="n"/>
      <c r="AY535" s="137" t="n"/>
      <c r="BA535" s="117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8">
      <c r="A536" s="76" t="n"/>
      <c r="B536" s="76" t="n"/>
      <c r="C536" s="76" t="n"/>
      <c r="D536" s="76" t="n"/>
      <c r="E536" s="76" t="n"/>
      <c r="F536" s="76" t="n"/>
      <c r="G536" s="76" t="n"/>
      <c r="H536" s="76" t="n"/>
      <c r="I536" s="76" t="n"/>
      <c r="J536" s="76" t="n"/>
      <c r="K536" s="76" t="n"/>
      <c r="L536" s="76" t="n"/>
      <c r="M536" s="76" t="n"/>
      <c r="N536" s="76" t="n"/>
      <c r="O536" s="76" t="n"/>
      <c r="P536" s="76" t="n"/>
      <c r="Q536" s="76" t="n"/>
      <c r="R536" s="76" t="n"/>
      <c r="S536" s="76" t="n"/>
      <c r="T536" s="76" t="n"/>
      <c r="U536" s="76" t="n"/>
      <c r="V536" s="76" t="n"/>
      <c r="W536" s="76" t="n"/>
      <c r="X536" s="76" t="n"/>
      <c r="Y536" s="76" t="n"/>
      <c r="Z536" s="76" t="n"/>
      <c r="AA536" s="76" t="n"/>
      <c r="AB536" s="76" t="n"/>
      <c r="AC536" s="76" t="n"/>
      <c r="AD536" s="76" t="n"/>
      <c r="AE536" s="76" t="n"/>
      <c r="AF536" s="76" t="n"/>
      <c r="AG536" s="76" t="n"/>
      <c r="AH536" s="76" t="n"/>
      <c r="AI536" s="76" t="n"/>
      <c r="AJ536" s="76" t="n"/>
      <c r="AK536" s="76" t="n"/>
      <c r="AL536" s="76" t="n"/>
      <c r="AM536" s="76" t="n"/>
      <c r="AN536" s="76" t="n"/>
      <c r="AO536" s="76" t="n"/>
      <c r="AP536" s="76" t="n"/>
      <c r="AQ536" s="76" t="n"/>
      <c r="AR536" s="76" t="n"/>
      <c r="AS536" s="76" t="n"/>
      <c r="AT536" s="76" t="n"/>
      <c r="AU536" s="76" t="n"/>
      <c r="AV536" s="76" t="n"/>
      <c r="AX536" s="137" t="n"/>
      <c r="AY536" s="137" t="n"/>
    </row>
    <row r="537" ht="16.5" customFormat="1" customHeight="1" s="38">
      <c r="A537" s="76" t="n"/>
      <c r="B537" s="76" t="n"/>
      <c r="C537" s="76" t="n"/>
      <c r="D537" s="76" t="n"/>
      <c r="E537" s="76" t="n"/>
      <c r="F537" s="76" t="n"/>
      <c r="G537" s="76" t="n"/>
      <c r="H537" s="76" t="n"/>
      <c r="I537" s="76" t="n"/>
      <c r="J537" s="76" t="n"/>
      <c r="K537" s="76" t="n"/>
      <c r="L537" s="76" t="n"/>
      <c r="M537" s="76" t="n"/>
      <c r="N537" s="76" t="n"/>
      <c r="O537" s="76" t="n"/>
      <c r="P537" s="76" t="n"/>
      <c r="Q537" s="76" t="n"/>
      <c r="R537" s="76" t="n"/>
      <c r="S537" s="76" t="n"/>
      <c r="T537" s="76" t="n"/>
      <c r="U537" s="76" t="n"/>
      <c r="V537" s="76" t="n"/>
      <c r="W537" s="76" t="n"/>
      <c r="X537" s="76" t="n"/>
      <c r="Y537" s="76" t="n"/>
      <c r="Z537" s="76" t="n"/>
      <c r="AA537" s="76" t="n"/>
      <c r="AB537" s="76" t="n"/>
      <c r="AC537" s="76" t="n"/>
      <c r="AD537" s="76" t="n"/>
      <c r="AE537" s="76" t="n"/>
      <c r="AF537" s="76" t="n"/>
      <c r="AG537" s="76" t="n"/>
      <c r="AH537" s="76" t="n"/>
      <c r="AI537" s="76" t="n"/>
      <c r="AJ537" s="76" t="n"/>
      <c r="AK537" s="76" t="n"/>
      <c r="AL537" s="76" t="n"/>
      <c r="AM537" s="76" t="n"/>
      <c r="AN537" s="76" t="n"/>
      <c r="AO537" s="76" t="n"/>
      <c r="AP537" s="76" t="n"/>
      <c r="AQ537" s="76" t="n"/>
      <c r="AR537" s="76" t="n"/>
      <c r="AS537" s="76" t="n"/>
      <c r="AT537" s="76" t="n"/>
      <c r="AU537" s="76" t="n"/>
      <c r="AV537" s="76" t="n"/>
      <c r="AX537" s="137" t="n"/>
      <c r="AY537" s="137" t="n"/>
    </row>
    <row r="538" ht="16.5" customFormat="1" customHeight="1" s="38">
      <c r="A538" s="76" t="n"/>
      <c r="B538" s="76" t="n"/>
      <c r="C538" s="76" t="n"/>
      <c r="D538" s="76" t="n"/>
      <c r="E538" s="76" t="n"/>
      <c r="F538" s="76" t="n"/>
      <c r="G538" s="76" t="n"/>
      <c r="H538" s="76" t="n"/>
      <c r="I538" s="76" t="n"/>
      <c r="J538" s="76" t="n"/>
      <c r="K538" s="76" t="n"/>
      <c r="L538" s="76" t="n"/>
      <c r="M538" s="76" t="n"/>
      <c r="N538" s="76" t="n"/>
      <c r="O538" s="76" t="n"/>
      <c r="P538" s="76" t="n"/>
      <c r="Q538" s="76" t="n"/>
      <c r="R538" s="76" t="n"/>
      <c r="S538" s="76" t="n"/>
      <c r="T538" s="76" t="n"/>
      <c r="U538" s="76" t="n"/>
      <c r="V538" s="76" t="n"/>
      <c r="W538" s="76" t="n"/>
      <c r="X538" s="76" t="n"/>
      <c r="Y538" s="76" t="n"/>
      <c r="Z538" s="76" t="n"/>
      <c r="AA538" s="76" t="n"/>
      <c r="AB538" s="76" t="n"/>
      <c r="AC538" s="76" t="n"/>
      <c r="AD538" s="76" t="n"/>
      <c r="AE538" s="76" t="n"/>
      <c r="AF538" s="76" t="n"/>
      <c r="AG538" s="76" t="n"/>
      <c r="AH538" s="76" t="n"/>
      <c r="AI538" s="76" t="n"/>
      <c r="AJ538" s="76" t="n"/>
      <c r="AK538" s="76" t="n"/>
      <c r="AL538" s="76" t="n"/>
      <c r="AM538" s="76" t="n"/>
      <c r="AN538" s="76" t="n"/>
      <c r="AO538" s="76" t="n"/>
      <c r="AP538" s="76" t="n"/>
      <c r="AQ538" s="76" t="n"/>
      <c r="AR538" s="76" t="n"/>
      <c r="AS538" s="76" t="n"/>
      <c r="AT538" s="76" t="n"/>
      <c r="AU538" s="76" t="n"/>
      <c r="AV538" s="76" t="n"/>
      <c r="AX538" s="137" t="n"/>
      <c r="AY538" s="137" t="n"/>
    </row>
    <row r="539" ht="16.5" customFormat="1" customHeight="1" s="38">
      <c r="A539" s="76" t="n"/>
      <c r="B539" s="76" t="n"/>
      <c r="C539" s="76" t="n"/>
      <c r="D539" s="76" t="n"/>
      <c r="E539" s="76" t="n"/>
      <c r="F539" s="76" t="n"/>
      <c r="G539" s="76" t="n"/>
      <c r="H539" s="76" t="n"/>
      <c r="I539" s="76" t="n"/>
      <c r="J539" s="76" t="n"/>
      <c r="K539" s="76" t="n"/>
      <c r="L539" s="76" t="n"/>
      <c r="M539" s="76" t="n"/>
      <c r="N539" s="76" t="n"/>
      <c r="O539" s="76" t="n"/>
      <c r="P539" s="76" t="n"/>
      <c r="Q539" s="76" t="n"/>
      <c r="R539" s="76" t="n"/>
      <c r="S539" s="76" t="n"/>
      <c r="T539" s="76" t="n"/>
      <c r="U539" s="76" t="n"/>
      <c r="V539" s="76" t="n"/>
      <c r="W539" s="76" t="n"/>
      <c r="X539" s="76" t="n"/>
      <c r="Y539" s="76" t="n"/>
      <c r="Z539" s="76" t="n"/>
      <c r="AA539" s="76" t="n"/>
      <c r="AB539" s="76" t="n"/>
      <c r="AC539" s="76" t="n"/>
      <c r="AD539" s="76" t="n"/>
      <c r="AE539" s="76" t="n"/>
      <c r="AF539" s="76" t="n"/>
      <c r="AG539" s="76" t="n"/>
      <c r="AH539" s="76" t="n"/>
      <c r="AI539" s="76" t="n"/>
      <c r="AJ539" s="76" t="n"/>
      <c r="AK539" s="76" t="n"/>
      <c r="AL539" s="76" t="n"/>
      <c r="AM539" s="76" t="n"/>
      <c r="AN539" s="76" t="n"/>
      <c r="AO539" s="76" t="n"/>
      <c r="AP539" s="76" t="n"/>
      <c r="AQ539" s="76" t="n"/>
      <c r="AR539" s="76" t="n"/>
      <c r="AS539" s="76" t="n"/>
      <c r="AT539" s="76" t="n"/>
      <c r="AU539" s="76" t="n"/>
      <c r="AV539" s="76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762" operator="lessThan" dxfId="2">
      <formula>15.1</formula>
    </cfRule>
    <cfRule type="cellIs" priority="76763" operator="lessThan" dxfId="15392">
      <formula>18.1</formula>
    </cfRule>
    <cfRule type="cellIs" priority="76764" operator="lessThan" dxfId="15391">
      <formula>21.1</formula>
    </cfRule>
    <cfRule type="cellIs" priority="76765" operator="lessThan" dxfId="15390">
      <formula>24.1</formula>
    </cfRule>
    <cfRule type="cellIs" priority="76766" operator="lessThan" dxfId="1">
      <formula>30</formula>
    </cfRule>
    <cfRule type="cellIs" priority="76767" operator="lessThan" dxfId="15388">
      <formula>34.1</formula>
    </cfRule>
  </conditionalFormatting>
  <conditionalFormatting sqref="Z3">
    <cfRule type="colorScale" priority="767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759" operator="greaterThan" dxfId="17">
      <formula>0.9</formula>
    </cfRule>
    <cfRule type="cellIs" priority="76760" operator="greaterThan" dxfId="16">
      <formula>0.85</formula>
    </cfRule>
  </conditionalFormatting>
  <conditionalFormatting sqref="N2">
    <cfRule type="cellIs" priority="76757" operator="greaterThan" dxfId="17">
      <formula>0.9</formula>
    </cfRule>
    <cfRule type="cellIs" priority="76758" operator="greaterThan" dxfId="16">
      <formula>0.85</formula>
    </cfRule>
  </conditionalFormatting>
  <conditionalFormatting sqref="AV4">
    <cfRule type="expression" priority="7199" dxfId="23">
      <formula>AV4="X"</formula>
    </cfRule>
    <cfRule type="expression" priority="7200" dxfId="22">
      <formula>AV4="후보"</formula>
    </cfRule>
  </conditionalFormatting>
  <conditionalFormatting sqref="AC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4">
    <cfRule type="expression" priority="7191" dxfId="3">
      <formula>AND(IF(OR($Q4=1,$Q4=2),1,0),IF($X4&lt;=20,1,0))</formula>
    </cfRule>
    <cfRule type="expression" priority="7192" dxfId="2">
      <formula>AND(IF($Q4=2,1,0),IF($X4&lt;30,1,0))</formula>
    </cfRule>
    <cfRule type="expression" priority="7193" dxfId="1">
      <formula>AND(IF($Q4=3,1,0),IF($X4&lt;30,1,0))</formula>
    </cfRule>
    <cfRule type="expression" priority="7194" dxfId="0">
      <formula>AND(IF($Q4=3,1,IF($Q4=4,1,0)),IF($F4&lt;=85,1,0))</formula>
    </cfRule>
  </conditionalFormatting>
  <conditionalFormatting sqref="X4">
    <cfRule type="expression" priority="7187" dxfId="3">
      <formula>AND(IF(OR($Q4=1,$Q4=2),1,0),IF($X4&lt;=20,1,0))</formula>
    </cfRule>
    <cfRule type="expression" priority="7188" dxfId="2">
      <formula>AND(IF($Q4=2,1,0),IF($X4&lt;30,1,0))</formula>
    </cfRule>
    <cfRule type="expression" priority="7189" dxfId="1">
      <formula>AND(IF($Q4=3,1,0),IF($X4&lt;30,1,0))</formula>
    </cfRule>
    <cfRule type="expression" priority="7190" dxfId="0">
      <formula>AND(IF($Q4=3,1,IF($Q4=4,1,0)),IF($F4&lt;=85,1,0))</formula>
    </cfRule>
  </conditionalFormatting>
  <conditionalFormatting sqref="AI4">
    <cfRule type="expression" priority="7183" dxfId="3">
      <formula>AND(IF(OR($Q4=1,$Q4=2),1,0),IF($X4&lt;=20,1,0))</formula>
    </cfRule>
    <cfRule type="expression" priority="7184" dxfId="2">
      <formula>AND(IF($Q4=2,1,0),IF($X4&lt;30,1,0))</formula>
    </cfRule>
    <cfRule type="expression" priority="7185" dxfId="1">
      <formula>AND(IF($Q4=3,1,0),IF($X4&lt;30,1,0))</formula>
    </cfRule>
    <cfRule type="expression" priority="7186" dxfId="0">
      <formula>AND(IF($Q4=3,1,IF($Q4=4,1,0)),IF($F4&lt;=85,1,0))</formula>
    </cfRule>
  </conditionalFormatting>
  <conditionalFormatting sqref="AV5">
    <cfRule type="expression" priority="7181" dxfId="23">
      <formula>AV5="X"</formula>
    </cfRule>
    <cfRule type="expression" priority="7182" dxfId="22">
      <formula>AV5="후보"</formula>
    </cfRule>
  </conditionalFormatting>
  <conditionalFormatting sqref="AC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">
    <cfRule type="expression" priority="7173" dxfId="3">
      <formula>AND(IF(OR($Q5=1,$Q5=2),1,0),IF($X5&lt;=20,1,0))</formula>
    </cfRule>
    <cfRule type="expression" priority="7174" dxfId="2">
      <formula>AND(IF($Q5=2,1,0),IF($X5&lt;30,1,0))</formula>
    </cfRule>
    <cfRule type="expression" priority="7175" dxfId="1">
      <formula>AND(IF($Q5=3,1,0),IF($X5&lt;30,1,0))</formula>
    </cfRule>
    <cfRule type="expression" priority="7176" dxfId="0">
      <formula>AND(IF($Q5=3,1,IF($Q5=4,1,0)),IF($F5&lt;=85,1,0))</formula>
    </cfRule>
  </conditionalFormatting>
  <conditionalFormatting sqref="X5">
    <cfRule type="expression" priority="7169" dxfId="3">
      <formula>AND(IF(OR($Q5=1,$Q5=2),1,0),IF($X5&lt;=20,1,0))</formula>
    </cfRule>
    <cfRule type="expression" priority="7170" dxfId="2">
      <formula>AND(IF($Q5=2,1,0),IF($X5&lt;30,1,0))</formula>
    </cfRule>
    <cfRule type="expression" priority="7171" dxfId="1">
      <formula>AND(IF($Q5=3,1,0),IF($X5&lt;30,1,0))</formula>
    </cfRule>
    <cfRule type="expression" priority="7172" dxfId="0">
      <formula>AND(IF($Q5=3,1,IF($Q5=4,1,0)),IF($F5&lt;=85,1,0))</formula>
    </cfRule>
  </conditionalFormatting>
  <conditionalFormatting sqref="AI5">
    <cfRule type="expression" priority="7165" dxfId="3">
      <formula>AND(IF(OR($Q5=1,$Q5=2),1,0),IF($X5&lt;=20,1,0))</formula>
    </cfRule>
    <cfRule type="expression" priority="7166" dxfId="2">
      <formula>AND(IF($Q5=2,1,0),IF($X5&lt;30,1,0))</formula>
    </cfRule>
    <cfRule type="expression" priority="7167" dxfId="1">
      <formula>AND(IF($Q5=3,1,0),IF($X5&lt;30,1,0))</formula>
    </cfRule>
    <cfRule type="expression" priority="7168" dxfId="0">
      <formula>AND(IF($Q5=3,1,IF($Q5=4,1,0)),IF($F5&lt;=85,1,0))</formula>
    </cfRule>
  </conditionalFormatting>
  <conditionalFormatting sqref="AV6">
    <cfRule type="expression" priority="7163" dxfId="23">
      <formula>AV6="X"</formula>
    </cfRule>
    <cfRule type="expression" priority="7164" dxfId="22">
      <formula>AV6="후보"</formula>
    </cfRule>
  </conditionalFormatting>
  <conditionalFormatting sqref="AC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">
    <cfRule type="expression" priority="7155" dxfId="3">
      <formula>AND(IF(OR($Q6=1,$Q6=2),1,0),IF($X6&lt;=20,1,0))</formula>
    </cfRule>
    <cfRule type="expression" priority="7156" dxfId="2">
      <formula>AND(IF($Q6=2,1,0),IF($X6&lt;30,1,0))</formula>
    </cfRule>
    <cfRule type="expression" priority="7157" dxfId="1">
      <formula>AND(IF($Q6=3,1,0),IF($X6&lt;30,1,0))</formula>
    </cfRule>
    <cfRule type="expression" priority="7158" dxfId="0">
      <formula>AND(IF($Q6=3,1,IF($Q6=4,1,0)),IF($F6&lt;=85,1,0))</formula>
    </cfRule>
  </conditionalFormatting>
  <conditionalFormatting sqref="X6">
    <cfRule type="expression" priority="7151" dxfId="3">
      <formula>AND(IF(OR($Q6=1,$Q6=2),1,0),IF($X6&lt;=20,1,0))</formula>
    </cfRule>
    <cfRule type="expression" priority="7152" dxfId="2">
      <formula>AND(IF($Q6=2,1,0),IF($X6&lt;30,1,0))</formula>
    </cfRule>
    <cfRule type="expression" priority="7153" dxfId="1">
      <formula>AND(IF($Q6=3,1,0),IF($X6&lt;30,1,0))</formula>
    </cfRule>
    <cfRule type="expression" priority="7154" dxfId="0">
      <formula>AND(IF($Q6=3,1,IF($Q6=4,1,0)),IF($F6&lt;=85,1,0))</formula>
    </cfRule>
  </conditionalFormatting>
  <conditionalFormatting sqref="AI6">
    <cfRule type="expression" priority="7147" dxfId="3">
      <formula>AND(IF(OR($Q6=1,$Q6=2),1,0),IF($X6&lt;=20,1,0))</formula>
    </cfRule>
    <cfRule type="expression" priority="7148" dxfId="2">
      <formula>AND(IF($Q6=2,1,0),IF($X6&lt;30,1,0))</formula>
    </cfRule>
    <cfRule type="expression" priority="7149" dxfId="1">
      <formula>AND(IF($Q6=3,1,0),IF($X6&lt;30,1,0))</formula>
    </cfRule>
    <cfRule type="expression" priority="7150" dxfId="0">
      <formula>AND(IF($Q6=3,1,IF($Q6=4,1,0)),IF($F6&lt;=85,1,0))</formula>
    </cfRule>
  </conditionalFormatting>
  <conditionalFormatting sqref="AV7">
    <cfRule type="expression" priority="7145" dxfId="23">
      <formula>AV7="X"</formula>
    </cfRule>
    <cfRule type="expression" priority="7146" dxfId="22">
      <formula>AV7="후보"</formula>
    </cfRule>
  </conditionalFormatting>
  <conditionalFormatting sqref="AC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7">
    <cfRule type="expression" priority="7137" dxfId="3">
      <formula>AND(IF(OR($Q7=1,$Q7=2),1,0),IF($X7&lt;=20,1,0))</formula>
    </cfRule>
    <cfRule type="expression" priority="7138" dxfId="2">
      <formula>AND(IF($Q7=2,1,0),IF($X7&lt;30,1,0))</formula>
    </cfRule>
    <cfRule type="expression" priority="7139" dxfId="1">
      <formula>AND(IF($Q7=3,1,0),IF($X7&lt;30,1,0))</formula>
    </cfRule>
    <cfRule type="expression" priority="7140" dxfId="0">
      <formula>AND(IF($Q7=3,1,IF($Q7=4,1,0)),IF($F7&lt;=85,1,0))</formula>
    </cfRule>
  </conditionalFormatting>
  <conditionalFormatting sqref="X7">
    <cfRule type="expression" priority="7133" dxfId="3">
      <formula>AND(IF(OR($Q7=1,$Q7=2),1,0),IF($X7&lt;=20,1,0))</formula>
    </cfRule>
    <cfRule type="expression" priority="7134" dxfId="2">
      <formula>AND(IF($Q7=2,1,0),IF($X7&lt;30,1,0))</formula>
    </cfRule>
    <cfRule type="expression" priority="7135" dxfId="1">
      <formula>AND(IF($Q7=3,1,0),IF($X7&lt;30,1,0))</formula>
    </cfRule>
    <cfRule type="expression" priority="7136" dxfId="0">
      <formula>AND(IF($Q7=3,1,IF($Q7=4,1,0)),IF($F7&lt;=85,1,0))</formula>
    </cfRule>
  </conditionalFormatting>
  <conditionalFormatting sqref="AI7">
    <cfRule type="expression" priority="7129" dxfId="3">
      <formula>AND(IF(OR($Q7=1,$Q7=2),1,0),IF($X7&lt;=20,1,0))</formula>
    </cfRule>
    <cfRule type="expression" priority="7130" dxfId="2">
      <formula>AND(IF($Q7=2,1,0),IF($X7&lt;30,1,0))</formula>
    </cfRule>
    <cfRule type="expression" priority="7131" dxfId="1">
      <formula>AND(IF($Q7=3,1,0),IF($X7&lt;30,1,0))</formula>
    </cfRule>
    <cfRule type="expression" priority="7132" dxfId="0">
      <formula>AND(IF($Q7=3,1,IF($Q7=4,1,0)),IF($F7&lt;=85,1,0))</formula>
    </cfRule>
  </conditionalFormatting>
  <conditionalFormatting sqref="AV8">
    <cfRule type="expression" priority="7127" dxfId="23">
      <formula>AV8="X"</formula>
    </cfRule>
    <cfRule type="expression" priority="7128" dxfId="22">
      <formula>AV8="후보"</formula>
    </cfRule>
  </conditionalFormatting>
  <conditionalFormatting sqref="AC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8">
    <cfRule type="expression" priority="7119" dxfId="3">
      <formula>AND(IF(OR($Q8=1,$Q8=2),1,0),IF($X8&lt;=20,1,0))</formula>
    </cfRule>
    <cfRule type="expression" priority="7120" dxfId="2">
      <formula>AND(IF($Q8=2,1,0),IF($X8&lt;30,1,0))</formula>
    </cfRule>
    <cfRule type="expression" priority="7121" dxfId="1">
      <formula>AND(IF($Q8=3,1,0),IF($X8&lt;30,1,0))</formula>
    </cfRule>
    <cfRule type="expression" priority="7122" dxfId="0">
      <formula>AND(IF($Q8=3,1,IF($Q8=4,1,0)),IF($F8&lt;=85,1,0))</formula>
    </cfRule>
  </conditionalFormatting>
  <conditionalFormatting sqref="X8">
    <cfRule type="expression" priority="7115" dxfId="3">
      <formula>AND(IF(OR($Q8=1,$Q8=2),1,0),IF($X8&lt;=20,1,0))</formula>
    </cfRule>
    <cfRule type="expression" priority="7116" dxfId="2">
      <formula>AND(IF($Q8=2,1,0),IF($X8&lt;30,1,0))</formula>
    </cfRule>
    <cfRule type="expression" priority="7117" dxfId="1">
      <formula>AND(IF($Q8=3,1,0),IF($X8&lt;30,1,0))</formula>
    </cfRule>
    <cfRule type="expression" priority="7118" dxfId="0">
      <formula>AND(IF($Q8=3,1,IF($Q8=4,1,0)),IF($F8&lt;=85,1,0))</formula>
    </cfRule>
  </conditionalFormatting>
  <conditionalFormatting sqref="AI8">
    <cfRule type="expression" priority="7111" dxfId="3">
      <formula>AND(IF(OR($Q8=1,$Q8=2),1,0),IF($X8&lt;=20,1,0))</formula>
    </cfRule>
    <cfRule type="expression" priority="7112" dxfId="2">
      <formula>AND(IF($Q8=2,1,0),IF($X8&lt;30,1,0))</formula>
    </cfRule>
    <cfRule type="expression" priority="7113" dxfId="1">
      <formula>AND(IF($Q8=3,1,0),IF($X8&lt;30,1,0))</formula>
    </cfRule>
    <cfRule type="expression" priority="7114" dxfId="0">
      <formula>AND(IF($Q8=3,1,IF($Q8=4,1,0)),IF($F8&lt;=85,1,0))</formula>
    </cfRule>
  </conditionalFormatting>
  <conditionalFormatting sqref="AV9">
    <cfRule type="expression" priority="7109" dxfId="23">
      <formula>AV9="X"</formula>
    </cfRule>
    <cfRule type="expression" priority="7110" dxfId="22">
      <formula>AV9="후보"</formula>
    </cfRule>
  </conditionalFormatting>
  <conditionalFormatting sqref="AC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">
    <cfRule type="expression" priority="7101" dxfId="3">
      <formula>AND(IF(OR($Q9=1,$Q9=2),1,0),IF($X9&lt;=20,1,0))</formula>
    </cfRule>
    <cfRule type="expression" priority="7102" dxfId="2">
      <formula>AND(IF($Q9=2,1,0),IF($X9&lt;30,1,0))</formula>
    </cfRule>
    <cfRule type="expression" priority="7103" dxfId="1">
      <formula>AND(IF($Q9=3,1,0),IF($X9&lt;30,1,0))</formula>
    </cfRule>
    <cfRule type="expression" priority="7104" dxfId="0">
      <formula>AND(IF($Q9=3,1,IF($Q9=4,1,0)),IF($F9&lt;=85,1,0))</formula>
    </cfRule>
  </conditionalFormatting>
  <conditionalFormatting sqref="X9">
    <cfRule type="expression" priority="7097" dxfId="3">
      <formula>AND(IF(OR($Q9=1,$Q9=2),1,0),IF($X9&lt;=20,1,0))</formula>
    </cfRule>
    <cfRule type="expression" priority="7098" dxfId="2">
      <formula>AND(IF($Q9=2,1,0),IF($X9&lt;30,1,0))</formula>
    </cfRule>
    <cfRule type="expression" priority="7099" dxfId="1">
      <formula>AND(IF($Q9=3,1,0),IF($X9&lt;30,1,0))</formula>
    </cfRule>
    <cfRule type="expression" priority="7100" dxfId="0">
      <formula>AND(IF($Q9=3,1,IF($Q9=4,1,0)),IF($F9&lt;=85,1,0))</formula>
    </cfRule>
  </conditionalFormatting>
  <conditionalFormatting sqref="AI9">
    <cfRule type="expression" priority="7093" dxfId="3">
      <formula>AND(IF(OR($Q9=1,$Q9=2),1,0),IF($X9&lt;=20,1,0))</formula>
    </cfRule>
    <cfRule type="expression" priority="7094" dxfId="2">
      <formula>AND(IF($Q9=2,1,0),IF($X9&lt;30,1,0))</formula>
    </cfRule>
    <cfRule type="expression" priority="7095" dxfId="1">
      <formula>AND(IF($Q9=3,1,0),IF($X9&lt;30,1,0))</formula>
    </cfRule>
    <cfRule type="expression" priority="7096" dxfId="0">
      <formula>AND(IF($Q9=3,1,IF($Q9=4,1,0)),IF($F9&lt;=85,1,0))</formula>
    </cfRule>
  </conditionalFormatting>
  <conditionalFormatting sqref="AV10">
    <cfRule type="expression" priority="7091" dxfId="23">
      <formula>AV10="X"</formula>
    </cfRule>
    <cfRule type="expression" priority="7092" dxfId="22">
      <formula>AV10="후보"</formula>
    </cfRule>
  </conditionalFormatting>
  <conditionalFormatting sqref="AC1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0">
    <cfRule type="expression" priority="7083" dxfId="3">
      <formula>AND(IF(OR($Q10=1,$Q10=2),1,0),IF($X10&lt;=20,1,0))</formula>
    </cfRule>
    <cfRule type="expression" priority="7084" dxfId="2">
      <formula>AND(IF($Q10=2,1,0),IF($X10&lt;30,1,0))</formula>
    </cfRule>
    <cfRule type="expression" priority="7085" dxfId="1">
      <formula>AND(IF($Q10=3,1,0),IF($X10&lt;30,1,0))</formula>
    </cfRule>
    <cfRule type="expression" priority="7086" dxfId="0">
      <formula>AND(IF($Q10=3,1,IF($Q10=4,1,0)),IF($F10&lt;=85,1,0))</formula>
    </cfRule>
  </conditionalFormatting>
  <conditionalFormatting sqref="X10">
    <cfRule type="expression" priority="7079" dxfId="3">
      <formula>AND(IF(OR($Q10=1,$Q10=2),1,0),IF($X10&lt;=20,1,0))</formula>
    </cfRule>
    <cfRule type="expression" priority="7080" dxfId="2">
      <formula>AND(IF($Q10=2,1,0),IF($X10&lt;30,1,0))</formula>
    </cfRule>
    <cfRule type="expression" priority="7081" dxfId="1">
      <formula>AND(IF($Q10=3,1,0),IF($X10&lt;30,1,0))</formula>
    </cfRule>
    <cfRule type="expression" priority="7082" dxfId="0">
      <formula>AND(IF($Q10=3,1,IF($Q10=4,1,0)),IF($F10&lt;=85,1,0))</formula>
    </cfRule>
  </conditionalFormatting>
  <conditionalFormatting sqref="AI10">
    <cfRule type="expression" priority="7075" dxfId="3">
      <formula>AND(IF(OR($Q10=1,$Q10=2),1,0),IF($X10&lt;=20,1,0))</formula>
    </cfRule>
    <cfRule type="expression" priority="7076" dxfId="2">
      <formula>AND(IF($Q10=2,1,0),IF($X10&lt;30,1,0))</formula>
    </cfRule>
    <cfRule type="expression" priority="7077" dxfId="1">
      <formula>AND(IF($Q10=3,1,0),IF($X10&lt;30,1,0))</formula>
    </cfRule>
    <cfRule type="expression" priority="7078" dxfId="0">
      <formula>AND(IF($Q10=3,1,IF($Q10=4,1,0)),IF($F10&lt;=85,1,0))</formula>
    </cfRule>
  </conditionalFormatting>
  <conditionalFormatting sqref="AV11">
    <cfRule type="expression" priority="7073" dxfId="23">
      <formula>AV11="X"</formula>
    </cfRule>
    <cfRule type="expression" priority="7074" dxfId="22">
      <formula>AV11="후보"</formula>
    </cfRule>
  </conditionalFormatting>
  <conditionalFormatting sqref="AC1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">
    <cfRule type="expression" priority="7065" dxfId="3">
      <formula>AND(IF(OR($Q11=1,$Q11=2),1,0),IF($X11&lt;=20,1,0))</formula>
    </cfRule>
    <cfRule type="expression" priority="7066" dxfId="2">
      <formula>AND(IF($Q11=2,1,0),IF($X11&lt;30,1,0))</formula>
    </cfRule>
    <cfRule type="expression" priority="7067" dxfId="1">
      <formula>AND(IF($Q11=3,1,0),IF($X11&lt;30,1,0))</formula>
    </cfRule>
    <cfRule type="expression" priority="7068" dxfId="0">
      <formula>AND(IF($Q11=3,1,IF($Q11=4,1,0)),IF($F11&lt;=85,1,0))</formula>
    </cfRule>
  </conditionalFormatting>
  <conditionalFormatting sqref="X11">
    <cfRule type="expression" priority="7061" dxfId="3">
      <formula>AND(IF(OR($Q11=1,$Q11=2),1,0),IF($X11&lt;=20,1,0))</formula>
    </cfRule>
    <cfRule type="expression" priority="7062" dxfId="2">
      <formula>AND(IF($Q11=2,1,0),IF($X11&lt;30,1,0))</formula>
    </cfRule>
    <cfRule type="expression" priority="7063" dxfId="1">
      <formula>AND(IF($Q11=3,1,0),IF($X11&lt;30,1,0))</formula>
    </cfRule>
    <cfRule type="expression" priority="7064" dxfId="0">
      <formula>AND(IF($Q11=3,1,IF($Q11=4,1,0)),IF($F11&lt;=85,1,0))</formula>
    </cfRule>
  </conditionalFormatting>
  <conditionalFormatting sqref="AI11">
    <cfRule type="expression" priority="7057" dxfId="3">
      <formula>AND(IF(OR($Q11=1,$Q11=2),1,0),IF($X11&lt;=20,1,0))</formula>
    </cfRule>
    <cfRule type="expression" priority="7058" dxfId="2">
      <formula>AND(IF($Q11=2,1,0),IF($X11&lt;30,1,0))</formula>
    </cfRule>
    <cfRule type="expression" priority="7059" dxfId="1">
      <formula>AND(IF($Q11=3,1,0),IF($X11&lt;30,1,0))</formula>
    </cfRule>
    <cfRule type="expression" priority="7060" dxfId="0">
      <formula>AND(IF($Q11=3,1,IF($Q11=4,1,0)),IF($F11&lt;=85,1,0))</formula>
    </cfRule>
  </conditionalFormatting>
  <conditionalFormatting sqref="AV12">
    <cfRule type="expression" priority="7055" dxfId="23">
      <formula>AV12="X"</formula>
    </cfRule>
    <cfRule type="expression" priority="7056" dxfId="22">
      <formula>AV12="후보"</formula>
    </cfRule>
  </conditionalFormatting>
  <conditionalFormatting sqref="AC1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">
    <cfRule type="expression" priority="7047" dxfId="3">
      <formula>AND(IF(OR($Q12=1,$Q12=2),1,0),IF($X12&lt;=20,1,0))</formula>
    </cfRule>
    <cfRule type="expression" priority="7048" dxfId="2">
      <formula>AND(IF($Q12=2,1,0),IF($X12&lt;30,1,0))</formula>
    </cfRule>
    <cfRule type="expression" priority="7049" dxfId="1">
      <formula>AND(IF($Q12=3,1,0),IF($X12&lt;30,1,0))</formula>
    </cfRule>
    <cfRule type="expression" priority="7050" dxfId="0">
      <formula>AND(IF($Q12=3,1,IF($Q12=4,1,0)),IF($F12&lt;=85,1,0))</formula>
    </cfRule>
  </conditionalFormatting>
  <conditionalFormatting sqref="X12">
    <cfRule type="expression" priority="7043" dxfId="3">
      <formula>AND(IF(OR($Q12=1,$Q12=2),1,0),IF($X12&lt;=20,1,0))</formula>
    </cfRule>
    <cfRule type="expression" priority="7044" dxfId="2">
      <formula>AND(IF($Q12=2,1,0),IF($X12&lt;30,1,0))</formula>
    </cfRule>
    <cfRule type="expression" priority="7045" dxfId="1">
      <formula>AND(IF($Q12=3,1,0),IF($X12&lt;30,1,0))</formula>
    </cfRule>
    <cfRule type="expression" priority="7046" dxfId="0">
      <formula>AND(IF($Q12=3,1,IF($Q12=4,1,0)),IF($F12&lt;=85,1,0))</formula>
    </cfRule>
  </conditionalFormatting>
  <conditionalFormatting sqref="AI12">
    <cfRule type="expression" priority="7039" dxfId="3">
      <formula>AND(IF(OR($Q12=1,$Q12=2),1,0),IF($X12&lt;=20,1,0))</formula>
    </cfRule>
    <cfRule type="expression" priority="7040" dxfId="2">
      <formula>AND(IF($Q12=2,1,0),IF($X12&lt;30,1,0))</formula>
    </cfRule>
    <cfRule type="expression" priority="7041" dxfId="1">
      <formula>AND(IF($Q12=3,1,0),IF($X12&lt;30,1,0))</formula>
    </cfRule>
    <cfRule type="expression" priority="7042" dxfId="0">
      <formula>AND(IF($Q12=3,1,IF($Q12=4,1,0)),IF($F12&lt;=85,1,0))</formula>
    </cfRule>
  </conditionalFormatting>
  <conditionalFormatting sqref="AV13">
    <cfRule type="expression" priority="7037" dxfId="23">
      <formula>AV13="X"</formula>
    </cfRule>
    <cfRule type="expression" priority="7038" dxfId="22">
      <formula>AV13="후보"</formula>
    </cfRule>
  </conditionalFormatting>
  <conditionalFormatting sqref="AC1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3">
    <cfRule type="expression" priority="7029" dxfId="3">
      <formula>AND(IF(OR($Q13=1,$Q13=2),1,0),IF($X13&lt;=20,1,0))</formula>
    </cfRule>
    <cfRule type="expression" priority="7030" dxfId="2">
      <formula>AND(IF($Q13=2,1,0),IF($X13&lt;30,1,0))</formula>
    </cfRule>
    <cfRule type="expression" priority="7031" dxfId="1">
      <formula>AND(IF($Q13=3,1,0),IF($X13&lt;30,1,0))</formula>
    </cfRule>
    <cfRule type="expression" priority="7032" dxfId="0">
      <formula>AND(IF($Q13=3,1,IF($Q13=4,1,0)),IF($F13&lt;=85,1,0))</formula>
    </cfRule>
  </conditionalFormatting>
  <conditionalFormatting sqref="X13">
    <cfRule type="expression" priority="7025" dxfId="3">
      <formula>AND(IF(OR($Q13=1,$Q13=2),1,0),IF($X13&lt;=20,1,0))</formula>
    </cfRule>
    <cfRule type="expression" priority="7026" dxfId="2">
      <formula>AND(IF($Q13=2,1,0),IF($X13&lt;30,1,0))</formula>
    </cfRule>
    <cfRule type="expression" priority="7027" dxfId="1">
      <formula>AND(IF($Q13=3,1,0),IF($X13&lt;30,1,0))</formula>
    </cfRule>
    <cfRule type="expression" priority="7028" dxfId="0">
      <formula>AND(IF($Q13=3,1,IF($Q13=4,1,0)),IF($F13&lt;=85,1,0))</formula>
    </cfRule>
  </conditionalFormatting>
  <conditionalFormatting sqref="AI13">
    <cfRule type="expression" priority="7021" dxfId="3">
      <formula>AND(IF(OR($Q13=1,$Q13=2),1,0),IF($X13&lt;=20,1,0))</formula>
    </cfRule>
    <cfRule type="expression" priority="7022" dxfId="2">
      <formula>AND(IF($Q13=2,1,0),IF($X13&lt;30,1,0))</formula>
    </cfRule>
    <cfRule type="expression" priority="7023" dxfId="1">
      <formula>AND(IF($Q13=3,1,0),IF($X13&lt;30,1,0))</formula>
    </cfRule>
    <cfRule type="expression" priority="7024" dxfId="0">
      <formula>AND(IF($Q13=3,1,IF($Q13=4,1,0)),IF($F13&lt;=85,1,0))</formula>
    </cfRule>
  </conditionalFormatting>
  <conditionalFormatting sqref="AV14">
    <cfRule type="expression" priority="7019" dxfId="23">
      <formula>AV14="X"</formula>
    </cfRule>
    <cfRule type="expression" priority="7020" dxfId="22">
      <formula>AV14="후보"</formula>
    </cfRule>
  </conditionalFormatting>
  <conditionalFormatting sqref="AC1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4">
    <cfRule type="expression" priority="7011" dxfId="3">
      <formula>AND(IF(OR($Q14=1,$Q14=2),1,0),IF($X14&lt;=20,1,0))</formula>
    </cfRule>
    <cfRule type="expression" priority="7012" dxfId="2">
      <formula>AND(IF($Q14=2,1,0),IF($X14&lt;30,1,0))</formula>
    </cfRule>
    <cfRule type="expression" priority="7013" dxfId="1">
      <formula>AND(IF($Q14=3,1,0),IF($X14&lt;30,1,0))</formula>
    </cfRule>
    <cfRule type="expression" priority="7014" dxfId="0">
      <formula>AND(IF($Q14=3,1,IF($Q14=4,1,0)),IF($F14&lt;=85,1,0))</formula>
    </cfRule>
  </conditionalFormatting>
  <conditionalFormatting sqref="X14">
    <cfRule type="expression" priority="7007" dxfId="3">
      <formula>AND(IF(OR($Q14=1,$Q14=2),1,0),IF($X14&lt;=20,1,0))</formula>
    </cfRule>
    <cfRule type="expression" priority="7008" dxfId="2">
      <formula>AND(IF($Q14=2,1,0),IF($X14&lt;30,1,0))</formula>
    </cfRule>
    <cfRule type="expression" priority="7009" dxfId="1">
      <formula>AND(IF($Q14=3,1,0),IF($X14&lt;30,1,0))</formula>
    </cfRule>
    <cfRule type="expression" priority="7010" dxfId="0">
      <formula>AND(IF($Q14=3,1,IF($Q14=4,1,0)),IF($F14&lt;=85,1,0))</formula>
    </cfRule>
  </conditionalFormatting>
  <conditionalFormatting sqref="AI14">
    <cfRule type="expression" priority="7003" dxfId="3">
      <formula>AND(IF(OR($Q14=1,$Q14=2),1,0),IF($X14&lt;=20,1,0))</formula>
    </cfRule>
    <cfRule type="expression" priority="7004" dxfId="2">
      <formula>AND(IF($Q14=2,1,0),IF($X14&lt;30,1,0))</formula>
    </cfRule>
    <cfRule type="expression" priority="7005" dxfId="1">
      <formula>AND(IF($Q14=3,1,0),IF($X14&lt;30,1,0))</formula>
    </cfRule>
    <cfRule type="expression" priority="7006" dxfId="0">
      <formula>AND(IF($Q14=3,1,IF($Q14=4,1,0)),IF($F14&lt;=85,1,0))</formula>
    </cfRule>
  </conditionalFormatting>
  <conditionalFormatting sqref="AV15">
    <cfRule type="expression" priority="7001" dxfId="23">
      <formula>AV15="X"</formula>
    </cfRule>
    <cfRule type="expression" priority="7002" dxfId="22">
      <formula>AV15="후보"</formula>
    </cfRule>
  </conditionalFormatting>
  <conditionalFormatting sqref="AC1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">
    <cfRule type="expression" priority="6993" dxfId="3">
      <formula>AND(IF(OR($Q15=1,$Q15=2),1,0),IF($X15&lt;=20,1,0))</formula>
    </cfRule>
    <cfRule type="expression" priority="6994" dxfId="2">
      <formula>AND(IF($Q15=2,1,0),IF($X15&lt;30,1,0))</formula>
    </cfRule>
    <cfRule type="expression" priority="6995" dxfId="1">
      <formula>AND(IF($Q15=3,1,0),IF($X15&lt;30,1,0))</formula>
    </cfRule>
    <cfRule type="expression" priority="6996" dxfId="0">
      <formula>AND(IF($Q15=3,1,IF($Q15=4,1,0)),IF($F15&lt;=85,1,0))</formula>
    </cfRule>
  </conditionalFormatting>
  <conditionalFormatting sqref="X15">
    <cfRule type="expression" priority="6989" dxfId="3">
      <formula>AND(IF(OR($Q15=1,$Q15=2),1,0),IF($X15&lt;=20,1,0))</formula>
    </cfRule>
    <cfRule type="expression" priority="6990" dxfId="2">
      <formula>AND(IF($Q15=2,1,0),IF($X15&lt;30,1,0))</formula>
    </cfRule>
    <cfRule type="expression" priority="6991" dxfId="1">
      <formula>AND(IF($Q15=3,1,0),IF($X15&lt;30,1,0))</formula>
    </cfRule>
    <cfRule type="expression" priority="6992" dxfId="0">
      <formula>AND(IF($Q15=3,1,IF($Q15=4,1,0)),IF($F15&lt;=85,1,0))</formula>
    </cfRule>
  </conditionalFormatting>
  <conditionalFormatting sqref="AI15">
    <cfRule type="expression" priority="6985" dxfId="3">
      <formula>AND(IF(OR($Q15=1,$Q15=2),1,0),IF($X15&lt;=20,1,0))</formula>
    </cfRule>
    <cfRule type="expression" priority="6986" dxfId="2">
      <formula>AND(IF($Q15=2,1,0),IF($X15&lt;30,1,0))</formula>
    </cfRule>
    <cfRule type="expression" priority="6987" dxfId="1">
      <formula>AND(IF($Q15=3,1,0),IF($X15&lt;30,1,0))</formula>
    </cfRule>
    <cfRule type="expression" priority="6988" dxfId="0">
      <formula>AND(IF($Q15=3,1,IF($Q15=4,1,0)),IF($F15&lt;=85,1,0))</formula>
    </cfRule>
  </conditionalFormatting>
  <conditionalFormatting sqref="AV16">
    <cfRule type="expression" priority="6983" dxfId="23">
      <formula>AV16="X"</formula>
    </cfRule>
    <cfRule type="expression" priority="6984" dxfId="22">
      <formula>AV16="후보"</formula>
    </cfRule>
  </conditionalFormatting>
  <conditionalFormatting sqref="AC1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6">
    <cfRule type="expression" priority="6975" dxfId="3">
      <formula>AND(IF(OR($Q16=1,$Q16=2),1,0),IF($X16&lt;=20,1,0))</formula>
    </cfRule>
    <cfRule type="expression" priority="6976" dxfId="2">
      <formula>AND(IF($Q16=2,1,0),IF($X16&lt;30,1,0))</formula>
    </cfRule>
    <cfRule type="expression" priority="6977" dxfId="1">
      <formula>AND(IF($Q16=3,1,0),IF($X16&lt;30,1,0))</formula>
    </cfRule>
    <cfRule type="expression" priority="6978" dxfId="0">
      <formula>AND(IF($Q16=3,1,IF($Q16=4,1,0)),IF($F16&lt;=85,1,0))</formula>
    </cfRule>
  </conditionalFormatting>
  <conditionalFormatting sqref="X16">
    <cfRule type="expression" priority="6971" dxfId="3">
      <formula>AND(IF(OR($Q16=1,$Q16=2),1,0),IF($X16&lt;=20,1,0))</formula>
    </cfRule>
    <cfRule type="expression" priority="6972" dxfId="2">
      <formula>AND(IF($Q16=2,1,0),IF($X16&lt;30,1,0))</formula>
    </cfRule>
    <cfRule type="expression" priority="6973" dxfId="1">
      <formula>AND(IF($Q16=3,1,0),IF($X16&lt;30,1,0))</formula>
    </cfRule>
    <cfRule type="expression" priority="6974" dxfId="0">
      <formula>AND(IF($Q16=3,1,IF($Q16=4,1,0)),IF($F16&lt;=85,1,0))</formula>
    </cfRule>
  </conditionalFormatting>
  <conditionalFormatting sqref="AI16">
    <cfRule type="expression" priority="6967" dxfId="3">
      <formula>AND(IF(OR($Q16=1,$Q16=2),1,0),IF($X16&lt;=20,1,0))</formula>
    </cfRule>
    <cfRule type="expression" priority="6968" dxfId="2">
      <formula>AND(IF($Q16=2,1,0),IF($X16&lt;30,1,0))</formula>
    </cfRule>
    <cfRule type="expression" priority="6969" dxfId="1">
      <formula>AND(IF($Q16=3,1,0),IF($X16&lt;30,1,0))</formula>
    </cfRule>
    <cfRule type="expression" priority="6970" dxfId="0">
      <formula>AND(IF($Q16=3,1,IF($Q16=4,1,0)),IF($F16&lt;=85,1,0))</formula>
    </cfRule>
  </conditionalFormatting>
  <conditionalFormatting sqref="AV17">
    <cfRule type="expression" priority="6965" dxfId="23">
      <formula>AV17="X"</formula>
    </cfRule>
    <cfRule type="expression" priority="6966" dxfId="22">
      <formula>AV17="후보"</formula>
    </cfRule>
  </conditionalFormatting>
  <conditionalFormatting sqref="AC1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">
    <cfRule type="expression" priority="6957" dxfId="3">
      <formula>AND(IF(OR($Q17=1,$Q17=2),1,0),IF($X17&lt;=20,1,0))</formula>
    </cfRule>
    <cfRule type="expression" priority="6958" dxfId="2">
      <formula>AND(IF($Q17=2,1,0),IF($X17&lt;30,1,0))</formula>
    </cfRule>
    <cfRule type="expression" priority="6959" dxfId="1">
      <formula>AND(IF($Q17=3,1,0),IF($X17&lt;30,1,0))</formula>
    </cfRule>
    <cfRule type="expression" priority="6960" dxfId="0">
      <formula>AND(IF($Q17=3,1,IF($Q17=4,1,0)),IF($F17&lt;=85,1,0))</formula>
    </cfRule>
  </conditionalFormatting>
  <conditionalFormatting sqref="X17">
    <cfRule type="expression" priority="6953" dxfId="3">
      <formula>AND(IF(OR($Q17=1,$Q17=2),1,0),IF($X17&lt;=20,1,0))</formula>
    </cfRule>
    <cfRule type="expression" priority="6954" dxfId="2">
      <formula>AND(IF($Q17=2,1,0),IF($X17&lt;30,1,0))</formula>
    </cfRule>
    <cfRule type="expression" priority="6955" dxfId="1">
      <formula>AND(IF($Q17=3,1,0),IF($X17&lt;30,1,0))</formula>
    </cfRule>
    <cfRule type="expression" priority="6956" dxfId="0">
      <formula>AND(IF($Q17=3,1,IF($Q17=4,1,0)),IF($F17&lt;=85,1,0))</formula>
    </cfRule>
  </conditionalFormatting>
  <conditionalFormatting sqref="AI17">
    <cfRule type="expression" priority="6949" dxfId="3">
      <formula>AND(IF(OR($Q17=1,$Q17=2),1,0),IF($X17&lt;=20,1,0))</formula>
    </cfRule>
    <cfRule type="expression" priority="6950" dxfId="2">
      <formula>AND(IF($Q17=2,1,0),IF($X17&lt;30,1,0))</formula>
    </cfRule>
    <cfRule type="expression" priority="6951" dxfId="1">
      <formula>AND(IF($Q17=3,1,0),IF($X17&lt;30,1,0))</formula>
    </cfRule>
    <cfRule type="expression" priority="6952" dxfId="0">
      <formula>AND(IF($Q17=3,1,IF($Q17=4,1,0)),IF($F17&lt;=85,1,0))</formula>
    </cfRule>
  </conditionalFormatting>
  <conditionalFormatting sqref="AV18">
    <cfRule type="expression" priority="6947" dxfId="23">
      <formula>AV18="X"</formula>
    </cfRule>
    <cfRule type="expression" priority="6948" dxfId="22">
      <formula>AV18="후보"</formula>
    </cfRule>
  </conditionalFormatting>
  <conditionalFormatting sqref="AC1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8">
    <cfRule type="expression" priority="6939" dxfId="3">
      <formula>AND(IF(OR($Q18=1,$Q18=2),1,0),IF($X18&lt;=20,1,0))</formula>
    </cfRule>
    <cfRule type="expression" priority="6940" dxfId="2">
      <formula>AND(IF($Q18=2,1,0),IF($X18&lt;30,1,0))</formula>
    </cfRule>
    <cfRule type="expression" priority="6941" dxfId="1">
      <formula>AND(IF($Q18=3,1,0),IF($X18&lt;30,1,0))</formula>
    </cfRule>
    <cfRule type="expression" priority="6942" dxfId="0">
      <formula>AND(IF($Q18=3,1,IF($Q18=4,1,0)),IF($F18&lt;=85,1,0))</formula>
    </cfRule>
  </conditionalFormatting>
  <conditionalFormatting sqref="X18">
    <cfRule type="expression" priority="6935" dxfId="3">
      <formula>AND(IF(OR($Q18=1,$Q18=2),1,0),IF($X18&lt;=20,1,0))</formula>
    </cfRule>
    <cfRule type="expression" priority="6936" dxfId="2">
      <formula>AND(IF($Q18=2,1,0),IF($X18&lt;30,1,0))</formula>
    </cfRule>
    <cfRule type="expression" priority="6937" dxfId="1">
      <formula>AND(IF($Q18=3,1,0),IF($X18&lt;30,1,0))</formula>
    </cfRule>
    <cfRule type="expression" priority="6938" dxfId="0">
      <formula>AND(IF($Q18=3,1,IF($Q18=4,1,0)),IF($F18&lt;=85,1,0))</formula>
    </cfRule>
  </conditionalFormatting>
  <conditionalFormatting sqref="AI18">
    <cfRule type="expression" priority="6931" dxfId="3">
      <formula>AND(IF(OR($Q18=1,$Q18=2),1,0),IF($X18&lt;=20,1,0))</formula>
    </cfRule>
    <cfRule type="expression" priority="6932" dxfId="2">
      <formula>AND(IF($Q18=2,1,0),IF($X18&lt;30,1,0))</formula>
    </cfRule>
    <cfRule type="expression" priority="6933" dxfId="1">
      <formula>AND(IF($Q18=3,1,0),IF($X18&lt;30,1,0))</formula>
    </cfRule>
    <cfRule type="expression" priority="6934" dxfId="0">
      <formula>AND(IF($Q18=3,1,IF($Q18=4,1,0)),IF($F18&lt;=85,1,0))</formula>
    </cfRule>
  </conditionalFormatting>
  <conditionalFormatting sqref="AV19">
    <cfRule type="expression" priority="6929" dxfId="23">
      <formula>AV19="X"</formula>
    </cfRule>
    <cfRule type="expression" priority="6930" dxfId="22">
      <formula>AV19="후보"</formula>
    </cfRule>
  </conditionalFormatting>
  <conditionalFormatting sqref="AC1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9">
    <cfRule type="expression" priority="6921" dxfId="3">
      <formula>AND(IF(OR($Q19=1,$Q19=2),1,0),IF($X19&lt;=20,1,0))</formula>
    </cfRule>
    <cfRule type="expression" priority="6922" dxfId="2">
      <formula>AND(IF($Q19=2,1,0),IF($X19&lt;30,1,0))</formula>
    </cfRule>
    <cfRule type="expression" priority="6923" dxfId="1">
      <formula>AND(IF($Q19=3,1,0),IF($X19&lt;30,1,0))</formula>
    </cfRule>
    <cfRule type="expression" priority="6924" dxfId="0">
      <formula>AND(IF($Q19=3,1,IF($Q19=4,1,0)),IF($F19&lt;=85,1,0))</formula>
    </cfRule>
  </conditionalFormatting>
  <conditionalFormatting sqref="X19">
    <cfRule type="expression" priority="6917" dxfId="3">
      <formula>AND(IF(OR($Q19=1,$Q19=2),1,0),IF($X19&lt;=20,1,0))</formula>
    </cfRule>
    <cfRule type="expression" priority="6918" dxfId="2">
      <formula>AND(IF($Q19=2,1,0),IF($X19&lt;30,1,0))</formula>
    </cfRule>
    <cfRule type="expression" priority="6919" dxfId="1">
      <formula>AND(IF($Q19=3,1,0),IF($X19&lt;30,1,0))</formula>
    </cfRule>
    <cfRule type="expression" priority="6920" dxfId="0">
      <formula>AND(IF($Q19=3,1,IF($Q19=4,1,0)),IF($F19&lt;=85,1,0))</formula>
    </cfRule>
  </conditionalFormatting>
  <conditionalFormatting sqref="AI19">
    <cfRule type="expression" priority="6913" dxfId="3">
      <formula>AND(IF(OR($Q19=1,$Q19=2),1,0),IF($X19&lt;=20,1,0))</formula>
    </cfRule>
    <cfRule type="expression" priority="6914" dxfId="2">
      <formula>AND(IF($Q19=2,1,0),IF($X19&lt;30,1,0))</formula>
    </cfRule>
    <cfRule type="expression" priority="6915" dxfId="1">
      <formula>AND(IF($Q19=3,1,0),IF($X19&lt;30,1,0))</formula>
    </cfRule>
    <cfRule type="expression" priority="6916" dxfId="0">
      <formula>AND(IF($Q19=3,1,IF($Q19=4,1,0)),IF($F19&lt;=85,1,0))</formula>
    </cfRule>
  </conditionalFormatting>
  <conditionalFormatting sqref="AV20">
    <cfRule type="expression" priority="6911" dxfId="23">
      <formula>AV20="X"</formula>
    </cfRule>
    <cfRule type="expression" priority="6912" dxfId="22">
      <formula>AV20="후보"</formula>
    </cfRule>
  </conditionalFormatting>
  <conditionalFormatting sqref="AC2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0">
    <cfRule type="expression" priority="6903" dxfId="3">
      <formula>AND(IF(OR($Q20=1,$Q20=2),1,0),IF($X20&lt;=20,1,0))</formula>
    </cfRule>
    <cfRule type="expression" priority="6904" dxfId="2">
      <formula>AND(IF($Q20=2,1,0),IF($X20&lt;30,1,0))</formula>
    </cfRule>
    <cfRule type="expression" priority="6905" dxfId="1">
      <formula>AND(IF($Q20=3,1,0),IF($X20&lt;30,1,0))</formula>
    </cfRule>
    <cfRule type="expression" priority="6906" dxfId="0">
      <formula>AND(IF($Q20=3,1,IF($Q20=4,1,0)),IF($F20&lt;=85,1,0))</formula>
    </cfRule>
  </conditionalFormatting>
  <conditionalFormatting sqref="X20">
    <cfRule type="expression" priority="6899" dxfId="3">
      <formula>AND(IF(OR($Q20=1,$Q20=2),1,0),IF($X20&lt;=20,1,0))</formula>
    </cfRule>
    <cfRule type="expression" priority="6900" dxfId="2">
      <formula>AND(IF($Q20=2,1,0),IF($X20&lt;30,1,0))</formula>
    </cfRule>
    <cfRule type="expression" priority="6901" dxfId="1">
      <formula>AND(IF($Q20=3,1,0),IF($X20&lt;30,1,0))</formula>
    </cfRule>
    <cfRule type="expression" priority="6902" dxfId="0">
      <formula>AND(IF($Q20=3,1,IF($Q20=4,1,0)),IF($F20&lt;=85,1,0))</formula>
    </cfRule>
  </conditionalFormatting>
  <conditionalFormatting sqref="AI20">
    <cfRule type="expression" priority="6895" dxfId="3">
      <formula>AND(IF(OR($Q20=1,$Q20=2),1,0),IF($X20&lt;=20,1,0))</formula>
    </cfRule>
    <cfRule type="expression" priority="6896" dxfId="2">
      <formula>AND(IF($Q20=2,1,0),IF($X20&lt;30,1,0))</formula>
    </cfRule>
    <cfRule type="expression" priority="6897" dxfId="1">
      <formula>AND(IF($Q20=3,1,0),IF($X20&lt;30,1,0))</formula>
    </cfRule>
    <cfRule type="expression" priority="6898" dxfId="0">
      <formula>AND(IF($Q20=3,1,IF($Q20=4,1,0)),IF($F20&lt;=85,1,0))</formula>
    </cfRule>
  </conditionalFormatting>
  <conditionalFormatting sqref="AV21">
    <cfRule type="expression" priority="6893" dxfId="23">
      <formula>AV21="X"</formula>
    </cfRule>
    <cfRule type="expression" priority="6894" dxfId="22">
      <formula>AV21="후보"</formula>
    </cfRule>
  </conditionalFormatting>
  <conditionalFormatting sqref="AC2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1">
    <cfRule type="expression" priority="6885" dxfId="3">
      <formula>AND(IF(OR($Q21=1,$Q21=2),1,0),IF($X21&lt;=20,1,0))</formula>
    </cfRule>
    <cfRule type="expression" priority="6886" dxfId="2">
      <formula>AND(IF($Q21=2,1,0),IF($X21&lt;30,1,0))</formula>
    </cfRule>
    <cfRule type="expression" priority="6887" dxfId="1">
      <formula>AND(IF($Q21=3,1,0),IF($X21&lt;30,1,0))</formula>
    </cfRule>
    <cfRule type="expression" priority="6888" dxfId="0">
      <formula>AND(IF($Q21=3,1,IF($Q21=4,1,0)),IF($F21&lt;=85,1,0))</formula>
    </cfRule>
  </conditionalFormatting>
  <conditionalFormatting sqref="X21">
    <cfRule type="expression" priority="6881" dxfId="3">
      <formula>AND(IF(OR($Q21=1,$Q21=2),1,0),IF($X21&lt;=20,1,0))</formula>
    </cfRule>
    <cfRule type="expression" priority="6882" dxfId="2">
      <formula>AND(IF($Q21=2,1,0),IF($X21&lt;30,1,0))</formula>
    </cfRule>
    <cfRule type="expression" priority="6883" dxfId="1">
      <formula>AND(IF($Q21=3,1,0),IF($X21&lt;30,1,0))</formula>
    </cfRule>
    <cfRule type="expression" priority="6884" dxfId="0">
      <formula>AND(IF($Q21=3,1,IF($Q21=4,1,0)),IF($F21&lt;=85,1,0))</formula>
    </cfRule>
  </conditionalFormatting>
  <conditionalFormatting sqref="AI21">
    <cfRule type="expression" priority="6877" dxfId="3">
      <formula>AND(IF(OR($Q21=1,$Q21=2),1,0),IF($X21&lt;=20,1,0))</formula>
    </cfRule>
    <cfRule type="expression" priority="6878" dxfId="2">
      <formula>AND(IF($Q21=2,1,0),IF($X21&lt;30,1,0))</formula>
    </cfRule>
    <cfRule type="expression" priority="6879" dxfId="1">
      <formula>AND(IF($Q21=3,1,0),IF($X21&lt;30,1,0))</formula>
    </cfRule>
    <cfRule type="expression" priority="6880" dxfId="0">
      <formula>AND(IF($Q21=3,1,IF($Q21=4,1,0)),IF($F21&lt;=85,1,0))</formula>
    </cfRule>
  </conditionalFormatting>
  <conditionalFormatting sqref="AV22">
    <cfRule type="expression" priority="6875" dxfId="23">
      <formula>AV22="X"</formula>
    </cfRule>
    <cfRule type="expression" priority="6876" dxfId="22">
      <formula>AV22="후보"</formula>
    </cfRule>
  </conditionalFormatting>
  <conditionalFormatting sqref="AC2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2">
    <cfRule type="expression" priority="6867" dxfId="3">
      <formula>AND(IF(OR($Q22=1,$Q22=2),1,0),IF($X22&lt;=20,1,0))</formula>
    </cfRule>
    <cfRule type="expression" priority="6868" dxfId="2">
      <formula>AND(IF($Q22=2,1,0),IF($X22&lt;30,1,0))</formula>
    </cfRule>
    <cfRule type="expression" priority="6869" dxfId="1">
      <formula>AND(IF($Q22=3,1,0),IF($X22&lt;30,1,0))</formula>
    </cfRule>
    <cfRule type="expression" priority="6870" dxfId="0">
      <formula>AND(IF($Q22=3,1,IF($Q22=4,1,0)),IF($F22&lt;=85,1,0))</formula>
    </cfRule>
  </conditionalFormatting>
  <conditionalFormatting sqref="X22">
    <cfRule type="expression" priority="6863" dxfId="3">
      <formula>AND(IF(OR($Q22=1,$Q22=2),1,0),IF($X22&lt;=20,1,0))</formula>
    </cfRule>
    <cfRule type="expression" priority="6864" dxfId="2">
      <formula>AND(IF($Q22=2,1,0),IF($X22&lt;30,1,0))</formula>
    </cfRule>
    <cfRule type="expression" priority="6865" dxfId="1">
      <formula>AND(IF($Q22=3,1,0),IF($X22&lt;30,1,0))</formula>
    </cfRule>
    <cfRule type="expression" priority="6866" dxfId="0">
      <formula>AND(IF($Q22=3,1,IF($Q22=4,1,0)),IF($F22&lt;=85,1,0))</formula>
    </cfRule>
  </conditionalFormatting>
  <conditionalFormatting sqref="AI22">
    <cfRule type="expression" priority="6859" dxfId="3">
      <formula>AND(IF(OR($Q22=1,$Q22=2),1,0),IF($X22&lt;=20,1,0))</formula>
    </cfRule>
    <cfRule type="expression" priority="6860" dxfId="2">
      <formula>AND(IF($Q22=2,1,0),IF($X22&lt;30,1,0))</formula>
    </cfRule>
    <cfRule type="expression" priority="6861" dxfId="1">
      <formula>AND(IF($Q22=3,1,0),IF($X22&lt;30,1,0))</formula>
    </cfRule>
    <cfRule type="expression" priority="6862" dxfId="0">
      <formula>AND(IF($Q22=3,1,IF($Q22=4,1,0)),IF($F22&lt;=85,1,0))</formula>
    </cfRule>
  </conditionalFormatting>
  <conditionalFormatting sqref="AV23">
    <cfRule type="expression" priority="6857" dxfId="23">
      <formula>AV23="X"</formula>
    </cfRule>
    <cfRule type="expression" priority="6858" dxfId="22">
      <formula>AV23="후보"</formula>
    </cfRule>
  </conditionalFormatting>
  <conditionalFormatting sqref="AC2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">
    <cfRule type="expression" priority="6849" dxfId="3">
      <formula>AND(IF(OR($Q23=1,$Q23=2),1,0),IF($X23&lt;=20,1,0))</formula>
    </cfRule>
    <cfRule type="expression" priority="6850" dxfId="2">
      <formula>AND(IF($Q23=2,1,0),IF($X23&lt;30,1,0))</formula>
    </cfRule>
    <cfRule type="expression" priority="6851" dxfId="1">
      <formula>AND(IF($Q23=3,1,0),IF($X23&lt;30,1,0))</formula>
    </cfRule>
    <cfRule type="expression" priority="6852" dxfId="0">
      <formula>AND(IF($Q23=3,1,IF($Q23=4,1,0)),IF($F23&lt;=85,1,0))</formula>
    </cfRule>
  </conditionalFormatting>
  <conditionalFormatting sqref="X23">
    <cfRule type="expression" priority="6845" dxfId="3">
      <formula>AND(IF(OR($Q23=1,$Q23=2),1,0),IF($X23&lt;=20,1,0))</formula>
    </cfRule>
    <cfRule type="expression" priority="6846" dxfId="2">
      <formula>AND(IF($Q23=2,1,0),IF($X23&lt;30,1,0))</formula>
    </cfRule>
    <cfRule type="expression" priority="6847" dxfId="1">
      <formula>AND(IF($Q23=3,1,0),IF($X23&lt;30,1,0))</formula>
    </cfRule>
    <cfRule type="expression" priority="6848" dxfId="0">
      <formula>AND(IF($Q23=3,1,IF($Q23=4,1,0)),IF($F23&lt;=85,1,0))</formula>
    </cfRule>
  </conditionalFormatting>
  <conditionalFormatting sqref="AI23">
    <cfRule type="expression" priority="6841" dxfId="3">
      <formula>AND(IF(OR($Q23=1,$Q23=2),1,0),IF($X23&lt;=20,1,0))</formula>
    </cfRule>
    <cfRule type="expression" priority="6842" dxfId="2">
      <formula>AND(IF($Q23=2,1,0),IF($X23&lt;30,1,0))</formula>
    </cfRule>
    <cfRule type="expression" priority="6843" dxfId="1">
      <formula>AND(IF($Q23=3,1,0),IF($X23&lt;30,1,0))</formula>
    </cfRule>
    <cfRule type="expression" priority="6844" dxfId="0">
      <formula>AND(IF($Q23=3,1,IF($Q23=4,1,0)),IF($F23&lt;=85,1,0))</formula>
    </cfRule>
  </conditionalFormatting>
  <conditionalFormatting sqref="AV24">
    <cfRule type="expression" priority="6839" dxfId="23">
      <formula>AV24="X"</formula>
    </cfRule>
    <cfRule type="expression" priority="6840" dxfId="22">
      <formula>AV24="후보"</formula>
    </cfRule>
  </conditionalFormatting>
  <conditionalFormatting sqref="AC2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4">
    <cfRule type="expression" priority="6831" dxfId="3">
      <formula>AND(IF(OR($Q24=1,$Q24=2),1,0),IF($X24&lt;=20,1,0))</formula>
    </cfRule>
    <cfRule type="expression" priority="6832" dxfId="2">
      <formula>AND(IF($Q24=2,1,0),IF($X24&lt;30,1,0))</formula>
    </cfRule>
    <cfRule type="expression" priority="6833" dxfId="1">
      <formula>AND(IF($Q24=3,1,0),IF($X24&lt;30,1,0))</formula>
    </cfRule>
    <cfRule type="expression" priority="6834" dxfId="0">
      <formula>AND(IF($Q24=3,1,IF($Q24=4,1,0)),IF($F24&lt;=85,1,0))</formula>
    </cfRule>
  </conditionalFormatting>
  <conditionalFormatting sqref="X24">
    <cfRule type="expression" priority="6827" dxfId="3">
      <formula>AND(IF(OR($Q24=1,$Q24=2),1,0),IF($X24&lt;=20,1,0))</formula>
    </cfRule>
    <cfRule type="expression" priority="6828" dxfId="2">
      <formula>AND(IF($Q24=2,1,0),IF($X24&lt;30,1,0))</formula>
    </cfRule>
    <cfRule type="expression" priority="6829" dxfId="1">
      <formula>AND(IF($Q24=3,1,0),IF($X24&lt;30,1,0))</formula>
    </cfRule>
    <cfRule type="expression" priority="6830" dxfId="0">
      <formula>AND(IF($Q24=3,1,IF($Q24=4,1,0)),IF($F24&lt;=85,1,0))</formula>
    </cfRule>
  </conditionalFormatting>
  <conditionalFormatting sqref="AI24">
    <cfRule type="expression" priority="6823" dxfId="3">
      <formula>AND(IF(OR($Q24=1,$Q24=2),1,0),IF($X24&lt;=20,1,0))</formula>
    </cfRule>
    <cfRule type="expression" priority="6824" dxfId="2">
      <formula>AND(IF($Q24=2,1,0),IF($X24&lt;30,1,0))</formula>
    </cfRule>
    <cfRule type="expression" priority="6825" dxfId="1">
      <formula>AND(IF($Q24=3,1,0),IF($X24&lt;30,1,0))</formula>
    </cfRule>
    <cfRule type="expression" priority="6826" dxfId="0">
      <formula>AND(IF($Q24=3,1,IF($Q24=4,1,0)),IF($F24&lt;=85,1,0))</formula>
    </cfRule>
  </conditionalFormatting>
  <conditionalFormatting sqref="AV25">
    <cfRule type="expression" priority="6821" dxfId="23">
      <formula>AV25="X"</formula>
    </cfRule>
    <cfRule type="expression" priority="6822" dxfId="22">
      <formula>AV25="후보"</formula>
    </cfRule>
  </conditionalFormatting>
  <conditionalFormatting sqref="AC2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5">
    <cfRule type="expression" priority="6813" dxfId="3">
      <formula>AND(IF(OR($Q25=1,$Q25=2),1,0),IF($X25&lt;=20,1,0))</formula>
    </cfRule>
    <cfRule type="expression" priority="6814" dxfId="2">
      <formula>AND(IF($Q25=2,1,0),IF($X25&lt;30,1,0))</formula>
    </cfRule>
    <cfRule type="expression" priority="6815" dxfId="1">
      <formula>AND(IF($Q25=3,1,0),IF($X25&lt;30,1,0))</formula>
    </cfRule>
    <cfRule type="expression" priority="6816" dxfId="0">
      <formula>AND(IF($Q25=3,1,IF($Q25=4,1,0)),IF($F25&lt;=85,1,0))</formula>
    </cfRule>
  </conditionalFormatting>
  <conditionalFormatting sqref="X25">
    <cfRule type="expression" priority="6809" dxfId="3">
      <formula>AND(IF(OR($Q25=1,$Q25=2),1,0),IF($X25&lt;=20,1,0))</formula>
    </cfRule>
    <cfRule type="expression" priority="6810" dxfId="2">
      <formula>AND(IF($Q25=2,1,0),IF($X25&lt;30,1,0))</formula>
    </cfRule>
    <cfRule type="expression" priority="6811" dxfId="1">
      <formula>AND(IF($Q25=3,1,0),IF($X25&lt;30,1,0))</formula>
    </cfRule>
    <cfRule type="expression" priority="6812" dxfId="0">
      <formula>AND(IF($Q25=3,1,IF($Q25=4,1,0)),IF($F25&lt;=85,1,0))</formula>
    </cfRule>
  </conditionalFormatting>
  <conditionalFormatting sqref="AI25">
    <cfRule type="expression" priority="6805" dxfId="3">
      <formula>AND(IF(OR($Q25=1,$Q25=2),1,0),IF($X25&lt;=20,1,0))</formula>
    </cfRule>
    <cfRule type="expression" priority="6806" dxfId="2">
      <formula>AND(IF($Q25=2,1,0),IF($X25&lt;30,1,0))</formula>
    </cfRule>
    <cfRule type="expression" priority="6807" dxfId="1">
      <formula>AND(IF($Q25=3,1,0),IF($X25&lt;30,1,0))</formula>
    </cfRule>
    <cfRule type="expression" priority="6808" dxfId="0">
      <formula>AND(IF($Q25=3,1,IF($Q25=4,1,0)),IF($F25&lt;=85,1,0))</formula>
    </cfRule>
  </conditionalFormatting>
  <conditionalFormatting sqref="AV26">
    <cfRule type="expression" priority="6803" dxfId="23">
      <formula>AV26="X"</formula>
    </cfRule>
    <cfRule type="expression" priority="6804" dxfId="22">
      <formula>AV26="후보"</formula>
    </cfRule>
  </conditionalFormatting>
  <conditionalFormatting sqref="AC2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">
    <cfRule type="expression" priority="6795" dxfId="3">
      <formula>AND(IF(OR($Q26=1,$Q26=2),1,0),IF($X26&lt;=20,1,0))</formula>
    </cfRule>
    <cfRule type="expression" priority="6796" dxfId="2">
      <formula>AND(IF($Q26=2,1,0),IF($X26&lt;30,1,0))</formula>
    </cfRule>
    <cfRule type="expression" priority="6797" dxfId="1">
      <formula>AND(IF($Q26=3,1,0),IF($X26&lt;30,1,0))</formula>
    </cfRule>
    <cfRule type="expression" priority="6798" dxfId="0">
      <formula>AND(IF($Q26=3,1,IF($Q26=4,1,0)),IF($F26&lt;=85,1,0))</formula>
    </cfRule>
  </conditionalFormatting>
  <conditionalFormatting sqref="X26">
    <cfRule type="expression" priority="6791" dxfId="3">
      <formula>AND(IF(OR($Q26=1,$Q26=2),1,0),IF($X26&lt;=20,1,0))</formula>
    </cfRule>
    <cfRule type="expression" priority="6792" dxfId="2">
      <formula>AND(IF($Q26=2,1,0),IF($X26&lt;30,1,0))</formula>
    </cfRule>
    <cfRule type="expression" priority="6793" dxfId="1">
      <formula>AND(IF($Q26=3,1,0),IF($X26&lt;30,1,0))</formula>
    </cfRule>
    <cfRule type="expression" priority="6794" dxfId="0">
      <formula>AND(IF($Q26=3,1,IF($Q26=4,1,0)),IF($F26&lt;=85,1,0))</formula>
    </cfRule>
  </conditionalFormatting>
  <conditionalFormatting sqref="AI26">
    <cfRule type="expression" priority="6787" dxfId="3">
      <formula>AND(IF(OR($Q26=1,$Q26=2),1,0),IF($X26&lt;=20,1,0))</formula>
    </cfRule>
    <cfRule type="expression" priority="6788" dxfId="2">
      <formula>AND(IF($Q26=2,1,0),IF($X26&lt;30,1,0))</formula>
    </cfRule>
    <cfRule type="expression" priority="6789" dxfId="1">
      <formula>AND(IF($Q26=3,1,0),IF($X26&lt;30,1,0))</formula>
    </cfRule>
    <cfRule type="expression" priority="6790" dxfId="0">
      <formula>AND(IF($Q26=3,1,IF($Q26=4,1,0)),IF($F26&lt;=85,1,0))</formula>
    </cfRule>
  </conditionalFormatting>
  <conditionalFormatting sqref="AV27">
    <cfRule type="expression" priority="6785" dxfId="23">
      <formula>AV27="X"</formula>
    </cfRule>
    <cfRule type="expression" priority="6786" dxfId="22">
      <formula>AV27="후보"</formula>
    </cfRule>
  </conditionalFormatting>
  <conditionalFormatting sqref="AC2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">
    <cfRule type="expression" priority="6777" dxfId="3">
      <formula>AND(IF(OR($Q27=1,$Q27=2),1,0),IF($X27&lt;=20,1,0))</formula>
    </cfRule>
    <cfRule type="expression" priority="6778" dxfId="2">
      <formula>AND(IF($Q27=2,1,0),IF($X27&lt;30,1,0))</formula>
    </cfRule>
    <cfRule type="expression" priority="6779" dxfId="1">
      <formula>AND(IF($Q27=3,1,0),IF($X27&lt;30,1,0))</formula>
    </cfRule>
    <cfRule type="expression" priority="6780" dxfId="0">
      <formula>AND(IF($Q27=3,1,IF($Q27=4,1,0)),IF($F27&lt;=85,1,0))</formula>
    </cfRule>
  </conditionalFormatting>
  <conditionalFormatting sqref="X27">
    <cfRule type="expression" priority="6773" dxfId="3">
      <formula>AND(IF(OR($Q27=1,$Q27=2),1,0),IF($X27&lt;=20,1,0))</formula>
    </cfRule>
    <cfRule type="expression" priority="6774" dxfId="2">
      <formula>AND(IF($Q27=2,1,0),IF($X27&lt;30,1,0))</formula>
    </cfRule>
    <cfRule type="expression" priority="6775" dxfId="1">
      <formula>AND(IF($Q27=3,1,0),IF($X27&lt;30,1,0))</formula>
    </cfRule>
    <cfRule type="expression" priority="6776" dxfId="0">
      <formula>AND(IF($Q27=3,1,IF($Q27=4,1,0)),IF($F27&lt;=85,1,0))</formula>
    </cfRule>
  </conditionalFormatting>
  <conditionalFormatting sqref="AI27">
    <cfRule type="expression" priority="6769" dxfId="3">
      <formula>AND(IF(OR($Q27=1,$Q27=2),1,0),IF($X27&lt;=20,1,0))</formula>
    </cfRule>
    <cfRule type="expression" priority="6770" dxfId="2">
      <formula>AND(IF($Q27=2,1,0),IF($X27&lt;30,1,0))</formula>
    </cfRule>
    <cfRule type="expression" priority="6771" dxfId="1">
      <formula>AND(IF($Q27=3,1,0),IF($X27&lt;30,1,0))</formula>
    </cfRule>
    <cfRule type="expression" priority="6772" dxfId="0">
      <formula>AND(IF($Q27=3,1,IF($Q27=4,1,0)),IF($F27&lt;=85,1,0))</formula>
    </cfRule>
  </conditionalFormatting>
  <conditionalFormatting sqref="AV28">
    <cfRule type="expression" priority="6767" dxfId="23">
      <formula>AV28="X"</formula>
    </cfRule>
    <cfRule type="expression" priority="6768" dxfId="22">
      <formula>AV28="후보"</formula>
    </cfRule>
  </conditionalFormatting>
  <conditionalFormatting sqref="AC2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8">
    <cfRule type="expression" priority="6759" dxfId="3">
      <formula>AND(IF(OR($Q28=1,$Q28=2),1,0),IF($X28&lt;=20,1,0))</formula>
    </cfRule>
    <cfRule type="expression" priority="6760" dxfId="2">
      <formula>AND(IF($Q28=2,1,0),IF($X28&lt;30,1,0))</formula>
    </cfRule>
    <cfRule type="expression" priority="6761" dxfId="1">
      <formula>AND(IF($Q28=3,1,0),IF($X28&lt;30,1,0))</formula>
    </cfRule>
    <cfRule type="expression" priority="6762" dxfId="0">
      <formula>AND(IF($Q28=3,1,IF($Q28=4,1,0)),IF($F28&lt;=85,1,0))</formula>
    </cfRule>
  </conditionalFormatting>
  <conditionalFormatting sqref="X28">
    <cfRule type="expression" priority="6755" dxfId="3">
      <formula>AND(IF(OR($Q28=1,$Q28=2),1,0),IF($X28&lt;=20,1,0))</formula>
    </cfRule>
    <cfRule type="expression" priority="6756" dxfId="2">
      <formula>AND(IF($Q28=2,1,0),IF($X28&lt;30,1,0))</formula>
    </cfRule>
    <cfRule type="expression" priority="6757" dxfId="1">
      <formula>AND(IF($Q28=3,1,0),IF($X28&lt;30,1,0))</formula>
    </cfRule>
    <cfRule type="expression" priority="6758" dxfId="0">
      <formula>AND(IF($Q28=3,1,IF($Q28=4,1,0)),IF($F28&lt;=85,1,0))</formula>
    </cfRule>
  </conditionalFormatting>
  <conditionalFormatting sqref="AI28">
    <cfRule type="expression" priority="6751" dxfId="3">
      <formula>AND(IF(OR($Q28=1,$Q28=2),1,0),IF($X28&lt;=20,1,0))</formula>
    </cfRule>
    <cfRule type="expression" priority="6752" dxfId="2">
      <formula>AND(IF($Q28=2,1,0),IF($X28&lt;30,1,0))</formula>
    </cfRule>
    <cfRule type="expression" priority="6753" dxfId="1">
      <formula>AND(IF($Q28=3,1,0),IF($X28&lt;30,1,0))</formula>
    </cfRule>
    <cfRule type="expression" priority="6754" dxfId="0">
      <formula>AND(IF($Q28=3,1,IF($Q28=4,1,0)),IF($F28&lt;=85,1,0))</formula>
    </cfRule>
  </conditionalFormatting>
  <conditionalFormatting sqref="AV29">
    <cfRule type="expression" priority="6749" dxfId="23">
      <formula>AV29="X"</formula>
    </cfRule>
    <cfRule type="expression" priority="6750" dxfId="22">
      <formula>AV29="후보"</formula>
    </cfRule>
  </conditionalFormatting>
  <conditionalFormatting sqref="AC2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9">
    <cfRule type="expression" priority="6741" dxfId="3">
      <formula>AND(IF(OR($Q29=1,$Q29=2),1,0),IF($X29&lt;=20,1,0))</formula>
    </cfRule>
    <cfRule type="expression" priority="6742" dxfId="2">
      <formula>AND(IF($Q29=2,1,0),IF($X29&lt;30,1,0))</formula>
    </cfRule>
    <cfRule type="expression" priority="6743" dxfId="1">
      <formula>AND(IF($Q29=3,1,0),IF($X29&lt;30,1,0))</formula>
    </cfRule>
    <cfRule type="expression" priority="6744" dxfId="0">
      <formula>AND(IF($Q29=3,1,IF($Q29=4,1,0)),IF($F29&lt;=85,1,0))</formula>
    </cfRule>
  </conditionalFormatting>
  <conditionalFormatting sqref="X29">
    <cfRule type="expression" priority="6737" dxfId="3">
      <formula>AND(IF(OR($Q29=1,$Q29=2),1,0),IF($X29&lt;=20,1,0))</formula>
    </cfRule>
    <cfRule type="expression" priority="6738" dxfId="2">
      <formula>AND(IF($Q29=2,1,0),IF($X29&lt;30,1,0))</formula>
    </cfRule>
    <cfRule type="expression" priority="6739" dxfId="1">
      <formula>AND(IF($Q29=3,1,0),IF($X29&lt;30,1,0))</formula>
    </cfRule>
    <cfRule type="expression" priority="6740" dxfId="0">
      <formula>AND(IF($Q29=3,1,IF($Q29=4,1,0)),IF($F29&lt;=85,1,0))</formula>
    </cfRule>
  </conditionalFormatting>
  <conditionalFormatting sqref="AI29">
    <cfRule type="expression" priority="6733" dxfId="3">
      <formula>AND(IF(OR($Q29=1,$Q29=2),1,0),IF($X29&lt;=20,1,0))</formula>
    </cfRule>
    <cfRule type="expression" priority="6734" dxfId="2">
      <formula>AND(IF($Q29=2,1,0),IF($X29&lt;30,1,0))</formula>
    </cfRule>
    <cfRule type="expression" priority="6735" dxfId="1">
      <formula>AND(IF($Q29=3,1,0),IF($X29&lt;30,1,0))</formula>
    </cfRule>
    <cfRule type="expression" priority="6736" dxfId="0">
      <formula>AND(IF($Q29=3,1,IF($Q29=4,1,0)),IF($F29&lt;=85,1,0))</formula>
    </cfRule>
  </conditionalFormatting>
  <conditionalFormatting sqref="AV30">
    <cfRule type="expression" priority="6731" dxfId="23">
      <formula>AV30="X"</formula>
    </cfRule>
    <cfRule type="expression" priority="6732" dxfId="22">
      <formula>AV30="후보"</formula>
    </cfRule>
  </conditionalFormatting>
  <conditionalFormatting sqref="AC3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0">
    <cfRule type="expression" priority="6723" dxfId="3">
      <formula>AND(IF(OR($Q30=1,$Q30=2),1,0),IF($X30&lt;=20,1,0))</formula>
    </cfRule>
    <cfRule type="expression" priority="6724" dxfId="2">
      <formula>AND(IF($Q30=2,1,0),IF($X30&lt;30,1,0))</formula>
    </cfRule>
    <cfRule type="expression" priority="6725" dxfId="1">
      <formula>AND(IF($Q30=3,1,0),IF($X30&lt;30,1,0))</formula>
    </cfRule>
    <cfRule type="expression" priority="6726" dxfId="0">
      <formula>AND(IF($Q30=3,1,IF($Q30=4,1,0)),IF($F30&lt;=85,1,0))</formula>
    </cfRule>
  </conditionalFormatting>
  <conditionalFormatting sqref="X30">
    <cfRule type="expression" priority="6719" dxfId="3">
      <formula>AND(IF(OR($Q30=1,$Q30=2),1,0),IF($X30&lt;=20,1,0))</formula>
    </cfRule>
    <cfRule type="expression" priority="6720" dxfId="2">
      <formula>AND(IF($Q30=2,1,0),IF($X30&lt;30,1,0))</formula>
    </cfRule>
    <cfRule type="expression" priority="6721" dxfId="1">
      <formula>AND(IF($Q30=3,1,0),IF($X30&lt;30,1,0))</formula>
    </cfRule>
    <cfRule type="expression" priority="6722" dxfId="0">
      <formula>AND(IF($Q30=3,1,IF($Q30=4,1,0)),IF($F30&lt;=85,1,0))</formula>
    </cfRule>
  </conditionalFormatting>
  <conditionalFormatting sqref="AI30">
    <cfRule type="expression" priority="6715" dxfId="3">
      <formula>AND(IF(OR($Q30=1,$Q30=2),1,0),IF($X30&lt;=20,1,0))</formula>
    </cfRule>
    <cfRule type="expression" priority="6716" dxfId="2">
      <formula>AND(IF($Q30=2,1,0),IF($X30&lt;30,1,0))</formula>
    </cfRule>
    <cfRule type="expression" priority="6717" dxfId="1">
      <formula>AND(IF($Q30=3,1,0),IF($X30&lt;30,1,0))</formula>
    </cfRule>
    <cfRule type="expression" priority="6718" dxfId="0">
      <formula>AND(IF($Q30=3,1,IF($Q30=4,1,0)),IF($F30&lt;=85,1,0))</formula>
    </cfRule>
  </conditionalFormatting>
  <conditionalFormatting sqref="AV31">
    <cfRule type="expression" priority="6713" dxfId="23">
      <formula>AV31="X"</formula>
    </cfRule>
    <cfRule type="expression" priority="6714" dxfId="22">
      <formula>AV31="후보"</formula>
    </cfRule>
  </conditionalFormatting>
  <conditionalFormatting sqref="AC3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1">
    <cfRule type="expression" priority="6705" dxfId="3">
      <formula>AND(IF(OR($Q31=1,$Q31=2),1,0),IF($X31&lt;=20,1,0))</formula>
    </cfRule>
    <cfRule type="expression" priority="6706" dxfId="2">
      <formula>AND(IF($Q31=2,1,0),IF($X31&lt;30,1,0))</formula>
    </cfRule>
    <cfRule type="expression" priority="6707" dxfId="1">
      <formula>AND(IF($Q31=3,1,0),IF($X31&lt;30,1,0))</formula>
    </cfRule>
    <cfRule type="expression" priority="6708" dxfId="0">
      <formula>AND(IF($Q31=3,1,IF($Q31=4,1,0)),IF($F31&lt;=85,1,0))</formula>
    </cfRule>
  </conditionalFormatting>
  <conditionalFormatting sqref="X31">
    <cfRule type="expression" priority="6701" dxfId="3">
      <formula>AND(IF(OR($Q31=1,$Q31=2),1,0),IF($X31&lt;=20,1,0))</formula>
    </cfRule>
    <cfRule type="expression" priority="6702" dxfId="2">
      <formula>AND(IF($Q31=2,1,0),IF($X31&lt;30,1,0))</formula>
    </cfRule>
    <cfRule type="expression" priority="6703" dxfId="1">
      <formula>AND(IF($Q31=3,1,0),IF($X31&lt;30,1,0))</formula>
    </cfRule>
    <cfRule type="expression" priority="6704" dxfId="0">
      <formula>AND(IF($Q31=3,1,IF($Q31=4,1,0)),IF($F31&lt;=85,1,0))</formula>
    </cfRule>
  </conditionalFormatting>
  <conditionalFormatting sqref="AI31">
    <cfRule type="expression" priority="6697" dxfId="3">
      <formula>AND(IF(OR($Q31=1,$Q31=2),1,0),IF($X31&lt;=20,1,0))</formula>
    </cfRule>
    <cfRule type="expression" priority="6698" dxfId="2">
      <formula>AND(IF($Q31=2,1,0),IF($X31&lt;30,1,0))</formula>
    </cfRule>
    <cfRule type="expression" priority="6699" dxfId="1">
      <formula>AND(IF($Q31=3,1,0),IF($X31&lt;30,1,0))</formula>
    </cfRule>
    <cfRule type="expression" priority="6700" dxfId="0">
      <formula>AND(IF($Q31=3,1,IF($Q31=4,1,0)),IF($F31&lt;=85,1,0))</formula>
    </cfRule>
  </conditionalFormatting>
  <conditionalFormatting sqref="AV32">
    <cfRule type="expression" priority="6695" dxfId="23">
      <formula>AV32="X"</formula>
    </cfRule>
    <cfRule type="expression" priority="6696" dxfId="22">
      <formula>AV32="후보"</formula>
    </cfRule>
  </conditionalFormatting>
  <conditionalFormatting sqref="AC3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2">
    <cfRule type="expression" priority="6687" dxfId="3">
      <formula>AND(IF(OR($Q32=1,$Q32=2),1,0),IF($X32&lt;=20,1,0))</formula>
    </cfRule>
    <cfRule type="expression" priority="6688" dxfId="2">
      <formula>AND(IF($Q32=2,1,0),IF($X32&lt;30,1,0))</formula>
    </cfRule>
    <cfRule type="expression" priority="6689" dxfId="1">
      <formula>AND(IF($Q32=3,1,0),IF($X32&lt;30,1,0))</formula>
    </cfRule>
    <cfRule type="expression" priority="6690" dxfId="0">
      <formula>AND(IF($Q32=3,1,IF($Q32=4,1,0)),IF($F32&lt;=85,1,0))</formula>
    </cfRule>
  </conditionalFormatting>
  <conditionalFormatting sqref="X32">
    <cfRule type="expression" priority="6683" dxfId="3">
      <formula>AND(IF(OR($Q32=1,$Q32=2),1,0),IF($X32&lt;=20,1,0))</formula>
    </cfRule>
    <cfRule type="expression" priority="6684" dxfId="2">
      <formula>AND(IF($Q32=2,1,0),IF($X32&lt;30,1,0))</formula>
    </cfRule>
    <cfRule type="expression" priority="6685" dxfId="1">
      <formula>AND(IF($Q32=3,1,0),IF($X32&lt;30,1,0))</formula>
    </cfRule>
    <cfRule type="expression" priority="6686" dxfId="0">
      <formula>AND(IF($Q32=3,1,IF($Q32=4,1,0)),IF($F32&lt;=85,1,0))</formula>
    </cfRule>
  </conditionalFormatting>
  <conditionalFormatting sqref="AI32">
    <cfRule type="expression" priority="6679" dxfId="3">
      <formula>AND(IF(OR($Q32=1,$Q32=2),1,0),IF($X32&lt;=20,1,0))</formula>
    </cfRule>
    <cfRule type="expression" priority="6680" dxfId="2">
      <formula>AND(IF($Q32=2,1,0),IF($X32&lt;30,1,0))</formula>
    </cfRule>
    <cfRule type="expression" priority="6681" dxfId="1">
      <formula>AND(IF($Q32=3,1,0),IF($X32&lt;30,1,0))</formula>
    </cfRule>
    <cfRule type="expression" priority="6682" dxfId="0">
      <formula>AND(IF($Q32=3,1,IF($Q32=4,1,0)),IF($F32&lt;=85,1,0))</formula>
    </cfRule>
  </conditionalFormatting>
  <conditionalFormatting sqref="AV33">
    <cfRule type="expression" priority="6677" dxfId="23">
      <formula>AV33="X"</formula>
    </cfRule>
    <cfRule type="expression" priority="6678" dxfId="22">
      <formula>AV33="후보"</formula>
    </cfRule>
  </conditionalFormatting>
  <conditionalFormatting sqref="AC3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3">
    <cfRule type="expression" priority="6669" dxfId="3">
      <formula>AND(IF(OR($Q33=1,$Q33=2),1,0),IF($X33&lt;=20,1,0))</formula>
    </cfRule>
    <cfRule type="expression" priority="6670" dxfId="2">
      <formula>AND(IF($Q33=2,1,0),IF($X33&lt;30,1,0))</formula>
    </cfRule>
    <cfRule type="expression" priority="6671" dxfId="1">
      <formula>AND(IF($Q33=3,1,0),IF($X33&lt;30,1,0))</formula>
    </cfRule>
    <cfRule type="expression" priority="6672" dxfId="0">
      <formula>AND(IF($Q33=3,1,IF($Q33=4,1,0)),IF($F33&lt;=85,1,0))</formula>
    </cfRule>
  </conditionalFormatting>
  <conditionalFormatting sqref="X33">
    <cfRule type="expression" priority="6665" dxfId="3">
      <formula>AND(IF(OR($Q33=1,$Q33=2),1,0),IF($X33&lt;=20,1,0))</formula>
    </cfRule>
    <cfRule type="expression" priority="6666" dxfId="2">
      <formula>AND(IF($Q33=2,1,0),IF($X33&lt;30,1,0))</formula>
    </cfRule>
    <cfRule type="expression" priority="6667" dxfId="1">
      <formula>AND(IF($Q33=3,1,0),IF($X33&lt;30,1,0))</formula>
    </cfRule>
    <cfRule type="expression" priority="6668" dxfId="0">
      <formula>AND(IF($Q33=3,1,IF($Q33=4,1,0)),IF($F33&lt;=85,1,0))</formula>
    </cfRule>
  </conditionalFormatting>
  <conditionalFormatting sqref="AI33">
    <cfRule type="expression" priority="6661" dxfId="3">
      <formula>AND(IF(OR($Q33=1,$Q33=2),1,0),IF($X33&lt;=20,1,0))</formula>
    </cfRule>
    <cfRule type="expression" priority="6662" dxfId="2">
      <formula>AND(IF($Q33=2,1,0),IF($X33&lt;30,1,0))</formula>
    </cfRule>
    <cfRule type="expression" priority="6663" dxfId="1">
      <formula>AND(IF($Q33=3,1,0),IF($X33&lt;30,1,0))</formula>
    </cfRule>
    <cfRule type="expression" priority="6664" dxfId="0">
      <formula>AND(IF($Q33=3,1,IF($Q33=4,1,0)),IF($F33&lt;=85,1,0))</formula>
    </cfRule>
  </conditionalFormatting>
  <conditionalFormatting sqref="AV34">
    <cfRule type="expression" priority="6659" dxfId="23">
      <formula>AV34="X"</formula>
    </cfRule>
    <cfRule type="expression" priority="6660" dxfId="22">
      <formula>AV34="후보"</formula>
    </cfRule>
  </conditionalFormatting>
  <conditionalFormatting sqref="AC3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4">
    <cfRule type="expression" priority="6651" dxfId="3">
      <formula>AND(IF(OR($Q34=1,$Q34=2),1,0),IF($X34&lt;=20,1,0))</formula>
    </cfRule>
    <cfRule type="expression" priority="6652" dxfId="2">
      <formula>AND(IF($Q34=2,1,0),IF($X34&lt;30,1,0))</formula>
    </cfRule>
    <cfRule type="expression" priority="6653" dxfId="1">
      <formula>AND(IF($Q34=3,1,0),IF($X34&lt;30,1,0))</formula>
    </cfRule>
    <cfRule type="expression" priority="6654" dxfId="0">
      <formula>AND(IF($Q34=3,1,IF($Q34=4,1,0)),IF($F34&lt;=85,1,0))</formula>
    </cfRule>
  </conditionalFormatting>
  <conditionalFormatting sqref="X34">
    <cfRule type="expression" priority="6647" dxfId="3">
      <formula>AND(IF(OR($Q34=1,$Q34=2),1,0),IF($X34&lt;=20,1,0))</formula>
    </cfRule>
    <cfRule type="expression" priority="6648" dxfId="2">
      <formula>AND(IF($Q34=2,1,0),IF($X34&lt;30,1,0))</formula>
    </cfRule>
    <cfRule type="expression" priority="6649" dxfId="1">
      <formula>AND(IF($Q34=3,1,0),IF($X34&lt;30,1,0))</formula>
    </cfRule>
    <cfRule type="expression" priority="6650" dxfId="0">
      <formula>AND(IF($Q34=3,1,IF($Q34=4,1,0)),IF($F34&lt;=85,1,0))</formula>
    </cfRule>
  </conditionalFormatting>
  <conditionalFormatting sqref="AI34">
    <cfRule type="expression" priority="6643" dxfId="3">
      <formula>AND(IF(OR($Q34=1,$Q34=2),1,0),IF($X34&lt;=20,1,0))</formula>
    </cfRule>
    <cfRule type="expression" priority="6644" dxfId="2">
      <formula>AND(IF($Q34=2,1,0),IF($X34&lt;30,1,0))</formula>
    </cfRule>
    <cfRule type="expression" priority="6645" dxfId="1">
      <formula>AND(IF($Q34=3,1,0),IF($X34&lt;30,1,0))</formula>
    </cfRule>
    <cfRule type="expression" priority="6646" dxfId="0">
      <formula>AND(IF($Q34=3,1,IF($Q34=4,1,0)),IF($F34&lt;=85,1,0))</formula>
    </cfRule>
  </conditionalFormatting>
  <conditionalFormatting sqref="AV35">
    <cfRule type="expression" priority="6641" dxfId="23">
      <formula>AV35="X"</formula>
    </cfRule>
    <cfRule type="expression" priority="6642" dxfId="22">
      <formula>AV35="후보"</formula>
    </cfRule>
  </conditionalFormatting>
  <conditionalFormatting sqref="AC3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">
    <cfRule type="expression" priority="6633" dxfId="3">
      <formula>AND(IF(OR($Q35=1,$Q35=2),1,0),IF($X35&lt;=20,1,0))</formula>
    </cfRule>
    <cfRule type="expression" priority="6634" dxfId="2">
      <formula>AND(IF($Q35=2,1,0),IF($X35&lt;30,1,0))</formula>
    </cfRule>
    <cfRule type="expression" priority="6635" dxfId="1">
      <formula>AND(IF($Q35=3,1,0),IF($X35&lt;30,1,0))</formula>
    </cfRule>
    <cfRule type="expression" priority="6636" dxfId="0">
      <formula>AND(IF($Q35=3,1,IF($Q35=4,1,0)),IF($F35&lt;=85,1,0))</formula>
    </cfRule>
  </conditionalFormatting>
  <conditionalFormatting sqref="X35">
    <cfRule type="expression" priority="6629" dxfId="3">
      <formula>AND(IF(OR($Q35=1,$Q35=2),1,0),IF($X35&lt;=20,1,0))</formula>
    </cfRule>
    <cfRule type="expression" priority="6630" dxfId="2">
      <formula>AND(IF($Q35=2,1,0),IF($X35&lt;30,1,0))</formula>
    </cfRule>
    <cfRule type="expression" priority="6631" dxfId="1">
      <formula>AND(IF($Q35=3,1,0),IF($X35&lt;30,1,0))</formula>
    </cfRule>
    <cfRule type="expression" priority="6632" dxfId="0">
      <formula>AND(IF($Q35=3,1,IF($Q35=4,1,0)),IF($F35&lt;=85,1,0))</formula>
    </cfRule>
  </conditionalFormatting>
  <conditionalFormatting sqref="AI35">
    <cfRule type="expression" priority="6625" dxfId="3">
      <formula>AND(IF(OR($Q35=1,$Q35=2),1,0),IF($X35&lt;=20,1,0))</formula>
    </cfRule>
    <cfRule type="expression" priority="6626" dxfId="2">
      <formula>AND(IF($Q35=2,1,0),IF($X35&lt;30,1,0))</formula>
    </cfRule>
    <cfRule type="expression" priority="6627" dxfId="1">
      <formula>AND(IF($Q35=3,1,0),IF($X35&lt;30,1,0))</formula>
    </cfRule>
    <cfRule type="expression" priority="6628" dxfId="0">
      <formula>AND(IF($Q35=3,1,IF($Q35=4,1,0)),IF($F35&lt;=85,1,0))</formula>
    </cfRule>
  </conditionalFormatting>
  <conditionalFormatting sqref="AV36">
    <cfRule type="expression" priority="6623" dxfId="23">
      <formula>AV36="X"</formula>
    </cfRule>
    <cfRule type="expression" priority="6624" dxfId="22">
      <formula>AV36="후보"</formula>
    </cfRule>
  </conditionalFormatting>
  <conditionalFormatting sqref="AC3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">
    <cfRule type="expression" priority="6615" dxfId="3">
      <formula>AND(IF(OR($Q36=1,$Q36=2),1,0),IF($X36&lt;=20,1,0))</formula>
    </cfRule>
    <cfRule type="expression" priority="6616" dxfId="2">
      <formula>AND(IF($Q36=2,1,0),IF($X36&lt;30,1,0))</formula>
    </cfRule>
    <cfRule type="expression" priority="6617" dxfId="1">
      <formula>AND(IF($Q36=3,1,0),IF($X36&lt;30,1,0))</formula>
    </cfRule>
    <cfRule type="expression" priority="6618" dxfId="0">
      <formula>AND(IF($Q36=3,1,IF($Q36=4,1,0)),IF($F36&lt;=85,1,0))</formula>
    </cfRule>
  </conditionalFormatting>
  <conditionalFormatting sqref="X36">
    <cfRule type="expression" priority="6611" dxfId="3">
      <formula>AND(IF(OR($Q36=1,$Q36=2),1,0),IF($X36&lt;=20,1,0))</formula>
    </cfRule>
    <cfRule type="expression" priority="6612" dxfId="2">
      <formula>AND(IF($Q36=2,1,0),IF($X36&lt;30,1,0))</formula>
    </cfRule>
    <cfRule type="expression" priority="6613" dxfId="1">
      <formula>AND(IF($Q36=3,1,0),IF($X36&lt;30,1,0))</formula>
    </cfRule>
    <cfRule type="expression" priority="6614" dxfId="0">
      <formula>AND(IF($Q36=3,1,IF($Q36=4,1,0)),IF($F36&lt;=85,1,0))</formula>
    </cfRule>
  </conditionalFormatting>
  <conditionalFormatting sqref="AI36">
    <cfRule type="expression" priority="6607" dxfId="3">
      <formula>AND(IF(OR($Q36=1,$Q36=2),1,0),IF($X36&lt;=20,1,0))</formula>
    </cfRule>
    <cfRule type="expression" priority="6608" dxfId="2">
      <formula>AND(IF($Q36=2,1,0),IF($X36&lt;30,1,0))</formula>
    </cfRule>
    <cfRule type="expression" priority="6609" dxfId="1">
      <formula>AND(IF($Q36=3,1,0),IF($X36&lt;30,1,0))</formula>
    </cfRule>
    <cfRule type="expression" priority="6610" dxfId="0">
      <formula>AND(IF($Q36=3,1,IF($Q36=4,1,0)),IF($F36&lt;=85,1,0))</formula>
    </cfRule>
  </conditionalFormatting>
  <conditionalFormatting sqref="AV37">
    <cfRule type="expression" priority="6605" dxfId="23">
      <formula>AV37="X"</formula>
    </cfRule>
    <cfRule type="expression" priority="6606" dxfId="22">
      <formula>AV37="후보"</formula>
    </cfRule>
  </conditionalFormatting>
  <conditionalFormatting sqref="AC3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">
    <cfRule type="expression" priority="6597" dxfId="3">
      <formula>AND(IF(OR($Q37=1,$Q37=2),1,0),IF($X37&lt;=20,1,0))</formula>
    </cfRule>
    <cfRule type="expression" priority="6598" dxfId="2">
      <formula>AND(IF($Q37=2,1,0),IF($X37&lt;30,1,0))</formula>
    </cfRule>
    <cfRule type="expression" priority="6599" dxfId="1">
      <formula>AND(IF($Q37=3,1,0),IF($X37&lt;30,1,0))</formula>
    </cfRule>
    <cfRule type="expression" priority="6600" dxfId="0">
      <formula>AND(IF($Q37=3,1,IF($Q37=4,1,0)),IF($F37&lt;=85,1,0))</formula>
    </cfRule>
  </conditionalFormatting>
  <conditionalFormatting sqref="X37">
    <cfRule type="expression" priority="6593" dxfId="3">
      <formula>AND(IF(OR($Q37=1,$Q37=2),1,0),IF($X37&lt;=20,1,0))</formula>
    </cfRule>
    <cfRule type="expression" priority="6594" dxfId="2">
      <formula>AND(IF($Q37=2,1,0),IF($X37&lt;30,1,0))</formula>
    </cfRule>
    <cfRule type="expression" priority="6595" dxfId="1">
      <formula>AND(IF($Q37=3,1,0),IF($X37&lt;30,1,0))</formula>
    </cfRule>
    <cfRule type="expression" priority="6596" dxfId="0">
      <formula>AND(IF($Q37=3,1,IF($Q37=4,1,0)),IF($F37&lt;=85,1,0))</formula>
    </cfRule>
  </conditionalFormatting>
  <conditionalFormatting sqref="AI37">
    <cfRule type="expression" priority="6589" dxfId="3">
      <formula>AND(IF(OR($Q37=1,$Q37=2),1,0),IF($X37&lt;=20,1,0))</formula>
    </cfRule>
    <cfRule type="expression" priority="6590" dxfId="2">
      <formula>AND(IF($Q37=2,1,0),IF($X37&lt;30,1,0))</formula>
    </cfRule>
    <cfRule type="expression" priority="6591" dxfId="1">
      <formula>AND(IF($Q37=3,1,0),IF($X37&lt;30,1,0))</formula>
    </cfRule>
    <cfRule type="expression" priority="6592" dxfId="0">
      <formula>AND(IF($Q37=3,1,IF($Q37=4,1,0)),IF($F37&lt;=85,1,0))</formula>
    </cfRule>
  </conditionalFormatting>
  <conditionalFormatting sqref="AV38">
    <cfRule type="expression" priority="6587" dxfId="23">
      <formula>AV38="X"</formula>
    </cfRule>
    <cfRule type="expression" priority="6588" dxfId="22">
      <formula>AV38="후보"</formula>
    </cfRule>
  </conditionalFormatting>
  <conditionalFormatting sqref="AC3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8">
    <cfRule type="expression" priority="6579" dxfId="3">
      <formula>AND(IF(OR($Q38=1,$Q38=2),1,0),IF($X38&lt;=20,1,0))</formula>
    </cfRule>
    <cfRule type="expression" priority="6580" dxfId="2">
      <formula>AND(IF($Q38=2,1,0),IF($X38&lt;30,1,0))</formula>
    </cfRule>
    <cfRule type="expression" priority="6581" dxfId="1">
      <formula>AND(IF($Q38=3,1,0),IF($X38&lt;30,1,0))</formula>
    </cfRule>
    <cfRule type="expression" priority="6582" dxfId="0">
      <formula>AND(IF($Q38=3,1,IF($Q38=4,1,0)),IF($F38&lt;=85,1,0))</formula>
    </cfRule>
  </conditionalFormatting>
  <conditionalFormatting sqref="X38">
    <cfRule type="expression" priority="6575" dxfId="3">
      <formula>AND(IF(OR($Q38=1,$Q38=2),1,0),IF($X38&lt;=20,1,0))</formula>
    </cfRule>
    <cfRule type="expression" priority="6576" dxfId="2">
      <formula>AND(IF($Q38=2,1,0),IF($X38&lt;30,1,0))</formula>
    </cfRule>
    <cfRule type="expression" priority="6577" dxfId="1">
      <formula>AND(IF($Q38=3,1,0),IF($X38&lt;30,1,0))</formula>
    </cfRule>
    <cfRule type="expression" priority="6578" dxfId="0">
      <formula>AND(IF($Q38=3,1,IF($Q38=4,1,0)),IF($F38&lt;=85,1,0))</formula>
    </cfRule>
  </conditionalFormatting>
  <conditionalFormatting sqref="AI38">
    <cfRule type="expression" priority="6571" dxfId="3">
      <formula>AND(IF(OR($Q38=1,$Q38=2),1,0),IF($X38&lt;=20,1,0))</formula>
    </cfRule>
    <cfRule type="expression" priority="6572" dxfId="2">
      <formula>AND(IF($Q38=2,1,0),IF($X38&lt;30,1,0))</formula>
    </cfRule>
    <cfRule type="expression" priority="6573" dxfId="1">
      <formula>AND(IF($Q38=3,1,0),IF($X38&lt;30,1,0))</formula>
    </cfRule>
    <cfRule type="expression" priority="6574" dxfId="0">
      <formula>AND(IF($Q38=3,1,IF($Q38=4,1,0)),IF($F38&lt;=85,1,0))</formula>
    </cfRule>
  </conditionalFormatting>
  <conditionalFormatting sqref="AV39">
    <cfRule type="expression" priority="6569" dxfId="23">
      <formula>AV39="X"</formula>
    </cfRule>
    <cfRule type="expression" priority="6570" dxfId="22">
      <formula>AV39="후보"</formula>
    </cfRule>
  </conditionalFormatting>
  <conditionalFormatting sqref="AC3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9">
    <cfRule type="expression" priority="6561" dxfId="3">
      <formula>AND(IF(OR($Q39=1,$Q39=2),1,0),IF($X39&lt;=20,1,0))</formula>
    </cfRule>
    <cfRule type="expression" priority="6562" dxfId="2">
      <formula>AND(IF($Q39=2,1,0),IF($X39&lt;30,1,0))</formula>
    </cfRule>
    <cfRule type="expression" priority="6563" dxfId="1">
      <formula>AND(IF($Q39=3,1,0),IF($X39&lt;30,1,0))</formula>
    </cfRule>
    <cfRule type="expression" priority="6564" dxfId="0">
      <formula>AND(IF($Q39=3,1,IF($Q39=4,1,0)),IF($F39&lt;=85,1,0))</formula>
    </cfRule>
  </conditionalFormatting>
  <conditionalFormatting sqref="X39">
    <cfRule type="expression" priority="6557" dxfId="3">
      <formula>AND(IF(OR($Q39=1,$Q39=2),1,0),IF($X39&lt;=20,1,0))</formula>
    </cfRule>
    <cfRule type="expression" priority="6558" dxfId="2">
      <formula>AND(IF($Q39=2,1,0),IF($X39&lt;30,1,0))</formula>
    </cfRule>
    <cfRule type="expression" priority="6559" dxfId="1">
      <formula>AND(IF($Q39=3,1,0),IF($X39&lt;30,1,0))</formula>
    </cfRule>
    <cfRule type="expression" priority="6560" dxfId="0">
      <formula>AND(IF($Q39=3,1,IF($Q39=4,1,0)),IF($F39&lt;=85,1,0))</formula>
    </cfRule>
  </conditionalFormatting>
  <conditionalFormatting sqref="AI39">
    <cfRule type="expression" priority="6553" dxfId="3">
      <formula>AND(IF(OR($Q39=1,$Q39=2),1,0),IF($X39&lt;=20,1,0))</formula>
    </cfRule>
    <cfRule type="expression" priority="6554" dxfId="2">
      <formula>AND(IF($Q39=2,1,0),IF($X39&lt;30,1,0))</formula>
    </cfRule>
    <cfRule type="expression" priority="6555" dxfId="1">
      <formula>AND(IF($Q39=3,1,0),IF($X39&lt;30,1,0))</formula>
    </cfRule>
    <cfRule type="expression" priority="6556" dxfId="0">
      <formula>AND(IF($Q39=3,1,IF($Q39=4,1,0)),IF($F39&lt;=85,1,0))</formula>
    </cfRule>
  </conditionalFormatting>
  <conditionalFormatting sqref="AV40">
    <cfRule type="expression" priority="6551" dxfId="23">
      <formula>AV40="X"</formula>
    </cfRule>
    <cfRule type="expression" priority="6552" dxfId="22">
      <formula>AV40="후보"</formula>
    </cfRule>
  </conditionalFormatting>
  <conditionalFormatting sqref="AC4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0">
    <cfRule type="expression" priority="6543" dxfId="3">
      <formula>AND(IF(OR($Q40=1,$Q40=2),1,0),IF($X40&lt;=20,1,0))</formula>
    </cfRule>
    <cfRule type="expression" priority="6544" dxfId="2">
      <formula>AND(IF($Q40=2,1,0),IF($X40&lt;30,1,0))</formula>
    </cfRule>
    <cfRule type="expression" priority="6545" dxfId="1">
      <formula>AND(IF($Q40=3,1,0),IF($X40&lt;30,1,0))</formula>
    </cfRule>
    <cfRule type="expression" priority="6546" dxfId="0">
      <formula>AND(IF($Q40=3,1,IF($Q40=4,1,0)),IF($F40&lt;=85,1,0))</formula>
    </cfRule>
  </conditionalFormatting>
  <conditionalFormatting sqref="X40">
    <cfRule type="expression" priority="6539" dxfId="3">
      <formula>AND(IF(OR($Q40=1,$Q40=2),1,0),IF($X40&lt;=20,1,0))</formula>
    </cfRule>
    <cfRule type="expression" priority="6540" dxfId="2">
      <formula>AND(IF($Q40=2,1,0),IF($X40&lt;30,1,0))</formula>
    </cfRule>
    <cfRule type="expression" priority="6541" dxfId="1">
      <formula>AND(IF($Q40=3,1,0),IF($X40&lt;30,1,0))</formula>
    </cfRule>
    <cfRule type="expression" priority="6542" dxfId="0">
      <formula>AND(IF($Q40=3,1,IF($Q40=4,1,0)),IF($F40&lt;=85,1,0))</formula>
    </cfRule>
  </conditionalFormatting>
  <conditionalFormatting sqref="AI40">
    <cfRule type="expression" priority="6535" dxfId="3">
      <formula>AND(IF(OR($Q40=1,$Q40=2),1,0),IF($X40&lt;=20,1,0))</formula>
    </cfRule>
    <cfRule type="expression" priority="6536" dxfId="2">
      <formula>AND(IF($Q40=2,1,0),IF($X40&lt;30,1,0))</formula>
    </cfRule>
    <cfRule type="expression" priority="6537" dxfId="1">
      <formula>AND(IF($Q40=3,1,0),IF($X40&lt;30,1,0))</formula>
    </cfRule>
    <cfRule type="expression" priority="6538" dxfId="0">
      <formula>AND(IF($Q40=3,1,IF($Q40=4,1,0)),IF($F40&lt;=85,1,0))</formula>
    </cfRule>
  </conditionalFormatting>
  <conditionalFormatting sqref="AV41">
    <cfRule type="expression" priority="6533" dxfId="23">
      <formula>AV41="X"</formula>
    </cfRule>
    <cfRule type="expression" priority="6534" dxfId="22">
      <formula>AV41="후보"</formula>
    </cfRule>
  </conditionalFormatting>
  <conditionalFormatting sqref="AC4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1">
    <cfRule type="expression" priority="6525" dxfId="3">
      <formula>AND(IF(OR($Q41=1,$Q41=2),1,0),IF($X41&lt;=20,1,0))</formula>
    </cfRule>
    <cfRule type="expression" priority="6526" dxfId="2">
      <formula>AND(IF($Q41=2,1,0),IF($X41&lt;30,1,0))</formula>
    </cfRule>
    <cfRule type="expression" priority="6527" dxfId="1">
      <formula>AND(IF($Q41=3,1,0),IF($X41&lt;30,1,0))</formula>
    </cfRule>
    <cfRule type="expression" priority="6528" dxfId="0">
      <formula>AND(IF($Q41=3,1,IF($Q41=4,1,0)),IF($F41&lt;=85,1,0))</formula>
    </cfRule>
  </conditionalFormatting>
  <conditionalFormatting sqref="X41">
    <cfRule type="expression" priority="6521" dxfId="3">
      <formula>AND(IF(OR($Q41=1,$Q41=2),1,0),IF($X41&lt;=20,1,0))</formula>
    </cfRule>
    <cfRule type="expression" priority="6522" dxfId="2">
      <formula>AND(IF($Q41=2,1,0),IF($X41&lt;30,1,0))</formula>
    </cfRule>
    <cfRule type="expression" priority="6523" dxfId="1">
      <formula>AND(IF($Q41=3,1,0),IF($X41&lt;30,1,0))</formula>
    </cfRule>
    <cfRule type="expression" priority="6524" dxfId="0">
      <formula>AND(IF($Q41=3,1,IF($Q41=4,1,0)),IF($F41&lt;=85,1,0))</formula>
    </cfRule>
  </conditionalFormatting>
  <conditionalFormatting sqref="AI41">
    <cfRule type="expression" priority="6517" dxfId="3">
      <formula>AND(IF(OR($Q41=1,$Q41=2),1,0),IF($X41&lt;=20,1,0))</formula>
    </cfRule>
    <cfRule type="expression" priority="6518" dxfId="2">
      <formula>AND(IF($Q41=2,1,0),IF($X41&lt;30,1,0))</formula>
    </cfRule>
    <cfRule type="expression" priority="6519" dxfId="1">
      <formula>AND(IF($Q41=3,1,0),IF($X41&lt;30,1,0))</formula>
    </cfRule>
    <cfRule type="expression" priority="6520" dxfId="0">
      <formula>AND(IF($Q41=3,1,IF($Q41=4,1,0)),IF($F41&lt;=85,1,0))</formula>
    </cfRule>
  </conditionalFormatting>
  <conditionalFormatting sqref="AV42">
    <cfRule type="expression" priority="6515" dxfId="23">
      <formula>AV42="X"</formula>
    </cfRule>
    <cfRule type="expression" priority="6516" dxfId="22">
      <formula>AV42="후보"</formula>
    </cfRule>
  </conditionalFormatting>
  <conditionalFormatting sqref="AC4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2">
    <cfRule type="expression" priority="6507" dxfId="3">
      <formula>AND(IF(OR($Q42=1,$Q42=2),1,0),IF($X42&lt;=20,1,0))</formula>
    </cfRule>
    <cfRule type="expression" priority="6508" dxfId="2">
      <formula>AND(IF($Q42=2,1,0),IF($X42&lt;30,1,0))</formula>
    </cfRule>
    <cfRule type="expression" priority="6509" dxfId="1">
      <formula>AND(IF($Q42=3,1,0),IF($X42&lt;30,1,0))</formula>
    </cfRule>
    <cfRule type="expression" priority="6510" dxfId="0">
      <formula>AND(IF($Q42=3,1,IF($Q42=4,1,0)),IF($F42&lt;=85,1,0))</formula>
    </cfRule>
  </conditionalFormatting>
  <conditionalFormatting sqref="X42">
    <cfRule type="expression" priority="6503" dxfId="3">
      <formula>AND(IF(OR($Q42=1,$Q42=2),1,0),IF($X42&lt;=20,1,0))</formula>
    </cfRule>
    <cfRule type="expression" priority="6504" dxfId="2">
      <formula>AND(IF($Q42=2,1,0),IF($X42&lt;30,1,0))</formula>
    </cfRule>
    <cfRule type="expression" priority="6505" dxfId="1">
      <formula>AND(IF($Q42=3,1,0),IF($X42&lt;30,1,0))</formula>
    </cfRule>
    <cfRule type="expression" priority="6506" dxfId="0">
      <formula>AND(IF($Q42=3,1,IF($Q42=4,1,0)),IF($F42&lt;=85,1,0))</formula>
    </cfRule>
  </conditionalFormatting>
  <conditionalFormatting sqref="AI42">
    <cfRule type="expression" priority="6499" dxfId="3">
      <formula>AND(IF(OR($Q42=1,$Q42=2),1,0),IF($X42&lt;=20,1,0))</formula>
    </cfRule>
    <cfRule type="expression" priority="6500" dxfId="2">
      <formula>AND(IF($Q42=2,1,0),IF($X42&lt;30,1,0))</formula>
    </cfRule>
    <cfRule type="expression" priority="6501" dxfId="1">
      <formula>AND(IF($Q42=3,1,0),IF($X42&lt;30,1,0))</formula>
    </cfRule>
    <cfRule type="expression" priority="6502" dxfId="0">
      <formula>AND(IF($Q42=3,1,IF($Q42=4,1,0)),IF($F42&lt;=85,1,0))</formula>
    </cfRule>
  </conditionalFormatting>
  <conditionalFormatting sqref="AV43">
    <cfRule type="expression" priority="6497" dxfId="23">
      <formula>AV43="X"</formula>
    </cfRule>
    <cfRule type="expression" priority="6498" dxfId="22">
      <formula>AV43="후보"</formula>
    </cfRule>
  </conditionalFormatting>
  <conditionalFormatting sqref="AC4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3">
    <cfRule type="expression" priority="6489" dxfId="3">
      <formula>AND(IF(OR($Q43=1,$Q43=2),1,0),IF($X43&lt;=20,1,0))</formula>
    </cfRule>
    <cfRule type="expression" priority="6490" dxfId="2">
      <formula>AND(IF($Q43=2,1,0),IF($X43&lt;30,1,0))</formula>
    </cfRule>
    <cfRule type="expression" priority="6491" dxfId="1">
      <formula>AND(IF($Q43=3,1,0),IF($X43&lt;30,1,0))</formula>
    </cfRule>
    <cfRule type="expression" priority="6492" dxfId="0">
      <formula>AND(IF($Q43=3,1,IF($Q43=4,1,0)),IF($F43&lt;=85,1,0))</formula>
    </cfRule>
  </conditionalFormatting>
  <conditionalFormatting sqref="X43">
    <cfRule type="expression" priority="6485" dxfId="3">
      <formula>AND(IF(OR($Q43=1,$Q43=2),1,0),IF($X43&lt;=20,1,0))</formula>
    </cfRule>
    <cfRule type="expression" priority="6486" dxfId="2">
      <formula>AND(IF($Q43=2,1,0),IF($X43&lt;30,1,0))</formula>
    </cfRule>
    <cfRule type="expression" priority="6487" dxfId="1">
      <formula>AND(IF($Q43=3,1,0),IF($X43&lt;30,1,0))</formula>
    </cfRule>
    <cfRule type="expression" priority="6488" dxfId="0">
      <formula>AND(IF($Q43=3,1,IF($Q43=4,1,0)),IF($F43&lt;=85,1,0))</formula>
    </cfRule>
  </conditionalFormatting>
  <conditionalFormatting sqref="AI43">
    <cfRule type="expression" priority="6481" dxfId="3">
      <formula>AND(IF(OR($Q43=1,$Q43=2),1,0),IF($X43&lt;=20,1,0))</formula>
    </cfRule>
    <cfRule type="expression" priority="6482" dxfId="2">
      <formula>AND(IF($Q43=2,1,0),IF($X43&lt;30,1,0))</formula>
    </cfRule>
    <cfRule type="expression" priority="6483" dxfId="1">
      <formula>AND(IF($Q43=3,1,0),IF($X43&lt;30,1,0))</formula>
    </cfRule>
    <cfRule type="expression" priority="6484" dxfId="0">
      <formula>AND(IF($Q43=3,1,IF($Q43=4,1,0)),IF($F43&lt;=85,1,0))</formula>
    </cfRule>
  </conditionalFormatting>
  <conditionalFormatting sqref="AV44">
    <cfRule type="expression" priority="6479" dxfId="23">
      <formula>AV44="X"</formula>
    </cfRule>
    <cfRule type="expression" priority="6480" dxfId="22">
      <formula>AV44="후보"</formula>
    </cfRule>
  </conditionalFormatting>
  <conditionalFormatting sqref="AC4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4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44">
    <cfRule type="expression" priority="6471" dxfId="3">
      <formula>AND(IF(OR($Q44=1,$Q44=2),1,0),IF($X44&lt;=20,1,0))</formula>
    </cfRule>
    <cfRule type="expression" priority="6472" dxfId="2">
      <formula>AND(IF($Q44=2,1,0),IF($X44&lt;30,1,0))</formula>
    </cfRule>
    <cfRule type="expression" priority="6473" dxfId="1">
      <formula>AND(IF($Q44=3,1,0),IF($X44&lt;30,1,0))</formula>
    </cfRule>
    <cfRule type="expression" priority="6474" dxfId="0">
      <formula>AND(IF($Q44=3,1,IF($Q44=4,1,0)),IF($F44&lt;=85,1,0))</formula>
    </cfRule>
  </conditionalFormatting>
  <conditionalFormatting sqref="X44">
    <cfRule type="expression" priority="6467" dxfId="3">
      <formula>AND(IF(OR($Q44=1,$Q44=2),1,0),IF($X44&lt;=20,1,0))</formula>
    </cfRule>
    <cfRule type="expression" priority="6468" dxfId="2">
      <formula>AND(IF($Q44=2,1,0),IF($X44&lt;30,1,0))</formula>
    </cfRule>
    <cfRule type="expression" priority="6469" dxfId="1">
      <formula>AND(IF($Q44=3,1,0),IF($X44&lt;30,1,0))</formula>
    </cfRule>
    <cfRule type="expression" priority="6470" dxfId="0">
      <formula>AND(IF($Q44=3,1,IF($Q44=4,1,0)),IF($F44&lt;=85,1,0))</formula>
    </cfRule>
  </conditionalFormatting>
  <conditionalFormatting sqref="AI44">
    <cfRule type="expression" priority="6463" dxfId="3">
      <formula>AND(IF(OR($Q44=1,$Q44=2),1,0),IF($X44&lt;=20,1,0))</formula>
    </cfRule>
    <cfRule type="expression" priority="6464" dxfId="2">
      <formula>AND(IF($Q44=2,1,0),IF($X44&lt;30,1,0))</formula>
    </cfRule>
    <cfRule type="expression" priority="6465" dxfId="1">
      <formula>AND(IF($Q44=3,1,0),IF($X44&lt;30,1,0))</formula>
    </cfRule>
    <cfRule type="expression" priority="6466" dxfId="0">
      <formula>AND(IF($Q44=3,1,IF($Q44=4,1,0)),IF($F44&lt;=85,1,0))</formula>
    </cfRule>
  </conditionalFormatting>
  <conditionalFormatting sqref="AV45">
    <cfRule type="expression" priority="6461" dxfId="23">
      <formula>AV45="X"</formula>
    </cfRule>
    <cfRule type="expression" priority="6462" dxfId="22">
      <formula>AV45="후보"</formula>
    </cfRule>
  </conditionalFormatting>
  <conditionalFormatting sqref="AC4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4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45">
    <cfRule type="expression" priority="6453" dxfId="3">
      <formula>AND(IF(OR($Q45=1,$Q45=2),1,0),IF($X45&lt;=20,1,0))</formula>
    </cfRule>
    <cfRule type="expression" priority="6454" dxfId="2">
      <formula>AND(IF($Q45=2,1,0),IF($X45&lt;30,1,0))</formula>
    </cfRule>
    <cfRule type="expression" priority="6455" dxfId="1">
      <formula>AND(IF($Q45=3,1,0),IF($X45&lt;30,1,0))</formula>
    </cfRule>
    <cfRule type="expression" priority="6456" dxfId="0">
      <formula>AND(IF($Q45=3,1,IF($Q45=4,1,0)),IF($F45&lt;=85,1,0))</formula>
    </cfRule>
  </conditionalFormatting>
  <conditionalFormatting sqref="X45">
    <cfRule type="expression" priority="6449" dxfId="3">
      <formula>AND(IF(OR($Q45=1,$Q45=2),1,0),IF($X45&lt;=20,1,0))</formula>
    </cfRule>
    <cfRule type="expression" priority="6450" dxfId="2">
      <formula>AND(IF($Q45=2,1,0),IF($X45&lt;30,1,0))</formula>
    </cfRule>
    <cfRule type="expression" priority="6451" dxfId="1">
      <formula>AND(IF($Q45=3,1,0),IF($X45&lt;30,1,0))</formula>
    </cfRule>
    <cfRule type="expression" priority="6452" dxfId="0">
      <formula>AND(IF($Q45=3,1,IF($Q45=4,1,0)),IF($F45&lt;=85,1,0))</formula>
    </cfRule>
  </conditionalFormatting>
  <conditionalFormatting sqref="AI45">
    <cfRule type="expression" priority="6445" dxfId="3">
      <formula>AND(IF(OR($Q45=1,$Q45=2),1,0),IF($X45&lt;=20,1,0))</formula>
    </cfRule>
    <cfRule type="expression" priority="6446" dxfId="2">
      <formula>AND(IF($Q45=2,1,0),IF($X45&lt;30,1,0))</formula>
    </cfRule>
    <cfRule type="expression" priority="6447" dxfId="1">
      <formula>AND(IF($Q45=3,1,0),IF($X45&lt;30,1,0))</formula>
    </cfRule>
    <cfRule type="expression" priority="6448" dxfId="0">
      <formula>AND(IF($Q45=3,1,IF($Q45=4,1,0)),IF($F45&lt;=85,1,0))</formula>
    </cfRule>
  </conditionalFormatting>
  <conditionalFormatting sqref="AV46">
    <cfRule type="expression" priority="6443" dxfId="23">
      <formula>AV46="X"</formula>
    </cfRule>
    <cfRule type="expression" priority="6444" dxfId="22">
      <formula>AV46="후보"</formula>
    </cfRule>
  </conditionalFormatting>
  <conditionalFormatting sqref="AC4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4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46">
    <cfRule type="expression" priority="6435" dxfId="3">
      <formula>AND(IF(OR($Q46=1,$Q46=2),1,0),IF($X46&lt;=20,1,0))</formula>
    </cfRule>
    <cfRule type="expression" priority="6436" dxfId="2">
      <formula>AND(IF($Q46=2,1,0),IF($X46&lt;30,1,0))</formula>
    </cfRule>
    <cfRule type="expression" priority="6437" dxfId="1">
      <formula>AND(IF($Q46=3,1,0),IF($X46&lt;30,1,0))</formula>
    </cfRule>
    <cfRule type="expression" priority="6438" dxfId="0">
      <formula>AND(IF($Q46=3,1,IF($Q46=4,1,0)),IF($F46&lt;=85,1,0))</formula>
    </cfRule>
  </conditionalFormatting>
  <conditionalFormatting sqref="X46">
    <cfRule type="expression" priority="6431" dxfId="3">
      <formula>AND(IF(OR($Q46=1,$Q46=2),1,0),IF($X46&lt;=20,1,0))</formula>
    </cfRule>
    <cfRule type="expression" priority="6432" dxfId="2">
      <formula>AND(IF($Q46=2,1,0),IF($X46&lt;30,1,0))</formula>
    </cfRule>
    <cfRule type="expression" priority="6433" dxfId="1">
      <formula>AND(IF($Q46=3,1,0),IF($X46&lt;30,1,0))</formula>
    </cfRule>
    <cfRule type="expression" priority="6434" dxfId="0">
      <formula>AND(IF($Q46=3,1,IF($Q46=4,1,0)),IF($F46&lt;=85,1,0))</formula>
    </cfRule>
  </conditionalFormatting>
  <conditionalFormatting sqref="AI46">
    <cfRule type="expression" priority="6427" dxfId="3">
      <formula>AND(IF(OR($Q46=1,$Q46=2),1,0),IF($X46&lt;=20,1,0))</formula>
    </cfRule>
    <cfRule type="expression" priority="6428" dxfId="2">
      <formula>AND(IF($Q46=2,1,0),IF($X46&lt;30,1,0))</formula>
    </cfRule>
    <cfRule type="expression" priority="6429" dxfId="1">
      <formula>AND(IF($Q46=3,1,0),IF($X46&lt;30,1,0))</formula>
    </cfRule>
    <cfRule type="expression" priority="6430" dxfId="0">
      <formula>AND(IF($Q46=3,1,IF($Q46=4,1,0)),IF($F46&lt;=85,1,0))</formula>
    </cfRule>
  </conditionalFormatting>
  <conditionalFormatting sqref="AV47">
    <cfRule type="expression" priority="6425" dxfId="23">
      <formula>AV47="X"</formula>
    </cfRule>
    <cfRule type="expression" priority="6426" dxfId="22">
      <formula>AV47="후보"</formula>
    </cfRule>
  </conditionalFormatting>
  <conditionalFormatting sqref="AC4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4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47">
    <cfRule type="expression" priority="6417" dxfId="3">
      <formula>AND(IF(OR($Q47=1,$Q47=2),1,0),IF($X47&lt;=20,1,0))</formula>
    </cfRule>
    <cfRule type="expression" priority="6418" dxfId="2">
      <formula>AND(IF($Q47=2,1,0),IF($X47&lt;30,1,0))</formula>
    </cfRule>
    <cfRule type="expression" priority="6419" dxfId="1">
      <formula>AND(IF($Q47=3,1,0),IF($X47&lt;30,1,0))</formula>
    </cfRule>
    <cfRule type="expression" priority="6420" dxfId="0">
      <formula>AND(IF($Q47=3,1,IF($Q47=4,1,0)),IF($F47&lt;=85,1,0))</formula>
    </cfRule>
  </conditionalFormatting>
  <conditionalFormatting sqref="X47">
    <cfRule type="expression" priority="6413" dxfId="3">
      <formula>AND(IF(OR($Q47=1,$Q47=2),1,0),IF($X47&lt;=20,1,0))</formula>
    </cfRule>
    <cfRule type="expression" priority="6414" dxfId="2">
      <formula>AND(IF($Q47=2,1,0),IF($X47&lt;30,1,0))</formula>
    </cfRule>
    <cfRule type="expression" priority="6415" dxfId="1">
      <formula>AND(IF($Q47=3,1,0),IF($X47&lt;30,1,0))</formula>
    </cfRule>
    <cfRule type="expression" priority="6416" dxfId="0">
      <formula>AND(IF($Q47=3,1,IF($Q47=4,1,0)),IF($F47&lt;=85,1,0))</formula>
    </cfRule>
  </conditionalFormatting>
  <conditionalFormatting sqref="AI47">
    <cfRule type="expression" priority="6409" dxfId="3">
      <formula>AND(IF(OR($Q47=1,$Q47=2),1,0),IF($X47&lt;=20,1,0))</formula>
    </cfRule>
    <cfRule type="expression" priority="6410" dxfId="2">
      <formula>AND(IF($Q47=2,1,0),IF($X47&lt;30,1,0))</formula>
    </cfRule>
    <cfRule type="expression" priority="6411" dxfId="1">
      <formula>AND(IF($Q47=3,1,0),IF($X47&lt;30,1,0))</formula>
    </cfRule>
    <cfRule type="expression" priority="6412" dxfId="0">
      <formula>AND(IF($Q47=3,1,IF($Q47=4,1,0)),IF($F47&lt;=85,1,0))</formula>
    </cfRule>
  </conditionalFormatting>
  <conditionalFormatting sqref="AV48">
    <cfRule type="expression" priority="6407" dxfId="23">
      <formula>AV48="X"</formula>
    </cfRule>
    <cfRule type="expression" priority="6408" dxfId="22">
      <formula>AV48="후보"</formula>
    </cfRule>
  </conditionalFormatting>
  <conditionalFormatting sqref="AC4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4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48">
    <cfRule type="expression" priority="6399" dxfId="3">
      <formula>AND(IF(OR($Q48=1,$Q48=2),1,0),IF($X48&lt;=20,1,0))</formula>
    </cfRule>
    <cfRule type="expression" priority="6400" dxfId="2">
      <formula>AND(IF($Q48=2,1,0),IF($X48&lt;30,1,0))</formula>
    </cfRule>
    <cfRule type="expression" priority="6401" dxfId="1">
      <formula>AND(IF($Q48=3,1,0),IF($X48&lt;30,1,0))</formula>
    </cfRule>
    <cfRule type="expression" priority="6402" dxfId="0">
      <formula>AND(IF($Q48=3,1,IF($Q48=4,1,0)),IF($F48&lt;=85,1,0))</formula>
    </cfRule>
  </conditionalFormatting>
  <conditionalFormatting sqref="X48">
    <cfRule type="expression" priority="6395" dxfId="3">
      <formula>AND(IF(OR($Q48=1,$Q48=2),1,0),IF($X48&lt;=20,1,0))</formula>
    </cfRule>
    <cfRule type="expression" priority="6396" dxfId="2">
      <formula>AND(IF($Q48=2,1,0),IF($X48&lt;30,1,0))</formula>
    </cfRule>
    <cfRule type="expression" priority="6397" dxfId="1">
      <formula>AND(IF($Q48=3,1,0),IF($X48&lt;30,1,0))</formula>
    </cfRule>
    <cfRule type="expression" priority="6398" dxfId="0">
      <formula>AND(IF($Q48=3,1,IF($Q48=4,1,0)),IF($F48&lt;=85,1,0))</formula>
    </cfRule>
  </conditionalFormatting>
  <conditionalFormatting sqref="AI48">
    <cfRule type="expression" priority="6391" dxfId="3">
      <formula>AND(IF(OR($Q48=1,$Q48=2),1,0),IF($X48&lt;=20,1,0))</formula>
    </cfRule>
    <cfRule type="expression" priority="6392" dxfId="2">
      <formula>AND(IF($Q48=2,1,0),IF($X48&lt;30,1,0))</formula>
    </cfRule>
    <cfRule type="expression" priority="6393" dxfId="1">
      <formula>AND(IF($Q48=3,1,0),IF($X48&lt;30,1,0))</formula>
    </cfRule>
    <cfRule type="expression" priority="6394" dxfId="0">
      <formula>AND(IF($Q48=3,1,IF($Q48=4,1,0)),IF($F48&lt;=85,1,0))</formula>
    </cfRule>
  </conditionalFormatting>
  <conditionalFormatting sqref="AV49">
    <cfRule type="expression" priority="6389" dxfId="23">
      <formula>AV49="X"</formula>
    </cfRule>
    <cfRule type="expression" priority="6390" dxfId="22">
      <formula>AV49="후보"</formula>
    </cfRule>
  </conditionalFormatting>
  <conditionalFormatting sqref="AC4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4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49">
    <cfRule type="expression" priority="6381" dxfId="3">
      <formula>AND(IF(OR($Q49=1,$Q49=2),1,0),IF($X49&lt;=20,1,0))</formula>
    </cfRule>
    <cfRule type="expression" priority="6382" dxfId="2">
      <formula>AND(IF($Q49=2,1,0),IF($X49&lt;30,1,0))</formula>
    </cfRule>
    <cfRule type="expression" priority="6383" dxfId="1">
      <formula>AND(IF($Q49=3,1,0),IF($X49&lt;30,1,0))</formula>
    </cfRule>
    <cfRule type="expression" priority="6384" dxfId="0">
      <formula>AND(IF($Q49=3,1,IF($Q49=4,1,0)),IF($F49&lt;=85,1,0))</formula>
    </cfRule>
  </conditionalFormatting>
  <conditionalFormatting sqref="X49">
    <cfRule type="expression" priority="6377" dxfId="3">
      <formula>AND(IF(OR($Q49=1,$Q49=2),1,0),IF($X49&lt;=20,1,0))</formula>
    </cfRule>
    <cfRule type="expression" priority="6378" dxfId="2">
      <formula>AND(IF($Q49=2,1,0),IF($X49&lt;30,1,0))</formula>
    </cfRule>
    <cfRule type="expression" priority="6379" dxfId="1">
      <formula>AND(IF($Q49=3,1,0),IF($X49&lt;30,1,0))</formula>
    </cfRule>
    <cfRule type="expression" priority="6380" dxfId="0">
      <formula>AND(IF($Q49=3,1,IF($Q49=4,1,0)),IF($F49&lt;=85,1,0))</formula>
    </cfRule>
  </conditionalFormatting>
  <conditionalFormatting sqref="AI49">
    <cfRule type="expression" priority="6373" dxfId="3">
      <formula>AND(IF(OR($Q49=1,$Q49=2),1,0),IF($X49&lt;=20,1,0))</formula>
    </cfRule>
    <cfRule type="expression" priority="6374" dxfId="2">
      <formula>AND(IF($Q49=2,1,0),IF($X49&lt;30,1,0))</formula>
    </cfRule>
    <cfRule type="expression" priority="6375" dxfId="1">
      <formula>AND(IF($Q49=3,1,0),IF($X49&lt;30,1,0))</formula>
    </cfRule>
    <cfRule type="expression" priority="6376" dxfId="0">
      <formula>AND(IF($Q49=3,1,IF($Q49=4,1,0)),IF($F49&lt;=85,1,0))</formula>
    </cfRule>
  </conditionalFormatting>
  <conditionalFormatting sqref="AV50">
    <cfRule type="expression" priority="6371" dxfId="23">
      <formula>AV50="X"</formula>
    </cfRule>
    <cfRule type="expression" priority="6372" dxfId="22">
      <formula>AV50="후보"</formula>
    </cfRule>
  </conditionalFormatting>
  <conditionalFormatting sqref="AC5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0">
    <cfRule type="expression" priority="6363" dxfId="3">
      <formula>AND(IF(OR($Q50=1,$Q50=2),1,0),IF($X50&lt;=20,1,0))</formula>
    </cfRule>
    <cfRule type="expression" priority="6364" dxfId="2">
      <formula>AND(IF($Q50=2,1,0),IF($X50&lt;30,1,0))</formula>
    </cfRule>
    <cfRule type="expression" priority="6365" dxfId="1">
      <formula>AND(IF($Q50=3,1,0),IF($X50&lt;30,1,0))</formula>
    </cfRule>
    <cfRule type="expression" priority="6366" dxfId="0">
      <formula>AND(IF($Q50=3,1,IF($Q50=4,1,0)),IF($F50&lt;=85,1,0))</formula>
    </cfRule>
  </conditionalFormatting>
  <conditionalFormatting sqref="X50">
    <cfRule type="expression" priority="6359" dxfId="3">
      <formula>AND(IF(OR($Q50=1,$Q50=2),1,0),IF($X50&lt;=20,1,0))</formula>
    </cfRule>
    <cfRule type="expression" priority="6360" dxfId="2">
      <formula>AND(IF($Q50=2,1,0),IF($X50&lt;30,1,0))</formula>
    </cfRule>
    <cfRule type="expression" priority="6361" dxfId="1">
      <formula>AND(IF($Q50=3,1,0),IF($X50&lt;30,1,0))</formula>
    </cfRule>
    <cfRule type="expression" priority="6362" dxfId="0">
      <formula>AND(IF($Q50=3,1,IF($Q50=4,1,0)),IF($F50&lt;=85,1,0))</formula>
    </cfRule>
  </conditionalFormatting>
  <conditionalFormatting sqref="AI50">
    <cfRule type="expression" priority="6355" dxfId="3">
      <formula>AND(IF(OR($Q50=1,$Q50=2),1,0),IF($X50&lt;=20,1,0))</formula>
    </cfRule>
    <cfRule type="expression" priority="6356" dxfId="2">
      <formula>AND(IF($Q50=2,1,0),IF($X50&lt;30,1,0))</formula>
    </cfRule>
    <cfRule type="expression" priority="6357" dxfId="1">
      <formula>AND(IF($Q50=3,1,0),IF($X50&lt;30,1,0))</formula>
    </cfRule>
    <cfRule type="expression" priority="6358" dxfId="0">
      <formula>AND(IF($Q50=3,1,IF($Q50=4,1,0)),IF($F50&lt;=85,1,0))</formula>
    </cfRule>
  </conditionalFormatting>
  <conditionalFormatting sqref="AV51">
    <cfRule type="expression" priority="6353" dxfId="23">
      <formula>AV51="X"</formula>
    </cfRule>
    <cfRule type="expression" priority="6354" dxfId="22">
      <formula>AV51="후보"</formula>
    </cfRule>
  </conditionalFormatting>
  <conditionalFormatting sqref="AC5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1">
    <cfRule type="expression" priority="6345" dxfId="3">
      <formula>AND(IF(OR($Q51=1,$Q51=2),1,0),IF($X51&lt;=20,1,0))</formula>
    </cfRule>
    <cfRule type="expression" priority="6346" dxfId="2">
      <formula>AND(IF($Q51=2,1,0),IF($X51&lt;30,1,0))</formula>
    </cfRule>
    <cfRule type="expression" priority="6347" dxfId="1">
      <formula>AND(IF($Q51=3,1,0),IF($X51&lt;30,1,0))</formula>
    </cfRule>
    <cfRule type="expression" priority="6348" dxfId="0">
      <formula>AND(IF($Q51=3,1,IF($Q51=4,1,0)),IF($F51&lt;=85,1,0))</formula>
    </cfRule>
  </conditionalFormatting>
  <conditionalFormatting sqref="X51">
    <cfRule type="expression" priority="6341" dxfId="3">
      <formula>AND(IF(OR($Q51=1,$Q51=2),1,0),IF($X51&lt;=20,1,0))</formula>
    </cfRule>
    <cfRule type="expression" priority="6342" dxfId="2">
      <formula>AND(IF($Q51=2,1,0),IF($X51&lt;30,1,0))</formula>
    </cfRule>
    <cfRule type="expression" priority="6343" dxfId="1">
      <formula>AND(IF($Q51=3,1,0),IF($X51&lt;30,1,0))</formula>
    </cfRule>
    <cfRule type="expression" priority="6344" dxfId="0">
      <formula>AND(IF($Q51=3,1,IF($Q51=4,1,0)),IF($F51&lt;=85,1,0))</formula>
    </cfRule>
  </conditionalFormatting>
  <conditionalFormatting sqref="AI51">
    <cfRule type="expression" priority="6337" dxfId="3">
      <formula>AND(IF(OR($Q51=1,$Q51=2),1,0),IF($X51&lt;=20,1,0))</formula>
    </cfRule>
    <cfRule type="expression" priority="6338" dxfId="2">
      <formula>AND(IF($Q51=2,1,0),IF($X51&lt;30,1,0))</formula>
    </cfRule>
    <cfRule type="expression" priority="6339" dxfId="1">
      <formula>AND(IF($Q51=3,1,0),IF($X51&lt;30,1,0))</formula>
    </cfRule>
    <cfRule type="expression" priority="6340" dxfId="0">
      <formula>AND(IF($Q51=3,1,IF($Q51=4,1,0)),IF($F51&lt;=85,1,0))</formula>
    </cfRule>
  </conditionalFormatting>
  <conditionalFormatting sqref="AV52">
    <cfRule type="expression" priority="6335" dxfId="23">
      <formula>AV52="X"</formula>
    </cfRule>
    <cfRule type="expression" priority="6336" dxfId="22">
      <formula>AV52="후보"</formula>
    </cfRule>
  </conditionalFormatting>
  <conditionalFormatting sqref="AC5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2">
    <cfRule type="expression" priority="6327" dxfId="3">
      <formula>AND(IF(OR($Q52=1,$Q52=2),1,0),IF($X52&lt;=20,1,0))</formula>
    </cfRule>
    <cfRule type="expression" priority="6328" dxfId="2">
      <formula>AND(IF($Q52=2,1,0),IF($X52&lt;30,1,0))</formula>
    </cfRule>
    <cfRule type="expression" priority="6329" dxfId="1">
      <formula>AND(IF($Q52=3,1,0),IF($X52&lt;30,1,0))</formula>
    </cfRule>
    <cfRule type="expression" priority="6330" dxfId="0">
      <formula>AND(IF($Q52=3,1,IF($Q52=4,1,0)),IF($F52&lt;=85,1,0))</formula>
    </cfRule>
  </conditionalFormatting>
  <conditionalFormatting sqref="X52">
    <cfRule type="expression" priority="6323" dxfId="3">
      <formula>AND(IF(OR($Q52=1,$Q52=2),1,0),IF($X52&lt;=20,1,0))</formula>
    </cfRule>
    <cfRule type="expression" priority="6324" dxfId="2">
      <formula>AND(IF($Q52=2,1,0),IF($X52&lt;30,1,0))</formula>
    </cfRule>
    <cfRule type="expression" priority="6325" dxfId="1">
      <formula>AND(IF($Q52=3,1,0),IF($X52&lt;30,1,0))</formula>
    </cfRule>
    <cfRule type="expression" priority="6326" dxfId="0">
      <formula>AND(IF($Q52=3,1,IF($Q52=4,1,0)),IF($F52&lt;=85,1,0))</formula>
    </cfRule>
  </conditionalFormatting>
  <conditionalFormatting sqref="AI52">
    <cfRule type="expression" priority="6319" dxfId="3">
      <formula>AND(IF(OR($Q52=1,$Q52=2),1,0),IF($X52&lt;=20,1,0))</formula>
    </cfRule>
    <cfRule type="expression" priority="6320" dxfId="2">
      <formula>AND(IF($Q52=2,1,0),IF($X52&lt;30,1,0))</formula>
    </cfRule>
    <cfRule type="expression" priority="6321" dxfId="1">
      <formula>AND(IF($Q52=3,1,0),IF($X52&lt;30,1,0))</formula>
    </cfRule>
    <cfRule type="expression" priority="6322" dxfId="0">
      <formula>AND(IF($Q52=3,1,IF($Q52=4,1,0)),IF($F52&lt;=85,1,0))</formula>
    </cfRule>
  </conditionalFormatting>
  <conditionalFormatting sqref="AV53">
    <cfRule type="expression" priority="6317" dxfId="23">
      <formula>AV53="X"</formula>
    </cfRule>
    <cfRule type="expression" priority="6318" dxfId="22">
      <formula>AV53="후보"</formula>
    </cfRule>
  </conditionalFormatting>
  <conditionalFormatting sqref="AC5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3">
    <cfRule type="expression" priority="6309" dxfId="3">
      <formula>AND(IF(OR($Q53=1,$Q53=2),1,0),IF($X53&lt;=20,1,0))</formula>
    </cfRule>
    <cfRule type="expression" priority="6310" dxfId="2">
      <formula>AND(IF($Q53=2,1,0),IF($X53&lt;30,1,0))</formula>
    </cfRule>
    <cfRule type="expression" priority="6311" dxfId="1">
      <formula>AND(IF($Q53=3,1,0),IF($X53&lt;30,1,0))</formula>
    </cfRule>
    <cfRule type="expression" priority="6312" dxfId="0">
      <formula>AND(IF($Q53=3,1,IF($Q53=4,1,0)),IF($F53&lt;=85,1,0))</formula>
    </cfRule>
  </conditionalFormatting>
  <conditionalFormatting sqref="X53">
    <cfRule type="expression" priority="6305" dxfId="3">
      <formula>AND(IF(OR($Q53=1,$Q53=2),1,0),IF($X53&lt;=20,1,0))</formula>
    </cfRule>
    <cfRule type="expression" priority="6306" dxfId="2">
      <formula>AND(IF($Q53=2,1,0),IF($X53&lt;30,1,0))</formula>
    </cfRule>
    <cfRule type="expression" priority="6307" dxfId="1">
      <formula>AND(IF($Q53=3,1,0),IF($X53&lt;30,1,0))</formula>
    </cfRule>
    <cfRule type="expression" priority="6308" dxfId="0">
      <formula>AND(IF($Q53=3,1,IF($Q53=4,1,0)),IF($F53&lt;=85,1,0))</formula>
    </cfRule>
  </conditionalFormatting>
  <conditionalFormatting sqref="AI53">
    <cfRule type="expression" priority="6301" dxfId="3">
      <formula>AND(IF(OR($Q53=1,$Q53=2),1,0),IF($X53&lt;=20,1,0))</formula>
    </cfRule>
    <cfRule type="expression" priority="6302" dxfId="2">
      <formula>AND(IF($Q53=2,1,0),IF($X53&lt;30,1,0))</formula>
    </cfRule>
    <cfRule type="expression" priority="6303" dxfId="1">
      <formula>AND(IF($Q53=3,1,0),IF($X53&lt;30,1,0))</formula>
    </cfRule>
    <cfRule type="expression" priority="6304" dxfId="0">
      <formula>AND(IF($Q53=3,1,IF($Q53=4,1,0)),IF($F53&lt;=85,1,0))</formula>
    </cfRule>
  </conditionalFormatting>
  <conditionalFormatting sqref="AV54">
    <cfRule type="expression" priority="6299" dxfId="23">
      <formula>AV54="X"</formula>
    </cfRule>
    <cfRule type="expression" priority="6300" dxfId="22">
      <formula>AV54="후보"</formula>
    </cfRule>
  </conditionalFormatting>
  <conditionalFormatting sqref="AC5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4">
    <cfRule type="expression" priority="6291" dxfId="3">
      <formula>AND(IF(OR($Q54=1,$Q54=2),1,0),IF($X54&lt;=20,1,0))</formula>
    </cfRule>
    <cfRule type="expression" priority="6292" dxfId="2">
      <formula>AND(IF($Q54=2,1,0),IF($X54&lt;30,1,0))</formula>
    </cfRule>
    <cfRule type="expression" priority="6293" dxfId="1">
      <formula>AND(IF($Q54=3,1,0),IF($X54&lt;30,1,0))</formula>
    </cfRule>
    <cfRule type="expression" priority="6294" dxfId="0">
      <formula>AND(IF($Q54=3,1,IF($Q54=4,1,0)),IF($F54&lt;=85,1,0))</formula>
    </cfRule>
  </conditionalFormatting>
  <conditionalFormatting sqref="X54">
    <cfRule type="expression" priority="6287" dxfId="3">
      <formula>AND(IF(OR($Q54=1,$Q54=2),1,0),IF($X54&lt;=20,1,0))</formula>
    </cfRule>
    <cfRule type="expression" priority="6288" dxfId="2">
      <formula>AND(IF($Q54=2,1,0),IF($X54&lt;30,1,0))</formula>
    </cfRule>
    <cfRule type="expression" priority="6289" dxfId="1">
      <formula>AND(IF($Q54=3,1,0),IF($X54&lt;30,1,0))</formula>
    </cfRule>
    <cfRule type="expression" priority="6290" dxfId="0">
      <formula>AND(IF($Q54=3,1,IF($Q54=4,1,0)),IF($F54&lt;=85,1,0))</formula>
    </cfRule>
  </conditionalFormatting>
  <conditionalFormatting sqref="AI54">
    <cfRule type="expression" priority="6283" dxfId="3">
      <formula>AND(IF(OR($Q54=1,$Q54=2),1,0),IF($X54&lt;=20,1,0))</formula>
    </cfRule>
    <cfRule type="expression" priority="6284" dxfId="2">
      <formula>AND(IF($Q54=2,1,0),IF($X54&lt;30,1,0))</formula>
    </cfRule>
    <cfRule type="expression" priority="6285" dxfId="1">
      <formula>AND(IF($Q54=3,1,0),IF($X54&lt;30,1,0))</formula>
    </cfRule>
    <cfRule type="expression" priority="6286" dxfId="0">
      <formula>AND(IF($Q54=3,1,IF($Q54=4,1,0)),IF($F54&lt;=85,1,0))</formula>
    </cfRule>
  </conditionalFormatting>
  <conditionalFormatting sqref="AV55">
    <cfRule type="expression" priority="6281" dxfId="23">
      <formula>AV55="X"</formula>
    </cfRule>
    <cfRule type="expression" priority="6282" dxfId="22">
      <formula>AV55="후보"</formula>
    </cfRule>
  </conditionalFormatting>
  <conditionalFormatting sqref="AC5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5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55">
    <cfRule type="expression" priority="6273" dxfId="3">
      <formula>AND(IF(OR($Q55=1,$Q55=2),1,0),IF($X55&lt;=20,1,0))</formula>
    </cfRule>
    <cfRule type="expression" priority="6274" dxfId="2">
      <formula>AND(IF($Q55=2,1,0),IF($X55&lt;30,1,0))</formula>
    </cfRule>
    <cfRule type="expression" priority="6275" dxfId="1">
      <formula>AND(IF($Q55=3,1,0),IF($X55&lt;30,1,0))</formula>
    </cfRule>
    <cfRule type="expression" priority="6276" dxfId="0">
      <formula>AND(IF($Q55=3,1,IF($Q55=4,1,0)),IF($F55&lt;=85,1,0))</formula>
    </cfRule>
  </conditionalFormatting>
  <conditionalFormatting sqref="X55">
    <cfRule type="expression" priority="6269" dxfId="3">
      <formula>AND(IF(OR($Q55=1,$Q55=2),1,0),IF($X55&lt;=20,1,0))</formula>
    </cfRule>
    <cfRule type="expression" priority="6270" dxfId="2">
      <formula>AND(IF($Q55=2,1,0),IF($X55&lt;30,1,0))</formula>
    </cfRule>
    <cfRule type="expression" priority="6271" dxfId="1">
      <formula>AND(IF($Q55=3,1,0),IF($X55&lt;30,1,0))</formula>
    </cfRule>
    <cfRule type="expression" priority="6272" dxfId="0">
      <formula>AND(IF($Q55=3,1,IF($Q55=4,1,0)),IF($F55&lt;=85,1,0))</formula>
    </cfRule>
  </conditionalFormatting>
  <conditionalFormatting sqref="AI55">
    <cfRule type="expression" priority="6265" dxfId="3">
      <formula>AND(IF(OR($Q55=1,$Q55=2),1,0),IF($X55&lt;=20,1,0))</formula>
    </cfRule>
    <cfRule type="expression" priority="6266" dxfId="2">
      <formula>AND(IF($Q55=2,1,0),IF($X55&lt;30,1,0))</formula>
    </cfRule>
    <cfRule type="expression" priority="6267" dxfId="1">
      <formula>AND(IF($Q55=3,1,0),IF($X55&lt;30,1,0))</formula>
    </cfRule>
    <cfRule type="expression" priority="6268" dxfId="0">
      <formula>AND(IF($Q55=3,1,IF($Q55=4,1,0)),IF($F55&lt;=85,1,0))</formula>
    </cfRule>
  </conditionalFormatting>
  <conditionalFormatting sqref="AV56">
    <cfRule type="expression" priority="6263" dxfId="23">
      <formula>AV56="X"</formula>
    </cfRule>
    <cfRule type="expression" priority="6264" dxfId="22">
      <formula>AV56="후보"</formula>
    </cfRule>
  </conditionalFormatting>
  <conditionalFormatting sqref="AC5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5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56">
    <cfRule type="expression" priority="6255" dxfId="3">
      <formula>AND(IF(OR($Q56=1,$Q56=2),1,0),IF($X56&lt;=20,1,0))</formula>
    </cfRule>
    <cfRule type="expression" priority="6256" dxfId="2">
      <formula>AND(IF($Q56=2,1,0),IF($X56&lt;30,1,0))</formula>
    </cfRule>
    <cfRule type="expression" priority="6257" dxfId="1">
      <formula>AND(IF($Q56=3,1,0),IF($X56&lt;30,1,0))</formula>
    </cfRule>
    <cfRule type="expression" priority="6258" dxfId="0">
      <formula>AND(IF($Q56=3,1,IF($Q56=4,1,0)),IF($F56&lt;=85,1,0))</formula>
    </cfRule>
  </conditionalFormatting>
  <conditionalFormatting sqref="X56">
    <cfRule type="expression" priority="6251" dxfId="3">
      <formula>AND(IF(OR($Q56=1,$Q56=2),1,0),IF($X56&lt;=20,1,0))</formula>
    </cfRule>
    <cfRule type="expression" priority="6252" dxfId="2">
      <formula>AND(IF($Q56=2,1,0),IF($X56&lt;30,1,0))</formula>
    </cfRule>
    <cfRule type="expression" priority="6253" dxfId="1">
      <formula>AND(IF($Q56=3,1,0),IF($X56&lt;30,1,0))</formula>
    </cfRule>
    <cfRule type="expression" priority="6254" dxfId="0">
      <formula>AND(IF($Q56=3,1,IF($Q56=4,1,0)),IF($F56&lt;=85,1,0))</formula>
    </cfRule>
  </conditionalFormatting>
  <conditionalFormatting sqref="AI56">
    <cfRule type="expression" priority="6247" dxfId="3">
      <formula>AND(IF(OR($Q56=1,$Q56=2),1,0),IF($X56&lt;=20,1,0))</formula>
    </cfRule>
    <cfRule type="expression" priority="6248" dxfId="2">
      <formula>AND(IF($Q56=2,1,0),IF($X56&lt;30,1,0))</formula>
    </cfRule>
    <cfRule type="expression" priority="6249" dxfId="1">
      <formula>AND(IF($Q56=3,1,0),IF($X56&lt;30,1,0))</formula>
    </cfRule>
    <cfRule type="expression" priority="6250" dxfId="0">
      <formula>AND(IF($Q56=3,1,IF($Q56=4,1,0)),IF($F56&lt;=85,1,0))</formula>
    </cfRule>
  </conditionalFormatting>
  <conditionalFormatting sqref="AV57">
    <cfRule type="expression" priority="6245" dxfId="23">
      <formula>AV57="X"</formula>
    </cfRule>
    <cfRule type="expression" priority="6246" dxfId="22">
      <formula>AV57="후보"</formula>
    </cfRule>
  </conditionalFormatting>
  <conditionalFormatting sqref="AC5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5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57">
    <cfRule type="expression" priority="6237" dxfId="3">
      <formula>AND(IF(OR($Q57=1,$Q57=2),1,0),IF($X57&lt;=20,1,0))</formula>
    </cfRule>
    <cfRule type="expression" priority="6238" dxfId="2">
      <formula>AND(IF($Q57=2,1,0),IF($X57&lt;30,1,0))</formula>
    </cfRule>
    <cfRule type="expression" priority="6239" dxfId="1">
      <formula>AND(IF($Q57=3,1,0),IF($X57&lt;30,1,0))</formula>
    </cfRule>
    <cfRule type="expression" priority="6240" dxfId="0">
      <formula>AND(IF($Q57=3,1,IF($Q57=4,1,0)),IF($F57&lt;=85,1,0))</formula>
    </cfRule>
  </conditionalFormatting>
  <conditionalFormatting sqref="X57">
    <cfRule type="expression" priority="6233" dxfId="3">
      <formula>AND(IF(OR($Q57=1,$Q57=2),1,0),IF($X57&lt;=20,1,0))</formula>
    </cfRule>
    <cfRule type="expression" priority="6234" dxfId="2">
      <formula>AND(IF($Q57=2,1,0),IF($X57&lt;30,1,0))</formula>
    </cfRule>
    <cfRule type="expression" priority="6235" dxfId="1">
      <formula>AND(IF($Q57=3,1,0),IF($X57&lt;30,1,0))</formula>
    </cfRule>
    <cfRule type="expression" priority="6236" dxfId="0">
      <formula>AND(IF($Q57=3,1,IF($Q57=4,1,0)),IF($F57&lt;=85,1,0))</formula>
    </cfRule>
  </conditionalFormatting>
  <conditionalFormatting sqref="AI57">
    <cfRule type="expression" priority="6229" dxfId="3">
      <formula>AND(IF(OR($Q57=1,$Q57=2),1,0),IF($X57&lt;=20,1,0))</formula>
    </cfRule>
    <cfRule type="expression" priority="6230" dxfId="2">
      <formula>AND(IF($Q57=2,1,0),IF($X57&lt;30,1,0))</formula>
    </cfRule>
    <cfRule type="expression" priority="6231" dxfId="1">
      <formula>AND(IF($Q57=3,1,0),IF($X57&lt;30,1,0))</formula>
    </cfRule>
    <cfRule type="expression" priority="6232" dxfId="0">
      <formula>AND(IF($Q57=3,1,IF($Q57=4,1,0)),IF($F57&lt;=85,1,0))</formula>
    </cfRule>
  </conditionalFormatting>
  <conditionalFormatting sqref="AV58">
    <cfRule type="expression" priority="6227" dxfId="23">
      <formula>AV58="X"</formula>
    </cfRule>
    <cfRule type="expression" priority="6228" dxfId="22">
      <formula>AV58="후보"</formula>
    </cfRule>
  </conditionalFormatting>
  <conditionalFormatting sqref="AC5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5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58">
    <cfRule type="expression" priority="6219" dxfId="3">
      <formula>AND(IF(OR($Q58=1,$Q58=2),1,0),IF($X58&lt;=20,1,0))</formula>
    </cfRule>
    <cfRule type="expression" priority="6220" dxfId="2">
      <formula>AND(IF($Q58=2,1,0),IF($X58&lt;30,1,0))</formula>
    </cfRule>
    <cfRule type="expression" priority="6221" dxfId="1">
      <formula>AND(IF($Q58=3,1,0),IF($X58&lt;30,1,0))</formula>
    </cfRule>
    <cfRule type="expression" priority="6222" dxfId="0">
      <formula>AND(IF($Q58=3,1,IF($Q58=4,1,0)),IF($F58&lt;=85,1,0))</formula>
    </cfRule>
  </conditionalFormatting>
  <conditionalFormatting sqref="X58">
    <cfRule type="expression" priority="6215" dxfId="3">
      <formula>AND(IF(OR($Q58=1,$Q58=2),1,0),IF($X58&lt;=20,1,0))</formula>
    </cfRule>
    <cfRule type="expression" priority="6216" dxfId="2">
      <formula>AND(IF($Q58=2,1,0),IF($X58&lt;30,1,0))</formula>
    </cfRule>
    <cfRule type="expression" priority="6217" dxfId="1">
      <formula>AND(IF($Q58=3,1,0),IF($X58&lt;30,1,0))</formula>
    </cfRule>
    <cfRule type="expression" priority="6218" dxfId="0">
      <formula>AND(IF($Q58=3,1,IF($Q58=4,1,0)),IF($F58&lt;=85,1,0))</formula>
    </cfRule>
  </conditionalFormatting>
  <conditionalFormatting sqref="AI58">
    <cfRule type="expression" priority="6211" dxfId="3">
      <formula>AND(IF(OR($Q58=1,$Q58=2),1,0),IF($X58&lt;=20,1,0))</formula>
    </cfRule>
    <cfRule type="expression" priority="6212" dxfId="2">
      <formula>AND(IF($Q58=2,1,0),IF($X58&lt;30,1,0))</formula>
    </cfRule>
    <cfRule type="expression" priority="6213" dxfId="1">
      <formula>AND(IF($Q58=3,1,0),IF($X58&lt;30,1,0))</formula>
    </cfRule>
    <cfRule type="expression" priority="6214" dxfId="0">
      <formula>AND(IF($Q58=3,1,IF($Q58=4,1,0)),IF($F58&lt;=85,1,0))</formula>
    </cfRule>
  </conditionalFormatting>
  <conditionalFormatting sqref="AV59">
    <cfRule type="expression" priority="6209" dxfId="23">
      <formula>AV59="X"</formula>
    </cfRule>
    <cfRule type="expression" priority="6210" dxfId="22">
      <formula>AV59="후보"</formula>
    </cfRule>
  </conditionalFormatting>
  <conditionalFormatting sqref="AC5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5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59">
    <cfRule type="expression" priority="6201" dxfId="3">
      <formula>AND(IF(OR($Q59=1,$Q59=2),1,0),IF($X59&lt;=20,1,0))</formula>
    </cfRule>
    <cfRule type="expression" priority="6202" dxfId="2">
      <formula>AND(IF($Q59=2,1,0),IF($X59&lt;30,1,0))</formula>
    </cfRule>
    <cfRule type="expression" priority="6203" dxfId="1">
      <formula>AND(IF($Q59=3,1,0),IF($X59&lt;30,1,0))</formula>
    </cfRule>
    <cfRule type="expression" priority="6204" dxfId="0">
      <formula>AND(IF($Q59=3,1,IF($Q59=4,1,0)),IF($F59&lt;=85,1,0))</formula>
    </cfRule>
  </conditionalFormatting>
  <conditionalFormatting sqref="X59">
    <cfRule type="expression" priority="6197" dxfId="3">
      <formula>AND(IF(OR($Q59=1,$Q59=2),1,0),IF($X59&lt;=20,1,0))</formula>
    </cfRule>
    <cfRule type="expression" priority="6198" dxfId="2">
      <formula>AND(IF($Q59=2,1,0),IF($X59&lt;30,1,0))</formula>
    </cfRule>
    <cfRule type="expression" priority="6199" dxfId="1">
      <formula>AND(IF($Q59=3,1,0),IF($X59&lt;30,1,0))</formula>
    </cfRule>
    <cfRule type="expression" priority="6200" dxfId="0">
      <formula>AND(IF($Q59=3,1,IF($Q59=4,1,0)),IF($F59&lt;=85,1,0))</formula>
    </cfRule>
  </conditionalFormatting>
  <conditionalFormatting sqref="AI59">
    <cfRule type="expression" priority="6193" dxfId="3">
      <formula>AND(IF(OR($Q59=1,$Q59=2),1,0),IF($X59&lt;=20,1,0))</formula>
    </cfRule>
    <cfRule type="expression" priority="6194" dxfId="2">
      <formula>AND(IF($Q59=2,1,0),IF($X59&lt;30,1,0))</formula>
    </cfRule>
    <cfRule type="expression" priority="6195" dxfId="1">
      <formula>AND(IF($Q59=3,1,0),IF($X59&lt;30,1,0))</formula>
    </cfRule>
    <cfRule type="expression" priority="6196" dxfId="0">
      <formula>AND(IF($Q59=3,1,IF($Q59=4,1,0)),IF($F59&lt;=85,1,0))</formula>
    </cfRule>
  </conditionalFormatting>
  <conditionalFormatting sqref="AV60">
    <cfRule type="expression" priority="6191" dxfId="23">
      <formula>AV60="X"</formula>
    </cfRule>
    <cfRule type="expression" priority="6192" dxfId="22">
      <formula>AV60="후보"</formula>
    </cfRule>
  </conditionalFormatting>
  <conditionalFormatting sqref="AC6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0">
    <cfRule type="expression" priority="6183" dxfId="3">
      <formula>AND(IF(OR($Q60=1,$Q60=2),1,0),IF($X60&lt;=20,1,0))</formula>
    </cfRule>
    <cfRule type="expression" priority="6184" dxfId="2">
      <formula>AND(IF($Q60=2,1,0),IF($X60&lt;30,1,0))</formula>
    </cfRule>
    <cfRule type="expression" priority="6185" dxfId="1">
      <formula>AND(IF($Q60=3,1,0),IF($X60&lt;30,1,0))</formula>
    </cfRule>
    <cfRule type="expression" priority="6186" dxfId="0">
      <formula>AND(IF($Q60=3,1,IF($Q60=4,1,0)),IF($F60&lt;=85,1,0))</formula>
    </cfRule>
  </conditionalFormatting>
  <conditionalFormatting sqref="X60">
    <cfRule type="expression" priority="6179" dxfId="3">
      <formula>AND(IF(OR($Q60=1,$Q60=2),1,0),IF($X60&lt;=20,1,0))</formula>
    </cfRule>
    <cfRule type="expression" priority="6180" dxfId="2">
      <formula>AND(IF($Q60=2,1,0),IF($X60&lt;30,1,0))</formula>
    </cfRule>
    <cfRule type="expression" priority="6181" dxfId="1">
      <formula>AND(IF($Q60=3,1,0),IF($X60&lt;30,1,0))</formula>
    </cfRule>
    <cfRule type="expression" priority="6182" dxfId="0">
      <formula>AND(IF($Q60=3,1,IF($Q60=4,1,0)),IF($F60&lt;=85,1,0))</formula>
    </cfRule>
  </conditionalFormatting>
  <conditionalFormatting sqref="AI60">
    <cfRule type="expression" priority="6175" dxfId="3">
      <formula>AND(IF(OR($Q60=1,$Q60=2),1,0),IF($X60&lt;=20,1,0))</formula>
    </cfRule>
    <cfRule type="expression" priority="6176" dxfId="2">
      <formula>AND(IF($Q60=2,1,0),IF($X60&lt;30,1,0))</formula>
    </cfRule>
    <cfRule type="expression" priority="6177" dxfId="1">
      <formula>AND(IF($Q60=3,1,0),IF($X60&lt;30,1,0))</formula>
    </cfRule>
    <cfRule type="expression" priority="6178" dxfId="0">
      <formula>AND(IF($Q60=3,1,IF($Q60=4,1,0)),IF($F60&lt;=85,1,0))</formula>
    </cfRule>
  </conditionalFormatting>
  <conditionalFormatting sqref="AV61">
    <cfRule type="expression" priority="6173" dxfId="23">
      <formula>AV61="X"</formula>
    </cfRule>
    <cfRule type="expression" priority="6174" dxfId="22">
      <formula>AV61="후보"</formula>
    </cfRule>
  </conditionalFormatting>
  <conditionalFormatting sqref="AC6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1">
    <cfRule type="expression" priority="6165" dxfId="3">
      <formula>AND(IF(OR($Q61=1,$Q61=2),1,0),IF($X61&lt;=20,1,0))</formula>
    </cfRule>
    <cfRule type="expression" priority="6166" dxfId="2">
      <formula>AND(IF($Q61=2,1,0),IF($X61&lt;30,1,0))</formula>
    </cfRule>
    <cfRule type="expression" priority="6167" dxfId="1">
      <formula>AND(IF($Q61=3,1,0),IF($X61&lt;30,1,0))</formula>
    </cfRule>
    <cfRule type="expression" priority="6168" dxfId="0">
      <formula>AND(IF($Q61=3,1,IF($Q61=4,1,0)),IF($F61&lt;=85,1,0))</formula>
    </cfRule>
  </conditionalFormatting>
  <conditionalFormatting sqref="X61">
    <cfRule type="expression" priority="6161" dxfId="3">
      <formula>AND(IF(OR($Q61=1,$Q61=2),1,0),IF($X61&lt;=20,1,0))</formula>
    </cfRule>
    <cfRule type="expression" priority="6162" dxfId="2">
      <formula>AND(IF($Q61=2,1,0),IF($X61&lt;30,1,0))</formula>
    </cfRule>
    <cfRule type="expression" priority="6163" dxfId="1">
      <formula>AND(IF($Q61=3,1,0),IF($X61&lt;30,1,0))</formula>
    </cfRule>
    <cfRule type="expression" priority="6164" dxfId="0">
      <formula>AND(IF($Q61=3,1,IF($Q61=4,1,0)),IF($F61&lt;=85,1,0))</formula>
    </cfRule>
  </conditionalFormatting>
  <conditionalFormatting sqref="AI61">
    <cfRule type="expression" priority="6157" dxfId="3">
      <formula>AND(IF(OR($Q61=1,$Q61=2),1,0),IF($X61&lt;=20,1,0))</formula>
    </cfRule>
    <cfRule type="expression" priority="6158" dxfId="2">
      <formula>AND(IF($Q61=2,1,0),IF($X61&lt;30,1,0))</formula>
    </cfRule>
    <cfRule type="expression" priority="6159" dxfId="1">
      <formula>AND(IF($Q61=3,1,0),IF($X61&lt;30,1,0))</formula>
    </cfRule>
    <cfRule type="expression" priority="6160" dxfId="0">
      <formula>AND(IF($Q61=3,1,IF($Q61=4,1,0)),IF($F61&lt;=85,1,0))</formula>
    </cfRule>
  </conditionalFormatting>
  <conditionalFormatting sqref="AV62">
    <cfRule type="expression" priority="6155" dxfId="23">
      <formula>AV62="X"</formula>
    </cfRule>
    <cfRule type="expression" priority="6156" dxfId="22">
      <formula>AV62="후보"</formula>
    </cfRule>
  </conditionalFormatting>
  <conditionalFormatting sqref="AC6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2">
    <cfRule type="expression" priority="6147" dxfId="3">
      <formula>AND(IF(OR($Q62=1,$Q62=2),1,0),IF($X62&lt;=20,1,0))</formula>
    </cfRule>
    <cfRule type="expression" priority="6148" dxfId="2">
      <formula>AND(IF($Q62=2,1,0),IF($X62&lt;30,1,0))</formula>
    </cfRule>
    <cfRule type="expression" priority="6149" dxfId="1">
      <formula>AND(IF($Q62=3,1,0),IF($X62&lt;30,1,0))</formula>
    </cfRule>
    <cfRule type="expression" priority="6150" dxfId="0">
      <formula>AND(IF($Q62=3,1,IF($Q62=4,1,0)),IF($F62&lt;=85,1,0))</formula>
    </cfRule>
  </conditionalFormatting>
  <conditionalFormatting sqref="X62">
    <cfRule type="expression" priority="6143" dxfId="3">
      <formula>AND(IF(OR($Q62=1,$Q62=2),1,0),IF($X62&lt;=20,1,0))</formula>
    </cfRule>
    <cfRule type="expression" priority="6144" dxfId="2">
      <formula>AND(IF($Q62=2,1,0),IF($X62&lt;30,1,0))</formula>
    </cfRule>
    <cfRule type="expression" priority="6145" dxfId="1">
      <formula>AND(IF($Q62=3,1,0),IF($X62&lt;30,1,0))</formula>
    </cfRule>
    <cfRule type="expression" priority="6146" dxfId="0">
      <formula>AND(IF($Q62=3,1,IF($Q62=4,1,0)),IF($F62&lt;=85,1,0))</formula>
    </cfRule>
  </conditionalFormatting>
  <conditionalFormatting sqref="AI62">
    <cfRule type="expression" priority="6139" dxfId="3">
      <formula>AND(IF(OR($Q62=1,$Q62=2),1,0),IF($X62&lt;=20,1,0))</formula>
    </cfRule>
    <cfRule type="expression" priority="6140" dxfId="2">
      <formula>AND(IF($Q62=2,1,0),IF($X62&lt;30,1,0))</formula>
    </cfRule>
    <cfRule type="expression" priority="6141" dxfId="1">
      <formula>AND(IF($Q62=3,1,0),IF($X62&lt;30,1,0))</formula>
    </cfRule>
    <cfRule type="expression" priority="6142" dxfId="0">
      <formula>AND(IF($Q62=3,1,IF($Q62=4,1,0)),IF($F62&lt;=85,1,0))</formula>
    </cfRule>
  </conditionalFormatting>
  <conditionalFormatting sqref="AV63">
    <cfRule type="expression" priority="6137" dxfId="23">
      <formula>AV63="X"</formula>
    </cfRule>
    <cfRule type="expression" priority="6138" dxfId="22">
      <formula>AV63="후보"</formula>
    </cfRule>
  </conditionalFormatting>
  <conditionalFormatting sqref="AC6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3">
    <cfRule type="expression" priority="6129" dxfId="3">
      <formula>AND(IF(OR($Q63=1,$Q63=2),1,0),IF($X63&lt;=20,1,0))</formula>
    </cfRule>
    <cfRule type="expression" priority="6130" dxfId="2">
      <formula>AND(IF($Q63=2,1,0),IF($X63&lt;30,1,0))</formula>
    </cfRule>
    <cfRule type="expression" priority="6131" dxfId="1">
      <formula>AND(IF($Q63=3,1,0),IF($X63&lt;30,1,0))</formula>
    </cfRule>
    <cfRule type="expression" priority="6132" dxfId="0">
      <formula>AND(IF($Q63=3,1,IF($Q63=4,1,0)),IF($F63&lt;=85,1,0))</formula>
    </cfRule>
  </conditionalFormatting>
  <conditionalFormatting sqref="X63">
    <cfRule type="expression" priority="6125" dxfId="3">
      <formula>AND(IF(OR($Q63=1,$Q63=2),1,0),IF($X63&lt;=20,1,0))</formula>
    </cfRule>
    <cfRule type="expression" priority="6126" dxfId="2">
      <formula>AND(IF($Q63=2,1,0),IF($X63&lt;30,1,0))</formula>
    </cfRule>
    <cfRule type="expression" priority="6127" dxfId="1">
      <formula>AND(IF($Q63=3,1,0),IF($X63&lt;30,1,0))</formula>
    </cfRule>
    <cfRule type="expression" priority="6128" dxfId="0">
      <formula>AND(IF($Q63=3,1,IF($Q63=4,1,0)),IF($F63&lt;=85,1,0))</formula>
    </cfRule>
  </conditionalFormatting>
  <conditionalFormatting sqref="AI63">
    <cfRule type="expression" priority="6121" dxfId="3">
      <formula>AND(IF(OR($Q63=1,$Q63=2),1,0),IF($X63&lt;=20,1,0))</formula>
    </cfRule>
    <cfRule type="expression" priority="6122" dxfId="2">
      <formula>AND(IF($Q63=2,1,0),IF($X63&lt;30,1,0))</formula>
    </cfRule>
    <cfRule type="expression" priority="6123" dxfId="1">
      <formula>AND(IF($Q63=3,1,0),IF($X63&lt;30,1,0))</formula>
    </cfRule>
    <cfRule type="expression" priority="6124" dxfId="0">
      <formula>AND(IF($Q63=3,1,IF($Q63=4,1,0)),IF($F63&lt;=85,1,0))</formula>
    </cfRule>
  </conditionalFormatting>
  <conditionalFormatting sqref="AV64">
    <cfRule type="expression" priority="6119" dxfId="23">
      <formula>AV64="X"</formula>
    </cfRule>
    <cfRule type="expression" priority="6120" dxfId="22">
      <formula>AV64="후보"</formula>
    </cfRule>
  </conditionalFormatting>
  <conditionalFormatting sqref="AC6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">
    <cfRule type="expression" priority="6111" dxfId="3">
      <formula>AND(IF(OR($Q64=1,$Q64=2),1,0),IF($X64&lt;=20,1,0))</formula>
    </cfRule>
    <cfRule type="expression" priority="6112" dxfId="2">
      <formula>AND(IF($Q64=2,1,0),IF($X64&lt;30,1,0))</formula>
    </cfRule>
    <cfRule type="expression" priority="6113" dxfId="1">
      <formula>AND(IF($Q64=3,1,0),IF($X64&lt;30,1,0))</formula>
    </cfRule>
    <cfRule type="expression" priority="6114" dxfId="0">
      <formula>AND(IF($Q64=3,1,IF($Q64=4,1,0)),IF($F64&lt;=85,1,0))</formula>
    </cfRule>
  </conditionalFormatting>
  <conditionalFormatting sqref="X64">
    <cfRule type="expression" priority="6107" dxfId="3">
      <formula>AND(IF(OR($Q64=1,$Q64=2),1,0),IF($X64&lt;=20,1,0))</formula>
    </cfRule>
    <cfRule type="expression" priority="6108" dxfId="2">
      <formula>AND(IF($Q64=2,1,0),IF($X64&lt;30,1,0))</formula>
    </cfRule>
    <cfRule type="expression" priority="6109" dxfId="1">
      <formula>AND(IF($Q64=3,1,0),IF($X64&lt;30,1,0))</formula>
    </cfRule>
    <cfRule type="expression" priority="6110" dxfId="0">
      <formula>AND(IF($Q64=3,1,IF($Q64=4,1,0)),IF($F64&lt;=85,1,0))</formula>
    </cfRule>
  </conditionalFormatting>
  <conditionalFormatting sqref="AI64">
    <cfRule type="expression" priority="6103" dxfId="3">
      <formula>AND(IF(OR($Q64=1,$Q64=2),1,0),IF($X64&lt;=20,1,0))</formula>
    </cfRule>
    <cfRule type="expression" priority="6104" dxfId="2">
      <formula>AND(IF($Q64=2,1,0),IF($X64&lt;30,1,0))</formula>
    </cfRule>
    <cfRule type="expression" priority="6105" dxfId="1">
      <formula>AND(IF($Q64=3,1,0),IF($X64&lt;30,1,0))</formula>
    </cfRule>
    <cfRule type="expression" priority="6106" dxfId="0">
      <formula>AND(IF($Q64=3,1,IF($Q64=4,1,0)),IF($F64&lt;=85,1,0))</formula>
    </cfRule>
  </conditionalFormatting>
  <conditionalFormatting sqref="AV65">
    <cfRule type="expression" priority="6101" dxfId="23">
      <formula>AV65="X"</formula>
    </cfRule>
    <cfRule type="expression" priority="6102" dxfId="22">
      <formula>AV65="후보"</formula>
    </cfRule>
  </conditionalFormatting>
  <conditionalFormatting sqref="AC6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5">
    <cfRule type="expression" priority="6093" dxfId="3">
      <formula>AND(IF(OR($Q65=1,$Q65=2),1,0),IF($X65&lt;=20,1,0))</formula>
    </cfRule>
    <cfRule type="expression" priority="6094" dxfId="2">
      <formula>AND(IF($Q65=2,1,0),IF($X65&lt;30,1,0))</formula>
    </cfRule>
    <cfRule type="expression" priority="6095" dxfId="1">
      <formula>AND(IF($Q65=3,1,0),IF($X65&lt;30,1,0))</formula>
    </cfRule>
    <cfRule type="expression" priority="6096" dxfId="0">
      <formula>AND(IF($Q65=3,1,IF($Q65=4,1,0)),IF($F65&lt;=85,1,0))</formula>
    </cfRule>
  </conditionalFormatting>
  <conditionalFormatting sqref="X65">
    <cfRule type="expression" priority="6089" dxfId="3">
      <formula>AND(IF(OR($Q65=1,$Q65=2),1,0),IF($X65&lt;=20,1,0))</formula>
    </cfRule>
    <cfRule type="expression" priority="6090" dxfId="2">
      <formula>AND(IF($Q65=2,1,0),IF($X65&lt;30,1,0))</formula>
    </cfRule>
    <cfRule type="expression" priority="6091" dxfId="1">
      <formula>AND(IF($Q65=3,1,0),IF($X65&lt;30,1,0))</formula>
    </cfRule>
    <cfRule type="expression" priority="6092" dxfId="0">
      <formula>AND(IF($Q65=3,1,IF($Q65=4,1,0)),IF($F65&lt;=85,1,0))</formula>
    </cfRule>
  </conditionalFormatting>
  <conditionalFormatting sqref="AI65">
    <cfRule type="expression" priority="6085" dxfId="3">
      <formula>AND(IF(OR($Q65=1,$Q65=2),1,0),IF($X65&lt;=20,1,0))</formula>
    </cfRule>
    <cfRule type="expression" priority="6086" dxfId="2">
      <formula>AND(IF($Q65=2,1,0),IF($X65&lt;30,1,0))</formula>
    </cfRule>
    <cfRule type="expression" priority="6087" dxfId="1">
      <formula>AND(IF($Q65=3,1,0),IF($X65&lt;30,1,0))</formula>
    </cfRule>
    <cfRule type="expression" priority="6088" dxfId="0">
      <formula>AND(IF($Q65=3,1,IF($Q65=4,1,0)),IF($F65&lt;=85,1,0))</formula>
    </cfRule>
  </conditionalFormatting>
  <conditionalFormatting sqref="AV66">
    <cfRule type="expression" priority="6083" dxfId="23">
      <formula>AV66="X"</formula>
    </cfRule>
    <cfRule type="expression" priority="6084" dxfId="22">
      <formula>AV66="후보"</formula>
    </cfRule>
  </conditionalFormatting>
  <conditionalFormatting sqref="AC6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6">
    <cfRule type="expression" priority="6075" dxfId="3">
      <formula>AND(IF(OR($Q66=1,$Q66=2),1,0),IF($X66&lt;=20,1,0))</formula>
    </cfRule>
    <cfRule type="expression" priority="6076" dxfId="2">
      <formula>AND(IF($Q66=2,1,0),IF($X66&lt;30,1,0))</formula>
    </cfRule>
    <cfRule type="expression" priority="6077" dxfId="1">
      <formula>AND(IF($Q66=3,1,0),IF($X66&lt;30,1,0))</formula>
    </cfRule>
    <cfRule type="expression" priority="6078" dxfId="0">
      <formula>AND(IF($Q66=3,1,IF($Q66=4,1,0)),IF($F66&lt;=85,1,0))</formula>
    </cfRule>
  </conditionalFormatting>
  <conditionalFormatting sqref="X66">
    <cfRule type="expression" priority="6071" dxfId="3">
      <formula>AND(IF(OR($Q66=1,$Q66=2),1,0),IF($X66&lt;=20,1,0))</formula>
    </cfRule>
    <cfRule type="expression" priority="6072" dxfId="2">
      <formula>AND(IF($Q66=2,1,0),IF($X66&lt;30,1,0))</formula>
    </cfRule>
    <cfRule type="expression" priority="6073" dxfId="1">
      <formula>AND(IF($Q66=3,1,0),IF($X66&lt;30,1,0))</formula>
    </cfRule>
    <cfRule type="expression" priority="6074" dxfId="0">
      <formula>AND(IF($Q66=3,1,IF($Q66=4,1,0)),IF($F66&lt;=85,1,0))</formula>
    </cfRule>
  </conditionalFormatting>
  <conditionalFormatting sqref="AI66">
    <cfRule type="expression" priority="6067" dxfId="3">
      <formula>AND(IF(OR($Q66=1,$Q66=2),1,0),IF($X66&lt;=20,1,0))</formula>
    </cfRule>
    <cfRule type="expression" priority="6068" dxfId="2">
      <formula>AND(IF($Q66=2,1,0),IF($X66&lt;30,1,0))</formula>
    </cfRule>
    <cfRule type="expression" priority="6069" dxfId="1">
      <formula>AND(IF($Q66=3,1,0),IF($X66&lt;30,1,0))</formula>
    </cfRule>
    <cfRule type="expression" priority="6070" dxfId="0">
      <formula>AND(IF($Q66=3,1,IF($Q66=4,1,0)),IF($F66&lt;=85,1,0))</formula>
    </cfRule>
  </conditionalFormatting>
  <conditionalFormatting sqref="AV67">
    <cfRule type="expression" priority="6065" dxfId="23">
      <formula>AV67="X"</formula>
    </cfRule>
    <cfRule type="expression" priority="6066" dxfId="22">
      <formula>AV67="후보"</formula>
    </cfRule>
  </conditionalFormatting>
  <conditionalFormatting sqref="AC6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7">
    <cfRule type="expression" priority="6057" dxfId="3">
      <formula>AND(IF(OR($Q67=1,$Q67=2),1,0),IF($X67&lt;=20,1,0))</formula>
    </cfRule>
    <cfRule type="expression" priority="6058" dxfId="2">
      <formula>AND(IF($Q67=2,1,0),IF($X67&lt;30,1,0))</formula>
    </cfRule>
    <cfRule type="expression" priority="6059" dxfId="1">
      <formula>AND(IF($Q67=3,1,0),IF($X67&lt;30,1,0))</formula>
    </cfRule>
    <cfRule type="expression" priority="6060" dxfId="0">
      <formula>AND(IF($Q67=3,1,IF($Q67=4,1,0)),IF($F67&lt;=85,1,0))</formula>
    </cfRule>
  </conditionalFormatting>
  <conditionalFormatting sqref="X67">
    <cfRule type="expression" priority="6053" dxfId="3">
      <formula>AND(IF(OR($Q67=1,$Q67=2),1,0),IF($X67&lt;=20,1,0))</formula>
    </cfRule>
    <cfRule type="expression" priority="6054" dxfId="2">
      <formula>AND(IF($Q67=2,1,0),IF($X67&lt;30,1,0))</formula>
    </cfRule>
    <cfRule type="expression" priority="6055" dxfId="1">
      <formula>AND(IF($Q67=3,1,0),IF($X67&lt;30,1,0))</formula>
    </cfRule>
    <cfRule type="expression" priority="6056" dxfId="0">
      <formula>AND(IF($Q67=3,1,IF($Q67=4,1,0)),IF($F67&lt;=85,1,0))</formula>
    </cfRule>
  </conditionalFormatting>
  <conditionalFormatting sqref="AI67">
    <cfRule type="expression" priority="6049" dxfId="3">
      <formula>AND(IF(OR($Q67=1,$Q67=2),1,0),IF($X67&lt;=20,1,0))</formula>
    </cfRule>
    <cfRule type="expression" priority="6050" dxfId="2">
      <formula>AND(IF($Q67=2,1,0),IF($X67&lt;30,1,0))</formula>
    </cfRule>
    <cfRule type="expression" priority="6051" dxfId="1">
      <formula>AND(IF($Q67=3,1,0),IF($X67&lt;30,1,0))</formula>
    </cfRule>
    <cfRule type="expression" priority="6052" dxfId="0">
      <formula>AND(IF($Q67=3,1,IF($Q67=4,1,0)),IF($F67&lt;=85,1,0))</formula>
    </cfRule>
  </conditionalFormatting>
  <conditionalFormatting sqref="AV68">
    <cfRule type="expression" priority="6047" dxfId="23">
      <formula>AV68="X"</formula>
    </cfRule>
    <cfRule type="expression" priority="6048" dxfId="22">
      <formula>AV68="후보"</formula>
    </cfRule>
  </conditionalFormatting>
  <conditionalFormatting sqref="AC6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8">
    <cfRule type="expression" priority="6039" dxfId="3">
      <formula>AND(IF(OR($Q68=1,$Q68=2),1,0),IF($X68&lt;=20,1,0))</formula>
    </cfRule>
    <cfRule type="expression" priority="6040" dxfId="2">
      <formula>AND(IF($Q68=2,1,0),IF($X68&lt;30,1,0))</formula>
    </cfRule>
    <cfRule type="expression" priority="6041" dxfId="1">
      <formula>AND(IF($Q68=3,1,0),IF($X68&lt;30,1,0))</formula>
    </cfRule>
    <cfRule type="expression" priority="6042" dxfId="0">
      <formula>AND(IF($Q68=3,1,IF($Q68=4,1,0)),IF($F68&lt;=85,1,0))</formula>
    </cfRule>
  </conditionalFormatting>
  <conditionalFormatting sqref="X68">
    <cfRule type="expression" priority="6035" dxfId="3">
      <formula>AND(IF(OR($Q68=1,$Q68=2),1,0),IF($X68&lt;=20,1,0))</formula>
    </cfRule>
    <cfRule type="expression" priority="6036" dxfId="2">
      <formula>AND(IF($Q68=2,1,0),IF($X68&lt;30,1,0))</formula>
    </cfRule>
    <cfRule type="expression" priority="6037" dxfId="1">
      <formula>AND(IF($Q68=3,1,0),IF($X68&lt;30,1,0))</formula>
    </cfRule>
    <cfRule type="expression" priority="6038" dxfId="0">
      <formula>AND(IF($Q68=3,1,IF($Q68=4,1,0)),IF($F68&lt;=85,1,0))</formula>
    </cfRule>
  </conditionalFormatting>
  <conditionalFormatting sqref="AI68">
    <cfRule type="expression" priority="6031" dxfId="3">
      <formula>AND(IF(OR($Q68=1,$Q68=2),1,0),IF($X68&lt;=20,1,0))</formula>
    </cfRule>
    <cfRule type="expression" priority="6032" dxfId="2">
      <formula>AND(IF($Q68=2,1,0),IF($X68&lt;30,1,0))</formula>
    </cfRule>
    <cfRule type="expression" priority="6033" dxfId="1">
      <formula>AND(IF($Q68=3,1,0),IF($X68&lt;30,1,0))</formula>
    </cfRule>
    <cfRule type="expression" priority="6034" dxfId="0">
      <formula>AND(IF($Q68=3,1,IF($Q68=4,1,0)),IF($F68&lt;=85,1,0))</formula>
    </cfRule>
  </conditionalFormatting>
  <conditionalFormatting sqref="AV69">
    <cfRule type="expression" priority="6029" dxfId="23">
      <formula>AV69="X"</formula>
    </cfRule>
    <cfRule type="expression" priority="6030" dxfId="22">
      <formula>AV69="후보"</formula>
    </cfRule>
  </conditionalFormatting>
  <conditionalFormatting sqref="AC6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9">
    <cfRule type="expression" priority="6021" dxfId="3">
      <formula>AND(IF(OR($Q69=1,$Q69=2),1,0),IF($X69&lt;=20,1,0))</formula>
    </cfRule>
    <cfRule type="expression" priority="6022" dxfId="2">
      <formula>AND(IF($Q69=2,1,0),IF($X69&lt;30,1,0))</formula>
    </cfRule>
    <cfRule type="expression" priority="6023" dxfId="1">
      <formula>AND(IF($Q69=3,1,0),IF($X69&lt;30,1,0))</formula>
    </cfRule>
    <cfRule type="expression" priority="6024" dxfId="0">
      <formula>AND(IF($Q69=3,1,IF($Q69=4,1,0)),IF($F69&lt;=85,1,0))</formula>
    </cfRule>
  </conditionalFormatting>
  <conditionalFormatting sqref="X69">
    <cfRule type="expression" priority="6017" dxfId="3">
      <formula>AND(IF(OR($Q69=1,$Q69=2),1,0),IF($X69&lt;=20,1,0))</formula>
    </cfRule>
    <cfRule type="expression" priority="6018" dxfId="2">
      <formula>AND(IF($Q69=2,1,0),IF($X69&lt;30,1,0))</formula>
    </cfRule>
    <cfRule type="expression" priority="6019" dxfId="1">
      <formula>AND(IF($Q69=3,1,0),IF($X69&lt;30,1,0))</formula>
    </cfRule>
    <cfRule type="expression" priority="6020" dxfId="0">
      <formula>AND(IF($Q69=3,1,IF($Q69=4,1,0)),IF($F69&lt;=85,1,0))</formula>
    </cfRule>
  </conditionalFormatting>
  <conditionalFormatting sqref="AI69">
    <cfRule type="expression" priority="6013" dxfId="3">
      <formula>AND(IF(OR($Q69=1,$Q69=2),1,0),IF($X69&lt;=20,1,0))</formula>
    </cfRule>
    <cfRule type="expression" priority="6014" dxfId="2">
      <formula>AND(IF($Q69=2,1,0),IF($X69&lt;30,1,0))</formula>
    </cfRule>
    <cfRule type="expression" priority="6015" dxfId="1">
      <formula>AND(IF($Q69=3,1,0),IF($X69&lt;30,1,0))</formula>
    </cfRule>
    <cfRule type="expression" priority="6016" dxfId="0">
      <formula>AND(IF($Q69=3,1,IF($Q69=4,1,0)),IF($F69&lt;=85,1,0))</formula>
    </cfRule>
  </conditionalFormatting>
  <conditionalFormatting sqref="AV70">
    <cfRule type="expression" priority="6011" dxfId="23">
      <formula>AV70="X"</formula>
    </cfRule>
    <cfRule type="expression" priority="6012" dxfId="22">
      <formula>AV70="후보"</formula>
    </cfRule>
  </conditionalFormatting>
  <conditionalFormatting sqref="AC7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0">
    <cfRule type="expression" priority="6003" dxfId="3">
      <formula>AND(IF(OR($Q70=1,$Q70=2),1,0),IF($X70&lt;=20,1,0))</formula>
    </cfRule>
    <cfRule type="expression" priority="6004" dxfId="2">
      <formula>AND(IF($Q70=2,1,0),IF($X70&lt;30,1,0))</formula>
    </cfRule>
    <cfRule type="expression" priority="6005" dxfId="1">
      <formula>AND(IF($Q70=3,1,0),IF($X70&lt;30,1,0))</formula>
    </cfRule>
    <cfRule type="expression" priority="6006" dxfId="0">
      <formula>AND(IF($Q70=3,1,IF($Q70=4,1,0)),IF($F70&lt;=85,1,0))</formula>
    </cfRule>
  </conditionalFormatting>
  <conditionalFormatting sqref="X70">
    <cfRule type="expression" priority="5999" dxfId="3">
      <formula>AND(IF(OR($Q70=1,$Q70=2),1,0),IF($X70&lt;=20,1,0))</formula>
    </cfRule>
    <cfRule type="expression" priority="6000" dxfId="2">
      <formula>AND(IF($Q70=2,1,0),IF($X70&lt;30,1,0))</formula>
    </cfRule>
    <cfRule type="expression" priority="6001" dxfId="1">
      <formula>AND(IF($Q70=3,1,0),IF($X70&lt;30,1,0))</formula>
    </cfRule>
    <cfRule type="expression" priority="6002" dxfId="0">
      <formula>AND(IF($Q70=3,1,IF($Q70=4,1,0)),IF($F70&lt;=85,1,0))</formula>
    </cfRule>
  </conditionalFormatting>
  <conditionalFormatting sqref="AI70">
    <cfRule type="expression" priority="5995" dxfId="3">
      <formula>AND(IF(OR($Q70=1,$Q70=2),1,0),IF($X70&lt;=20,1,0))</formula>
    </cfRule>
    <cfRule type="expression" priority="5996" dxfId="2">
      <formula>AND(IF($Q70=2,1,0),IF($X70&lt;30,1,0))</formula>
    </cfRule>
    <cfRule type="expression" priority="5997" dxfId="1">
      <formula>AND(IF($Q70=3,1,0),IF($X70&lt;30,1,0))</formula>
    </cfRule>
    <cfRule type="expression" priority="5998" dxfId="0">
      <formula>AND(IF($Q70=3,1,IF($Q70=4,1,0)),IF($F70&lt;=85,1,0))</formula>
    </cfRule>
  </conditionalFormatting>
  <conditionalFormatting sqref="AV71">
    <cfRule type="expression" priority="5993" dxfId="23">
      <formula>AV71="X"</formula>
    </cfRule>
    <cfRule type="expression" priority="5994" dxfId="22">
      <formula>AV71="후보"</formula>
    </cfRule>
  </conditionalFormatting>
  <conditionalFormatting sqref="AC7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1">
    <cfRule type="expression" priority="5985" dxfId="3">
      <formula>AND(IF(OR($Q71=1,$Q71=2),1,0),IF($X71&lt;=20,1,0))</formula>
    </cfRule>
    <cfRule type="expression" priority="5986" dxfId="2">
      <formula>AND(IF($Q71=2,1,0),IF($X71&lt;30,1,0))</formula>
    </cfRule>
    <cfRule type="expression" priority="5987" dxfId="1">
      <formula>AND(IF($Q71=3,1,0),IF($X71&lt;30,1,0))</formula>
    </cfRule>
    <cfRule type="expression" priority="5988" dxfId="0">
      <formula>AND(IF($Q71=3,1,IF($Q71=4,1,0)),IF($F71&lt;=85,1,0))</formula>
    </cfRule>
  </conditionalFormatting>
  <conditionalFormatting sqref="X71">
    <cfRule type="expression" priority="5981" dxfId="3">
      <formula>AND(IF(OR($Q71=1,$Q71=2),1,0),IF($X71&lt;=20,1,0))</formula>
    </cfRule>
    <cfRule type="expression" priority="5982" dxfId="2">
      <formula>AND(IF($Q71=2,1,0),IF($X71&lt;30,1,0))</formula>
    </cfRule>
    <cfRule type="expression" priority="5983" dxfId="1">
      <formula>AND(IF($Q71=3,1,0),IF($X71&lt;30,1,0))</formula>
    </cfRule>
    <cfRule type="expression" priority="5984" dxfId="0">
      <formula>AND(IF($Q71=3,1,IF($Q71=4,1,0)),IF($F71&lt;=85,1,0))</formula>
    </cfRule>
  </conditionalFormatting>
  <conditionalFormatting sqref="AI71">
    <cfRule type="expression" priority="5977" dxfId="3">
      <formula>AND(IF(OR($Q71=1,$Q71=2),1,0),IF($X71&lt;=20,1,0))</formula>
    </cfRule>
    <cfRule type="expression" priority="5978" dxfId="2">
      <formula>AND(IF($Q71=2,1,0),IF($X71&lt;30,1,0))</formula>
    </cfRule>
    <cfRule type="expression" priority="5979" dxfId="1">
      <formula>AND(IF($Q71=3,1,0),IF($X71&lt;30,1,0))</formula>
    </cfRule>
    <cfRule type="expression" priority="5980" dxfId="0">
      <formula>AND(IF($Q71=3,1,IF($Q71=4,1,0)),IF($F71&lt;=85,1,0))</formula>
    </cfRule>
  </conditionalFormatting>
  <conditionalFormatting sqref="AV72">
    <cfRule type="expression" priority="5975" dxfId="23">
      <formula>AV72="X"</formula>
    </cfRule>
    <cfRule type="expression" priority="5976" dxfId="22">
      <formula>AV72="후보"</formula>
    </cfRule>
  </conditionalFormatting>
  <conditionalFormatting sqref="AC7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">
    <cfRule type="expression" priority="5967" dxfId="3">
      <formula>AND(IF(OR($Q72=1,$Q72=2),1,0),IF($X72&lt;=20,1,0))</formula>
    </cfRule>
    <cfRule type="expression" priority="5968" dxfId="2">
      <formula>AND(IF($Q72=2,1,0),IF($X72&lt;30,1,0))</formula>
    </cfRule>
    <cfRule type="expression" priority="5969" dxfId="1">
      <formula>AND(IF($Q72=3,1,0),IF($X72&lt;30,1,0))</formula>
    </cfRule>
    <cfRule type="expression" priority="5970" dxfId="0">
      <formula>AND(IF($Q72=3,1,IF($Q72=4,1,0)),IF($F72&lt;=85,1,0))</formula>
    </cfRule>
  </conditionalFormatting>
  <conditionalFormatting sqref="X72">
    <cfRule type="expression" priority="5963" dxfId="3">
      <formula>AND(IF(OR($Q72=1,$Q72=2),1,0),IF($X72&lt;=20,1,0))</formula>
    </cfRule>
    <cfRule type="expression" priority="5964" dxfId="2">
      <formula>AND(IF($Q72=2,1,0),IF($X72&lt;30,1,0))</formula>
    </cfRule>
    <cfRule type="expression" priority="5965" dxfId="1">
      <formula>AND(IF($Q72=3,1,0),IF($X72&lt;30,1,0))</formula>
    </cfRule>
    <cfRule type="expression" priority="5966" dxfId="0">
      <formula>AND(IF($Q72=3,1,IF($Q72=4,1,0)),IF($F72&lt;=85,1,0))</formula>
    </cfRule>
  </conditionalFormatting>
  <conditionalFormatting sqref="AI72">
    <cfRule type="expression" priority="5959" dxfId="3">
      <formula>AND(IF(OR($Q72=1,$Q72=2),1,0),IF($X72&lt;=20,1,0))</formula>
    </cfRule>
    <cfRule type="expression" priority="5960" dxfId="2">
      <formula>AND(IF($Q72=2,1,0),IF($X72&lt;30,1,0))</formula>
    </cfRule>
    <cfRule type="expression" priority="5961" dxfId="1">
      <formula>AND(IF($Q72=3,1,0),IF($X72&lt;30,1,0))</formula>
    </cfRule>
    <cfRule type="expression" priority="5962" dxfId="0">
      <formula>AND(IF($Q72=3,1,IF($Q72=4,1,0)),IF($F72&lt;=85,1,0))</formula>
    </cfRule>
  </conditionalFormatting>
  <conditionalFormatting sqref="AV73">
    <cfRule type="expression" priority="5957" dxfId="23">
      <formula>AV73="X"</formula>
    </cfRule>
    <cfRule type="expression" priority="5958" dxfId="22">
      <formula>AV73="후보"</formula>
    </cfRule>
  </conditionalFormatting>
  <conditionalFormatting sqref="AC7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3">
    <cfRule type="expression" priority="5949" dxfId="3">
      <formula>AND(IF(OR($Q73=1,$Q73=2),1,0),IF($X73&lt;=20,1,0))</formula>
    </cfRule>
    <cfRule type="expression" priority="5950" dxfId="2">
      <formula>AND(IF($Q73=2,1,0),IF($X73&lt;30,1,0))</formula>
    </cfRule>
    <cfRule type="expression" priority="5951" dxfId="1">
      <formula>AND(IF($Q73=3,1,0),IF($X73&lt;30,1,0))</formula>
    </cfRule>
    <cfRule type="expression" priority="5952" dxfId="0">
      <formula>AND(IF($Q73=3,1,IF($Q73=4,1,0)),IF($F73&lt;=85,1,0))</formula>
    </cfRule>
  </conditionalFormatting>
  <conditionalFormatting sqref="X73">
    <cfRule type="expression" priority="5945" dxfId="3">
      <formula>AND(IF(OR($Q73=1,$Q73=2),1,0),IF($X73&lt;=20,1,0))</formula>
    </cfRule>
    <cfRule type="expression" priority="5946" dxfId="2">
      <formula>AND(IF($Q73=2,1,0),IF($X73&lt;30,1,0))</formula>
    </cfRule>
    <cfRule type="expression" priority="5947" dxfId="1">
      <formula>AND(IF($Q73=3,1,0),IF($X73&lt;30,1,0))</formula>
    </cfRule>
    <cfRule type="expression" priority="5948" dxfId="0">
      <formula>AND(IF($Q73=3,1,IF($Q73=4,1,0)),IF($F73&lt;=85,1,0))</formula>
    </cfRule>
  </conditionalFormatting>
  <conditionalFormatting sqref="AI73">
    <cfRule type="expression" priority="5941" dxfId="3">
      <formula>AND(IF(OR($Q73=1,$Q73=2),1,0),IF($X73&lt;=20,1,0))</formula>
    </cfRule>
    <cfRule type="expression" priority="5942" dxfId="2">
      <formula>AND(IF($Q73=2,1,0),IF($X73&lt;30,1,0))</formula>
    </cfRule>
    <cfRule type="expression" priority="5943" dxfId="1">
      <formula>AND(IF($Q73=3,1,0),IF($X73&lt;30,1,0))</formula>
    </cfRule>
    <cfRule type="expression" priority="5944" dxfId="0">
      <formula>AND(IF($Q73=3,1,IF($Q73=4,1,0)),IF($F73&lt;=85,1,0))</formula>
    </cfRule>
  </conditionalFormatting>
  <conditionalFormatting sqref="AV74">
    <cfRule type="expression" priority="5939" dxfId="23">
      <formula>AV74="X"</formula>
    </cfRule>
    <cfRule type="expression" priority="5940" dxfId="22">
      <formula>AV74="후보"</formula>
    </cfRule>
  </conditionalFormatting>
  <conditionalFormatting sqref="AC7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4">
    <cfRule type="expression" priority="5931" dxfId="3">
      <formula>AND(IF(OR($Q74=1,$Q74=2),1,0),IF($X74&lt;=20,1,0))</formula>
    </cfRule>
    <cfRule type="expression" priority="5932" dxfId="2">
      <formula>AND(IF($Q74=2,1,0),IF($X74&lt;30,1,0))</formula>
    </cfRule>
    <cfRule type="expression" priority="5933" dxfId="1">
      <formula>AND(IF($Q74=3,1,0),IF($X74&lt;30,1,0))</formula>
    </cfRule>
    <cfRule type="expression" priority="5934" dxfId="0">
      <formula>AND(IF($Q74=3,1,IF($Q74=4,1,0)),IF($F74&lt;=85,1,0))</formula>
    </cfRule>
  </conditionalFormatting>
  <conditionalFormatting sqref="X74">
    <cfRule type="expression" priority="5927" dxfId="3">
      <formula>AND(IF(OR($Q74=1,$Q74=2),1,0),IF($X74&lt;=20,1,0))</formula>
    </cfRule>
    <cfRule type="expression" priority="5928" dxfId="2">
      <formula>AND(IF($Q74=2,1,0),IF($X74&lt;30,1,0))</formula>
    </cfRule>
    <cfRule type="expression" priority="5929" dxfId="1">
      <formula>AND(IF($Q74=3,1,0),IF($X74&lt;30,1,0))</formula>
    </cfRule>
    <cfRule type="expression" priority="5930" dxfId="0">
      <formula>AND(IF($Q74=3,1,IF($Q74=4,1,0)),IF($F74&lt;=85,1,0))</formula>
    </cfRule>
  </conditionalFormatting>
  <conditionalFormatting sqref="AI74">
    <cfRule type="expression" priority="5923" dxfId="3">
      <formula>AND(IF(OR($Q74=1,$Q74=2),1,0),IF($X74&lt;=20,1,0))</formula>
    </cfRule>
    <cfRule type="expression" priority="5924" dxfId="2">
      <formula>AND(IF($Q74=2,1,0),IF($X74&lt;30,1,0))</formula>
    </cfRule>
    <cfRule type="expression" priority="5925" dxfId="1">
      <formula>AND(IF($Q74=3,1,0),IF($X74&lt;30,1,0))</formula>
    </cfRule>
    <cfRule type="expression" priority="5926" dxfId="0">
      <formula>AND(IF($Q74=3,1,IF($Q74=4,1,0)),IF($F74&lt;=85,1,0))</formula>
    </cfRule>
  </conditionalFormatting>
  <conditionalFormatting sqref="AV75">
    <cfRule type="expression" priority="5921" dxfId="23">
      <formula>AV75="X"</formula>
    </cfRule>
    <cfRule type="expression" priority="5922" dxfId="22">
      <formula>AV75="후보"</formula>
    </cfRule>
  </conditionalFormatting>
  <conditionalFormatting sqref="AC7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5">
    <cfRule type="expression" priority="5913" dxfId="3">
      <formula>AND(IF(OR($Q75=1,$Q75=2),1,0),IF($X75&lt;=20,1,0))</formula>
    </cfRule>
    <cfRule type="expression" priority="5914" dxfId="2">
      <formula>AND(IF($Q75=2,1,0),IF($X75&lt;30,1,0))</formula>
    </cfRule>
    <cfRule type="expression" priority="5915" dxfId="1">
      <formula>AND(IF($Q75=3,1,0),IF($X75&lt;30,1,0))</formula>
    </cfRule>
    <cfRule type="expression" priority="5916" dxfId="0">
      <formula>AND(IF($Q75=3,1,IF($Q75=4,1,0)),IF($F75&lt;=85,1,0))</formula>
    </cfRule>
  </conditionalFormatting>
  <conditionalFormatting sqref="X75">
    <cfRule type="expression" priority="5909" dxfId="3">
      <formula>AND(IF(OR($Q75=1,$Q75=2),1,0),IF($X75&lt;=20,1,0))</formula>
    </cfRule>
    <cfRule type="expression" priority="5910" dxfId="2">
      <formula>AND(IF($Q75=2,1,0),IF($X75&lt;30,1,0))</formula>
    </cfRule>
    <cfRule type="expression" priority="5911" dxfId="1">
      <formula>AND(IF($Q75=3,1,0),IF($X75&lt;30,1,0))</formula>
    </cfRule>
    <cfRule type="expression" priority="5912" dxfId="0">
      <formula>AND(IF($Q75=3,1,IF($Q75=4,1,0)),IF($F75&lt;=85,1,0))</formula>
    </cfRule>
  </conditionalFormatting>
  <conditionalFormatting sqref="AI75">
    <cfRule type="expression" priority="5905" dxfId="3">
      <formula>AND(IF(OR($Q75=1,$Q75=2),1,0),IF($X75&lt;=20,1,0))</formula>
    </cfRule>
    <cfRule type="expression" priority="5906" dxfId="2">
      <formula>AND(IF($Q75=2,1,0),IF($X75&lt;30,1,0))</formula>
    </cfRule>
    <cfRule type="expression" priority="5907" dxfId="1">
      <formula>AND(IF($Q75=3,1,0),IF($X75&lt;30,1,0))</formula>
    </cfRule>
    <cfRule type="expression" priority="5908" dxfId="0">
      <formula>AND(IF($Q75=3,1,IF($Q75=4,1,0)),IF($F75&lt;=85,1,0))</formula>
    </cfRule>
  </conditionalFormatting>
  <conditionalFormatting sqref="AV76">
    <cfRule type="expression" priority="5903" dxfId="23">
      <formula>AV76="X"</formula>
    </cfRule>
    <cfRule type="expression" priority="5904" dxfId="22">
      <formula>AV76="후보"</formula>
    </cfRule>
  </conditionalFormatting>
  <conditionalFormatting sqref="AC7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6">
    <cfRule type="expression" priority="5895" dxfId="3">
      <formula>AND(IF(OR($Q76=1,$Q76=2),1,0),IF($X76&lt;=20,1,0))</formula>
    </cfRule>
    <cfRule type="expression" priority="5896" dxfId="2">
      <formula>AND(IF($Q76=2,1,0),IF($X76&lt;30,1,0))</formula>
    </cfRule>
    <cfRule type="expression" priority="5897" dxfId="1">
      <formula>AND(IF($Q76=3,1,0),IF($X76&lt;30,1,0))</formula>
    </cfRule>
    <cfRule type="expression" priority="5898" dxfId="0">
      <formula>AND(IF($Q76=3,1,IF($Q76=4,1,0)),IF($F76&lt;=85,1,0))</formula>
    </cfRule>
  </conditionalFormatting>
  <conditionalFormatting sqref="X76">
    <cfRule type="expression" priority="5891" dxfId="3">
      <formula>AND(IF(OR($Q76=1,$Q76=2),1,0),IF($X76&lt;=20,1,0))</formula>
    </cfRule>
    <cfRule type="expression" priority="5892" dxfId="2">
      <formula>AND(IF($Q76=2,1,0),IF($X76&lt;30,1,0))</formula>
    </cfRule>
    <cfRule type="expression" priority="5893" dxfId="1">
      <formula>AND(IF($Q76=3,1,0),IF($X76&lt;30,1,0))</formula>
    </cfRule>
    <cfRule type="expression" priority="5894" dxfId="0">
      <formula>AND(IF($Q76=3,1,IF($Q76=4,1,0)),IF($F76&lt;=85,1,0))</formula>
    </cfRule>
  </conditionalFormatting>
  <conditionalFormatting sqref="AI76">
    <cfRule type="expression" priority="5887" dxfId="3">
      <formula>AND(IF(OR($Q76=1,$Q76=2),1,0),IF($X76&lt;=20,1,0))</formula>
    </cfRule>
    <cfRule type="expression" priority="5888" dxfId="2">
      <formula>AND(IF($Q76=2,1,0),IF($X76&lt;30,1,0))</formula>
    </cfRule>
    <cfRule type="expression" priority="5889" dxfId="1">
      <formula>AND(IF($Q76=3,1,0),IF($X76&lt;30,1,0))</formula>
    </cfRule>
    <cfRule type="expression" priority="5890" dxfId="0">
      <formula>AND(IF($Q76=3,1,IF($Q76=4,1,0)),IF($F76&lt;=85,1,0))</formula>
    </cfRule>
  </conditionalFormatting>
  <conditionalFormatting sqref="AV77">
    <cfRule type="expression" priority="5885" dxfId="23">
      <formula>AV77="X"</formula>
    </cfRule>
    <cfRule type="expression" priority="5886" dxfId="22">
      <formula>AV77="후보"</formula>
    </cfRule>
  </conditionalFormatting>
  <conditionalFormatting sqref="AC7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7">
    <cfRule type="expression" priority="5877" dxfId="3">
      <formula>AND(IF(OR($Q77=1,$Q77=2),1,0),IF($X77&lt;=20,1,0))</formula>
    </cfRule>
    <cfRule type="expression" priority="5878" dxfId="2">
      <formula>AND(IF($Q77=2,1,0),IF($X77&lt;30,1,0))</formula>
    </cfRule>
    <cfRule type="expression" priority="5879" dxfId="1">
      <formula>AND(IF($Q77=3,1,0),IF($X77&lt;30,1,0))</formula>
    </cfRule>
    <cfRule type="expression" priority="5880" dxfId="0">
      <formula>AND(IF($Q77=3,1,IF($Q77=4,1,0)),IF($F77&lt;=85,1,0))</formula>
    </cfRule>
  </conditionalFormatting>
  <conditionalFormatting sqref="X77">
    <cfRule type="expression" priority="5873" dxfId="3">
      <formula>AND(IF(OR($Q77=1,$Q77=2),1,0),IF($X77&lt;=20,1,0))</formula>
    </cfRule>
    <cfRule type="expression" priority="5874" dxfId="2">
      <formula>AND(IF($Q77=2,1,0),IF($X77&lt;30,1,0))</formula>
    </cfRule>
    <cfRule type="expression" priority="5875" dxfId="1">
      <formula>AND(IF($Q77=3,1,0),IF($X77&lt;30,1,0))</formula>
    </cfRule>
    <cfRule type="expression" priority="5876" dxfId="0">
      <formula>AND(IF($Q77=3,1,IF($Q77=4,1,0)),IF($F77&lt;=85,1,0))</formula>
    </cfRule>
  </conditionalFormatting>
  <conditionalFormatting sqref="AI77">
    <cfRule type="expression" priority="5869" dxfId="3">
      <formula>AND(IF(OR($Q77=1,$Q77=2),1,0),IF($X77&lt;=20,1,0))</formula>
    </cfRule>
    <cfRule type="expression" priority="5870" dxfId="2">
      <formula>AND(IF($Q77=2,1,0),IF($X77&lt;30,1,0))</formula>
    </cfRule>
    <cfRule type="expression" priority="5871" dxfId="1">
      <formula>AND(IF($Q77=3,1,0),IF($X77&lt;30,1,0))</formula>
    </cfRule>
    <cfRule type="expression" priority="5872" dxfId="0">
      <formula>AND(IF($Q77=3,1,IF($Q77=4,1,0)),IF($F77&lt;=85,1,0))</formula>
    </cfRule>
  </conditionalFormatting>
  <conditionalFormatting sqref="AV78">
    <cfRule type="expression" priority="5867" dxfId="23">
      <formula>AV78="X"</formula>
    </cfRule>
    <cfRule type="expression" priority="5868" dxfId="22">
      <formula>AV78="후보"</formula>
    </cfRule>
  </conditionalFormatting>
  <conditionalFormatting sqref="AC7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8">
    <cfRule type="expression" priority="5859" dxfId="3">
      <formula>AND(IF(OR($Q78=1,$Q78=2),1,0),IF($X78&lt;=20,1,0))</formula>
    </cfRule>
    <cfRule type="expression" priority="5860" dxfId="2">
      <formula>AND(IF($Q78=2,1,0),IF($X78&lt;30,1,0))</formula>
    </cfRule>
    <cfRule type="expression" priority="5861" dxfId="1">
      <formula>AND(IF($Q78=3,1,0),IF($X78&lt;30,1,0))</formula>
    </cfRule>
    <cfRule type="expression" priority="5862" dxfId="0">
      <formula>AND(IF($Q78=3,1,IF($Q78=4,1,0)),IF($F78&lt;=85,1,0))</formula>
    </cfRule>
  </conditionalFormatting>
  <conditionalFormatting sqref="X78">
    <cfRule type="expression" priority="5855" dxfId="3">
      <formula>AND(IF(OR($Q78=1,$Q78=2),1,0),IF($X78&lt;=20,1,0))</formula>
    </cfRule>
    <cfRule type="expression" priority="5856" dxfId="2">
      <formula>AND(IF($Q78=2,1,0),IF($X78&lt;30,1,0))</formula>
    </cfRule>
    <cfRule type="expression" priority="5857" dxfId="1">
      <formula>AND(IF($Q78=3,1,0),IF($X78&lt;30,1,0))</formula>
    </cfRule>
    <cfRule type="expression" priority="5858" dxfId="0">
      <formula>AND(IF($Q78=3,1,IF($Q78=4,1,0)),IF($F78&lt;=85,1,0))</formula>
    </cfRule>
  </conditionalFormatting>
  <conditionalFormatting sqref="AI78">
    <cfRule type="expression" priority="5851" dxfId="3">
      <formula>AND(IF(OR($Q78=1,$Q78=2),1,0),IF($X78&lt;=20,1,0))</formula>
    </cfRule>
    <cfRule type="expression" priority="5852" dxfId="2">
      <formula>AND(IF($Q78=2,1,0),IF($X78&lt;30,1,0))</formula>
    </cfRule>
    <cfRule type="expression" priority="5853" dxfId="1">
      <formula>AND(IF($Q78=3,1,0),IF($X78&lt;30,1,0))</formula>
    </cfRule>
    <cfRule type="expression" priority="5854" dxfId="0">
      <formula>AND(IF($Q78=3,1,IF($Q78=4,1,0)),IF($F78&lt;=85,1,0))</formula>
    </cfRule>
  </conditionalFormatting>
  <conditionalFormatting sqref="AV79">
    <cfRule type="expression" priority="5849" dxfId="23">
      <formula>AV79="X"</formula>
    </cfRule>
    <cfRule type="expression" priority="5850" dxfId="22">
      <formula>AV79="후보"</formula>
    </cfRule>
  </conditionalFormatting>
  <conditionalFormatting sqref="AC7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9">
    <cfRule type="expression" priority="5841" dxfId="3">
      <formula>AND(IF(OR($Q79=1,$Q79=2),1,0),IF($X79&lt;=20,1,0))</formula>
    </cfRule>
    <cfRule type="expression" priority="5842" dxfId="2">
      <formula>AND(IF($Q79=2,1,0),IF($X79&lt;30,1,0))</formula>
    </cfRule>
    <cfRule type="expression" priority="5843" dxfId="1">
      <formula>AND(IF($Q79=3,1,0),IF($X79&lt;30,1,0))</formula>
    </cfRule>
    <cfRule type="expression" priority="5844" dxfId="0">
      <formula>AND(IF($Q79=3,1,IF($Q79=4,1,0)),IF($F79&lt;=85,1,0))</formula>
    </cfRule>
  </conditionalFormatting>
  <conditionalFormatting sqref="X79">
    <cfRule type="expression" priority="5837" dxfId="3">
      <formula>AND(IF(OR($Q79=1,$Q79=2),1,0),IF($X79&lt;=20,1,0))</formula>
    </cfRule>
    <cfRule type="expression" priority="5838" dxfId="2">
      <formula>AND(IF($Q79=2,1,0),IF($X79&lt;30,1,0))</formula>
    </cfRule>
    <cfRule type="expression" priority="5839" dxfId="1">
      <formula>AND(IF($Q79=3,1,0),IF($X79&lt;30,1,0))</formula>
    </cfRule>
    <cfRule type="expression" priority="5840" dxfId="0">
      <formula>AND(IF($Q79=3,1,IF($Q79=4,1,0)),IF($F79&lt;=85,1,0))</formula>
    </cfRule>
  </conditionalFormatting>
  <conditionalFormatting sqref="AI79">
    <cfRule type="expression" priority="5833" dxfId="3">
      <formula>AND(IF(OR($Q79=1,$Q79=2),1,0),IF($X79&lt;=20,1,0))</formula>
    </cfRule>
    <cfRule type="expression" priority="5834" dxfId="2">
      <formula>AND(IF($Q79=2,1,0),IF($X79&lt;30,1,0))</formula>
    </cfRule>
    <cfRule type="expression" priority="5835" dxfId="1">
      <formula>AND(IF($Q79=3,1,0),IF($X79&lt;30,1,0))</formula>
    </cfRule>
    <cfRule type="expression" priority="5836" dxfId="0">
      <formula>AND(IF($Q79=3,1,IF($Q79=4,1,0)),IF($F79&lt;=85,1,0))</formula>
    </cfRule>
  </conditionalFormatting>
  <conditionalFormatting sqref="AV80">
    <cfRule type="expression" priority="5831" dxfId="23">
      <formula>AV80="X"</formula>
    </cfRule>
    <cfRule type="expression" priority="5832" dxfId="22">
      <formula>AV80="후보"</formula>
    </cfRule>
  </conditionalFormatting>
  <conditionalFormatting sqref="AC8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0">
    <cfRule type="expression" priority="5823" dxfId="3">
      <formula>AND(IF(OR($Q80=1,$Q80=2),1,0),IF($X80&lt;=20,1,0))</formula>
    </cfRule>
    <cfRule type="expression" priority="5824" dxfId="2">
      <formula>AND(IF($Q80=2,1,0),IF($X80&lt;30,1,0))</formula>
    </cfRule>
    <cfRule type="expression" priority="5825" dxfId="1">
      <formula>AND(IF($Q80=3,1,0),IF($X80&lt;30,1,0))</formula>
    </cfRule>
    <cfRule type="expression" priority="5826" dxfId="0">
      <formula>AND(IF($Q80=3,1,IF($Q80=4,1,0)),IF($F80&lt;=85,1,0))</formula>
    </cfRule>
  </conditionalFormatting>
  <conditionalFormatting sqref="X80">
    <cfRule type="expression" priority="5819" dxfId="3">
      <formula>AND(IF(OR($Q80=1,$Q80=2),1,0),IF($X80&lt;=20,1,0))</formula>
    </cfRule>
    <cfRule type="expression" priority="5820" dxfId="2">
      <formula>AND(IF($Q80=2,1,0),IF($X80&lt;30,1,0))</formula>
    </cfRule>
    <cfRule type="expression" priority="5821" dxfId="1">
      <formula>AND(IF($Q80=3,1,0),IF($X80&lt;30,1,0))</formula>
    </cfRule>
    <cfRule type="expression" priority="5822" dxfId="0">
      <formula>AND(IF($Q80=3,1,IF($Q80=4,1,0)),IF($F80&lt;=85,1,0))</formula>
    </cfRule>
  </conditionalFormatting>
  <conditionalFormatting sqref="AI80">
    <cfRule type="expression" priority="5815" dxfId="3">
      <formula>AND(IF(OR($Q80=1,$Q80=2),1,0),IF($X80&lt;=20,1,0))</formula>
    </cfRule>
    <cfRule type="expression" priority="5816" dxfId="2">
      <formula>AND(IF($Q80=2,1,0),IF($X80&lt;30,1,0))</formula>
    </cfRule>
    <cfRule type="expression" priority="5817" dxfId="1">
      <formula>AND(IF($Q80=3,1,0),IF($X80&lt;30,1,0))</formula>
    </cfRule>
    <cfRule type="expression" priority="5818" dxfId="0">
      <formula>AND(IF($Q80=3,1,IF($Q80=4,1,0)),IF($F80&lt;=85,1,0))</formula>
    </cfRule>
  </conditionalFormatting>
  <conditionalFormatting sqref="AV81">
    <cfRule type="expression" priority="5813" dxfId="23">
      <formula>AV81="X"</formula>
    </cfRule>
    <cfRule type="expression" priority="5814" dxfId="22">
      <formula>AV81="후보"</formula>
    </cfRule>
  </conditionalFormatting>
  <conditionalFormatting sqref="AC8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1">
    <cfRule type="expression" priority="5805" dxfId="3">
      <formula>AND(IF(OR($Q81=1,$Q81=2),1,0),IF($X81&lt;=20,1,0))</formula>
    </cfRule>
    <cfRule type="expression" priority="5806" dxfId="2">
      <formula>AND(IF($Q81=2,1,0),IF($X81&lt;30,1,0))</formula>
    </cfRule>
    <cfRule type="expression" priority="5807" dxfId="1">
      <formula>AND(IF($Q81=3,1,0),IF($X81&lt;30,1,0))</formula>
    </cfRule>
    <cfRule type="expression" priority="5808" dxfId="0">
      <formula>AND(IF($Q81=3,1,IF($Q81=4,1,0)),IF($F81&lt;=85,1,0))</formula>
    </cfRule>
  </conditionalFormatting>
  <conditionalFormatting sqref="X81">
    <cfRule type="expression" priority="5801" dxfId="3">
      <formula>AND(IF(OR($Q81=1,$Q81=2),1,0),IF($X81&lt;=20,1,0))</formula>
    </cfRule>
    <cfRule type="expression" priority="5802" dxfId="2">
      <formula>AND(IF($Q81=2,1,0),IF($X81&lt;30,1,0))</formula>
    </cfRule>
    <cfRule type="expression" priority="5803" dxfId="1">
      <formula>AND(IF($Q81=3,1,0),IF($X81&lt;30,1,0))</formula>
    </cfRule>
    <cfRule type="expression" priority="5804" dxfId="0">
      <formula>AND(IF($Q81=3,1,IF($Q81=4,1,0)),IF($F81&lt;=85,1,0))</formula>
    </cfRule>
  </conditionalFormatting>
  <conditionalFormatting sqref="AI81">
    <cfRule type="expression" priority="5797" dxfId="3">
      <formula>AND(IF(OR($Q81=1,$Q81=2),1,0),IF($X81&lt;=20,1,0))</formula>
    </cfRule>
    <cfRule type="expression" priority="5798" dxfId="2">
      <formula>AND(IF($Q81=2,1,0),IF($X81&lt;30,1,0))</formula>
    </cfRule>
    <cfRule type="expression" priority="5799" dxfId="1">
      <formula>AND(IF($Q81=3,1,0),IF($X81&lt;30,1,0))</formula>
    </cfRule>
    <cfRule type="expression" priority="5800" dxfId="0">
      <formula>AND(IF($Q81=3,1,IF($Q81=4,1,0)),IF($F81&lt;=85,1,0))</formula>
    </cfRule>
  </conditionalFormatting>
  <conditionalFormatting sqref="AV82">
    <cfRule type="expression" priority="5795" dxfId="23">
      <formula>AV82="X"</formula>
    </cfRule>
    <cfRule type="expression" priority="5796" dxfId="22">
      <formula>AV82="후보"</formula>
    </cfRule>
  </conditionalFormatting>
  <conditionalFormatting sqref="AC8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2">
    <cfRule type="expression" priority="5787" dxfId="3">
      <formula>AND(IF(OR($Q82=1,$Q82=2),1,0),IF($X82&lt;=20,1,0))</formula>
    </cfRule>
    <cfRule type="expression" priority="5788" dxfId="2">
      <formula>AND(IF($Q82=2,1,0),IF($X82&lt;30,1,0))</formula>
    </cfRule>
    <cfRule type="expression" priority="5789" dxfId="1">
      <formula>AND(IF($Q82=3,1,0),IF($X82&lt;30,1,0))</formula>
    </cfRule>
    <cfRule type="expression" priority="5790" dxfId="0">
      <formula>AND(IF($Q82=3,1,IF($Q82=4,1,0)),IF($F82&lt;=85,1,0))</formula>
    </cfRule>
  </conditionalFormatting>
  <conditionalFormatting sqref="X82">
    <cfRule type="expression" priority="5783" dxfId="3">
      <formula>AND(IF(OR($Q82=1,$Q82=2),1,0),IF($X82&lt;=20,1,0))</formula>
    </cfRule>
    <cfRule type="expression" priority="5784" dxfId="2">
      <formula>AND(IF($Q82=2,1,0),IF($X82&lt;30,1,0))</formula>
    </cfRule>
    <cfRule type="expression" priority="5785" dxfId="1">
      <formula>AND(IF($Q82=3,1,0),IF($X82&lt;30,1,0))</formula>
    </cfRule>
    <cfRule type="expression" priority="5786" dxfId="0">
      <formula>AND(IF($Q82=3,1,IF($Q82=4,1,0)),IF($F82&lt;=85,1,0))</formula>
    </cfRule>
  </conditionalFormatting>
  <conditionalFormatting sqref="AI82">
    <cfRule type="expression" priority="5779" dxfId="3">
      <formula>AND(IF(OR($Q82=1,$Q82=2),1,0),IF($X82&lt;=20,1,0))</formula>
    </cfRule>
    <cfRule type="expression" priority="5780" dxfId="2">
      <formula>AND(IF($Q82=2,1,0),IF($X82&lt;30,1,0))</formula>
    </cfRule>
    <cfRule type="expression" priority="5781" dxfId="1">
      <formula>AND(IF($Q82=3,1,0),IF($X82&lt;30,1,0))</formula>
    </cfRule>
    <cfRule type="expression" priority="5782" dxfId="0">
      <formula>AND(IF($Q82=3,1,IF($Q82=4,1,0)),IF($F82&lt;=85,1,0))</formula>
    </cfRule>
  </conditionalFormatting>
  <conditionalFormatting sqref="AV83">
    <cfRule type="expression" priority="5777" dxfId="23">
      <formula>AV83="X"</formula>
    </cfRule>
    <cfRule type="expression" priority="5778" dxfId="22">
      <formula>AV83="후보"</formula>
    </cfRule>
  </conditionalFormatting>
  <conditionalFormatting sqref="AC8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3">
    <cfRule type="expression" priority="5769" dxfId="3">
      <formula>AND(IF(OR($Q83=1,$Q83=2),1,0),IF($X83&lt;=20,1,0))</formula>
    </cfRule>
    <cfRule type="expression" priority="5770" dxfId="2">
      <formula>AND(IF($Q83=2,1,0),IF($X83&lt;30,1,0))</formula>
    </cfRule>
    <cfRule type="expression" priority="5771" dxfId="1">
      <formula>AND(IF($Q83=3,1,0),IF($X83&lt;30,1,0))</formula>
    </cfRule>
    <cfRule type="expression" priority="5772" dxfId="0">
      <formula>AND(IF($Q83=3,1,IF($Q83=4,1,0)),IF($F83&lt;=85,1,0))</formula>
    </cfRule>
  </conditionalFormatting>
  <conditionalFormatting sqref="X83">
    <cfRule type="expression" priority="5765" dxfId="3">
      <formula>AND(IF(OR($Q83=1,$Q83=2),1,0),IF($X83&lt;=20,1,0))</formula>
    </cfRule>
    <cfRule type="expression" priority="5766" dxfId="2">
      <formula>AND(IF($Q83=2,1,0),IF($X83&lt;30,1,0))</formula>
    </cfRule>
    <cfRule type="expression" priority="5767" dxfId="1">
      <formula>AND(IF($Q83=3,1,0),IF($X83&lt;30,1,0))</formula>
    </cfRule>
    <cfRule type="expression" priority="5768" dxfId="0">
      <formula>AND(IF($Q83=3,1,IF($Q83=4,1,0)),IF($F83&lt;=85,1,0))</formula>
    </cfRule>
  </conditionalFormatting>
  <conditionalFormatting sqref="AI83">
    <cfRule type="expression" priority="5761" dxfId="3">
      <formula>AND(IF(OR($Q83=1,$Q83=2),1,0),IF($X83&lt;=20,1,0))</formula>
    </cfRule>
    <cfRule type="expression" priority="5762" dxfId="2">
      <formula>AND(IF($Q83=2,1,0),IF($X83&lt;30,1,0))</formula>
    </cfRule>
    <cfRule type="expression" priority="5763" dxfId="1">
      <formula>AND(IF($Q83=3,1,0),IF($X83&lt;30,1,0))</formula>
    </cfRule>
    <cfRule type="expression" priority="5764" dxfId="0">
      <formula>AND(IF($Q83=3,1,IF($Q83=4,1,0)),IF($F83&lt;=85,1,0))</formula>
    </cfRule>
  </conditionalFormatting>
  <conditionalFormatting sqref="AV84">
    <cfRule type="expression" priority="5759" dxfId="23">
      <formula>AV84="X"</formula>
    </cfRule>
    <cfRule type="expression" priority="5760" dxfId="22">
      <formula>AV84="후보"</formula>
    </cfRule>
  </conditionalFormatting>
  <conditionalFormatting sqref="AC8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8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84">
    <cfRule type="expression" priority="5751" dxfId="3">
      <formula>AND(IF(OR($Q84=1,$Q84=2),1,0),IF($X84&lt;=20,1,0))</formula>
    </cfRule>
    <cfRule type="expression" priority="5752" dxfId="2">
      <formula>AND(IF($Q84=2,1,0),IF($X84&lt;30,1,0))</formula>
    </cfRule>
    <cfRule type="expression" priority="5753" dxfId="1">
      <formula>AND(IF($Q84=3,1,0),IF($X84&lt;30,1,0))</formula>
    </cfRule>
    <cfRule type="expression" priority="5754" dxfId="0">
      <formula>AND(IF($Q84=3,1,IF($Q84=4,1,0)),IF($F84&lt;=85,1,0))</formula>
    </cfRule>
  </conditionalFormatting>
  <conditionalFormatting sqref="X84">
    <cfRule type="expression" priority="5747" dxfId="3">
      <formula>AND(IF(OR($Q84=1,$Q84=2),1,0),IF($X84&lt;=20,1,0))</formula>
    </cfRule>
    <cfRule type="expression" priority="5748" dxfId="2">
      <formula>AND(IF($Q84=2,1,0),IF($X84&lt;30,1,0))</formula>
    </cfRule>
    <cfRule type="expression" priority="5749" dxfId="1">
      <formula>AND(IF($Q84=3,1,0),IF($X84&lt;30,1,0))</formula>
    </cfRule>
    <cfRule type="expression" priority="5750" dxfId="0">
      <formula>AND(IF($Q84=3,1,IF($Q84=4,1,0)),IF($F84&lt;=85,1,0))</formula>
    </cfRule>
  </conditionalFormatting>
  <conditionalFormatting sqref="AI84">
    <cfRule type="expression" priority="5743" dxfId="3">
      <formula>AND(IF(OR($Q84=1,$Q84=2),1,0),IF($X84&lt;=20,1,0))</formula>
    </cfRule>
    <cfRule type="expression" priority="5744" dxfId="2">
      <formula>AND(IF($Q84=2,1,0),IF($X84&lt;30,1,0))</formula>
    </cfRule>
    <cfRule type="expression" priority="5745" dxfId="1">
      <formula>AND(IF($Q84=3,1,0),IF($X84&lt;30,1,0))</formula>
    </cfRule>
    <cfRule type="expression" priority="5746" dxfId="0">
      <formula>AND(IF($Q84=3,1,IF($Q84=4,1,0)),IF($F84&lt;=85,1,0))</formula>
    </cfRule>
  </conditionalFormatting>
  <conditionalFormatting sqref="AV85">
    <cfRule type="expression" priority="5741" dxfId="23">
      <formula>AV85="X"</formula>
    </cfRule>
    <cfRule type="expression" priority="5742" dxfId="22">
      <formula>AV85="후보"</formula>
    </cfRule>
  </conditionalFormatting>
  <conditionalFormatting sqref="AC8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8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85">
    <cfRule type="expression" priority="5733" dxfId="3">
      <formula>AND(IF(OR($Q85=1,$Q85=2),1,0),IF($X85&lt;=20,1,0))</formula>
    </cfRule>
    <cfRule type="expression" priority="5734" dxfId="2">
      <formula>AND(IF($Q85=2,1,0),IF($X85&lt;30,1,0))</formula>
    </cfRule>
    <cfRule type="expression" priority="5735" dxfId="1">
      <formula>AND(IF($Q85=3,1,0),IF($X85&lt;30,1,0))</formula>
    </cfRule>
    <cfRule type="expression" priority="5736" dxfId="0">
      <formula>AND(IF($Q85=3,1,IF($Q85=4,1,0)),IF($F85&lt;=85,1,0))</formula>
    </cfRule>
  </conditionalFormatting>
  <conditionalFormatting sqref="X85">
    <cfRule type="expression" priority="5729" dxfId="3">
      <formula>AND(IF(OR($Q85=1,$Q85=2),1,0),IF($X85&lt;=20,1,0))</formula>
    </cfRule>
    <cfRule type="expression" priority="5730" dxfId="2">
      <formula>AND(IF($Q85=2,1,0),IF($X85&lt;30,1,0))</formula>
    </cfRule>
    <cfRule type="expression" priority="5731" dxfId="1">
      <formula>AND(IF($Q85=3,1,0),IF($X85&lt;30,1,0))</formula>
    </cfRule>
    <cfRule type="expression" priority="5732" dxfId="0">
      <formula>AND(IF($Q85=3,1,IF($Q85=4,1,0)),IF($F85&lt;=85,1,0))</formula>
    </cfRule>
  </conditionalFormatting>
  <conditionalFormatting sqref="AI85">
    <cfRule type="expression" priority="5725" dxfId="3">
      <formula>AND(IF(OR($Q85=1,$Q85=2),1,0),IF($X85&lt;=20,1,0))</formula>
    </cfRule>
    <cfRule type="expression" priority="5726" dxfId="2">
      <formula>AND(IF($Q85=2,1,0),IF($X85&lt;30,1,0))</formula>
    </cfRule>
    <cfRule type="expression" priority="5727" dxfId="1">
      <formula>AND(IF($Q85=3,1,0),IF($X85&lt;30,1,0))</formula>
    </cfRule>
    <cfRule type="expression" priority="5728" dxfId="0">
      <formula>AND(IF($Q85=3,1,IF($Q85=4,1,0)),IF($F85&lt;=85,1,0))</formula>
    </cfRule>
  </conditionalFormatting>
  <conditionalFormatting sqref="AV86">
    <cfRule type="expression" priority="5723" dxfId="23">
      <formula>AV86="X"</formula>
    </cfRule>
    <cfRule type="expression" priority="5724" dxfId="22">
      <formula>AV86="후보"</formula>
    </cfRule>
  </conditionalFormatting>
  <conditionalFormatting sqref="AC8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8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86">
    <cfRule type="expression" priority="5715" dxfId="3">
      <formula>AND(IF(OR($Q86=1,$Q86=2),1,0),IF($X86&lt;=20,1,0))</formula>
    </cfRule>
    <cfRule type="expression" priority="5716" dxfId="2">
      <formula>AND(IF($Q86=2,1,0),IF($X86&lt;30,1,0))</formula>
    </cfRule>
    <cfRule type="expression" priority="5717" dxfId="1">
      <formula>AND(IF($Q86=3,1,0),IF($X86&lt;30,1,0))</formula>
    </cfRule>
    <cfRule type="expression" priority="5718" dxfId="0">
      <formula>AND(IF($Q86=3,1,IF($Q86=4,1,0)),IF($F86&lt;=85,1,0))</formula>
    </cfRule>
  </conditionalFormatting>
  <conditionalFormatting sqref="X86">
    <cfRule type="expression" priority="5711" dxfId="3">
      <formula>AND(IF(OR($Q86=1,$Q86=2),1,0),IF($X86&lt;=20,1,0))</formula>
    </cfRule>
    <cfRule type="expression" priority="5712" dxfId="2">
      <formula>AND(IF($Q86=2,1,0),IF($X86&lt;30,1,0))</formula>
    </cfRule>
    <cfRule type="expression" priority="5713" dxfId="1">
      <formula>AND(IF($Q86=3,1,0),IF($X86&lt;30,1,0))</formula>
    </cfRule>
    <cfRule type="expression" priority="5714" dxfId="0">
      <formula>AND(IF($Q86=3,1,IF($Q86=4,1,0)),IF($F86&lt;=85,1,0))</formula>
    </cfRule>
  </conditionalFormatting>
  <conditionalFormatting sqref="AI86">
    <cfRule type="expression" priority="5707" dxfId="3">
      <formula>AND(IF(OR($Q86=1,$Q86=2),1,0),IF($X86&lt;=20,1,0))</formula>
    </cfRule>
    <cfRule type="expression" priority="5708" dxfId="2">
      <formula>AND(IF($Q86=2,1,0),IF($X86&lt;30,1,0))</formula>
    </cfRule>
    <cfRule type="expression" priority="5709" dxfId="1">
      <formula>AND(IF($Q86=3,1,0),IF($X86&lt;30,1,0))</formula>
    </cfRule>
    <cfRule type="expression" priority="5710" dxfId="0">
      <formula>AND(IF($Q86=3,1,IF($Q86=4,1,0)),IF($F86&lt;=85,1,0))</formula>
    </cfRule>
  </conditionalFormatting>
  <conditionalFormatting sqref="AV87">
    <cfRule type="expression" priority="5705" dxfId="23">
      <formula>AV87="X"</formula>
    </cfRule>
    <cfRule type="expression" priority="5706" dxfId="22">
      <formula>AV87="후보"</formula>
    </cfRule>
  </conditionalFormatting>
  <conditionalFormatting sqref="AC8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8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87">
    <cfRule type="expression" priority="5697" dxfId="3">
      <formula>AND(IF(OR($Q87=1,$Q87=2),1,0),IF($X87&lt;=20,1,0))</formula>
    </cfRule>
    <cfRule type="expression" priority="5698" dxfId="2">
      <formula>AND(IF($Q87=2,1,0),IF($X87&lt;30,1,0))</formula>
    </cfRule>
    <cfRule type="expression" priority="5699" dxfId="1">
      <formula>AND(IF($Q87=3,1,0),IF($X87&lt;30,1,0))</formula>
    </cfRule>
    <cfRule type="expression" priority="5700" dxfId="0">
      <formula>AND(IF($Q87=3,1,IF($Q87=4,1,0)),IF($F87&lt;=85,1,0))</formula>
    </cfRule>
  </conditionalFormatting>
  <conditionalFormatting sqref="X87">
    <cfRule type="expression" priority="5693" dxfId="3">
      <formula>AND(IF(OR($Q87=1,$Q87=2),1,0),IF($X87&lt;=20,1,0))</formula>
    </cfRule>
    <cfRule type="expression" priority="5694" dxfId="2">
      <formula>AND(IF($Q87=2,1,0),IF($X87&lt;30,1,0))</formula>
    </cfRule>
    <cfRule type="expression" priority="5695" dxfId="1">
      <formula>AND(IF($Q87=3,1,0),IF($X87&lt;30,1,0))</formula>
    </cfRule>
    <cfRule type="expression" priority="5696" dxfId="0">
      <formula>AND(IF($Q87=3,1,IF($Q87=4,1,0)),IF($F87&lt;=85,1,0))</formula>
    </cfRule>
  </conditionalFormatting>
  <conditionalFormatting sqref="AI87">
    <cfRule type="expression" priority="5689" dxfId="3">
      <formula>AND(IF(OR($Q87=1,$Q87=2),1,0),IF($X87&lt;=20,1,0))</formula>
    </cfRule>
    <cfRule type="expression" priority="5690" dxfId="2">
      <formula>AND(IF($Q87=2,1,0),IF($X87&lt;30,1,0))</formula>
    </cfRule>
    <cfRule type="expression" priority="5691" dxfId="1">
      <formula>AND(IF($Q87=3,1,0),IF($X87&lt;30,1,0))</formula>
    </cfRule>
    <cfRule type="expression" priority="5692" dxfId="0">
      <formula>AND(IF($Q87=3,1,IF($Q87=4,1,0)),IF($F87&lt;=85,1,0))</formula>
    </cfRule>
  </conditionalFormatting>
  <conditionalFormatting sqref="AV88">
    <cfRule type="expression" priority="5687" dxfId="23">
      <formula>AV88="X"</formula>
    </cfRule>
    <cfRule type="expression" priority="5688" dxfId="22">
      <formula>AV88="후보"</formula>
    </cfRule>
  </conditionalFormatting>
  <conditionalFormatting sqref="AC8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8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88">
    <cfRule type="expression" priority="5679" dxfId="3">
      <formula>AND(IF(OR($Q88=1,$Q88=2),1,0),IF($X88&lt;=20,1,0))</formula>
    </cfRule>
    <cfRule type="expression" priority="5680" dxfId="2">
      <formula>AND(IF($Q88=2,1,0),IF($X88&lt;30,1,0))</formula>
    </cfRule>
    <cfRule type="expression" priority="5681" dxfId="1">
      <formula>AND(IF($Q88=3,1,0),IF($X88&lt;30,1,0))</formula>
    </cfRule>
    <cfRule type="expression" priority="5682" dxfId="0">
      <formula>AND(IF($Q88=3,1,IF($Q88=4,1,0)),IF($F88&lt;=85,1,0))</formula>
    </cfRule>
  </conditionalFormatting>
  <conditionalFormatting sqref="X88">
    <cfRule type="expression" priority="5675" dxfId="3">
      <formula>AND(IF(OR($Q88=1,$Q88=2),1,0),IF($X88&lt;=20,1,0))</formula>
    </cfRule>
    <cfRule type="expression" priority="5676" dxfId="2">
      <formula>AND(IF($Q88=2,1,0),IF($X88&lt;30,1,0))</formula>
    </cfRule>
    <cfRule type="expression" priority="5677" dxfId="1">
      <formula>AND(IF($Q88=3,1,0),IF($X88&lt;30,1,0))</formula>
    </cfRule>
    <cfRule type="expression" priority="5678" dxfId="0">
      <formula>AND(IF($Q88=3,1,IF($Q88=4,1,0)),IF($F88&lt;=85,1,0))</formula>
    </cfRule>
  </conditionalFormatting>
  <conditionalFormatting sqref="AI88">
    <cfRule type="expression" priority="5671" dxfId="3">
      <formula>AND(IF(OR($Q88=1,$Q88=2),1,0),IF($X88&lt;=20,1,0))</formula>
    </cfRule>
    <cfRule type="expression" priority="5672" dxfId="2">
      <formula>AND(IF($Q88=2,1,0),IF($X88&lt;30,1,0))</formula>
    </cfRule>
    <cfRule type="expression" priority="5673" dxfId="1">
      <formula>AND(IF($Q88=3,1,0),IF($X88&lt;30,1,0))</formula>
    </cfRule>
    <cfRule type="expression" priority="5674" dxfId="0">
      <formula>AND(IF($Q88=3,1,IF($Q88=4,1,0)),IF($F88&lt;=85,1,0))</formula>
    </cfRule>
  </conditionalFormatting>
  <conditionalFormatting sqref="AV89">
    <cfRule type="expression" priority="5669" dxfId="23">
      <formula>AV89="X"</formula>
    </cfRule>
    <cfRule type="expression" priority="5670" dxfId="22">
      <formula>AV89="후보"</formula>
    </cfRule>
  </conditionalFormatting>
  <conditionalFormatting sqref="AC8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8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89">
    <cfRule type="expression" priority="5661" dxfId="3">
      <formula>AND(IF(OR($Q89=1,$Q89=2),1,0),IF($X89&lt;=20,1,0))</formula>
    </cfRule>
    <cfRule type="expression" priority="5662" dxfId="2">
      <formula>AND(IF($Q89=2,1,0),IF($X89&lt;30,1,0))</formula>
    </cfRule>
    <cfRule type="expression" priority="5663" dxfId="1">
      <formula>AND(IF($Q89=3,1,0),IF($X89&lt;30,1,0))</formula>
    </cfRule>
    <cfRule type="expression" priority="5664" dxfId="0">
      <formula>AND(IF($Q89=3,1,IF($Q89=4,1,0)),IF($F89&lt;=85,1,0))</formula>
    </cfRule>
  </conditionalFormatting>
  <conditionalFormatting sqref="X89">
    <cfRule type="expression" priority="5657" dxfId="3">
      <formula>AND(IF(OR($Q89=1,$Q89=2),1,0),IF($X89&lt;=20,1,0))</formula>
    </cfRule>
    <cfRule type="expression" priority="5658" dxfId="2">
      <formula>AND(IF($Q89=2,1,0),IF($X89&lt;30,1,0))</formula>
    </cfRule>
    <cfRule type="expression" priority="5659" dxfId="1">
      <formula>AND(IF($Q89=3,1,0),IF($X89&lt;30,1,0))</formula>
    </cfRule>
    <cfRule type="expression" priority="5660" dxfId="0">
      <formula>AND(IF($Q89=3,1,IF($Q89=4,1,0)),IF($F89&lt;=85,1,0))</formula>
    </cfRule>
  </conditionalFormatting>
  <conditionalFormatting sqref="AI89">
    <cfRule type="expression" priority="5653" dxfId="3">
      <formula>AND(IF(OR($Q89=1,$Q89=2),1,0),IF($X89&lt;=20,1,0))</formula>
    </cfRule>
    <cfRule type="expression" priority="5654" dxfId="2">
      <formula>AND(IF($Q89=2,1,0),IF($X89&lt;30,1,0))</formula>
    </cfRule>
    <cfRule type="expression" priority="5655" dxfId="1">
      <formula>AND(IF($Q89=3,1,0),IF($X89&lt;30,1,0))</formula>
    </cfRule>
    <cfRule type="expression" priority="5656" dxfId="0">
      <formula>AND(IF($Q89=3,1,IF($Q89=4,1,0)),IF($F89&lt;=85,1,0))</formula>
    </cfRule>
  </conditionalFormatting>
  <conditionalFormatting sqref="AV90">
    <cfRule type="expression" priority="5651" dxfId="23">
      <formula>AV90="X"</formula>
    </cfRule>
    <cfRule type="expression" priority="5652" dxfId="22">
      <formula>AV90="후보"</formula>
    </cfRule>
  </conditionalFormatting>
  <conditionalFormatting sqref="AC9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0">
    <cfRule type="expression" priority="5643" dxfId="3">
      <formula>AND(IF(OR($Q90=1,$Q90=2),1,0),IF($X90&lt;=20,1,0))</formula>
    </cfRule>
    <cfRule type="expression" priority="5644" dxfId="2">
      <formula>AND(IF($Q90=2,1,0),IF($X90&lt;30,1,0))</formula>
    </cfRule>
    <cfRule type="expression" priority="5645" dxfId="1">
      <formula>AND(IF($Q90=3,1,0),IF($X90&lt;30,1,0))</formula>
    </cfRule>
    <cfRule type="expression" priority="5646" dxfId="0">
      <formula>AND(IF($Q90=3,1,IF($Q90=4,1,0)),IF($F90&lt;=85,1,0))</formula>
    </cfRule>
  </conditionalFormatting>
  <conditionalFormatting sqref="X90">
    <cfRule type="expression" priority="5639" dxfId="3">
      <formula>AND(IF(OR($Q90=1,$Q90=2),1,0),IF($X90&lt;=20,1,0))</formula>
    </cfRule>
    <cfRule type="expression" priority="5640" dxfId="2">
      <formula>AND(IF($Q90=2,1,0),IF($X90&lt;30,1,0))</formula>
    </cfRule>
    <cfRule type="expression" priority="5641" dxfId="1">
      <formula>AND(IF($Q90=3,1,0),IF($X90&lt;30,1,0))</formula>
    </cfRule>
    <cfRule type="expression" priority="5642" dxfId="0">
      <formula>AND(IF($Q90=3,1,IF($Q90=4,1,0)),IF($F90&lt;=85,1,0))</formula>
    </cfRule>
  </conditionalFormatting>
  <conditionalFormatting sqref="AI90">
    <cfRule type="expression" priority="5635" dxfId="3">
      <formula>AND(IF(OR($Q90=1,$Q90=2),1,0),IF($X90&lt;=20,1,0))</formula>
    </cfRule>
    <cfRule type="expression" priority="5636" dxfId="2">
      <formula>AND(IF($Q90=2,1,0),IF($X90&lt;30,1,0))</formula>
    </cfRule>
    <cfRule type="expression" priority="5637" dxfId="1">
      <formula>AND(IF($Q90=3,1,0),IF($X90&lt;30,1,0))</formula>
    </cfRule>
    <cfRule type="expression" priority="5638" dxfId="0">
      <formula>AND(IF($Q90=3,1,IF($Q90=4,1,0)),IF($F90&lt;=85,1,0))</formula>
    </cfRule>
  </conditionalFormatting>
  <conditionalFormatting sqref="AV91">
    <cfRule type="expression" priority="5633" dxfId="23">
      <formula>AV91="X"</formula>
    </cfRule>
    <cfRule type="expression" priority="5634" dxfId="22">
      <formula>AV91="후보"</formula>
    </cfRule>
  </conditionalFormatting>
  <conditionalFormatting sqref="AC9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1">
    <cfRule type="expression" priority="5625" dxfId="3">
      <formula>AND(IF(OR($Q91=1,$Q91=2),1,0),IF($X91&lt;=20,1,0))</formula>
    </cfRule>
    <cfRule type="expression" priority="5626" dxfId="2">
      <formula>AND(IF($Q91=2,1,0),IF($X91&lt;30,1,0))</formula>
    </cfRule>
    <cfRule type="expression" priority="5627" dxfId="1">
      <formula>AND(IF($Q91=3,1,0),IF($X91&lt;30,1,0))</formula>
    </cfRule>
    <cfRule type="expression" priority="5628" dxfId="0">
      <formula>AND(IF($Q91=3,1,IF($Q91=4,1,0)),IF($F91&lt;=85,1,0))</formula>
    </cfRule>
  </conditionalFormatting>
  <conditionalFormatting sqref="X91">
    <cfRule type="expression" priority="5621" dxfId="3">
      <formula>AND(IF(OR($Q91=1,$Q91=2),1,0),IF($X91&lt;=20,1,0))</formula>
    </cfRule>
    <cfRule type="expression" priority="5622" dxfId="2">
      <formula>AND(IF($Q91=2,1,0),IF($X91&lt;30,1,0))</formula>
    </cfRule>
    <cfRule type="expression" priority="5623" dxfId="1">
      <formula>AND(IF($Q91=3,1,0),IF($X91&lt;30,1,0))</formula>
    </cfRule>
    <cfRule type="expression" priority="5624" dxfId="0">
      <formula>AND(IF($Q91=3,1,IF($Q91=4,1,0)),IF($F91&lt;=85,1,0))</formula>
    </cfRule>
  </conditionalFormatting>
  <conditionalFormatting sqref="AI91">
    <cfRule type="expression" priority="5617" dxfId="3">
      <formula>AND(IF(OR($Q91=1,$Q91=2),1,0),IF($X91&lt;=20,1,0))</formula>
    </cfRule>
    <cfRule type="expression" priority="5618" dxfId="2">
      <formula>AND(IF($Q91=2,1,0),IF($X91&lt;30,1,0))</formula>
    </cfRule>
    <cfRule type="expression" priority="5619" dxfId="1">
      <formula>AND(IF($Q91=3,1,0),IF($X91&lt;30,1,0))</formula>
    </cfRule>
    <cfRule type="expression" priority="5620" dxfId="0">
      <formula>AND(IF($Q91=3,1,IF($Q91=4,1,0)),IF($F91&lt;=85,1,0))</formula>
    </cfRule>
  </conditionalFormatting>
  <conditionalFormatting sqref="AV92">
    <cfRule type="expression" priority="5615" dxfId="23">
      <formula>AV92="X"</formula>
    </cfRule>
    <cfRule type="expression" priority="5616" dxfId="22">
      <formula>AV92="후보"</formula>
    </cfRule>
  </conditionalFormatting>
  <conditionalFormatting sqref="AC9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2">
    <cfRule type="expression" priority="5607" dxfId="3">
      <formula>AND(IF(OR($Q92=1,$Q92=2),1,0),IF($X92&lt;=20,1,0))</formula>
    </cfRule>
    <cfRule type="expression" priority="5608" dxfId="2">
      <formula>AND(IF($Q92=2,1,0),IF($X92&lt;30,1,0))</formula>
    </cfRule>
    <cfRule type="expression" priority="5609" dxfId="1">
      <formula>AND(IF($Q92=3,1,0),IF($X92&lt;30,1,0))</formula>
    </cfRule>
    <cfRule type="expression" priority="5610" dxfId="0">
      <formula>AND(IF($Q92=3,1,IF($Q92=4,1,0)),IF($F92&lt;=85,1,0))</formula>
    </cfRule>
  </conditionalFormatting>
  <conditionalFormatting sqref="X92">
    <cfRule type="expression" priority="5603" dxfId="3">
      <formula>AND(IF(OR($Q92=1,$Q92=2),1,0),IF($X92&lt;=20,1,0))</formula>
    </cfRule>
    <cfRule type="expression" priority="5604" dxfId="2">
      <formula>AND(IF($Q92=2,1,0),IF($X92&lt;30,1,0))</formula>
    </cfRule>
    <cfRule type="expression" priority="5605" dxfId="1">
      <formula>AND(IF($Q92=3,1,0),IF($X92&lt;30,1,0))</formula>
    </cfRule>
    <cfRule type="expression" priority="5606" dxfId="0">
      <formula>AND(IF($Q92=3,1,IF($Q92=4,1,0)),IF($F92&lt;=85,1,0))</formula>
    </cfRule>
  </conditionalFormatting>
  <conditionalFormatting sqref="AI92">
    <cfRule type="expression" priority="5599" dxfId="3">
      <formula>AND(IF(OR($Q92=1,$Q92=2),1,0),IF($X92&lt;=20,1,0))</formula>
    </cfRule>
    <cfRule type="expression" priority="5600" dxfId="2">
      <formula>AND(IF($Q92=2,1,0),IF($X92&lt;30,1,0))</formula>
    </cfRule>
    <cfRule type="expression" priority="5601" dxfId="1">
      <formula>AND(IF($Q92=3,1,0),IF($X92&lt;30,1,0))</formula>
    </cfRule>
    <cfRule type="expression" priority="5602" dxfId="0">
      <formula>AND(IF($Q92=3,1,IF($Q92=4,1,0)),IF($F92&lt;=85,1,0))</formula>
    </cfRule>
  </conditionalFormatting>
  <conditionalFormatting sqref="AV93">
    <cfRule type="expression" priority="5597" dxfId="23">
      <formula>AV93="X"</formula>
    </cfRule>
    <cfRule type="expression" priority="5598" dxfId="22">
      <formula>AV93="후보"</formula>
    </cfRule>
  </conditionalFormatting>
  <conditionalFormatting sqref="AC9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3">
    <cfRule type="expression" priority="5589" dxfId="3">
      <formula>AND(IF(OR($Q93=1,$Q93=2),1,0),IF($X93&lt;=20,1,0))</formula>
    </cfRule>
    <cfRule type="expression" priority="5590" dxfId="2">
      <formula>AND(IF($Q93=2,1,0),IF($X93&lt;30,1,0))</formula>
    </cfRule>
    <cfRule type="expression" priority="5591" dxfId="1">
      <formula>AND(IF($Q93=3,1,0),IF($X93&lt;30,1,0))</formula>
    </cfRule>
    <cfRule type="expression" priority="5592" dxfId="0">
      <formula>AND(IF($Q93=3,1,IF($Q93=4,1,0)),IF($F93&lt;=85,1,0))</formula>
    </cfRule>
  </conditionalFormatting>
  <conditionalFormatting sqref="X93">
    <cfRule type="expression" priority="5585" dxfId="3">
      <formula>AND(IF(OR($Q93=1,$Q93=2),1,0),IF($X93&lt;=20,1,0))</formula>
    </cfRule>
    <cfRule type="expression" priority="5586" dxfId="2">
      <formula>AND(IF($Q93=2,1,0),IF($X93&lt;30,1,0))</formula>
    </cfRule>
    <cfRule type="expression" priority="5587" dxfId="1">
      <formula>AND(IF($Q93=3,1,0),IF($X93&lt;30,1,0))</formula>
    </cfRule>
    <cfRule type="expression" priority="5588" dxfId="0">
      <formula>AND(IF($Q93=3,1,IF($Q93=4,1,0)),IF($F93&lt;=85,1,0))</formula>
    </cfRule>
  </conditionalFormatting>
  <conditionalFormatting sqref="AI93">
    <cfRule type="expression" priority="5581" dxfId="3">
      <formula>AND(IF(OR($Q93=1,$Q93=2),1,0),IF($X93&lt;=20,1,0))</formula>
    </cfRule>
    <cfRule type="expression" priority="5582" dxfId="2">
      <formula>AND(IF($Q93=2,1,0),IF($X93&lt;30,1,0))</formula>
    </cfRule>
    <cfRule type="expression" priority="5583" dxfId="1">
      <formula>AND(IF($Q93=3,1,0),IF($X93&lt;30,1,0))</formula>
    </cfRule>
    <cfRule type="expression" priority="5584" dxfId="0">
      <formula>AND(IF($Q93=3,1,IF($Q93=4,1,0)),IF($F93&lt;=85,1,0))</formula>
    </cfRule>
  </conditionalFormatting>
  <conditionalFormatting sqref="AV94">
    <cfRule type="expression" priority="5579" dxfId="23">
      <formula>AV94="X"</formula>
    </cfRule>
    <cfRule type="expression" priority="5580" dxfId="22">
      <formula>AV94="후보"</formula>
    </cfRule>
  </conditionalFormatting>
  <conditionalFormatting sqref="AC9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9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94">
    <cfRule type="expression" priority="5571" dxfId="3">
      <formula>AND(IF(OR($Q94=1,$Q94=2),1,0),IF($X94&lt;=20,1,0))</formula>
    </cfRule>
    <cfRule type="expression" priority="5572" dxfId="2">
      <formula>AND(IF($Q94=2,1,0),IF($X94&lt;30,1,0))</formula>
    </cfRule>
    <cfRule type="expression" priority="5573" dxfId="1">
      <formula>AND(IF($Q94=3,1,0),IF($X94&lt;30,1,0))</formula>
    </cfRule>
    <cfRule type="expression" priority="5574" dxfId="0">
      <formula>AND(IF($Q94=3,1,IF($Q94=4,1,0)),IF($F94&lt;=85,1,0))</formula>
    </cfRule>
  </conditionalFormatting>
  <conditionalFormatting sqref="X94">
    <cfRule type="expression" priority="5567" dxfId="3">
      <formula>AND(IF(OR($Q94=1,$Q94=2),1,0),IF($X94&lt;=20,1,0))</formula>
    </cfRule>
    <cfRule type="expression" priority="5568" dxfId="2">
      <formula>AND(IF($Q94=2,1,0),IF($X94&lt;30,1,0))</formula>
    </cfRule>
    <cfRule type="expression" priority="5569" dxfId="1">
      <formula>AND(IF($Q94=3,1,0),IF($X94&lt;30,1,0))</formula>
    </cfRule>
    <cfRule type="expression" priority="5570" dxfId="0">
      <formula>AND(IF($Q94=3,1,IF($Q94=4,1,0)),IF($F94&lt;=85,1,0))</formula>
    </cfRule>
  </conditionalFormatting>
  <conditionalFormatting sqref="AI94">
    <cfRule type="expression" priority="5563" dxfId="3">
      <formula>AND(IF(OR($Q94=1,$Q94=2),1,0),IF($X94&lt;=20,1,0))</formula>
    </cfRule>
    <cfRule type="expression" priority="5564" dxfId="2">
      <formula>AND(IF($Q94=2,1,0),IF($X94&lt;30,1,0))</formula>
    </cfRule>
    <cfRule type="expression" priority="5565" dxfId="1">
      <formula>AND(IF($Q94=3,1,0),IF($X94&lt;30,1,0))</formula>
    </cfRule>
    <cfRule type="expression" priority="5566" dxfId="0">
      <formula>AND(IF($Q94=3,1,IF($Q94=4,1,0)),IF($F94&lt;=85,1,0))</formula>
    </cfRule>
  </conditionalFormatting>
  <conditionalFormatting sqref="AV95">
    <cfRule type="expression" priority="5561" dxfId="23">
      <formula>AV95="X"</formula>
    </cfRule>
    <cfRule type="expression" priority="5562" dxfId="22">
      <formula>AV95="후보"</formula>
    </cfRule>
  </conditionalFormatting>
  <conditionalFormatting sqref="AC9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9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95">
    <cfRule type="expression" priority="5553" dxfId="3">
      <formula>AND(IF(OR($Q95=1,$Q95=2),1,0),IF($X95&lt;=20,1,0))</formula>
    </cfRule>
    <cfRule type="expression" priority="5554" dxfId="2">
      <formula>AND(IF($Q95=2,1,0),IF($X95&lt;30,1,0))</formula>
    </cfRule>
    <cfRule type="expression" priority="5555" dxfId="1">
      <formula>AND(IF($Q95=3,1,0),IF($X95&lt;30,1,0))</formula>
    </cfRule>
    <cfRule type="expression" priority="5556" dxfId="0">
      <formula>AND(IF($Q95=3,1,IF($Q95=4,1,0)),IF($F95&lt;=85,1,0))</formula>
    </cfRule>
  </conditionalFormatting>
  <conditionalFormatting sqref="X95">
    <cfRule type="expression" priority="5549" dxfId="3">
      <formula>AND(IF(OR($Q95=1,$Q95=2),1,0),IF($X95&lt;=20,1,0))</formula>
    </cfRule>
    <cfRule type="expression" priority="5550" dxfId="2">
      <formula>AND(IF($Q95=2,1,0),IF($X95&lt;30,1,0))</formula>
    </cfRule>
    <cfRule type="expression" priority="5551" dxfId="1">
      <formula>AND(IF($Q95=3,1,0),IF($X95&lt;30,1,0))</formula>
    </cfRule>
    <cfRule type="expression" priority="5552" dxfId="0">
      <formula>AND(IF($Q95=3,1,IF($Q95=4,1,0)),IF($F95&lt;=85,1,0))</formula>
    </cfRule>
  </conditionalFormatting>
  <conditionalFormatting sqref="AI95">
    <cfRule type="expression" priority="5545" dxfId="3">
      <formula>AND(IF(OR($Q95=1,$Q95=2),1,0),IF($X95&lt;=20,1,0))</formula>
    </cfRule>
    <cfRule type="expression" priority="5546" dxfId="2">
      <formula>AND(IF($Q95=2,1,0),IF($X95&lt;30,1,0))</formula>
    </cfRule>
    <cfRule type="expression" priority="5547" dxfId="1">
      <formula>AND(IF($Q95=3,1,0),IF($X95&lt;30,1,0))</formula>
    </cfRule>
    <cfRule type="expression" priority="5548" dxfId="0">
      <formula>AND(IF($Q95=3,1,IF($Q95=4,1,0)),IF($F95&lt;=85,1,0))</formula>
    </cfRule>
  </conditionalFormatting>
  <conditionalFormatting sqref="AV96">
    <cfRule type="expression" priority="5543" dxfId="23">
      <formula>AV96="X"</formula>
    </cfRule>
    <cfRule type="expression" priority="5544" dxfId="22">
      <formula>AV96="후보"</formula>
    </cfRule>
  </conditionalFormatting>
  <conditionalFormatting sqref="AC9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9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96">
    <cfRule type="expression" priority="5535" dxfId="3">
      <formula>AND(IF(OR($Q96=1,$Q96=2),1,0),IF($X96&lt;=20,1,0))</formula>
    </cfRule>
    <cfRule type="expression" priority="5536" dxfId="2">
      <formula>AND(IF($Q96=2,1,0),IF($X96&lt;30,1,0))</formula>
    </cfRule>
    <cfRule type="expression" priority="5537" dxfId="1">
      <formula>AND(IF($Q96=3,1,0),IF($X96&lt;30,1,0))</formula>
    </cfRule>
    <cfRule type="expression" priority="5538" dxfId="0">
      <formula>AND(IF($Q96=3,1,IF($Q96=4,1,0)),IF($F96&lt;=85,1,0))</formula>
    </cfRule>
  </conditionalFormatting>
  <conditionalFormatting sqref="X96">
    <cfRule type="expression" priority="5531" dxfId="3">
      <formula>AND(IF(OR($Q96=1,$Q96=2),1,0),IF($X96&lt;=20,1,0))</formula>
    </cfRule>
    <cfRule type="expression" priority="5532" dxfId="2">
      <formula>AND(IF($Q96=2,1,0),IF($X96&lt;30,1,0))</formula>
    </cfRule>
    <cfRule type="expression" priority="5533" dxfId="1">
      <formula>AND(IF($Q96=3,1,0),IF($X96&lt;30,1,0))</formula>
    </cfRule>
    <cfRule type="expression" priority="5534" dxfId="0">
      <formula>AND(IF($Q96=3,1,IF($Q96=4,1,0)),IF($F96&lt;=85,1,0))</formula>
    </cfRule>
  </conditionalFormatting>
  <conditionalFormatting sqref="AI96">
    <cfRule type="expression" priority="5527" dxfId="3">
      <formula>AND(IF(OR($Q96=1,$Q96=2),1,0),IF($X96&lt;=20,1,0))</formula>
    </cfRule>
    <cfRule type="expression" priority="5528" dxfId="2">
      <formula>AND(IF($Q96=2,1,0),IF($X96&lt;30,1,0))</formula>
    </cfRule>
    <cfRule type="expression" priority="5529" dxfId="1">
      <formula>AND(IF($Q96=3,1,0),IF($X96&lt;30,1,0))</formula>
    </cfRule>
    <cfRule type="expression" priority="5530" dxfId="0">
      <formula>AND(IF($Q96=3,1,IF($Q96=4,1,0)),IF($F96&lt;=85,1,0))</formula>
    </cfRule>
  </conditionalFormatting>
  <conditionalFormatting sqref="AV97">
    <cfRule type="expression" priority="5525" dxfId="23">
      <formula>AV97="X"</formula>
    </cfRule>
    <cfRule type="expression" priority="5526" dxfId="22">
      <formula>AV97="후보"</formula>
    </cfRule>
  </conditionalFormatting>
  <conditionalFormatting sqref="AC9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9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97">
    <cfRule type="expression" priority="5517" dxfId="3">
      <formula>AND(IF(OR($Q97=1,$Q97=2),1,0),IF($X97&lt;=20,1,0))</formula>
    </cfRule>
    <cfRule type="expression" priority="5518" dxfId="2">
      <formula>AND(IF($Q97=2,1,0),IF($X97&lt;30,1,0))</formula>
    </cfRule>
    <cfRule type="expression" priority="5519" dxfId="1">
      <formula>AND(IF($Q97=3,1,0),IF($X97&lt;30,1,0))</formula>
    </cfRule>
    <cfRule type="expression" priority="5520" dxfId="0">
      <formula>AND(IF($Q97=3,1,IF($Q97=4,1,0)),IF($F97&lt;=85,1,0))</formula>
    </cfRule>
  </conditionalFormatting>
  <conditionalFormatting sqref="X97">
    <cfRule type="expression" priority="5513" dxfId="3">
      <formula>AND(IF(OR($Q97=1,$Q97=2),1,0),IF($X97&lt;=20,1,0))</formula>
    </cfRule>
    <cfRule type="expression" priority="5514" dxfId="2">
      <formula>AND(IF($Q97=2,1,0),IF($X97&lt;30,1,0))</formula>
    </cfRule>
    <cfRule type="expression" priority="5515" dxfId="1">
      <formula>AND(IF($Q97=3,1,0),IF($X97&lt;30,1,0))</formula>
    </cfRule>
    <cfRule type="expression" priority="5516" dxfId="0">
      <formula>AND(IF($Q97=3,1,IF($Q97=4,1,0)),IF($F97&lt;=85,1,0))</formula>
    </cfRule>
  </conditionalFormatting>
  <conditionalFormatting sqref="AI97">
    <cfRule type="expression" priority="5509" dxfId="3">
      <formula>AND(IF(OR($Q97=1,$Q97=2),1,0),IF($X97&lt;=20,1,0))</formula>
    </cfRule>
    <cfRule type="expression" priority="5510" dxfId="2">
      <formula>AND(IF($Q97=2,1,0),IF($X97&lt;30,1,0))</formula>
    </cfRule>
    <cfRule type="expression" priority="5511" dxfId="1">
      <formula>AND(IF($Q97=3,1,0),IF($X97&lt;30,1,0))</formula>
    </cfRule>
    <cfRule type="expression" priority="5512" dxfId="0">
      <formula>AND(IF($Q97=3,1,IF($Q97=4,1,0)),IF($F97&lt;=85,1,0))</formula>
    </cfRule>
  </conditionalFormatting>
  <conditionalFormatting sqref="AV98">
    <cfRule type="expression" priority="5507" dxfId="23">
      <formula>AV98="X"</formula>
    </cfRule>
    <cfRule type="expression" priority="5508" dxfId="22">
      <formula>AV98="후보"</formula>
    </cfRule>
  </conditionalFormatting>
  <conditionalFormatting sqref="AC9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9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98">
    <cfRule type="expression" priority="5499" dxfId="3">
      <formula>AND(IF(OR($Q98=1,$Q98=2),1,0),IF($X98&lt;=20,1,0))</formula>
    </cfRule>
    <cfRule type="expression" priority="5500" dxfId="2">
      <formula>AND(IF($Q98=2,1,0),IF($X98&lt;30,1,0))</formula>
    </cfRule>
    <cfRule type="expression" priority="5501" dxfId="1">
      <formula>AND(IF($Q98=3,1,0),IF($X98&lt;30,1,0))</formula>
    </cfRule>
    <cfRule type="expression" priority="5502" dxfId="0">
      <formula>AND(IF($Q98=3,1,IF($Q98=4,1,0)),IF($F98&lt;=85,1,0))</formula>
    </cfRule>
  </conditionalFormatting>
  <conditionalFormatting sqref="X98">
    <cfRule type="expression" priority="5495" dxfId="3">
      <formula>AND(IF(OR($Q98=1,$Q98=2),1,0),IF($X98&lt;=20,1,0))</formula>
    </cfRule>
    <cfRule type="expression" priority="5496" dxfId="2">
      <formula>AND(IF($Q98=2,1,0),IF($X98&lt;30,1,0))</formula>
    </cfRule>
    <cfRule type="expression" priority="5497" dxfId="1">
      <formula>AND(IF($Q98=3,1,0),IF($X98&lt;30,1,0))</formula>
    </cfRule>
    <cfRule type="expression" priority="5498" dxfId="0">
      <formula>AND(IF($Q98=3,1,IF($Q98=4,1,0)),IF($F98&lt;=85,1,0))</formula>
    </cfRule>
  </conditionalFormatting>
  <conditionalFormatting sqref="AI98">
    <cfRule type="expression" priority="5491" dxfId="3">
      <formula>AND(IF(OR($Q98=1,$Q98=2),1,0),IF($X98&lt;=20,1,0))</formula>
    </cfRule>
    <cfRule type="expression" priority="5492" dxfId="2">
      <formula>AND(IF($Q98=2,1,0),IF($X98&lt;30,1,0))</formula>
    </cfRule>
    <cfRule type="expression" priority="5493" dxfId="1">
      <formula>AND(IF($Q98=3,1,0),IF($X98&lt;30,1,0))</formula>
    </cfRule>
    <cfRule type="expression" priority="5494" dxfId="0">
      <formula>AND(IF($Q98=3,1,IF($Q98=4,1,0)),IF($F98&lt;=85,1,0))</formula>
    </cfRule>
  </conditionalFormatting>
  <conditionalFormatting sqref="AV99">
    <cfRule type="expression" priority="5489" dxfId="23">
      <formula>AV99="X"</formula>
    </cfRule>
    <cfRule type="expression" priority="5490" dxfId="22">
      <formula>AV99="후보"</formula>
    </cfRule>
  </conditionalFormatting>
  <conditionalFormatting sqref="AC9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9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99">
    <cfRule type="expression" priority="5481" dxfId="3">
      <formula>AND(IF(OR($Q99=1,$Q99=2),1,0),IF($X99&lt;=20,1,0))</formula>
    </cfRule>
    <cfRule type="expression" priority="5482" dxfId="2">
      <formula>AND(IF($Q99=2,1,0),IF($X99&lt;30,1,0))</formula>
    </cfRule>
    <cfRule type="expression" priority="5483" dxfId="1">
      <formula>AND(IF($Q99=3,1,0),IF($X99&lt;30,1,0))</formula>
    </cfRule>
    <cfRule type="expression" priority="5484" dxfId="0">
      <formula>AND(IF($Q99=3,1,IF($Q99=4,1,0)),IF($F99&lt;=85,1,0))</formula>
    </cfRule>
  </conditionalFormatting>
  <conditionalFormatting sqref="X99">
    <cfRule type="expression" priority="5477" dxfId="3">
      <formula>AND(IF(OR($Q99=1,$Q99=2),1,0),IF($X99&lt;=20,1,0))</formula>
    </cfRule>
    <cfRule type="expression" priority="5478" dxfId="2">
      <formula>AND(IF($Q99=2,1,0),IF($X99&lt;30,1,0))</formula>
    </cfRule>
    <cfRule type="expression" priority="5479" dxfId="1">
      <formula>AND(IF($Q99=3,1,0),IF($X99&lt;30,1,0))</formula>
    </cfRule>
    <cfRule type="expression" priority="5480" dxfId="0">
      <formula>AND(IF($Q99=3,1,IF($Q99=4,1,0)),IF($F99&lt;=85,1,0))</formula>
    </cfRule>
  </conditionalFormatting>
  <conditionalFormatting sqref="AI99">
    <cfRule type="expression" priority="5473" dxfId="3">
      <formula>AND(IF(OR($Q99=1,$Q99=2),1,0),IF($X99&lt;=20,1,0))</formula>
    </cfRule>
    <cfRule type="expression" priority="5474" dxfId="2">
      <formula>AND(IF($Q99=2,1,0),IF($X99&lt;30,1,0))</formula>
    </cfRule>
    <cfRule type="expression" priority="5475" dxfId="1">
      <formula>AND(IF($Q99=3,1,0),IF($X99&lt;30,1,0))</formula>
    </cfRule>
    <cfRule type="expression" priority="5476" dxfId="0">
      <formula>AND(IF($Q99=3,1,IF($Q99=4,1,0)),IF($F99&lt;=85,1,0))</formula>
    </cfRule>
  </conditionalFormatting>
  <conditionalFormatting sqref="AV100">
    <cfRule type="expression" priority="5471" dxfId="23">
      <formula>AV100="X"</formula>
    </cfRule>
    <cfRule type="expression" priority="5472" dxfId="22">
      <formula>AV100="후보"</formula>
    </cfRule>
  </conditionalFormatting>
  <conditionalFormatting sqref="AC10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0">
    <cfRule type="expression" priority="5463" dxfId="3">
      <formula>AND(IF(OR($Q100=1,$Q100=2),1,0),IF($X100&lt;=20,1,0))</formula>
    </cfRule>
    <cfRule type="expression" priority="5464" dxfId="2">
      <formula>AND(IF($Q100=2,1,0),IF($X100&lt;30,1,0))</formula>
    </cfRule>
    <cfRule type="expression" priority="5465" dxfId="1">
      <formula>AND(IF($Q100=3,1,0),IF($X100&lt;30,1,0))</formula>
    </cfRule>
    <cfRule type="expression" priority="5466" dxfId="0">
      <formula>AND(IF($Q100=3,1,IF($Q100=4,1,0)),IF($F100&lt;=85,1,0))</formula>
    </cfRule>
  </conditionalFormatting>
  <conditionalFormatting sqref="X100">
    <cfRule type="expression" priority="5459" dxfId="3">
      <formula>AND(IF(OR($Q100=1,$Q100=2),1,0),IF($X100&lt;=20,1,0))</formula>
    </cfRule>
    <cfRule type="expression" priority="5460" dxfId="2">
      <formula>AND(IF($Q100=2,1,0),IF($X100&lt;30,1,0))</formula>
    </cfRule>
    <cfRule type="expression" priority="5461" dxfId="1">
      <formula>AND(IF($Q100=3,1,0),IF($X100&lt;30,1,0))</formula>
    </cfRule>
    <cfRule type="expression" priority="5462" dxfId="0">
      <formula>AND(IF($Q100=3,1,IF($Q100=4,1,0)),IF($F100&lt;=85,1,0))</formula>
    </cfRule>
  </conditionalFormatting>
  <conditionalFormatting sqref="AI100">
    <cfRule type="expression" priority="5455" dxfId="3">
      <formula>AND(IF(OR($Q100=1,$Q100=2),1,0),IF($X100&lt;=20,1,0))</formula>
    </cfRule>
    <cfRule type="expression" priority="5456" dxfId="2">
      <formula>AND(IF($Q100=2,1,0),IF($X100&lt;30,1,0))</formula>
    </cfRule>
    <cfRule type="expression" priority="5457" dxfId="1">
      <formula>AND(IF($Q100=3,1,0),IF($X100&lt;30,1,0))</formula>
    </cfRule>
    <cfRule type="expression" priority="5458" dxfId="0">
      <formula>AND(IF($Q100=3,1,IF($Q100=4,1,0)),IF($F100&lt;=85,1,0))</formula>
    </cfRule>
  </conditionalFormatting>
  <conditionalFormatting sqref="AV101">
    <cfRule type="expression" priority="5453" dxfId="23">
      <formula>AV101="X"</formula>
    </cfRule>
    <cfRule type="expression" priority="5454" dxfId="22">
      <formula>AV101="후보"</formula>
    </cfRule>
  </conditionalFormatting>
  <conditionalFormatting sqref="AC10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1">
    <cfRule type="expression" priority="5445" dxfId="3">
      <formula>AND(IF(OR($Q101=1,$Q101=2),1,0),IF($X101&lt;=20,1,0))</formula>
    </cfRule>
    <cfRule type="expression" priority="5446" dxfId="2">
      <formula>AND(IF($Q101=2,1,0),IF($X101&lt;30,1,0))</formula>
    </cfRule>
    <cfRule type="expression" priority="5447" dxfId="1">
      <formula>AND(IF($Q101=3,1,0),IF($X101&lt;30,1,0))</formula>
    </cfRule>
    <cfRule type="expression" priority="5448" dxfId="0">
      <formula>AND(IF($Q101=3,1,IF($Q101=4,1,0)),IF($F101&lt;=85,1,0))</formula>
    </cfRule>
  </conditionalFormatting>
  <conditionalFormatting sqref="X101">
    <cfRule type="expression" priority="5441" dxfId="3">
      <formula>AND(IF(OR($Q101=1,$Q101=2),1,0),IF($X101&lt;=20,1,0))</formula>
    </cfRule>
    <cfRule type="expression" priority="5442" dxfId="2">
      <formula>AND(IF($Q101=2,1,0),IF($X101&lt;30,1,0))</formula>
    </cfRule>
    <cfRule type="expression" priority="5443" dxfId="1">
      <formula>AND(IF($Q101=3,1,0),IF($X101&lt;30,1,0))</formula>
    </cfRule>
    <cfRule type="expression" priority="5444" dxfId="0">
      <formula>AND(IF($Q101=3,1,IF($Q101=4,1,0)),IF($F101&lt;=85,1,0))</formula>
    </cfRule>
  </conditionalFormatting>
  <conditionalFormatting sqref="AI101">
    <cfRule type="expression" priority="5437" dxfId="3">
      <formula>AND(IF(OR($Q101=1,$Q101=2),1,0),IF($X101&lt;=20,1,0))</formula>
    </cfRule>
    <cfRule type="expression" priority="5438" dxfId="2">
      <formula>AND(IF($Q101=2,1,0),IF($X101&lt;30,1,0))</formula>
    </cfRule>
    <cfRule type="expression" priority="5439" dxfId="1">
      <formula>AND(IF($Q101=3,1,0),IF($X101&lt;30,1,0))</formula>
    </cfRule>
    <cfRule type="expression" priority="5440" dxfId="0">
      <formula>AND(IF($Q101=3,1,IF($Q101=4,1,0)),IF($F101&lt;=85,1,0))</formula>
    </cfRule>
  </conditionalFormatting>
  <conditionalFormatting sqref="AV102">
    <cfRule type="expression" priority="5435" dxfId="23">
      <formula>AV102="X"</formula>
    </cfRule>
    <cfRule type="expression" priority="5436" dxfId="22">
      <formula>AV102="후보"</formula>
    </cfRule>
  </conditionalFormatting>
  <conditionalFormatting sqref="AC10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2">
    <cfRule type="expression" priority="5427" dxfId="3">
      <formula>AND(IF(OR($Q102=1,$Q102=2),1,0),IF($X102&lt;=20,1,0))</formula>
    </cfRule>
    <cfRule type="expression" priority="5428" dxfId="2">
      <formula>AND(IF($Q102=2,1,0),IF($X102&lt;30,1,0))</formula>
    </cfRule>
    <cfRule type="expression" priority="5429" dxfId="1">
      <formula>AND(IF($Q102=3,1,0),IF($X102&lt;30,1,0))</formula>
    </cfRule>
    <cfRule type="expression" priority="5430" dxfId="0">
      <formula>AND(IF($Q102=3,1,IF($Q102=4,1,0)),IF($F102&lt;=85,1,0))</formula>
    </cfRule>
  </conditionalFormatting>
  <conditionalFormatting sqref="X102">
    <cfRule type="expression" priority="5423" dxfId="3">
      <formula>AND(IF(OR($Q102=1,$Q102=2),1,0),IF($X102&lt;=20,1,0))</formula>
    </cfRule>
    <cfRule type="expression" priority="5424" dxfId="2">
      <formula>AND(IF($Q102=2,1,0),IF($X102&lt;30,1,0))</formula>
    </cfRule>
    <cfRule type="expression" priority="5425" dxfId="1">
      <formula>AND(IF($Q102=3,1,0),IF($X102&lt;30,1,0))</formula>
    </cfRule>
    <cfRule type="expression" priority="5426" dxfId="0">
      <formula>AND(IF($Q102=3,1,IF($Q102=4,1,0)),IF($F102&lt;=85,1,0))</formula>
    </cfRule>
  </conditionalFormatting>
  <conditionalFormatting sqref="AI102">
    <cfRule type="expression" priority="5419" dxfId="3">
      <formula>AND(IF(OR($Q102=1,$Q102=2),1,0),IF($X102&lt;=20,1,0))</formula>
    </cfRule>
    <cfRule type="expression" priority="5420" dxfId="2">
      <formula>AND(IF($Q102=2,1,0),IF($X102&lt;30,1,0))</formula>
    </cfRule>
    <cfRule type="expression" priority="5421" dxfId="1">
      <formula>AND(IF($Q102=3,1,0),IF($X102&lt;30,1,0))</formula>
    </cfRule>
    <cfRule type="expression" priority="5422" dxfId="0">
      <formula>AND(IF($Q102=3,1,IF($Q102=4,1,0)),IF($F102&lt;=85,1,0))</formula>
    </cfRule>
  </conditionalFormatting>
  <conditionalFormatting sqref="AV103">
    <cfRule type="expression" priority="5417" dxfId="23">
      <formula>AV103="X"</formula>
    </cfRule>
    <cfRule type="expression" priority="5418" dxfId="22">
      <formula>AV103="후보"</formula>
    </cfRule>
  </conditionalFormatting>
  <conditionalFormatting sqref="AC10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3">
    <cfRule type="expression" priority="5409" dxfId="3">
      <formula>AND(IF(OR($Q103=1,$Q103=2),1,0),IF($X103&lt;=20,1,0))</formula>
    </cfRule>
    <cfRule type="expression" priority="5410" dxfId="2">
      <formula>AND(IF($Q103=2,1,0),IF($X103&lt;30,1,0))</formula>
    </cfRule>
    <cfRule type="expression" priority="5411" dxfId="1">
      <formula>AND(IF($Q103=3,1,0),IF($X103&lt;30,1,0))</formula>
    </cfRule>
    <cfRule type="expression" priority="5412" dxfId="0">
      <formula>AND(IF($Q103=3,1,IF($Q103=4,1,0)),IF($F103&lt;=85,1,0))</formula>
    </cfRule>
  </conditionalFormatting>
  <conditionalFormatting sqref="X103">
    <cfRule type="expression" priority="5405" dxfId="3">
      <formula>AND(IF(OR($Q103=1,$Q103=2),1,0),IF($X103&lt;=20,1,0))</formula>
    </cfRule>
    <cfRule type="expression" priority="5406" dxfId="2">
      <formula>AND(IF($Q103=2,1,0),IF($X103&lt;30,1,0))</formula>
    </cfRule>
    <cfRule type="expression" priority="5407" dxfId="1">
      <formula>AND(IF($Q103=3,1,0),IF($X103&lt;30,1,0))</formula>
    </cfRule>
    <cfRule type="expression" priority="5408" dxfId="0">
      <formula>AND(IF($Q103=3,1,IF($Q103=4,1,0)),IF($F103&lt;=85,1,0))</formula>
    </cfRule>
  </conditionalFormatting>
  <conditionalFormatting sqref="AI103">
    <cfRule type="expression" priority="5401" dxfId="3">
      <formula>AND(IF(OR($Q103=1,$Q103=2),1,0),IF($X103&lt;=20,1,0))</formula>
    </cfRule>
    <cfRule type="expression" priority="5402" dxfId="2">
      <formula>AND(IF($Q103=2,1,0),IF($X103&lt;30,1,0))</formula>
    </cfRule>
    <cfRule type="expression" priority="5403" dxfId="1">
      <formula>AND(IF($Q103=3,1,0),IF($X103&lt;30,1,0))</formula>
    </cfRule>
    <cfRule type="expression" priority="5404" dxfId="0">
      <formula>AND(IF($Q103=3,1,IF($Q103=4,1,0)),IF($F103&lt;=85,1,0))</formula>
    </cfRule>
  </conditionalFormatting>
  <conditionalFormatting sqref="AV104">
    <cfRule type="expression" priority="5399" dxfId="23">
      <formula>AV104="X"</formula>
    </cfRule>
    <cfRule type="expression" priority="5400" dxfId="22">
      <formula>AV104="후보"</formula>
    </cfRule>
  </conditionalFormatting>
  <conditionalFormatting sqref="AC10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0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04">
    <cfRule type="expression" priority="5391" dxfId="3">
      <formula>AND(IF(OR($Q104=1,$Q104=2),1,0),IF($X104&lt;=20,1,0))</formula>
    </cfRule>
    <cfRule type="expression" priority="5392" dxfId="2">
      <formula>AND(IF($Q104=2,1,0),IF($X104&lt;30,1,0))</formula>
    </cfRule>
    <cfRule type="expression" priority="5393" dxfId="1">
      <formula>AND(IF($Q104=3,1,0),IF($X104&lt;30,1,0))</formula>
    </cfRule>
    <cfRule type="expression" priority="5394" dxfId="0">
      <formula>AND(IF($Q104=3,1,IF($Q104=4,1,0)),IF($F104&lt;=85,1,0))</formula>
    </cfRule>
  </conditionalFormatting>
  <conditionalFormatting sqref="X104">
    <cfRule type="expression" priority="5387" dxfId="3">
      <formula>AND(IF(OR($Q104=1,$Q104=2),1,0),IF($X104&lt;=20,1,0))</formula>
    </cfRule>
    <cfRule type="expression" priority="5388" dxfId="2">
      <formula>AND(IF($Q104=2,1,0),IF($X104&lt;30,1,0))</formula>
    </cfRule>
    <cfRule type="expression" priority="5389" dxfId="1">
      <formula>AND(IF($Q104=3,1,0),IF($X104&lt;30,1,0))</formula>
    </cfRule>
    <cfRule type="expression" priority="5390" dxfId="0">
      <formula>AND(IF($Q104=3,1,IF($Q104=4,1,0)),IF($F104&lt;=85,1,0))</formula>
    </cfRule>
  </conditionalFormatting>
  <conditionalFormatting sqref="AI104">
    <cfRule type="expression" priority="5383" dxfId="3">
      <formula>AND(IF(OR($Q104=1,$Q104=2),1,0),IF($X104&lt;=20,1,0))</formula>
    </cfRule>
    <cfRule type="expression" priority="5384" dxfId="2">
      <formula>AND(IF($Q104=2,1,0),IF($X104&lt;30,1,0))</formula>
    </cfRule>
    <cfRule type="expression" priority="5385" dxfId="1">
      <formula>AND(IF($Q104=3,1,0),IF($X104&lt;30,1,0))</formula>
    </cfRule>
    <cfRule type="expression" priority="5386" dxfId="0">
      <formula>AND(IF($Q104=3,1,IF($Q104=4,1,0)),IF($F104&lt;=85,1,0))</formula>
    </cfRule>
  </conditionalFormatting>
  <conditionalFormatting sqref="AV105">
    <cfRule type="expression" priority="5381" dxfId="23">
      <formula>AV105="X"</formula>
    </cfRule>
    <cfRule type="expression" priority="5382" dxfId="22">
      <formula>AV105="후보"</formula>
    </cfRule>
  </conditionalFormatting>
  <conditionalFormatting sqref="AC10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0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05">
    <cfRule type="expression" priority="5373" dxfId="3">
      <formula>AND(IF(OR($Q105=1,$Q105=2),1,0),IF($X105&lt;=20,1,0))</formula>
    </cfRule>
    <cfRule type="expression" priority="5374" dxfId="2">
      <formula>AND(IF($Q105=2,1,0),IF($X105&lt;30,1,0))</formula>
    </cfRule>
    <cfRule type="expression" priority="5375" dxfId="1">
      <formula>AND(IF($Q105=3,1,0),IF($X105&lt;30,1,0))</formula>
    </cfRule>
    <cfRule type="expression" priority="5376" dxfId="0">
      <formula>AND(IF($Q105=3,1,IF($Q105=4,1,0)),IF($F105&lt;=85,1,0))</formula>
    </cfRule>
  </conditionalFormatting>
  <conditionalFormatting sqref="X105">
    <cfRule type="expression" priority="5369" dxfId="3">
      <formula>AND(IF(OR($Q105=1,$Q105=2),1,0),IF($X105&lt;=20,1,0))</formula>
    </cfRule>
    <cfRule type="expression" priority="5370" dxfId="2">
      <formula>AND(IF($Q105=2,1,0),IF($X105&lt;30,1,0))</formula>
    </cfRule>
    <cfRule type="expression" priority="5371" dxfId="1">
      <formula>AND(IF($Q105=3,1,0),IF($X105&lt;30,1,0))</formula>
    </cfRule>
    <cfRule type="expression" priority="5372" dxfId="0">
      <formula>AND(IF($Q105=3,1,IF($Q105=4,1,0)),IF($F105&lt;=85,1,0))</formula>
    </cfRule>
  </conditionalFormatting>
  <conditionalFormatting sqref="AI105">
    <cfRule type="expression" priority="5365" dxfId="3">
      <formula>AND(IF(OR($Q105=1,$Q105=2),1,0),IF($X105&lt;=20,1,0))</formula>
    </cfRule>
    <cfRule type="expression" priority="5366" dxfId="2">
      <formula>AND(IF($Q105=2,1,0),IF($X105&lt;30,1,0))</formula>
    </cfRule>
    <cfRule type="expression" priority="5367" dxfId="1">
      <formula>AND(IF($Q105=3,1,0),IF($X105&lt;30,1,0))</formula>
    </cfRule>
    <cfRule type="expression" priority="5368" dxfId="0">
      <formula>AND(IF($Q105=3,1,IF($Q105=4,1,0)),IF($F105&lt;=85,1,0))</formula>
    </cfRule>
  </conditionalFormatting>
  <conditionalFormatting sqref="AV106">
    <cfRule type="expression" priority="5363" dxfId="23">
      <formula>AV106="X"</formula>
    </cfRule>
    <cfRule type="expression" priority="5364" dxfId="22">
      <formula>AV106="후보"</formula>
    </cfRule>
  </conditionalFormatting>
  <conditionalFormatting sqref="AC10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0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06">
    <cfRule type="expression" priority="5355" dxfId="3">
      <formula>AND(IF(OR($Q106=1,$Q106=2),1,0),IF($X106&lt;=20,1,0))</formula>
    </cfRule>
    <cfRule type="expression" priority="5356" dxfId="2">
      <formula>AND(IF($Q106=2,1,0),IF($X106&lt;30,1,0))</formula>
    </cfRule>
    <cfRule type="expression" priority="5357" dxfId="1">
      <formula>AND(IF($Q106=3,1,0),IF($X106&lt;30,1,0))</formula>
    </cfRule>
    <cfRule type="expression" priority="5358" dxfId="0">
      <formula>AND(IF($Q106=3,1,IF($Q106=4,1,0)),IF($F106&lt;=85,1,0))</formula>
    </cfRule>
  </conditionalFormatting>
  <conditionalFormatting sqref="X106">
    <cfRule type="expression" priority="5351" dxfId="3">
      <formula>AND(IF(OR($Q106=1,$Q106=2),1,0),IF($X106&lt;=20,1,0))</formula>
    </cfRule>
    <cfRule type="expression" priority="5352" dxfId="2">
      <formula>AND(IF($Q106=2,1,0),IF($X106&lt;30,1,0))</formula>
    </cfRule>
    <cfRule type="expression" priority="5353" dxfId="1">
      <formula>AND(IF($Q106=3,1,0),IF($X106&lt;30,1,0))</formula>
    </cfRule>
    <cfRule type="expression" priority="5354" dxfId="0">
      <formula>AND(IF($Q106=3,1,IF($Q106=4,1,0)),IF($F106&lt;=85,1,0))</formula>
    </cfRule>
  </conditionalFormatting>
  <conditionalFormatting sqref="AI106">
    <cfRule type="expression" priority="5347" dxfId="3">
      <formula>AND(IF(OR($Q106=1,$Q106=2),1,0),IF($X106&lt;=20,1,0))</formula>
    </cfRule>
    <cfRule type="expression" priority="5348" dxfId="2">
      <formula>AND(IF($Q106=2,1,0),IF($X106&lt;30,1,0))</formula>
    </cfRule>
    <cfRule type="expression" priority="5349" dxfId="1">
      <formula>AND(IF($Q106=3,1,0),IF($X106&lt;30,1,0))</formula>
    </cfRule>
    <cfRule type="expression" priority="5350" dxfId="0">
      <formula>AND(IF($Q106=3,1,IF($Q106=4,1,0)),IF($F106&lt;=85,1,0))</formula>
    </cfRule>
  </conditionalFormatting>
  <conditionalFormatting sqref="AV107">
    <cfRule type="expression" priority="5345" dxfId="23">
      <formula>AV107="X"</formula>
    </cfRule>
    <cfRule type="expression" priority="5346" dxfId="22">
      <formula>AV107="후보"</formula>
    </cfRule>
  </conditionalFormatting>
  <conditionalFormatting sqref="AC10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0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07">
    <cfRule type="expression" priority="5337" dxfId="3">
      <formula>AND(IF(OR($Q107=1,$Q107=2),1,0),IF($X107&lt;=20,1,0))</formula>
    </cfRule>
    <cfRule type="expression" priority="5338" dxfId="2">
      <formula>AND(IF($Q107=2,1,0),IF($X107&lt;30,1,0))</formula>
    </cfRule>
    <cfRule type="expression" priority="5339" dxfId="1">
      <formula>AND(IF($Q107=3,1,0),IF($X107&lt;30,1,0))</formula>
    </cfRule>
    <cfRule type="expression" priority="5340" dxfId="0">
      <formula>AND(IF($Q107=3,1,IF($Q107=4,1,0)),IF($F107&lt;=85,1,0))</formula>
    </cfRule>
  </conditionalFormatting>
  <conditionalFormatting sqref="X107">
    <cfRule type="expression" priority="5333" dxfId="3">
      <formula>AND(IF(OR($Q107=1,$Q107=2),1,0),IF($X107&lt;=20,1,0))</formula>
    </cfRule>
    <cfRule type="expression" priority="5334" dxfId="2">
      <formula>AND(IF($Q107=2,1,0),IF($X107&lt;30,1,0))</formula>
    </cfRule>
    <cfRule type="expression" priority="5335" dxfId="1">
      <formula>AND(IF($Q107=3,1,0),IF($X107&lt;30,1,0))</formula>
    </cfRule>
    <cfRule type="expression" priority="5336" dxfId="0">
      <formula>AND(IF($Q107=3,1,IF($Q107=4,1,0)),IF($F107&lt;=85,1,0))</formula>
    </cfRule>
  </conditionalFormatting>
  <conditionalFormatting sqref="AI107">
    <cfRule type="expression" priority="5329" dxfId="3">
      <formula>AND(IF(OR($Q107=1,$Q107=2),1,0),IF($X107&lt;=20,1,0))</formula>
    </cfRule>
    <cfRule type="expression" priority="5330" dxfId="2">
      <formula>AND(IF($Q107=2,1,0),IF($X107&lt;30,1,0))</formula>
    </cfRule>
    <cfRule type="expression" priority="5331" dxfId="1">
      <formula>AND(IF($Q107=3,1,0),IF($X107&lt;30,1,0))</formula>
    </cfRule>
    <cfRule type="expression" priority="5332" dxfId="0">
      <formula>AND(IF($Q107=3,1,IF($Q107=4,1,0)),IF($F107&lt;=85,1,0))</formula>
    </cfRule>
  </conditionalFormatting>
  <conditionalFormatting sqref="AV108">
    <cfRule type="expression" priority="5327" dxfId="23">
      <formula>AV108="X"</formula>
    </cfRule>
    <cfRule type="expression" priority="5328" dxfId="22">
      <formula>AV108="후보"</formula>
    </cfRule>
  </conditionalFormatting>
  <conditionalFormatting sqref="AC10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0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08">
    <cfRule type="expression" priority="5319" dxfId="3">
      <formula>AND(IF(OR($Q108=1,$Q108=2),1,0),IF($X108&lt;=20,1,0))</formula>
    </cfRule>
    <cfRule type="expression" priority="5320" dxfId="2">
      <formula>AND(IF($Q108=2,1,0),IF($X108&lt;30,1,0))</formula>
    </cfRule>
    <cfRule type="expression" priority="5321" dxfId="1">
      <formula>AND(IF($Q108=3,1,0),IF($X108&lt;30,1,0))</formula>
    </cfRule>
    <cfRule type="expression" priority="5322" dxfId="0">
      <formula>AND(IF($Q108=3,1,IF($Q108=4,1,0)),IF($F108&lt;=85,1,0))</formula>
    </cfRule>
  </conditionalFormatting>
  <conditionalFormatting sqref="X108">
    <cfRule type="expression" priority="5315" dxfId="3">
      <formula>AND(IF(OR($Q108=1,$Q108=2),1,0),IF($X108&lt;=20,1,0))</formula>
    </cfRule>
    <cfRule type="expression" priority="5316" dxfId="2">
      <formula>AND(IF($Q108=2,1,0),IF($X108&lt;30,1,0))</formula>
    </cfRule>
    <cfRule type="expression" priority="5317" dxfId="1">
      <formula>AND(IF($Q108=3,1,0),IF($X108&lt;30,1,0))</formula>
    </cfRule>
    <cfRule type="expression" priority="5318" dxfId="0">
      <formula>AND(IF($Q108=3,1,IF($Q108=4,1,0)),IF($F108&lt;=85,1,0))</formula>
    </cfRule>
  </conditionalFormatting>
  <conditionalFormatting sqref="AI108">
    <cfRule type="expression" priority="5311" dxfId="3">
      <formula>AND(IF(OR($Q108=1,$Q108=2),1,0),IF($X108&lt;=20,1,0))</formula>
    </cfRule>
    <cfRule type="expression" priority="5312" dxfId="2">
      <formula>AND(IF($Q108=2,1,0),IF($X108&lt;30,1,0))</formula>
    </cfRule>
    <cfRule type="expression" priority="5313" dxfId="1">
      <formula>AND(IF($Q108=3,1,0),IF($X108&lt;30,1,0))</formula>
    </cfRule>
    <cfRule type="expression" priority="5314" dxfId="0">
      <formula>AND(IF($Q108=3,1,IF($Q108=4,1,0)),IF($F108&lt;=85,1,0))</formula>
    </cfRule>
  </conditionalFormatting>
  <conditionalFormatting sqref="AV109">
    <cfRule type="expression" priority="5309" dxfId="23">
      <formula>AV109="X"</formula>
    </cfRule>
    <cfRule type="expression" priority="5310" dxfId="22">
      <formula>AV109="후보"</formula>
    </cfRule>
  </conditionalFormatting>
  <conditionalFormatting sqref="AC10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0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09">
    <cfRule type="expression" priority="5301" dxfId="3">
      <formula>AND(IF(OR($Q109=1,$Q109=2),1,0),IF($X109&lt;=20,1,0))</formula>
    </cfRule>
    <cfRule type="expression" priority="5302" dxfId="2">
      <formula>AND(IF($Q109=2,1,0),IF($X109&lt;30,1,0))</formula>
    </cfRule>
    <cfRule type="expression" priority="5303" dxfId="1">
      <formula>AND(IF($Q109=3,1,0),IF($X109&lt;30,1,0))</formula>
    </cfRule>
    <cfRule type="expression" priority="5304" dxfId="0">
      <formula>AND(IF($Q109=3,1,IF($Q109=4,1,0)),IF($F109&lt;=85,1,0))</formula>
    </cfRule>
  </conditionalFormatting>
  <conditionalFormatting sqref="X109">
    <cfRule type="expression" priority="5297" dxfId="3">
      <formula>AND(IF(OR($Q109=1,$Q109=2),1,0),IF($X109&lt;=20,1,0))</formula>
    </cfRule>
    <cfRule type="expression" priority="5298" dxfId="2">
      <formula>AND(IF($Q109=2,1,0),IF($X109&lt;30,1,0))</formula>
    </cfRule>
    <cfRule type="expression" priority="5299" dxfId="1">
      <formula>AND(IF($Q109=3,1,0),IF($X109&lt;30,1,0))</formula>
    </cfRule>
    <cfRule type="expression" priority="5300" dxfId="0">
      <formula>AND(IF($Q109=3,1,IF($Q109=4,1,0)),IF($F109&lt;=85,1,0))</formula>
    </cfRule>
  </conditionalFormatting>
  <conditionalFormatting sqref="AI109">
    <cfRule type="expression" priority="5293" dxfId="3">
      <formula>AND(IF(OR($Q109=1,$Q109=2),1,0),IF($X109&lt;=20,1,0))</formula>
    </cfRule>
    <cfRule type="expression" priority="5294" dxfId="2">
      <formula>AND(IF($Q109=2,1,0),IF($X109&lt;30,1,0))</formula>
    </cfRule>
    <cfRule type="expression" priority="5295" dxfId="1">
      <formula>AND(IF($Q109=3,1,0),IF($X109&lt;30,1,0))</formula>
    </cfRule>
    <cfRule type="expression" priority="5296" dxfId="0">
      <formula>AND(IF($Q109=3,1,IF($Q109=4,1,0)),IF($F109&lt;=85,1,0))</formula>
    </cfRule>
  </conditionalFormatting>
  <conditionalFormatting sqref="AV110">
    <cfRule type="expression" priority="5291" dxfId="23">
      <formula>AV110="X"</formula>
    </cfRule>
    <cfRule type="expression" priority="5292" dxfId="22">
      <formula>AV110="후보"</formula>
    </cfRule>
  </conditionalFormatting>
  <conditionalFormatting sqref="AC11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0">
    <cfRule type="expression" priority="5283" dxfId="3">
      <formula>AND(IF(OR($Q110=1,$Q110=2),1,0),IF($X110&lt;=20,1,0))</formula>
    </cfRule>
    <cfRule type="expression" priority="5284" dxfId="2">
      <formula>AND(IF($Q110=2,1,0),IF($X110&lt;30,1,0))</formula>
    </cfRule>
    <cfRule type="expression" priority="5285" dxfId="1">
      <formula>AND(IF($Q110=3,1,0),IF($X110&lt;30,1,0))</formula>
    </cfRule>
    <cfRule type="expression" priority="5286" dxfId="0">
      <formula>AND(IF($Q110=3,1,IF($Q110=4,1,0)),IF($F110&lt;=85,1,0))</formula>
    </cfRule>
  </conditionalFormatting>
  <conditionalFormatting sqref="X110">
    <cfRule type="expression" priority="5279" dxfId="3">
      <formula>AND(IF(OR($Q110=1,$Q110=2),1,0),IF($X110&lt;=20,1,0))</formula>
    </cfRule>
    <cfRule type="expression" priority="5280" dxfId="2">
      <formula>AND(IF($Q110=2,1,0),IF($X110&lt;30,1,0))</formula>
    </cfRule>
    <cfRule type="expression" priority="5281" dxfId="1">
      <formula>AND(IF($Q110=3,1,0),IF($X110&lt;30,1,0))</formula>
    </cfRule>
    <cfRule type="expression" priority="5282" dxfId="0">
      <formula>AND(IF($Q110=3,1,IF($Q110=4,1,0)),IF($F110&lt;=85,1,0))</formula>
    </cfRule>
  </conditionalFormatting>
  <conditionalFormatting sqref="AI110">
    <cfRule type="expression" priority="5275" dxfId="3">
      <formula>AND(IF(OR($Q110=1,$Q110=2),1,0),IF($X110&lt;=20,1,0))</formula>
    </cfRule>
    <cfRule type="expression" priority="5276" dxfId="2">
      <formula>AND(IF($Q110=2,1,0),IF($X110&lt;30,1,0))</formula>
    </cfRule>
    <cfRule type="expression" priority="5277" dxfId="1">
      <formula>AND(IF($Q110=3,1,0),IF($X110&lt;30,1,0))</formula>
    </cfRule>
    <cfRule type="expression" priority="5278" dxfId="0">
      <formula>AND(IF($Q110=3,1,IF($Q110=4,1,0)),IF($F110&lt;=85,1,0))</formula>
    </cfRule>
  </conditionalFormatting>
  <conditionalFormatting sqref="AV111">
    <cfRule type="expression" priority="5273" dxfId="23">
      <formula>AV111="X"</formula>
    </cfRule>
    <cfRule type="expression" priority="5274" dxfId="22">
      <formula>AV111="후보"</formula>
    </cfRule>
  </conditionalFormatting>
  <conditionalFormatting sqref="AC11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1">
    <cfRule type="expression" priority="5265" dxfId="3">
      <formula>AND(IF(OR($Q111=1,$Q111=2),1,0),IF($X111&lt;=20,1,0))</formula>
    </cfRule>
    <cfRule type="expression" priority="5266" dxfId="2">
      <formula>AND(IF($Q111=2,1,0),IF($X111&lt;30,1,0))</formula>
    </cfRule>
    <cfRule type="expression" priority="5267" dxfId="1">
      <formula>AND(IF($Q111=3,1,0),IF($X111&lt;30,1,0))</formula>
    </cfRule>
    <cfRule type="expression" priority="5268" dxfId="0">
      <formula>AND(IF($Q111=3,1,IF($Q111=4,1,0)),IF($F111&lt;=85,1,0))</formula>
    </cfRule>
  </conditionalFormatting>
  <conditionalFormatting sqref="X111">
    <cfRule type="expression" priority="5261" dxfId="3">
      <formula>AND(IF(OR($Q111=1,$Q111=2),1,0),IF($X111&lt;=20,1,0))</formula>
    </cfRule>
    <cfRule type="expression" priority="5262" dxfId="2">
      <formula>AND(IF($Q111=2,1,0),IF($X111&lt;30,1,0))</formula>
    </cfRule>
    <cfRule type="expression" priority="5263" dxfId="1">
      <formula>AND(IF($Q111=3,1,0),IF($X111&lt;30,1,0))</formula>
    </cfRule>
    <cfRule type="expression" priority="5264" dxfId="0">
      <formula>AND(IF($Q111=3,1,IF($Q111=4,1,0)),IF($F111&lt;=85,1,0))</formula>
    </cfRule>
  </conditionalFormatting>
  <conditionalFormatting sqref="AI111">
    <cfRule type="expression" priority="5257" dxfId="3">
      <formula>AND(IF(OR($Q111=1,$Q111=2),1,0),IF($X111&lt;=20,1,0))</formula>
    </cfRule>
    <cfRule type="expression" priority="5258" dxfId="2">
      <formula>AND(IF($Q111=2,1,0),IF($X111&lt;30,1,0))</formula>
    </cfRule>
    <cfRule type="expression" priority="5259" dxfId="1">
      <formula>AND(IF($Q111=3,1,0),IF($X111&lt;30,1,0))</formula>
    </cfRule>
    <cfRule type="expression" priority="5260" dxfId="0">
      <formula>AND(IF($Q111=3,1,IF($Q111=4,1,0)),IF($F111&lt;=85,1,0))</formula>
    </cfRule>
  </conditionalFormatting>
  <conditionalFormatting sqref="AV112">
    <cfRule type="expression" priority="5255" dxfId="23">
      <formula>AV112="X"</formula>
    </cfRule>
    <cfRule type="expression" priority="5256" dxfId="22">
      <formula>AV112="후보"</formula>
    </cfRule>
  </conditionalFormatting>
  <conditionalFormatting sqref="AC11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2">
    <cfRule type="expression" priority="5247" dxfId="3">
      <formula>AND(IF(OR($Q112=1,$Q112=2),1,0),IF($X112&lt;=20,1,0))</formula>
    </cfRule>
    <cfRule type="expression" priority="5248" dxfId="2">
      <formula>AND(IF($Q112=2,1,0),IF($X112&lt;30,1,0))</formula>
    </cfRule>
    <cfRule type="expression" priority="5249" dxfId="1">
      <formula>AND(IF($Q112=3,1,0),IF($X112&lt;30,1,0))</formula>
    </cfRule>
    <cfRule type="expression" priority="5250" dxfId="0">
      <formula>AND(IF($Q112=3,1,IF($Q112=4,1,0)),IF($F112&lt;=85,1,0))</formula>
    </cfRule>
  </conditionalFormatting>
  <conditionalFormatting sqref="X112">
    <cfRule type="expression" priority="5243" dxfId="3">
      <formula>AND(IF(OR($Q112=1,$Q112=2),1,0),IF($X112&lt;=20,1,0))</formula>
    </cfRule>
    <cfRule type="expression" priority="5244" dxfId="2">
      <formula>AND(IF($Q112=2,1,0),IF($X112&lt;30,1,0))</formula>
    </cfRule>
    <cfRule type="expression" priority="5245" dxfId="1">
      <formula>AND(IF($Q112=3,1,0),IF($X112&lt;30,1,0))</formula>
    </cfRule>
    <cfRule type="expression" priority="5246" dxfId="0">
      <formula>AND(IF($Q112=3,1,IF($Q112=4,1,0)),IF($F112&lt;=85,1,0))</formula>
    </cfRule>
  </conditionalFormatting>
  <conditionalFormatting sqref="AI112">
    <cfRule type="expression" priority="5239" dxfId="3">
      <formula>AND(IF(OR($Q112=1,$Q112=2),1,0),IF($X112&lt;=20,1,0))</formula>
    </cfRule>
    <cfRule type="expression" priority="5240" dxfId="2">
      <formula>AND(IF($Q112=2,1,0),IF($X112&lt;30,1,0))</formula>
    </cfRule>
    <cfRule type="expression" priority="5241" dxfId="1">
      <formula>AND(IF($Q112=3,1,0),IF($X112&lt;30,1,0))</formula>
    </cfRule>
    <cfRule type="expression" priority="5242" dxfId="0">
      <formula>AND(IF($Q112=3,1,IF($Q112=4,1,0)),IF($F112&lt;=85,1,0))</formula>
    </cfRule>
  </conditionalFormatting>
  <conditionalFormatting sqref="AV113">
    <cfRule type="expression" priority="5237" dxfId="23">
      <formula>AV113="X"</formula>
    </cfRule>
    <cfRule type="expression" priority="5238" dxfId="22">
      <formula>AV113="후보"</formula>
    </cfRule>
  </conditionalFormatting>
  <conditionalFormatting sqref="AC11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3">
    <cfRule type="expression" priority="5229" dxfId="3">
      <formula>AND(IF(OR($Q113=1,$Q113=2),1,0),IF($X113&lt;=20,1,0))</formula>
    </cfRule>
    <cfRule type="expression" priority="5230" dxfId="2">
      <formula>AND(IF($Q113=2,1,0),IF($X113&lt;30,1,0))</formula>
    </cfRule>
    <cfRule type="expression" priority="5231" dxfId="1">
      <formula>AND(IF($Q113=3,1,0),IF($X113&lt;30,1,0))</formula>
    </cfRule>
    <cfRule type="expression" priority="5232" dxfId="0">
      <formula>AND(IF($Q113=3,1,IF($Q113=4,1,0)),IF($F113&lt;=85,1,0))</formula>
    </cfRule>
  </conditionalFormatting>
  <conditionalFormatting sqref="X113">
    <cfRule type="expression" priority="5225" dxfId="3">
      <formula>AND(IF(OR($Q113=1,$Q113=2),1,0),IF($X113&lt;=20,1,0))</formula>
    </cfRule>
    <cfRule type="expression" priority="5226" dxfId="2">
      <formula>AND(IF($Q113=2,1,0),IF($X113&lt;30,1,0))</formula>
    </cfRule>
    <cfRule type="expression" priority="5227" dxfId="1">
      <formula>AND(IF($Q113=3,1,0),IF($X113&lt;30,1,0))</formula>
    </cfRule>
    <cfRule type="expression" priority="5228" dxfId="0">
      <formula>AND(IF($Q113=3,1,IF($Q113=4,1,0)),IF($F113&lt;=85,1,0))</formula>
    </cfRule>
  </conditionalFormatting>
  <conditionalFormatting sqref="AI113">
    <cfRule type="expression" priority="5221" dxfId="3">
      <formula>AND(IF(OR($Q113=1,$Q113=2),1,0),IF($X113&lt;=20,1,0))</formula>
    </cfRule>
    <cfRule type="expression" priority="5222" dxfId="2">
      <formula>AND(IF($Q113=2,1,0),IF($X113&lt;30,1,0))</formula>
    </cfRule>
    <cfRule type="expression" priority="5223" dxfId="1">
      <formula>AND(IF($Q113=3,1,0),IF($X113&lt;30,1,0))</formula>
    </cfRule>
    <cfRule type="expression" priority="5224" dxfId="0">
      <formula>AND(IF($Q113=3,1,IF($Q113=4,1,0)),IF($F113&lt;=85,1,0))</formula>
    </cfRule>
  </conditionalFormatting>
  <conditionalFormatting sqref="AV114">
    <cfRule type="expression" priority="5219" dxfId="23">
      <formula>AV114="X"</formula>
    </cfRule>
    <cfRule type="expression" priority="5220" dxfId="22">
      <formula>AV114="후보"</formula>
    </cfRule>
  </conditionalFormatting>
  <conditionalFormatting sqref="AC11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1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14">
    <cfRule type="expression" priority="5211" dxfId="3">
      <formula>AND(IF(OR($Q114=1,$Q114=2),1,0),IF($X114&lt;=20,1,0))</formula>
    </cfRule>
    <cfRule type="expression" priority="5212" dxfId="2">
      <formula>AND(IF($Q114=2,1,0),IF($X114&lt;30,1,0))</formula>
    </cfRule>
    <cfRule type="expression" priority="5213" dxfId="1">
      <formula>AND(IF($Q114=3,1,0),IF($X114&lt;30,1,0))</formula>
    </cfRule>
    <cfRule type="expression" priority="5214" dxfId="0">
      <formula>AND(IF($Q114=3,1,IF($Q114=4,1,0)),IF($F114&lt;=85,1,0))</formula>
    </cfRule>
  </conditionalFormatting>
  <conditionalFormatting sqref="X114">
    <cfRule type="expression" priority="5207" dxfId="3">
      <formula>AND(IF(OR($Q114=1,$Q114=2),1,0),IF($X114&lt;=20,1,0))</formula>
    </cfRule>
    <cfRule type="expression" priority="5208" dxfId="2">
      <formula>AND(IF($Q114=2,1,0),IF($X114&lt;30,1,0))</formula>
    </cfRule>
    <cfRule type="expression" priority="5209" dxfId="1">
      <formula>AND(IF($Q114=3,1,0),IF($X114&lt;30,1,0))</formula>
    </cfRule>
    <cfRule type="expression" priority="5210" dxfId="0">
      <formula>AND(IF($Q114=3,1,IF($Q114=4,1,0)),IF($F114&lt;=85,1,0))</formula>
    </cfRule>
  </conditionalFormatting>
  <conditionalFormatting sqref="AI114">
    <cfRule type="expression" priority="5203" dxfId="3">
      <formula>AND(IF(OR($Q114=1,$Q114=2),1,0),IF($X114&lt;=20,1,0))</formula>
    </cfRule>
    <cfRule type="expression" priority="5204" dxfId="2">
      <formula>AND(IF($Q114=2,1,0),IF($X114&lt;30,1,0))</formula>
    </cfRule>
    <cfRule type="expression" priority="5205" dxfId="1">
      <formula>AND(IF($Q114=3,1,0),IF($X114&lt;30,1,0))</formula>
    </cfRule>
    <cfRule type="expression" priority="5206" dxfId="0">
      <formula>AND(IF($Q114=3,1,IF($Q114=4,1,0)),IF($F114&lt;=85,1,0))</formula>
    </cfRule>
  </conditionalFormatting>
  <conditionalFormatting sqref="AV115">
    <cfRule type="expression" priority="5201" dxfId="23">
      <formula>AV115="X"</formula>
    </cfRule>
    <cfRule type="expression" priority="5202" dxfId="22">
      <formula>AV115="후보"</formula>
    </cfRule>
  </conditionalFormatting>
  <conditionalFormatting sqref="AC11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1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15">
    <cfRule type="expression" priority="5193" dxfId="3">
      <formula>AND(IF(OR($Q115=1,$Q115=2),1,0),IF($X115&lt;=20,1,0))</formula>
    </cfRule>
    <cfRule type="expression" priority="5194" dxfId="2">
      <formula>AND(IF($Q115=2,1,0),IF($X115&lt;30,1,0))</formula>
    </cfRule>
    <cfRule type="expression" priority="5195" dxfId="1">
      <formula>AND(IF($Q115=3,1,0),IF($X115&lt;30,1,0))</formula>
    </cfRule>
    <cfRule type="expression" priority="5196" dxfId="0">
      <formula>AND(IF($Q115=3,1,IF($Q115=4,1,0)),IF($F115&lt;=85,1,0))</formula>
    </cfRule>
  </conditionalFormatting>
  <conditionalFormatting sqref="X115">
    <cfRule type="expression" priority="5189" dxfId="3">
      <formula>AND(IF(OR($Q115=1,$Q115=2),1,0),IF($X115&lt;=20,1,0))</formula>
    </cfRule>
    <cfRule type="expression" priority="5190" dxfId="2">
      <formula>AND(IF($Q115=2,1,0),IF($X115&lt;30,1,0))</formula>
    </cfRule>
    <cfRule type="expression" priority="5191" dxfId="1">
      <formula>AND(IF($Q115=3,1,0),IF($X115&lt;30,1,0))</formula>
    </cfRule>
    <cfRule type="expression" priority="5192" dxfId="0">
      <formula>AND(IF($Q115=3,1,IF($Q115=4,1,0)),IF($F115&lt;=85,1,0))</formula>
    </cfRule>
  </conditionalFormatting>
  <conditionalFormatting sqref="AI115">
    <cfRule type="expression" priority="5185" dxfId="3">
      <formula>AND(IF(OR($Q115=1,$Q115=2),1,0),IF($X115&lt;=20,1,0))</formula>
    </cfRule>
    <cfRule type="expression" priority="5186" dxfId="2">
      <formula>AND(IF($Q115=2,1,0),IF($X115&lt;30,1,0))</formula>
    </cfRule>
    <cfRule type="expression" priority="5187" dxfId="1">
      <formula>AND(IF($Q115=3,1,0),IF($X115&lt;30,1,0))</formula>
    </cfRule>
    <cfRule type="expression" priority="5188" dxfId="0">
      <formula>AND(IF($Q115=3,1,IF($Q115=4,1,0)),IF($F115&lt;=85,1,0))</formula>
    </cfRule>
  </conditionalFormatting>
  <conditionalFormatting sqref="AV116">
    <cfRule type="expression" priority="5183" dxfId="23">
      <formula>AV116="X"</formula>
    </cfRule>
    <cfRule type="expression" priority="5184" dxfId="22">
      <formula>AV116="후보"</formula>
    </cfRule>
  </conditionalFormatting>
  <conditionalFormatting sqref="AC11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1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16">
    <cfRule type="expression" priority="5175" dxfId="3">
      <formula>AND(IF(OR($Q116=1,$Q116=2),1,0),IF($X116&lt;=20,1,0))</formula>
    </cfRule>
    <cfRule type="expression" priority="5176" dxfId="2">
      <formula>AND(IF($Q116=2,1,0),IF($X116&lt;30,1,0))</formula>
    </cfRule>
    <cfRule type="expression" priority="5177" dxfId="1">
      <formula>AND(IF($Q116=3,1,0),IF($X116&lt;30,1,0))</formula>
    </cfRule>
    <cfRule type="expression" priority="5178" dxfId="0">
      <formula>AND(IF($Q116=3,1,IF($Q116=4,1,0)),IF($F116&lt;=85,1,0))</formula>
    </cfRule>
  </conditionalFormatting>
  <conditionalFormatting sqref="X116">
    <cfRule type="expression" priority="5171" dxfId="3">
      <formula>AND(IF(OR($Q116=1,$Q116=2),1,0),IF($X116&lt;=20,1,0))</formula>
    </cfRule>
    <cfRule type="expression" priority="5172" dxfId="2">
      <formula>AND(IF($Q116=2,1,0),IF($X116&lt;30,1,0))</formula>
    </cfRule>
    <cfRule type="expression" priority="5173" dxfId="1">
      <formula>AND(IF($Q116=3,1,0),IF($X116&lt;30,1,0))</formula>
    </cfRule>
    <cfRule type="expression" priority="5174" dxfId="0">
      <formula>AND(IF($Q116=3,1,IF($Q116=4,1,0)),IF($F116&lt;=85,1,0))</formula>
    </cfRule>
  </conditionalFormatting>
  <conditionalFormatting sqref="AI116">
    <cfRule type="expression" priority="5167" dxfId="3">
      <formula>AND(IF(OR($Q116=1,$Q116=2),1,0),IF($X116&lt;=20,1,0))</formula>
    </cfRule>
    <cfRule type="expression" priority="5168" dxfId="2">
      <formula>AND(IF($Q116=2,1,0),IF($X116&lt;30,1,0))</formula>
    </cfRule>
    <cfRule type="expression" priority="5169" dxfId="1">
      <formula>AND(IF($Q116=3,1,0),IF($X116&lt;30,1,0))</formula>
    </cfRule>
    <cfRule type="expression" priority="5170" dxfId="0">
      <formula>AND(IF($Q116=3,1,IF($Q116=4,1,0)),IF($F116&lt;=85,1,0))</formula>
    </cfRule>
  </conditionalFormatting>
  <conditionalFormatting sqref="AV117">
    <cfRule type="expression" priority="5165" dxfId="23">
      <formula>AV117="X"</formula>
    </cfRule>
    <cfRule type="expression" priority="5166" dxfId="22">
      <formula>AV117="후보"</formula>
    </cfRule>
  </conditionalFormatting>
  <conditionalFormatting sqref="AC11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1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17">
    <cfRule type="expression" priority="5157" dxfId="3">
      <formula>AND(IF(OR($Q117=1,$Q117=2),1,0),IF($X117&lt;=20,1,0))</formula>
    </cfRule>
    <cfRule type="expression" priority="5158" dxfId="2">
      <formula>AND(IF($Q117=2,1,0),IF($X117&lt;30,1,0))</formula>
    </cfRule>
    <cfRule type="expression" priority="5159" dxfId="1">
      <formula>AND(IF($Q117=3,1,0),IF($X117&lt;30,1,0))</formula>
    </cfRule>
    <cfRule type="expression" priority="5160" dxfId="0">
      <formula>AND(IF($Q117=3,1,IF($Q117=4,1,0)),IF($F117&lt;=85,1,0))</formula>
    </cfRule>
  </conditionalFormatting>
  <conditionalFormatting sqref="X117">
    <cfRule type="expression" priority="5153" dxfId="3">
      <formula>AND(IF(OR($Q117=1,$Q117=2),1,0),IF($X117&lt;=20,1,0))</formula>
    </cfRule>
    <cfRule type="expression" priority="5154" dxfId="2">
      <formula>AND(IF($Q117=2,1,0),IF($X117&lt;30,1,0))</formula>
    </cfRule>
    <cfRule type="expression" priority="5155" dxfId="1">
      <formula>AND(IF($Q117=3,1,0),IF($X117&lt;30,1,0))</formula>
    </cfRule>
    <cfRule type="expression" priority="5156" dxfId="0">
      <formula>AND(IF($Q117=3,1,IF($Q117=4,1,0)),IF($F117&lt;=85,1,0))</formula>
    </cfRule>
  </conditionalFormatting>
  <conditionalFormatting sqref="AI117">
    <cfRule type="expression" priority="5149" dxfId="3">
      <formula>AND(IF(OR($Q117=1,$Q117=2),1,0),IF($X117&lt;=20,1,0))</formula>
    </cfRule>
    <cfRule type="expression" priority="5150" dxfId="2">
      <formula>AND(IF($Q117=2,1,0),IF($X117&lt;30,1,0))</formula>
    </cfRule>
    <cfRule type="expression" priority="5151" dxfId="1">
      <formula>AND(IF($Q117=3,1,0),IF($X117&lt;30,1,0))</formula>
    </cfRule>
    <cfRule type="expression" priority="5152" dxfId="0">
      <formula>AND(IF($Q117=3,1,IF($Q117=4,1,0)),IF($F117&lt;=85,1,0))</formula>
    </cfRule>
  </conditionalFormatting>
  <conditionalFormatting sqref="AV118">
    <cfRule type="expression" priority="5147" dxfId="23">
      <formula>AV118="X"</formula>
    </cfRule>
    <cfRule type="expression" priority="5148" dxfId="22">
      <formula>AV118="후보"</formula>
    </cfRule>
  </conditionalFormatting>
  <conditionalFormatting sqref="AC11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1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18">
    <cfRule type="expression" priority="5139" dxfId="3">
      <formula>AND(IF(OR($Q118=1,$Q118=2),1,0),IF($X118&lt;=20,1,0))</formula>
    </cfRule>
    <cfRule type="expression" priority="5140" dxfId="2">
      <formula>AND(IF($Q118=2,1,0),IF($X118&lt;30,1,0))</formula>
    </cfRule>
    <cfRule type="expression" priority="5141" dxfId="1">
      <formula>AND(IF($Q118=3,1,0),IF($X118&lt;30,1,0))</formula>
    </cfRule>
    <cfRule type="expression" priority="5142" dxfId="0">
      <formula>AND(IF($Q118=3,1,IF($Q118=4,1,0)),IF($F118&lt;=85,1,0))</formula>
    </cfRule>
  </conditionalFormatting>
  <conditionalFormatting sqref="X118">
    <cfRule type="expression" priority="5135" dxfId="3">
      <formula>AND(IF(OR($Q118=1,$Q118=2),1,0),IF($X118&lt;=20,1,0))</formula>
    </cfRule>
    <cfRule type="expression" priority="5136" dxfId="2">
      <formula>AND(IF($Q118=2,1,0),IF($X118&lt;30,1,0))</formula>
    </cfRule>
    <cfRule type="expression" priority="5137" dxfId="1">
      <formula>AND(IF($Q118=3,1,0),IF($X118&lt;30,1,0))</formula>
    </cfRule>
    <cfRule type="expression" priority="5138" dxfId="0">
      <formula>AND(IF($Q118=3,1,IF($Q118=4,1,0)),IF($F118&lt;=85,1,0))</formula>
    </cfRule>
  </conditionalFormatting>
  <conditionalFormatting sqref="AI118">
    <cfRule type="expression" priority="5131" dxfId="3">
      <formula>AND(IF(OR($Q118=1,$Q118=2),1,0),IF($X118&lt;=20,1,0))</formula>
    </cfRule>
    <cfRule type="expression" priority="5132" dxfId="2">
      <formula>AND(IF($Q118=2,1,0),IF($X118&lt;30,1,0))</formula>
    </cfRule>
    <cfRule type="expression" priority="5133" dxfId="1">
      <formula>AND(IF($Q118=3,1,0),IF($X118&lt;30,1,0))</formula>
    </cfRule>
    <cfRule type="expression" priority="5134" dxfId="0">
      <formula>AND(IF($Q118=3,1,IF($Q118=4,1,0)),IF($F118&lt;=85,1,0))</formula>
    </cfRule>
  </conditionalFormatting>
  <conditionalFormatting sqref="AV119">
    <cfRule type="expression" priority="5129" dxfId="23">
      <formula>AV119="X"</formula>
    </cfRule>
    <cfRule type="expression" priority="5130" dxfId="22">
      <formula>AV119="후보"</formula>
    </cfRule>
  </conditionalFormatting>
  <conditionalFormatting sqref="AC11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1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19">
    <cfRule type="expression" priority="5121" dxfId="3">
      <formula>AND(IF(OR($Q119=1,$Q119=2),1,0),IF($X119&lt;=20,1,0))</formula>
    </cfRule>
    <cfRule type="expression" priority="5122" dxfId="2">
      <formula>AND(IF($Q119=2,1,0),IF($X119&lt;30,1,0))</formula>
    </cfRule>
    <cfRule type="expression" priority="5123" dxfId="1">
      <formula>AND(IF($Q119=3,1,0),IF($X119&lt;30,1,0))</formula>
    </cfRule>
    <cfRule type="expression" priority="5124" dxfId="0">
      <formula>AND(IF($Q119=3,1,IF($Q119=4,1,0)),IF($F119&lt;=85,1,0))</formula>
    </cfRule>
  </conditionalFormatting>
  <conditionalFormatting sqref="X119">
    <cfRule type="expression" priority="5117" dxfId="3">
      <formula>AND(IF(OR($Q119=1,$Q119=2),1,0),IF($X119&lt;=20,1,0))</formula>
    </cfRule>
    <cfRule type="expression" priority="5118" dxfId="2">
      <formula>AND(IF($Q119=2,1,0),IF($X119&lt;30,1,0))</formula>
    </cfRule>
    <cfRule type="expression" priority="5119" dxfId="1">
      <formula>AND(IF($Q119=3,1,0),IF($X119&lt;30,1,0))</formula>
    </cfRule>
    <cfRule type="expression" priority="5120" dxfId="0">
      <formula>AND(IF($Q119=3,1,IF($Q119=4,1,0)),IF($F119&lt;=85,1,0))</formula>
    </cfRule>
  </conditionalFormatting>
  <conditionalFormatting sqref="AI119">
    <cfRule type="expression" priority="5113" dxfId="3">
      <formula>AND(IF(OR($Q119=1,$Q119=2),1,0),IF($X119&lt;=20,1,0))</formula>
    </cfRule>
    <cfRule type="expression" priority="5114" dxfId="2">
      <formula>AND(IF($Q119=2,1,0),IF($X119&lt;30,1,0))</formula>
    </cfRule>
    <cfRule type="expression" priority="5115" dxfId="1">
      <formula>AND(IF($Q119=3,1,0),IF($X119&lt;30,1,0))</formula>
    </cfRule>
    <cfRule type="expression" priority="5116" dxfId="0">
      <formula>AND(IF($Q119=3,1,IF($Q119=4,1,0)),IF($F119&lt;=85,1,0))</formula>
    </cfRule>
  </conditionalFormatting>
  <conditionalFormatting sqref="AV120">
    <cfRule type="expression" priority="5111" dxfId="23">
      <formula>AV120="X"</formula>
    </cfRule>
    <cfRule type="expression" priority="5112" dxfId="22">
      <formula>AV120="후보"</formula>
    </cfRule>
  </conditionalFormatting>
  <conditionalFormatting sqref="AC12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0">
    <cfRule type="expression" priority="5103" dxfId="3">
      <formula>AND(IF(OR($Q120=1,$Q120=2),1,0),IF($X120&lt;=20,1,0))</formula>
    </cfRule>
    <cfRule type="expression" priority="5104" dxfId="2">
      <formula>AND(IF($Q120=2,1,0),IF($X120&lt;30,1,0))</formula>
    </cfRule>
    <cfRule type="expression" priority="5105" dxfId="1">
      <formula>AND(IF($Q120=3,1,0),IF($X120&lt;30,1,0))</formula>
    </cfRule>
    <cfRule type="expression" priority="5106" dxfId="0">
      <formula>AND(IF($Q120=3,1,IF($Q120=4,1,0)),IF($F120&lt;=85,1,0))</formula>
    </cfRule>
  </conditionalFormatting>
  <conditionalFormatting sqref="X120">
    <cfRule type="expression" priority="5099" dxfId="3">
      <formula>AND(IF(OR($Q120=1,$Q120=2),1,0),IF($X120&lt;=20,1,0))</formula>
    </cfRule>
    <cfRule type="expression" priority="5100" dxfId="2">
      <formula>AND(IF($Q120=2,1,0),IF($X120&lt;30,1,0))</formula>
    </cfRule>
    <cfRule type="expression" priority="5101" dxfId="1">
      <formula>AND(IF($Q120=3,1,0),IF($X120&lt;30,1,0))</formula>
    </cfRule>
    <cfRule type="expression" priority="5102" dxfId="0">
      <formula>AND(IF($Q120=3,1,IF($Q120=4,1,0)),IF($F120&lt;=85,1,0))</formula>
    </cfRule>
  </conditionalFormatting>
  <conditionalFormatting sqref="AI120">
    <cfRule type="expression" priority="5095" dxfId="3">
      <formula>AND(IF(OR($Q120=1,$Q120=2),1,0),IF($X120&lt;=20,1,0))</formula>
    </cfRule>
    <cfRule type="expression" priority="5096" dxfId="2">
      <formula>AND(IF($Q120=2,1,0),IF($X120&lt;30,1,0))</formula>
    </cfRule>
    <cfRule type="expression" priority="5097" dxfId="1">
      <formula>AND(IF($Q120=3,1,0),IF($X120&lt;30,1,0))</formula>
    </cfRule>
    <cfRule type="expression" priority="5098" dxfId="0">
      <formula>AND(IF($Q120=3,1,IF($Q120=4,1,0)),IF($F120&lt;=85,1,0))</formula>
    </cfRule>
  </conditionalFormatting>
  <conditionalFormatting sqref="AV121">
    <cfRule type="expression" priority="5093" dxfId="23">
      <formula>AV121="X"</formula>
    </cfRule>
    <cfRule type="expression" priority="5094" dxfId="22">
      <formula>AV121="후보"</formula>
    </cfRule>
  </conditionalFormatting>
  <conditionalFormatting sqref="AC12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1">
    <cfRule type="expression" priority="5085" dxfId="3">
      <formula>AND(IF(OR($Q121=1,$Q121=2),1,0),IF($X121&lt;=20,1,0))</formula>
    </cfRule>
    <cfRule type="expression" priority="5086" dxfId="2">
      <formula>AND(IF($Q121=2,1,0),IF($X121&lt;30,1,0))</formula>
    </cfRule>
    <cfRule type="expression" priority="5087" dxfId="1">
      <formula>AND(IF($Q121=3,1,0),IF($X121&lt;30,1,0))</formula>
    </cfRule>
    <cfRule type="expression" priority="5088" dxfId="0">
      <formula>AND(IF($Q121=3,1,IF($Q121=4,1,0)),IF($F121&lt;=85,1,0))</formula>
    </cfRule>
  </conditionalFormatting>
  <conditionalFormatting sqref="X121">
    <cfRule type="expression" priority="5081" dxfId="3">
      <formula>AND(IF(OR($Q121=1,$Q121=2),1,0),IF($X121&lt;=20,1,0))</formula>
    </cfRule>
    <cfRule type="expression" priority="5082" dxfId="2">
      <formula>AND(IF($Q121=2,1,0),IF($X121&lt;30,1,0))</formula>
    </cfRule>
    <cfRule type="expression" priority="5083" dxfId="1">
      <formula>AND(IF($Q121=3,1,0),IF($X121&lt;30,1,0))</formula>
    </cfRule>
    <cfRule type="expression" priority="5084" dxfId="0">
      <formula>AND(IF($Q121=3,1,IF($Q121=4,1,0)),IF($F121&lt;=85,1,0))</formula>
    </cfRule>
  </conditionalFormatting>
  <conditionalFormatting sqref="AI121">
    <cfRule type="expression" priority="5077" dxfId="3">
      <formula>AND(IF(OR($Q121=1,$Q121=2),1,0),IF($X121&lt;=20,1,0))</formula>
    </cfRule>
    <cfRule type="expression" priority="5078" dxfId="2">
      <formula>AND(IF($Q121=2,1,0),IF($X121&lt;30,1,0))</formula>
    </cfRule>
    <cfRule type="expression" priority="5079" dxfId="1">
      <formula>AND(IF($Q121=3,1,0),IF($X121&lt;30,1,0))</formula>
    </cfRule>
    <cfRule type="expression" priority="5080" dxfId="0">
      <formula>AND(IF($Q121=3,1,IF($Q121=4,1,0)),IF($F121&lt;=85,1,0))</formula>
    </cfRule>
  </conditionalFormatting>
  <conditionalFormatting sqref="AV122">
    <cfRule type="expression" priority="5075" dxfId="23">
      <formula>AV122="X"</formula>
    </cfRule>
    <cfRule type="expression" priority="5076" dxfId="22">
      <formula>AV122="후보"</formula>
    </cfRule>
  </conditionalFormatting>
  <conditionalFormatting sqref="AC12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2">
    <cfRule type="expression" priority="5067" dxfId="3">
      <formula>AND(IF(OR($Q122=1,$Q122=2),1,0),IF($X122&lt;=20,1,0))</formula>
    </cfRule>
    <cfRule type="expression" priority="5068" dxfId="2">
      <formula>AND(IF($Q122=2,1,0),IF($X122&lt;30,1,0))</formula>
    </cfRule>
    <cfRule type="expression" priority="5069" dxfId="1">
      <formula>AND(IF($Q122=3,1,0),IF($X122&lt;30,1,0))</formula>
    </cfRule>
    <cfRule type="expression" priority="5070" dxfId="0">
      <formula>AND(IF($Q122=3,1,IF($Q122=4,1,0)),IF($F122&lt;=85,1,0))</formula>
    </cfRule>
  </conditionalFormatting>
  <conditionalFormatting sqref="X122">
    <cfRule type="expression" priority="5063" dxfId="3">
      <formula>AND(IF(OR($Q122=1,$Q122=2),1,0),IF($X122&lt;=20,1,0))</formula>
    </cfRule>
    <cfRule type="expression" priority="5064" dxfId="2">
      <formula>AND(IF($Q122=2,1,0),IF($X122&lt;30,1,0))</formula>
    </cfRule>
    <cfRule type="expression" priority="5065" dxfId="1">
      <formula>AND(IF($Q122=3,1,0),IF($X122&lt;30,1,0))</formula>
    </cfRule>
    <cfRule type="expression" priority="5066" dxfId="0">
      <formula>AND(IF($Q122=3,1,IF($Q122=4,1,0)),IF($F122&lt;=85,1,0))</formula>
    </cfRule>
  </conditionalFormatting>
  <conditionalFormatting sqref="AI122">
    <cfRule type="expression" priority="5059" dxfId="3">
      <formula>AND(IF(OR($Q122=1,$Q122=2),1,0),IF($X122&lt;=20,1,0))</formula>
    </cfRule>
    <cfRule type="expression" priority="5060" dxfId="2">
      <formula>AND(IF($Q122=2,1,0),IF($X122&lt;30,1,0))</formula>
    </cfRule>
    <cfRule type="expression" priority="5061" dxfId="1">
      <formula>AND(IF($Q122=3,1,0),IF($X122&lt;30,1,0))</formula>
    </cfRule>
    <cfRule type="expression" priority="5062" dxfId="0">
      <formula>AND(IF($Q122=3,1,IF($Q122=4,1,0)),IF($F122&lt;=85,1,0))</formula>
    </cfRule>
  </conditionalFormatting>
  <conditionalFormatting sqref="AV123">
    <cfRule type="expression" priority="5057" dxfId="23">
      <formula>AV123="X"</formula>
    </cfRule>
    <cfRule type="expression" priority="5058" dxfId="22">
      <formula>AV123="후보"</formula>
    </cfRule>
  </conditionalFormatting>
  <conditionalFormatting sqref="AC12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3">
    <cfRule type="expression" priority="5049" dxfId="3">
      <formula>AND(IF(OR($Q123=1,$Q123=2),1,0),IF($X123&lt;=20,1,0))</formula>
    </cfRule>
    <cfRule type="expression" priority="5050" dxfId="2">
      <formula>AND(IF($Q123=2,1,0),IF($X123&lt;30,1,0))</formula>
    </cfRule>
    <cfRule type="expression" priority="5051" dxfId="1">
      <formula>AND(IF($Q123=3,1,0),IF($X123&lt;30,1,0))</formula>
    </cfRule>
    <cfRule type="expression" priority="5052" dxfId="0">
      <formula>AND(IF($Q123=3,1,IF($Q123=4,1,0)),IF($F123&lt;=85,1,0))</formula>
    </cfRule>
  </conditionalFormatting>
  <conditionalFormatting sqref="X123">
    <cfRule type="expression" priority="5045" dxfId="3">
      <formula>AND(IF(OR($Q123=1,$Q123=2),1,0),IF($X123&lt;=20,1,0))</formula>
    </cfRule>
    <cfRule type="expression" priority="5046" dxfId="2">
      <formula>AND(IF($Q123=2,1,0),IF($X123&lt;30,1,0))</formula>
    </cfRule>
    <cfRule type="expression" priority="5047" dxfId="1">
      <formula>AND(IF($Q123=3,1,0),IF($X123&lt;30,1,0))</formula>
    </cfRule>
    <cfRule type="expression" priority="5048" dxfId="0">
      <formula>AND(IF($Q123=3,1,IF($Q123=4,1,0)),IF($F123&lt;=85,1,0))</formula>
    </cfRule>
  </conditionalFormatting>
  <conditionalFormatting sqref="AI123">
    <cfRule type="expression" priority="5041" dxfId="3">
      <formula>AND(IF(OR($Q123=1,$Q123=2),1,0),IF($X123&lt;=20,1,0))</formula>
    </cfRule>
    <cfRule type="expression" priority="5042" dxfId="2">
      <formula>AND(IF($Q123=2,1,0),IF($X123&lt;30,1,0))</formula>
    </cfRule>
    <cfRule type="expression" priority="5043" dxfId="1">
      <formula>AND(IF($Q123=3,1,0),IF($X123&lt;30,1,0))</formula>
    </cfRule>
    <cfRule type="expression" priority="5044" dxfId="0">
      <formula>AND(IF($Q123=3,1,IF($Q123=4,1,0)),IF($F123&lt;=85,1,0))</formula>
    </cfRule>
  </conditionalFormatting>
  <conditionalFormatting sqref="AV124">
    <cfRule type="expression" priority="5039" dxfId="23">
      <formula>AV124="X"</formula>
    </cfRule>
    <cfRule type="expression" priority="5040" dxfId="22">
      <formula>AV124="후보"</formula>
    </cfRule>
  </conditionalFormatting>
  <conditionalFormatting sqref="AC12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2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24">
    <cfRule type="expression" priority="5031" dxfId="3">
      <formula>AND(IF(OR($Q124=1,$Q124=2),1,0),IF($X124&lt;=20,1,0))</formula>
    </cfRule>
    <cfRule type="expression" priority="5032" dxfId="2">
      <formula>AND(IF($Q124=2,1,0),IF($X124&lt;30,1,0))</formula>
    </cfRule>
    <cfRule type="expression" priority="5033" dxfId="1">
      <formula>AND(IF($Q124=3,1,0),IF($X124&lt;30,1,0))</formula>
    </cfRule>
    <cfRule type="expression" priority="5034" dxfId="0">
      <formula>AND(IF($Q124=3,1,IF($Q124=4,1,0)),IF($F124&lt;=85,1,0))</formula>
    </cfRule>
  </conditionalFormatting>
  <conditionalFormatting sqref="X124">
    <cfRule type="expression" priority="5027" dxfId="3">
      <formula>AND(IF(OR($Q124=1,$Q124=2),1,0),IF($X124&lt;=20,1,0))</formula>
    </cfRule>
    <cfRule type="expression" priority="5028" dxfId="2">
      <formula>AND(IF($Q124=2,1,0),IF($X124&lt;30,1,0))</formula>
    </cfRule>
    <cfRule type="expression" priority="5029" dxfId="1">
      <formula>AND(IF($Q124=3,1,0),IF($X124&lt;30,1,0))</formula>
    </cfRule>
    <cfRule type="expression" priority="5030" dxfId="0">
      <formula>AND(IF($Q124=3,1,IF($Q124=4,1,0)),IF($F124&lt;=85,1,0))</formula>
    </cfRule>
  </conditionalFormatting>
  <conditionalFormatting sqref="AI124">
    <cfRule type="expression" priority="5023" dxfId="3">
      <formula>AND(IF(OR($Q124=1,$Q124=2),1,0),IF($X124&lt;=20,1,0))</formula>
    </cfRule>
    <cfRule type="expression" priority="5024" dxfId="2">
      <formula>AND(IF($Q124=2,1,0),IF($X124&lt;30,1,0))</formula>
    </cfRule>
    <cfRule type="expression" priority="5025" dxfId="1">
      <formula>AND(IF($Q124=3,1,0),IF($X124&lt;30,1,0))</formula>
    </cfRule>
    <cfRule type="expression" priority="5026" dxfId="0">
      <formula>AND(IF($Q124=3,1,IF($Q124=4,1,0)),IF($F124&lt;=85,1,0))</formula>
    </cfRule>
  </conditionalFormatting>
  <conditionalFormatting sqref="AV125">
    <cfRule type="expression" priority="5021" dxfId="23">
      <formula>AV125="X"</formula>
    </cfRule>
    <cfRule type="expression" priority="5022" dxfId="22">
      <formula>AV125="후보"</formula>
    </cfRule>
  </conditionalFormatting>
  <conditionalFormatting sqref="AC12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2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25">
    <cfRule type="expression" priority="5013" dxfId="3">
      <formula>AND(IF(OR($Q125=1,$Q125=2),1,0),IF($X125&lt;=20,1,0))</formula>
    </cfRule>
    <cfRule type="expression" priority="5014" dxfId="2">
      <formula>AND(IF($Q125=2,1,0),IF($X125&lt;30,1,0))</formula>
    </cfRule>
    <cfRule type="expression" priority="5015" dxfId="1">
      <formula>AND(IF($Q125=3,1,0),IF($X125&lt;30,1,0))</formula>
    </cfRule>
    <cfRule type="expression" priority="5016" dxfId="0">
      <formula>AND(IF($Q125=3,1,IF($Q125=4,1,0)),IF($F125&lt;=85,1,0))</formula>
    </cfRule>
  </conditionalFormatting>
  <conditionalFormatting sqref="X125">
    <cfRule type="expression" priority="5009" dxfId="3">
      <formula>AND(IF(OR($Q125=1,$Q125=2),1,0),IF($X125&lt;=20,1,0))</formula>
    </cfRule>
    <cfRule type="expression" priority="5010" dxfId="2">
      <formula>AND(IF($Q125=2,1,0),IF($X125&lt;30,1,0))</formula>
    </cfRule>
    <cfRule type="expression" priority="5011" dxfId="1">
      <formula>AND(IF($Q125=3,1,0),IF($X125&lt;30,1,0))</formula>
    </cfRule>
    <cfRule type="expression" priority="5012" dxfId="0">
      <formula>AND(IF($Q125=3,1,IF($Q125=4,1,0)),IF($F125&lt;=85,1,0))</formula>
    </cfRule>
  </conditionalFormatting>
  <conditionalFormatting sqref="AI125">
    <cfRule type="expression" priority="5005" dxfId="3">
      <formula>AND(IF(OR($Q125=1,$Q125=2),1,0),IF($X125&lt;=20,1,0))</formula>
    </cfRule>
    <cfRule type="expression" priority="5006" dxfId="2">
      <formula>AND(IF($Q125=2,1,0),IF($X125&lt;30,1,0))</formula>
    </cfRule>
    <cfRule type="expression" priority="5007" dxfId="1">
      <formula>AND(IF($Q125=3,1,0),IF($X125&lt;30,1,0))</formula>
    </cfRule>
    <cfRule type="expression" priority="5008" dxfId="0">
      <formula>AND(IF($Q125=3,1,IF($Q125=4,1,0)),IF($F125&lt;=85,1,0))</formula>
    </cfRule>
  </conditionalFormatting>
  <conditionalFormatting sqref="AV126">
    <cfRule type="expression" priority="5003" dxfId="23">
      <formula>AV126="X"</formula>
    </cfRule>
    <cfRule type="expression" priority="5004" dxfId="22">
      <formula>AV126="후보"</formula>
    </cfRule>
  </conditionalFormatting>
  <conditionalFormatting sqref="AC12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2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26">
    <cfRule type="expression" priority="4995" dxfId="3">
      <formula>AND(IF(OR($Q126=1,$Q126=2),1,0),IF($X126&lt;=20,1,0))</formula>
    </cfRule>
    <cfRule type="expression" priority="4996" dxfId="2">
      <formula>AND(IF($Q126=2,1,0),IF($X126&lt;30,1,0))</formula>
    </cfRule>
    <cfRule type="expression" priority="4997" dxfId="1">
      <formula>AND(IF($Q126=3,1,0),IF($X126&lt;30,1,0))</formula>
    </cfRule>
    <cfRule type="expression" priority="4998" dxfId="0">
      <formula>AND(IF($Q126=3,1,IF($Q126=4,1,0)),IF($F126&lt;=85,1,0))</formula>
    </cfRule>
  </conditionalFormatting>
  <conditionalFormatting sqref="X126">
    <cfRule type="expression" priority="4991" dxfId="3">
      <formula>AND(IF(OR($Q126=1,$Q126=2),1,0),IF($X126&lt;=20,1,0))</formula>
    </cfRule>
    <cfRule type="expression" priority="4992" dxfId="2">
      <formula>AND(IF($Q126=2,1,0),IF($X126&lt;30,1,0))</formula>
    </cfRule>
    <cfRule type="expression" priority="4993" dxfId="1">
      <formula>AND(IF($Q126=3,1,0),IF($X126&lt;30,1,0))</formula>
    </cfRule>
    <cfRule type="expression" priority="4994" dxfId="0">
      <formula>AND(IF($Q126=3,1,IF($Q126=4,1,0)),IF($F126&lt;=85,1,0))</formula>
    </cfRule>
  </conditionalFormatting>
  <conditionalFormatting sqref="AI126">
    <cfRule type="expression" priority="4987" dxfId="3">
      <formula>AND(IF(OR($Q126=1,$Q126=2),1,0),IF($X126&lt;=20,1,0))</formula>
    </cfRule>
    <cfRule type="expression" priority="4988" dxfId="2">
      <formula>AND(IF($Q126=2,1,0),IF($X126&lt;30,1,0))</formula>
    </cfRule>
    <cfRule type="expression" priority="4989" dxfId="1">
      <formula>AND(IF($Q126=3,1,0),IF($X126&lt;30,1,0))</formula>
    </cfRule>
    <cfRule type="expression" priority="4990" dxfId="0">
      <formula>AND(IF($Q126=3,1,IF($Q126=4,1,0)),IF($F126&lt;=85,1,0))</formula>
    </cfRule>
  </conditionalFormatting>
  <conditionalFormatting sqref="AV127">
    <cfRule type="expression" priority="4985" dxfId="23">
      <formula>AV127="X"</formula>
    </cfRule>
    <cfRule type="expression" priority="4986" dxfId="22">
      <formula>AV127="후보"</formula>
    </cfRule>
  </conditionalFormatting>
  <conditionalFormatting sqref="AC12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2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27">
    <cfRule type="expression" priority="4977" dxfId="3">
      <formula>AND(IF(OR($Q127=1,$Q127=2),1,0),IF($X127&lt;=20,1,0))</formula>
    </cfRule>
    <cfRule type="expression" priority="4978" dxfId="2">
      <formula>AND(IF($Q127=2,1,0),IF($X127&lt;30,1,0))</formula>
    </cfRule>
    <cfRule type="expression" priority="4979" dxfId="1">
      <formula>AND(IF($Q127=3,1,0),IF($X127&lt;30,1,0))</formula>
    </cfRule>
    <cfRule type="expression" priority="4980" dxfId="0">
      <formula>AND(IF($Q127=3,1,IF($Q127=4,1,0)),IF($F127&lt;=85,1,0))</formula>
    </cfRule>
  </conditionalFormatting>
  <conditionalFormatting sqref="X127">
    <cfRule type="expression" priority="4973" dxfId="3">
      <formula>AND(IF(OR($Q127=1,$Q127=2),1,0),IF($X127&lt;=20,1,0))</formula>
    </cfRule>
    <cfRule type="expression" priority="4974" dxfId="2">
      <formula>AND(IF($Q127=2,1,0),IF($X127&lt;30,1,0))</formula>
    </cfRule>
    <cfRule type="expression" priority="4975" dxfId="1">
      <formula>AND(IF($Q127=3,1,0),IF($X127&lt;30,1,0))</formula>
    </cfRule>
    <cfRule type="expression" priority="4976" dxfId="0">
      <formula>AND(IF($Q127=3,1,IF($Q127=4,1,0)),IF($F127&lt;=85,1,0))</formula>
    </cfRule>
  </conditionalFormatting>
  <conditionalFormatting sqref="AI127">
    <cfRule type="expression" priority="4969" dxfId="3">
      <formula>AND(IF(OR($Q127=1,$Q127=2),1,0),IF($X127&lt;=20,1,0))</formula>
    </cfRule>
    <cfRule type="expression" priority="4970" dxfId="2">
      <formula>AND(IF($Q127=2,1,0),IF($X127&lt;30,1,0))</formula>
    </cfRule>
    <cfRule type="expression" priority="4971" dxfId="1">
      <formula>AND(IF($Q127=3,1,0),IF($X127&lt;30,1,0))</formula>
    </cfRule>
    <cfRule type="expression" priority="4972" dxfId="0">
      <formula>AND(IF($Q127=3,1,IF($Q127=4,1,0)),IF($F127&lt;=85,1,0))</formula>
    </cfRule>
  </conditionalFormatting>
  <conditionalFormatting sqref="AV128">
    <cfRule type="expression" priority="4967" dxfId="23">
      <formula>AV128="X"</formula>
    </cfRule>
    <cfRule type="expression" priority="4968" dxfId="22">
      <formula>AV128="후보"</formula>
    </cfRule>
  </conditionalFormatting>
  <conditionalFormatting sqref="AC12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2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28">
    <cfRule type="expression" priority="4959" dxfId="3">
      <formula>AND(IF(OR($Q128=1,$Q128=2),1,0),IF($X128&lt;=20,1,0))</formula>
    </cfRule>
    <cfRule type="expression" priority="4960" dxfId="2">
      <formula>AND(IF($Q128=2,1,0),IF($X128&lt;30,1,0))</formula>
    </cfRule>
    <cfRule type="expression" priority="4961" dxfId="1">
      <formula>AND(IF($Q128=3,1,0),IF($X128&lt;30,1,0))</formula>
    </cfRule>
    <cfRule type="expression" priority="4962" dxfId="0">
      <formula>AND(IF($Q128=3,1,IF($Q128=4,1,0)),IF($F128&lt;=85,1,0))</formula>
    </cfRule>
  </conditionalFormatting>
  <conditionalFormatting sqref="X128">
    <cfRule type="expression" priority="4955" dxfId="3">
      <formula>AND(IF(OR($Q128=1,$Q128=2),1,0),IF($X128&lt;=20,1,0))</formula>
    </cfRule>
    <cfRule type="expression" priority="4956" dxfId="2">
      <formula>AND(IF($Q128=2,1,0),IF($X128&lt;30,1,0))</formula>
    </cfRule>
    <cfRule type="expression" priority="4957" dxfId="1">
      <formula>AND(IF($Q128=3,1,0),IF($X128&lt;30,1,0))</formula>
    </cfRule>
    <cfRule type="expression" priority="4958" dxfId="0">
      <formula>AND(IF($Q128=3,1,IF($Q128=4,1,0)),IF($F128&lt;=85,1,0))</formula>
    </cfRule>
  </conditionalFormatting>
  <conditionalFormatting sqref="AI128">
    <cfRule type="expression" priority="4951" dxfId="3">
      <formula>AND(IF(OR($Q128=1,$Q128=2),1,0),IF($X128&lt;=20,1,0))</formula>
    </cfRule>
    <cfRule type="expression" priority="4952" dxfId="2">
      <formula>AND(IF($Q128=2,1,0),IF($X128&lt;30,1,0))</formula>
    </cfRule>
    <cfRule type="expression" priority="4953" dxfId="1">
      <formula>AND(IF($Q128=3,1,0),IF($X128&lt;30,1,0))</formula>
    </cfRule>
    <cfRule type="expression" priority="4954" dxfId="0">
      <formula>AND(IF($Q128=3,1,IF($Q128=4,1,0)),IF($F128&lt;=85,1,0))</formula>
    </cfRule>
  </conditionalFormatting>
  <conditionalFormatting sqref="AV129">
    <cfRule type="expression" priority="4949" dxfId="23">
      <formula>AV129="X"</formula>
    </cfRule>
    <cfRule type="expression" priority="4950" dxfId="22">
      <formula>AV129="후보"</formula>
    </cfRule>
  </conditionalFormatting>
  <conditionalFormatting sqref="AC12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2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29">
    <cfRule type="expression" priority="4941" dxfId="3">
      <formula>AND(IF(OR($Q129=1,$Q129=2),1,0),IF($X129&lt;=20,1,0))</formula>
    </cfRule>
    <cfRule type="expression" priority="4942" dxfId="2">
      <formula>AND(IF($Q129=2,1,0),IF($X129&lt;30,1,0))</formula>
    </cfRule>
    <cfRule type="expression" priority="4943" dxfId="1">
      <formula>AND(IF($Q129=3,1,0),IF($X129&lt;30,1,0))</formula>
    </cfRule>
    <cfRule type="expression" priority="4944" dxfId="0">
      <formula>AND(IF($Q129=3,1,IF($Q129=4,1,0)),IF($F129&lt;=85,1,0))</formula>
    </cfRule>
  </conditionalFormatting>
  <conditionalFormatting sqref="X129">
    <cfRule type="expression" priority="4937" dxfId="3">
      <formula>AND(IF(OR($Q129=1,$Q129=2),1,0),IF($X129&lt;=20,1,0))</formula>
    </cfRule>
    <cfRule type="expression" priority="4938" dxfId="2">
      <formula>AND(IF($Q129=2,1,0),IF($X129&lt;30,1,0))</formula>
    </cfRule>
    <cfRule type="expression" priority="4939" dxfId="1">
      <formula>AND(IF($Q129=3,1,0),IF($X129&lt;30,1,0))</formula>
    </cfRule>
    <cfRule type="expression" priority="4940" dxfId="0">
      <formula>AND(IF($Q129=3,1,IF($Q129=4,1,0)),IF($F129&lt;=85,1,0))</formula>
    </cfRule>
  </conditionalFormatting>
  <conditionalFormatting sqref="AI129">
    <cfRule type="expression" priority="4933" dxfId="3">
      <formula>AND(IF(OR($Q129=1,$Q129=2),1,0),IF($X129&lt;=20,1,0))</formula>
    </cfRule>
    <cfRule type="expression" priority="4934" dxfId="2">
      <formula>AND(IF($Q129=2,1,0),IF($X129&lt;30,1,0))</formula>
    </cfRule>
    <cfRule type="expression" priority="4935" dxfId="1">
      <formula>AND(IF($Q129=3,1,0),IF($X129&lt;30,1,0))</formula>
    </cfRule>
    <cfRule type="expression" priority="4936" dxfId="0">
      <formula>AND(IF($Q129=3,1,IF($Q129=4,1,0)),IF($F129&lt;=85,1,0))</formula>
    </cfRule>
  </conditionalFormatting>
  <conditionalFormatting sqref="AV130">
    <cfRule type="expression" priority="4931" dxfId="23">
      <formula>AV130="X"</formula>
    </cfRule>
    <cfRule type="expression" priority="4932" dxfId="22">
      <formula>AV130="후보"</formula>
    </cfRule>
  </conditionalFormatting>
  <conditionalFormatting sqref="AC13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0">
    <cfRule type="expression" priority="4923" dxfId="3">
      <formula>AND(IF(OR($Q130=1,$Q130=2),1,0),IF($X130&lt;=20,1,0))</formula>
    </cfRule>
    <cfRule type="expression" priority="4924" dxfId="2">
      <formula>AND(IF($Q130=2,1,0),IF($X130&lt;30,1,0))</formula>
    </cfRule>
    <cfRule type="expression" priority="4925" dxfId="1">
      <formula>AND(IF($Q130=3,1,0),IF($X130&lt;30,1,0))</formula>
    </cfRule>
    <cfRule type="expression" priority="4926" dxfId="0">
      <formula>AND(IF($Q130=3,1,IF($Q130=4,1,0)),IF($F130&lt;=85,1,0))</formula>
    </cfRule>
  </conditionalFormatting>
  <conditionalFormatting sqref="X130">
    <cfRule type="expression" priority="4919" dxfId="3">
      <formula>AND(IF(OR($Q130=1,$Q130=2),1,0),IF($X130&lt;=20,1,0))</formula>
    </cfRule>
    <cfRule type="expression" priority="4920" dxfId="2">
      <formula>AND(IF($Q130=2,1,0),IF($X130&lt;30,1,0))</formula>
    </cfRule>
    <cfRule type="expression" priority="4921" dxfId="1">
      <formula>AND(IF($Q130=3,1,0),IF($X130&lt;30,1,0))</formula>
    </cfRule>
    <cfRule type="expression" priority="4922" dxfId="0">
      <formula>AND(IF($Q130=3,1,IF($Q130=4,1,0)),IF($F130&lt;=85,1,0))</formula>
    </cfRule>
  </conditionalFormatting>
  <conditionalFormatting sqref="AI130">
    <cfRule type="expression" priority="4915" dxfId="3">
      <formula>AND(IF(OR($Q130=1,$Q130=2),1,0),IF($X130&lt;=20,1,0))</formula>
    </cfRule>
    <cfRule type="expression" priority="4916" dxfId="2">
      <formula>AND(IF($Q130=2,1,0),IF($X130&lt;30,1,0))</formula>
    </cfRule>
    <cfRule type="expression" priority="4917" dxfId="1">
      <formula>AND(IF($Q130=3,1,0),IF($X130&lt;30,1,0))</formula>
    </cfRule>
    <cfRule type="expression" priority="4918" dxfId="0">
      <formula>AND(IF($Q130=3,1,IF($Q130=4,1,0)),IF($F130&lt;=85,1,0))</formula>
    </cfRule>
  </conditionalFormatting>
  <conditionalFormatting sqref="AV131">
    <cfRule type="expression" priority="4913" dxfId="23">
      <formula>AV131="X"</formula>
    </cfRule>
    <cfRule type="expression" priority="4914" dxfId="22">
      <formula>AV131="후보"</formula>
    </cfRule>
  </conditionalFormatting>
  <conditionalFormatting sqref="AC13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1">
    <cfRule type="expression" priority="4905" dxfId="3">
      <formula>AND(IF(OR($Q131=1,$Q131=2),1,0),IF($X131&lt;=20,1,0))</formula>
    </cfRule>
    <cfRule type="expression" priority="4906" dxfId="2">
      <formula>AND(IF($Q131=2,1,0),IF($X131&lt;30,1,0))</formula>
    </cfRule>
    <cfRule type="expression" priority="4907" dxfId="1">
      <formula>AND(IF($Q131=3,1,0),IF($X131&lt;30,1,0))</formula>
    </cfRule>
    <cfRule type="expression" priority="4908" dxfId="0">
      <formula>AND(IF($Q131=3,1,IF($Q131=4,1,0)),IF($F131&lt;=85,1,0))</formula>
    </cfRule>
  </conditionalFormatting>
  <conditionalFormatting sqref="X131">
    <cfRule type="expression" priority="4901" dxfId="3">
      <formula>AND(IF(OR($Q131=1,$Q131=2),1,0),IF($X131&lt;=20,1,0))</formula>
    </cfRule>
    <cfRule type="expression" priority="4902" dxfId="2">
      <formula>AND(IF($Q131=2,1,0),IF($X131&lt;30,1,0))</formula>
    </cfRule>
    <cfRule type="expression" priority="4903" dxfId="1">
      <formula>AND(IF($Q131=3,1,0),IF($X131&lt;30,1,0))</formula>
    </cfRule>
    <cfRule type="expression" priority="4904" dxfId="0">
      <formula>AND(IF($Q131=3,1,IF($Q131=4,1,0)),IF($F131&lt;=85,1,0))</formula>
    </cfRule>
  </conditionalFormatting>
  <conditionalFormatting sqref="AI131">
    <cfRule type="expression" priority="4897" dxfId="3">
      <formula>AND(IF(OR($Q131=1,$Q131=2),1,0),IF($X131&lt;=20,1,0))</formula>
    </cfRule>
    <cfRule type="expression" priority="4898" dxfId="2">
      <formula>AND(IF($Q131=2,1,0),IF($X131&lt;30,1,0))</formula>
    </cfRule>
    <cfRule type="expression" priority="4899" dxfId="1">
      <formula>AND(IF($Q131=3,1,0),IF($X131&lt;30,1,0))</formula>
    </cfRule>
    <cfRule type="expression" priority="4900" dxfId="0">
      <formula>AND(IF($Q131=3,1,IF($Q131=4,1,0)),IF($F131&lt;=85,1,0))</formula>
    </cfRule>
  </conditionalFormatting>
  <conditionalFormatting sqref="AV132">
    <cfRule type="expression" priority="4895" dxfId="23">
      <formula>AV132="X"</formula>
    </cfRule>
    <cfRule type="expression" priority="4896" dxfId="22">
      <formula>AV132="후보"</formula>
    </cfRule>
  </conditionalFormatting>
  <conditionalFormatting sqref="AC13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2">
    <cfRule type="expression" priority="4887" dxfId="3">
      <formula>AND(IF(OR($Q132=1,$Q132=2),1,0),IF($X132&lt;=20,1,0))</formula>
    </cfRule>
    <cfRule type="expression" priority="4888" dxfId="2">
      <formula>AND(IF($Q132=2,1,0),IF($X132&lt;30,1,0))</formula>
    </cfRule>
    <cfRule type="expression" priority="4889" dxfId="1">
      <formula>AND(IF($Q132=3,1,0),IF($X132&lt;30,1,0))</formula>
    </cfRule>
    <cfRule type="expression" priority="4890" dxfId="0">
      <formula>AND(IF($Q132=3,1,IF($Q132=4,1,0)),IF($F132&lt;=85,1,0))</formula>
    </cfRule>
  </conditionalFormatting>
  <conditionalFormatting sqref="X132">
    <cfRule type="expression" priority="4883" dxfId="3">
      <formula>AND(IF(OR($Q132=1,$Q132=2),1,0),IF($X132&lt;=20,1,0))</formula>
    </cfRule>
    <cfRule type="expression" priority="4884" dxfId="2">
      <formula>AND(IF($Q132=2,1,0),IF($X132&lt;30,1,0))</formula>
    </cfRule>
    <cfRule type="expression" priority="4885" dxfId="1">
      <formula>AND(IF($Q132=3,1,0),IF($X132&lt;30,1,0))</formula>
    </cfRule>
    <cfRule type="expression" priority="4886" dxfId="0">
      <formula>AND(IF($Q132=3,1,IF($Q132=4,1,0)),IF($F132&lt;=85,1,0))</formula>
    </cfRule>
  </conditionalFormatting>
  <conditionalFormatting sqref="AI132">
    <cfRule type="expression" priority="4879" dxfId="3">
      <formula>AND(IF(OR($Q132=1,$Q132=2),1,0),IF($X132&lt;=20,1,0))</formula>
    </cfRule>
    <cfRule type="expression" priority="4880" dxfId="2">
      <formula>AND(IF($Q132=2,1,0),IF($X132&lt;30,1,0))</formula>
    </cfRule>
    <cfRule type="expression" priority="4881" dxfId="1">
      <formula>AND(IF($Q132=3,1,0),IF($X132&lt;30,1,0))</formula>
    </cfRule>
    <cfRule type="expression" priority="4882" dxfId="0">
      <formula>AND(IF($Q132=3,1,IF($Q132=4,1,0)),IF($F132&lt;=85,1,0))</formula>
    </cfRule>
  </conditionalFormatting>
  <conditionalFormatting sqref="AV133">
    <cfRule type="expression" priority="4877" dxfId="23">
      <formula>AV133="X"</formula>
    </cfRule>
    <cfRule type="expression" priority="4878" dxfId="22">
      <formula>AV133="후보"</formula>
    </cfRule>
  </conditionalFormatting>
  <conditionalFormatting sqref="AC13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3">
    <cfRule type="expression" priority="4869" dxfId="3">
      <formula>AND(IF(OR($Q133=1,$Q133=2),1,0),IF($X133&lt;=20,1,0))</formula>
    </cfRule>
    <cfRule type="expression" priority="4870" dxfId="2">
      <formula>AND(IF($Q133=2,1,0),IF($X133&lt;30,1,0))</formula>
    </cfRule>
    <cfRule type="expression" priority="4871" dxfId="1">
      <formula>AND(IF($Q133=3,1,0),IF($X133&lt;30,1,0))</formula>
    </cfRule>
    <cfRule type="expression" priority="4872" dxfId="0">
      <formula>AND(IF($Q133=3,1,IF($Q133=4,1,0)),IF($F133&lt;=85,1,0))</formula>
    </cfRule>
  </conditionalFormatting>
  <conditionalFormatting sqref="X133">
    <cfRule type="expression" priority="4865" dxfId="3">
      <formula>AND(IF(OR($Q133=1,$Q133=2),1,0),IF($X133&lt;=20,1,0))</formula>
    </cfRule>
    <cfRule type="expression" priority="4866" dxfId="2">
      <formula>AND(IF($Q133=2,1,0),IF($X133&lt;30,1,0))</formula>
    </cfRule>
    <cfRule type="expression" priority="4867" dxfId="1">
      <formula>AND(IF($Q133=3,1,0),IF($X133&lt;30,1,0))</formula>
    </cfRule>
    <cfRule type="expression" priority="4868" dxfId="0">
      <formula>AND(IF($Q133=3,1,IF($Q133=4,1,0)),IF($F133&lt;=85,1,0))</formula>
    </cfRule>
  </conditionalFormatting>
  <conditionalFormatting sqref="AI133">
    <cfRule type="expression" priority="4861" dxfId="3">
      <formula>AND(IF(OR($Q133=1,$Q133=2),1,0),IF($X133&lt;=20,1,0))</formula>
    </cfRule>
    <cfRule type="expression" priority="4862" dxfId="2">
      <formula>AND(IF($Q133=2,1,0),IF($X133&lt;30,1,0))</formula>
    </cfRule>
    <cfRule type="expression" priority="4863" dxfId="1">
      <formula>AND(IF($Q133=3,1,0),IF($X133&lt;30,1,0))</formula>
    </cfRule>
    <cfRule type="expression" priority="4864" dxfId="0">
      <formula>AND(IF($Q133=3,1,IF($Q133=4,1,0)),IF($F133&lt;=85,1,0))</formula>
    </cfRule>
  </conditionalFormatting>
  <conditionalFormatting sqref="AV134">
    <cfRule type="expression" priority="4859" dxfId="23">
      <formula>AV134="X"</formula>
    </cfRule>
    <cfRule type="expression" priority="4860" dxfId="22">
      <formula>AV134="후보"</formula>
    </cfRule>
  </conditionalFormatting>
  <conditionalFormatting sqref="AC13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3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34">
    <cfRule type="expression" priority="4851" dxfId="3">
      <formula>AND(IF(OR($Q134=1,$Q134=2),1,0),IF($X134&lt;=20,1,0))</formula>
    </cfRule>
    <cfRule type="expression" priority="4852" dxfId="2">
      <formula>AND(IF($Q134=2,1,0),IF($X134&lt;30,1,0))</formula>
    </cfRule>
    <cfRule type="expression" priority="4853" dxfId="1">
      <formula>AND(IF($Q134=3,1,0),IF($X134&lt;30,1,0))</formula>
    </cfRule>
    <cfRule type="expression" priority="4854" dxfId="0">
      <formula>AND(IF($Q134=3,1,IF($Q134=4,1,0)),IF($F134&lt;=85,1,0))</formula>
    </cfRule>
  </conditionalFormatting>
  <conditionalFormatting sqref="X134">
    <cfRule type="expression" priority="4847" dxfId="3">
      <formula>AND(IF(OR($Q134=1,$Q134=2),1,0),IF($X134&lt;=20,1,0))</formula>
    </cfRule>
    <cfRule type="expression" priority="4848" dxfId="2">
      <formula>AND(IF($Q134=2,1,0),IF($X134&lt;30,1,0))</formula>
    </cfRule>
    <cfRule type="expression" priority="4849" dxfId="1">
      <formula>AND(IF($Q134=3,1,0),IF($X134&lt;30,1,0))</formula>
    </cfRule>
    <cfRule type="expression" priority="4850" dxfId="0">
      <formula>AND(IF($Q134=3,1,IF($Q134=4,1,0)),IF($F134&lt;=85,1,0))</formula>
    </cfRule>
  </conditionalFormatting>
  <conditionalFormatting sqref="AI134">
    <cfRule type="expression" priority="4843" dxfId="3">
      <formula>AND(IF(OR($Q134=1,$Q134=2),1,0),IF($X134&lt;=20,1,0))</formula>
    </cfRule>
    <cfRule type="expression" priority="4844" dxfId="2">
      <formula>AND(IF($Q134=2,1,0),IF($X134&lt;30,1,0))</formula>
    </cfRule>
    <cfRule type="expression" priority="4845" dxfId="1">
      <formula>AND(IF($Q134=3,1,0),IF($X134&lt;30,1,0))</formula>
    </cfRule>
    <cfRule type="expression" priority="4846" dxfId="0">
      <formula>AND(IF($Q134=3,1,IF($Q134=4,1,0)),IF($F134&lt;=85,1,0))</formula>
    </cfRule>
  </conditionalFormatting>
  <conditionalFormatting sqref="AV135">
    <cfRule type="expression" priority="4841" dxfId="23">
      <formula>AV135="X"</formula>
    </cfRule>
    <cfRule type="expression" priority="4842" dxfId="22">
      <formula>AV135="후보"</formula>
    </cfRule>
  </conditionalFormatting>
  <conditionalFormatting sqref="AC13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3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35">
    <cfRule type="expression" priority="4833" dxfId="3">
      <formula>AND(IF(OR($Q135=1,$Q135=2),1,0),IF($X135&lt;=20,1,0))</formula>
    </cfRule>
    <cfRule type="expression" priority="4834" dxfId="2">
      <formula>AND(IF($Q135=2,1,0),IF($X135&lt;30,1,0))</formula>
    </cfRule>
    <cfRule type="expression" priority="4835" dxfId="1">
      <formula>AND(IF($Q135=3,1,0),IF($X135&lt;30,1,0))</formula>
    </cfRule>
    <cfRule type="expression" priority="4836" dxfId="0">
      <formula>AND(IF($Q135=3,1,IF($Q135=4,1,0)),IF($F135&lt;=85,1,0))</formula>
    </cfRule>
  </conditionalFormatting>
  <conditionalFormatting sqref="X135">
    <cfRule type="expression" priority="4829" dxfId="3">
      <formula>AND(IF(OR($Q135=1,$Q135=2),1,0),IF($X135&lt;=20,1,0))</formula>
    </cfRule>
    <cfRule type="expression" priority="4830" dxfId="2">
      <formula>AND(IF($Q135=2,1,0),IF($X135&lt;30,1,0))</formula>
    </cfRule>
    <cfRule type="expression" priority="4831" dxfId="1">
      <formula>AND(IF($Q135=3,1,0),IF($X135&lt;30,1,0))</formula>
    </cfRule>
    <cfRule type="expression" priority="4832" dxfId="0">
      <formula>AND(IF($Q135=3,1,IF($Q135=4,1,0)),IF($F135&lt;=85,1,0))</formula>
    </cfRule>
  </conditionalFormatting>
  <conditionalFormatting sqref="AI135">
    <cfRule type="expression" priority="4825" dxfId="3">
      <formula>AND(IF(OR($Q135=1,$Q135=2),1,0),IF($X135&lt;=20,1,0))</formula>
    </cfRule>
    <cfRule type="expression" priority="4826" dxfId="2">
      <formula>AND(IF($Q135=2,1,0),IF($X135&lt;30,1,0))</formula>
    </cfRule>
    <cfRule type="expression" priority="4827" dxfId="1">
      <formula>AND(IF($Q135=3,1,0),IF($X135&lt;30,1,0))</formula>
    </cfRule>
    <cfRule type="expression" priority="4828" dxfId="0">
      <formula>AND(IF($Q135=3,1,IF($Q135=4,1,0)),IF($F135&lt;=85,1,0))</formula>
    </cfRule>
  </conditionalFormatting>
  <conditionalFormatting sqref="AV136">
    <cfRule type="expression" priority="4823" dxfId="23">
      <formula>AV136="X"</formula>
    </cfRule>
    <cfRule type="expression" priority="4824" dxfId="22">
      <formula>AV136="후보"</formula>
    </cfRule>
  </conditionalFormatting>
  <conditionalFormatting sqref="AC13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3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36">
    <cfRule type="expression" priority="4815" dxfId="3">
      <formula>AND(IF(OR($Q136=1,$Q136=2),1,0),IF($X136&lt;=20,1,0))</formula>
    </cfRule>
    <cfRule type="expression" priority="4816" dxfId="2">
      <formula>AND(IF($Q136=2,1,0),IF($X136&lt;30,1,0))</formula>
    </cfRule>
    <cfRule type="expression" priority="4817" dxfId="1">
      <formula>AND(IF($Q136=3,1,0),IF($X136&lt;30,1,0))</formula>
    </cfRule>
    <cfRule type="expression" priority="4818" dxfId="0">
      <formula>AND(IF($Q136=3,1,IF($Q136=4,1,0)),IF($F136&lt;=85,1,0))</formula>
    </cfRule>
  </conditionalFormatting>
  <conditionalFormatting sqref="X136">
    <cfRule type="expression" priority="4811" dxfId="3">
      <formula>AND(IF(OR($Q136=1,$Q136=2),1,0),IF($X136&lt;=20,1,0))</formula>
    </cfRule>
    <cfRule type="expression" priority="4812" dxfId="2">
      <formula>AND(IF($Q136=2,1,0),IF($X136&lt;30,1,0))</formula>
    </cfRule>
    <cfRule type="expression" priority="4813" dxfId="1">
      <formula>AND(IF($Q136=3,1,0),IF($X136&lt;30,1,0))</formula>
    </cfRule>
    <cfRule type="expression" priority="4814" dxfId="0">
      <formula>AND(IF($Q136=3,1,IF($Q136=4,1,0)),IF($F136&lt;=85,1,0))</formula>
    </cfRule>
  </conditionalFormatting>
  <conditionalFormatting sqref="AI136">
    <cfRule type="expression" priority="4807" dxfId="3">
      <formula>AND(IF(OR($Q136=1,$Q136=2),1,0),IF($X136&lt;=20,1,0))</formula>
    </cfRule>
    <cfRule type="expression" priority="4808" dxfId="2">
      <formula>AND(IF($Q136=2,1,0),IF($X136&lt;30,1,0))</formula>
    </cfRule>
    <cfRule type="expression" priority="4809" dxfId="1">
      <formula>AND(IF($Q136=3,1,0),IF($X136&lt;30,1,0))</formula>
    </cfRule>
    <cfRule type="expression" priority="4810" dxfId="0">
      <formula>AND(IF($Q136=3,1,IF($Q136=4,1,0)),IF($F136&lt;=85,1,0))</formula>
    </cfRule>
  </conditionalFormatting>
  <conditionalFormatting sqref="AV137">
    <cfRule type="expression" priority="4805" dxfId="23">
      <formula>AV137="X"</formula>
    </cfRule>
    <cfRule type="expression" priority="4806" dxfId="22">
      <formula>AV137="후보"</formula>
    </cfRule>
  </conditionalFormatting>
  <conditionalFormatting sqref="AC13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3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37">
    <cfRule type="expression" priority="4797" dxfId="3">
      <formula>AND(IF(OR($Q137=1,$Q137=2),1,0),IF($X137&lt;=20,1,0))</formula>
    </cfRule>
    <cfRule type="expression" priority="4798" dxfId="2">
      <formula>AND(IF($Q137=2,1,0),IF($X137&lt;30,1,0))</formula>
    </cfRule>
    <cfRule type="expression" priority="4799" dxfId="1">
      <formula>AND(IF($Q137=3,1,0),IF($X137&lt;30,1,0))</formula>
    </cfRule>
    <cfRule type="expression" priority="4800" dxfId="0">
      <formula>AND(IF($Q137=3,1,IF($Q137=4,1,0)),IF($F137&lt;=85,1,0))</formula>
    </cfRule>
  </conditionalFormatting>
  <conditionalFormatting sqref="X137">
    <cfRule type="expression" priority="4793" dxfId="3">
      <formula>AND(IF(OR($Q137=1,$Q137=2),1,0),IF($X137&lt;=20,1,0))</formula>
    </cfRule>
    <cfRule type="expression" priority="4794" dxfId="2">
      <formula>AND(IF($Q137=2,1,0),IF($X137&lt;30,1,0))</formula>
    </cfRule>
    <cfRule type="expression" priority="4795" dxfId="1">
      <formula>AND(IF($Q137=3,1,0),IF($X137&lt;30,1,0))</formula>
    </cfRule>
    <cfRule type="expression" priority="4796" dxfId="0">
      <formula>AND(IF($Q137=3,1,IF($Q137=4,1,0)),IF($F137&lt;=85,1,0))</formula>
    </cfRule>
  </conditionalFormatting>
  <conditionalFormatting sqref="AI137">
    <cfRule type="expression" priority="4789" dxfId="3">
      <formula>AND(IF(OR($Q137=1,$Q137=2),1,0),IF($X137&lt;=20,1,0))</formula>
    </cfRule>
    <cfRule type="expression" priority="4790" dxfId="2">
      <formula>AND(IF($Q137=2,1,0),IF($X137&lt;30,1,0))</formula>
    </cfRule>
    <cfRule type="expression" priority="4791" dxfId="1">
      <formula>AND(IF($Q137=3,1,0),IF($X137&lt;30,1,0))</formula>
    </cfRule>
    <cfRule type="expression" priority="4792" dxfId="0">
      <formula>AND(IF($Q137=3,1,IF($Q137=4,1,0)),IF($F137&lt;=85,1,0))</formula>
    </cfRule>
  </conditionalFormatting>
  <conditionalFormatting sqref="AV138">
    <cfRule type="expression" priority="4787" dxfId="23">
      <formula>AV138="X"</formula>
    </cfRule>
    <cfRule type="expression" priority="4788" dxfId="22">
      <formula>AV138="후보"</formula>
    </cfRule>
  </conditionalFormatting>
  <conditionalFormatting sqref="AC13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3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38">
    <cfRule type="expression" priority="4779" dxfId="3">
      <formula>AND(IF(OR($Q138=1,$Q138=2),1,0),IF($X138&lt;=20,1,0))</formula>
    </cfRule>
    <cfRule type="expression" priority="4780" dxfId="2">
      <formula>AND(IF($Q138=2,1,0),IF($X138&lt;30,1,0))</formula>
    </cfRule>
    <cfRule type="expression" priority="4781" dxfId="1">
      <formula>AND(IF($Q138=3,1,0),IF($X138&lt;30,1,0))</formula>
    </cfRule>
    <cfRule type="expression" priority="4782" dxfId="0">
      <formula>AND(IF($Q138=3,1,IF($Q138=4,1,0)),IF($F138&lt;=85,1,0))</formula>
    </cfRule>
  </conditionalFormatting>
  <conditionalFormatting sqref="X138">
    <cfRule type="expression" priority="4775" dxfId="3">
      <formula>AND(IF(OR($Q138=1,$Q138=2),1,0),IF($X138&lt;=20,1,0))</formula>
    </cfRule>
    <cfRule type="expression" priority="4776" dxfId="2">
      <formula>AND(IF($Q138=2,1,0),IF($X138&lt;30,1,0))</formula>
    </cfRule>
    <cfRule type="expression" priority="4777" dxfId="1">
      <formula>AND(IF($Q138=3,1,0),IF($X138&lt;30,1,0))</formula>
    </cfRule>
    <cfRule type="expression" priority="4778" dxfId="0">
      <formula>AND(IF($Q138=3,1,IF($Q138=4,1,0)),IF($F138&lt;=85,1,0))</formula>
    </cfRule>
  </conditionalFormatting>
  <conditionalFormatting sqref="AI138">
    <cfRule type="expression" priority="4771" dxfId="3">
      <formula>AND(IF(OR($Q138=1,$Q138=2),1,0),IF($X138&lt;=20,1,0))</formula>
    </cfRule>
    <cfRule type="expression" priority="4772" dxfId="2">
      <formula>AND(IF($Q138=2,1,0),IF($X138&lt;30,1,0))</formula>
    </cfRule>
    <cfRule type="expression" priority="4773" dxfId="1">
      <formula>AND(IF($Q138=3,1,0),IF($X138&lt;30,1,0))</formula>
    </cfRule>
    <cfRule type="expression" priority="4774" dxfId="0">
      <formula>AND(IF($Q138=3,1,IF($Q138=4,1,0)),IF($F138&lt;=85,1,0))</formula>
    </cfRule>
  </conditionalFormatting>
  <conditionalFormatting sqref="AV139">
    <cfRule type="expression" priority="4769" dxfId="23">
      <formula>AV139="X"</formula>
    </cfRule>
    <cfRule type="expression" priority="4770" dxfId="22">
      <formula>AV139="후보"</formula>
    </cfRule>
  </conditionalFormatting>
  <conditionalFormatting sqref="AC13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3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39">
    <cfRule type="expression" priority="4761" dxfId="3">
      <formula>AND(IF(OR($Q139=1,$Q139=2),1,0),IF($X139&lt;=20,1,0))</formula>
    </cfRule>
    <cfRule type="expression" priority="4762" dxfId="2">
      <formula>AND(IF($Q139=2,1,0),IF($X139&lt;30,1,0))</formula>
    </cfRule>
    <cfRule type="expression" priority="4763" dxfId="1">
      <formula>AND(IF($Q139=3,1,0),IF($X139&lt;30,1,0))</formula>
    </cfRule>
    <cfRule type="expression" priority="4764" dxfId="0">
      <formula>AND(IF($Q139=3,1,IF($Q139=4,1,0)),IF($F139&lt;=85,1,0))</formula>
    </cfRule>
  </conditionalFormatting>
  <conditionalFormatting sqref="X139">
    <cfRule type="expression" priority="4757" dxfId="3">
      <formula>AND(IF(OR($Q139=1,$Q139=2),1,0),IF($X139&lt;=20,1,0))</formula>
    </cfRule>
    <cfRule type="expression" priority="4758" dxfId="2">
      <formula>AND(IF($Q139=2,1,0),IF($X139&lt;30,1,0))</formula>
    </cfRule>
    <cfRule type="expression" priority="4759" dxfId="1">
      <formula>AND(IF($Q139=3,1,0),IF($X139&lt;30,1,0))</formula>
    </cfRule>
    <cfRule type="expression" priority="4760" dxfId="0">
      <formula>AND(IF($Q139=3,1,IF($Q139=4,1,0)),IF($F139&lt;=85,1,0))</formula>
    </cfRule>
  </conditionalFormatting>
  <conditionalFormatting sqref="AI139">
    <cfRule type="expression" priority="4753" dxfId="3">
      <formula>AND(IF(OR($Q139=1,$Q139=2),1,0),IF($X139&lt;=20,1,0))</formula>
    </cfRule>
    <cfRule type="expression" priority="4754" dxfId="2">
      <formula>AND(IF($Q139=2,1,0),IF($X139&lt;30,1,0))</formula>
    </cfRule>
    <cfRule type="expression" priority="4755" dxfId="1">
      <formula>AND(IF($Q139=3,1,0),IF($X139&lt;30,1,0))</formula>
    </cfRule>
    <cfRule type="expression" priority="4756" dxfId="0">
      <formula>AND(IF($Q139=3,1,IF($Q139=4,1,0)),IF($F139&lt;=85,1,0))</formula>
    </cfRule>
  </conditionalFormatting>
  <conditionalFormatting sqref="AV140">
    <cfRule type="expression" priority="4751" dxfId="23">
      <formula>AV140="X"</formula>
    </cfRule>
    <cfRule type="expression" priority="4752" dxfId="22">
      <formula>AV140="후보"</formula>
    </cfRule>
  </conditionalFormatting>
  <conditionalFormatting sqref="AC14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0">
    <cfRule type="expression" priority="4743" dxfId="3">
      <formula>AND(IF(OR($Q140=1,$Q140=2),1,0),IF($X140&lt;=20,1,0))</formula>
    </cfRule>
    <cfRule type="expression" priority="4744" dxfId="2">
      <formula>AND(IF($Q140=2,1,0),IF($X140&lt;30,1,0))</formula>
    </cfRule>
    <cfRule type="expression" priority="4745" dxfId="1">
      <formula>AND(IF($Q140=3,1,0),IF($X140&lt;30,1,0))</formula>
    </cfRule>
    <cfRule type="expression" priority="4746" dxfId="0">
      <formula>AND(IF($Q140=3,1,IF($Q140=4,1,0)),IF($F140&lt;=85,1,0))</formula>
    </cfRule>
  </conditionalFormatting>
  <conditionalFormatting sqref="X140">
    <cfRule type="expression" priority="4739" dxfId="3">
      <formula>AND(IF(OR($Q140=1,$Q140=2),1,0),IF($X140&lt;=20,1,0))</formula>
    </cfRule>
    <cfRule type="expression" priority="4740" dxfId="2">
      <formula>AND(IF($Q140=2,1,0),IF($X140&lt;30,1,0))</formula>
    </cfRule>
    <cfRule type="expression" priority="4741" dxfId="1">
      <formula>AND(IF($Q140=3,1,0),IF($X140&lt;30,1,0))</formula>
    </cfRule>
    <cfRule type="expression" priority="4742" dxfId="0">
      <formula>AND(IF($Q140=3,1,IF($Q140=4,1,0)),IF($F140&lt;=85,1,0))</formula>
    </cfRule>
  </conditionalFormatting>
  <conditionalFormatting sqref="AI140">
    <cfRule type="expression" priority="4735" dxfId="3">
      <formula>AND(IF(OR($Q140=1,$Q140=2),1,0),IF($X140&lt;=20,1,0))</formula>
    </cfRule>
    <cfRule type="expression" priority="4736" dxfId="2">
      <formula>AND(IF($Q140=2,1,0),IF($X140&lt;30,1,0))</formula>
    </cfRule>
    <cfRule type="expression" priority="4737" dxfId="1">
      <formula>AND(IF($Q140=3,1,0),IF($X140&lt;30,1,0))</formula>
    </cfRule>
    <cfRule type="expression" priority="4738" dxfId="0">
      <formula>AND(IF($Q140=3,1,IF($Q140=4,1,0)),IF($F140&lt;=85,1,0))</formula>
    </cfRule>
  </conditionalFormatting>
  <conditionalFormatting sqref="AV141">
    <cfRule type="expression" priority="4733" dxfId="23">
      <formula>AV141="X"</formula>
    </cfRule>
    <cfRule type="expression" priority="4734" dxfId="22">
      <formula>AV141="후보"</formula>
    </cfRule>
  </conditionalFormatting>
  <conditionalFormatting sqref="AC14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1">
    <cfRule type="expression" priority="4725" dxfId="3">
      <formula>AND(IF(OR($Q141=1,$Q141=2),1,0),IF($X141&lt;=20,1,0))</formula>
    </cfRule>
    <cfRule type="expression" priority="4726" dxfId="2">
      <formula>AND(IF($Q141=2,1,0),IF($X141&lt;30,1,0))</formula>
    </cfRule>
    <cfRule type="expression" priority="4727" dxfId="1">
      <formula>AND(IF($Q141=3,1,0),IF($X141&lt;30,1,0))</formula>
    </cfRule>
    <cfRule type="expression" priority="4728" dxfId="0">
      <formula>AND(IF($Q141=3,1,IF($Q141=4,1,0)),IF($F141&lt;=85,1,0))</formula>
    </cfRule>
  </conditionalFormatting>
  <conditionalFormatting sqref="X141">
    <cfRule type="expression" priority="4721" dxfId="3">
      <formula>AND(IF(OR($Q141=1,$Q141=2),1,0),IF($X141&lt;=20,1,0))</formula>
    </cfRule>
    <cfRule type="expression" priority="4722" dxfId="2">
      <formula>AND(IF($Q141=2,1,0),IF($X141&lt;30,1,0))</formula>
    </cfRule>
    <cfRule type="expression" priority="4723" dxfId="1">
      <formula>AND(IF($Q141=3,1,0),IF($X141&lt;30,1,0))</formula>
    </cfRule>
    <cfRule type="expression" priority="4724" dxfId="0">
      <formula>AND(IF($Q141=3,1,IF($Q141=4,1,0)),IF($F141&lt;=85,1,0))</formula>
    </cfRule>
  </conditionalFormatting>
  <conditionalFormatting sqref="AI141">
    <cfRule type="expression" priority="4717" dxfId="3">
      <formula>AND(IF(OR($Q141=1,$Q141=2),1,0),IF($X141&lt;=20,1,0))</formula>
    </cfRule>
    <cfRule type="expression" priority="4718" dxfId="2">
      <formula>AND(IF($Q141=2,1,0),IF($X141&lt;30,1,0))</formula>
    </cfRule>
    <cfRule type="expression" priority="4719" dxfId="1">
      <formula>AND(IF($Q141=3,1,0),IF($X141&lt;30,1,0))</formula>
    </cfRule>
    <cfRule type="expression" priority="4720" dxfId="0">
      <formula>AND(IF($Q141=3,1,IF($Q141=4,1,0)),IF($F141&lt;=85,1,0))</formula>
    </cfRule>
  </conditionalFormatting>
  <conditionalFormatting sqref="AV142">
    <cfRule type="expression" priority="4715" dxfId="23">
      <formula>AV142="X"</formula>
    </cfRule>
    <cfRule type="expression" priority="4716" dxfId="22">
      <formula>AV142="후보"</formula>
    </cfRule>
  </conditionalFormatting>
  <conditionalFormatting sqref="AC14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2">
    <cfRule type="expression" priority="4707" dxfId="3">
      <formula>AND(IF(OR($Q142=1,$Q142=2),1,0),IF($X142&lt;=20,1,0))</formula>
    </cfRule>
    <cfRule type="expression" priority="4708" dxfId="2">
      <formula>AND(IF($Q142=2,1,0),IF($X142&lt;30,1,0))</formula>
    </cfRule>
    <cfRule type="expression" priority="4709" dxfId="1">
      <formula>AND(IF($Q142=3,1,0),IF($X142&lt;30,1,0))</formula>
    </cfRule>
    <cfRule type="expression" priority="4710" dxfId="0">
      <formula>AND(IF($Q142=3,1,IF($Q142=4,1,0)),IF($F142&lt;=85,1,0))</formula>
    </cfRule>
  </conditionalFormatting>
  <conditionalFormatting sqref="X142">
    <cfRule type="expression" priority="4703" dxfId="3">
      <formula>AND(IF(OR($Q142=1,$Q142=2),1,0),IF($X142&lt;=20,1,0))</formula>
    </cfRule>
    <cfRule type="expression" priority="4704" dxfId="2">
      <formula>AND(IF($Q142=2,1,0),IF($X142&lt;30,1,0))</formula>
    </cfRule>
    <cfRule type="expression" priority="4705" dxfId="1">
      <formula>AND(IF($Q142=3,1,0),IF($X142&lt;30,1,0))</formula>
    </cfRule>
    <cfRule type="expression" priority="4706" dxfId="0">
      <formula>AND(IF($Q142=3,1,IF($Q142=4,1,0)),IF($F142&lt;=85,1,0))</formula>
    </cfRule>
  </conditionalFormatting>
  <conditionalFormatting sqref="AI142">
    <cfRule type="expression" priority="4699" dxfId="3">
      <formula>AND(IF(OR($Q142=1,$Q142=2),1,0),IF($X142&lt;=20,1,0))</formula>
    </cfRule>
    <cfRule type="expression" priority="4700" dxfId="2">
      <formula>AND(IF($Q142=2,1,0),IF($X142&lt;30,1,0))</formula>
    </cfRule>
    <cfRule type="expression" priority="4701" dxfId="1">
      <formula>AND(IF($Q142=3,1,0),IF($X142&lt;30,1,0))</formula>
    </cfRule>
    <cfRule type="expression" priority="4702" dxfId="0">
      <formula>AND(IF($Q142=3,1,IF($Q142=4,1,0)),IF($F142&lt;=85,1,0))</formula>
    </cfRule>
  </conditionalFormatting>
  <conditionalFormatting sqref="AV143">
    <cfRule type="expression" priority="4697" dxfId="23">
      <formula>AV143="X"</formula>
    </cfRule>
    <cfRule type="expression" priority="4698" dxfId="22">
      <formula>AV143="후보"</formula>
    </cfRule>
  </conditionalFormatting>
  <conditionalFormatting sqref="AC14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3">
    <cfRule type="expression" priority="4689" dxfId="3">
      <formula>AND(IF(OR($Q143=1,$Q143=2),1,0),IF($X143&lt;=20,1,0))</formula>
    </cfRule>
    <cfRule type="expression" priority="4690" dxfId="2">
      <formula>AND(IF($Q143=2,1,0),IF($X143&lt;30,1,0))</formula>
    </cfRule>
    <cfRule type="expression" priority="4691" dxfId="1">
      <formula>AND(IF($Q143=3,1,0),IF($X143&lt;30,1,0))</formula>
    </cfRule>
    <cfRule type="expression" priority="4692" dxfId="0">
      <formula>AND(IF($Q143=3,1,IF($Q143=4,1,0)),IF($F143&lt;=85,1,0))</formula>
    </cfRule>
  </conditionalFormatting>
  <conditionalFormatting sqref="X143">
    <cfRule type="expression" priority="4685" dxfId="3">
      <formula>AND(IF(OR($Q143=1,$Q143=2),1,0),IF($X143&lt;=20,1,0))</formula>
    </cfRule>
    <cfRule type="expression" priority="4686" dxfId="2">
      <formula>AND(IF($Q143=2,1,0),IF($X143&lt;30,1,0))</formula>
    </cfRule>
    <cfRule type="expression" priority="4687" dxfId="1">
      <formula>AND(IF($Q143=3,1,0),IF($X143&lt;30,1,0))</formula>
    </cfRule>
    <cfRule type="expression" priority="4688" dxfId="0">
      <formula>AND(IF($Q143=3,1,IF($Q143=4,1,0)),IF($F143&lt;=85,1,0))</formula>
    </cfRule>
  </conditionalFormatting>
  <conditionalFormatting sqref="AI143">
    <cfRule type="expression" priority="4681" dxfId="3">
      <formula>AND(IF(OR($Q143=1,$Q143=2),1,0),IF($X143&lt;=20,1,0))</formula>
    </cfRule>
    <cfRule type="expression" priority="4682" dxfId="2">
      <formula>AND(IF($Q143=2,1,0),IF($X143&lt;30,1,0))</formula>
    </cfRule>
    <cfRule type="expression" priority="4683" dxfId="1">
      <formula>AND(IF($Q143=3,1,0),IF($X143&lt;30,1,0))</formula>
    </cfRule>
    <cfRule type="expression" priority="4684" dxfId="0">
      <formula>AND(IF($Q143=3,1,IF($Q143=4,1,0)),IF($F143&lt;=85,1,0))</formula>
    </cfRule>
  </conditionalFormatting>
  <conditionalFormatting sqref="AV144">
    <cfRule type="expression" priority="4679" dxfId="23">
      <formula>AV144="X"</formula>
    </cfRule>
    <cfRule type="expression" priority="4680" dxfId="22">
      <formula>AV144="후보"</formula>
    </cfRule>
  </conditionalFormatting>
  <conditionalFormatting sqref="AC14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4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44">
    <cfRule type="expression" priority="4671" dxfId="3">
      <formula>AND(IF(OR($Q144=1,$Q144=2),1,0),IF($X144&lt;=20,1,0))</formula>
    </cfRule>
    <cfRule type="expression" priority="4672" dxfId="2">
      <formula>AND(IF($Q144=2,1,0),IF($X144&lt;30,1,0))</formula>
    </cfRule>
    <cfRule type="expression" priority="4673" dxfId="1">
      <formula>AND(IF($Q144=3,1,0),IF($X144&lt;30,1,0))</formula>
    </cfRule>
    <cfRule type="expression" priority="4674" dxfId="0">
      <formula>AND(IF($Q144=3,1,IF($Q144=4,1,0)),IF($F144&lt;=85,1,0))</formula>
    </cfRule>
  </conditionalFormatting>
  <conditionalFormatting sqref="X144">
    <cfRule type="expression" priority="4667" dxfId="3">
      <formula>AND(IF(OR($Q144=1,$Q144=2),1,0),IF($X144&lt;=20,1,0))</formula>
    </cfRule>
    <cfRule type="expression" priority="4668" dxfId="2">
      <formula>AND(IF($Q144=2,1,0),IF($X144&lt;30,1,0))</formula>
    </cfRule>
    <cfRule type="expression" priority="4669" dxfId="1">
      <formula>AND(IF($Q144=3,1,0),IF($X144&lt;30,1,0))</formula>
    </cfRule>
    <cfRule type="expression" priority="4670" dxfId="0">
      <formula>AND(IF($Q144=3,1,IF($Q144=4,1,0)),IF($F144&lt;=85,1,0))</formula>
    </cfRule>
  </conditionalFormatting>
  <conditionalFormatting sqref="AI144">
    <cfRule type="expression" priority="4663" dxfId="3">
      <formula>AND(IF(OR($Q144=1,$Q144=2),1,0),IF($X144&lt;=20,1,0))</formula>
    </cfRule>
    <cfRule type="expression" priority="4664" dxfId="2">
      <formula>AND(IF($Q144=2,1,0),IF($X144&lt;30,1,0))</formula>
    </cfRule>
    <cfRule type="expression" priority="4665" dxfId="1">
      <formula>AND(IF($Q144=3,1,0),IF($X144&lt;30,1,0))</formula>
    </cfRule>
    <cfRule type="expression" priority="4666" dxfId="0">
      <formula>AND(IF($Q144=3,1,IF($Q144=4,1,0)),IF($F144&lt;=85,1,0))</formula>
    </cfRule>
  </conditionalFormatting>
  <conditionalFormatting sqref="AV145">
    <cfRule type="expression" priority="4661" dxfId="23">
      <formula>AV145="X"</formula>
    </cfRule>
    <cfRule type="expression" priority="4662" dxfId="22">
      <formula>AV145="후보"</formula>
    </cfRule>
  </conditionalFormatting>
  <conditionalFormatting sqref="AC14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4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45">
    <cfRule type="expression" priority="4653" dxfId="3">
      <formula>AND(IF(OR($Q145=1,$Q145=2),1,0),IF($X145&lt;=20,1,0))</formula>
    </cfRule>
    <cfRule type="expression" priority="4654" dxfId="2">
      <formula>AND(IF($Q145=2,1,0),IF($X145&lt;30,1,0))</formula>
    </cfRule>
    <cfRule type="expression" priority="4655" dxfId="1">
      <formula>AND(IF($Q145=3,1,0),IF($X145&lt;30,1,0))</formula>
    </cfRule>
    <cfRule type="expression" priority="4656" dxfId="0">
      <formula>AND(IF($Q145=3,1,IF($Q145=4,1,0)),IF($F145&lt;=85,1,0))</formula>
    </cfRule>
  </conditionalFormatting>
  <conditionalFormatting sqref="X145">
    <cfRule type="expression" priority="4649" dxfId="3">
      <formula>AND(IF(OR($Q145=1,$Q145=2),1,0),IF($X145&lt;=20,1,0))</formula>
    </cfRule>
    <cfRule type="expression" priority="4650" dxfId="2">
      <formula>AND(IF($Q145=2,1,0),IF($X145&lt;30,1,0))</formula>
    </cfRule>
    <cfRule type="expression" priority="4651" dxfId="1">
      <formula>AND(IF($Q145=3,1,0),IF($X145&lt;30,1,0))</formula>
    </cfRule>
    <cfRule type="expression" priority="4652" dxfId="0">
      <formula>AND(IF($Q145=3,1,IF($Q145=4,1,0)),IF($F145&lt;=85,1,0))</formula>
    </cfRule>
  </conditionalFormatting>
  <conditionalFormatting sqref="AI145">
    <cfRule type="expression" priority="4645" dxfId="3">
      <formula>AND(IF(OR($Q145=1,$Q145=2),1,0),IF($X145&lt;=20,1,0))</formula>
    </cfRule>
    <cfRule type="expression" priority="4646" dxfId="2">
      <formula>AND(IF($Q145=2,1,0),IF($X145&lt;30,1,0))</formula>
    </cfRule>
    <cfRule type="expression" priority="4647" dxfId="1">
      <formula>AND(IF($Q145=3,1,0),IF($X145&lt;30,1,0))</formula>
    </cfRule>
    <cfRule type="expression" priority="4648" dxfId="0">
      <formula>AND(IF($Q145=3,1,IF($Q145=4,1,0)),IF($F145&lt;=85,1,0))</formula>
    </cfRule>
  </conditionalFormatting>
  <conditionalFormatting sqref="AV146">
    <cfRule type="expression" priority="4643" dxfId="23">
      <formula>AV146="X"</formula>
    </cfRule>
    <cfRule type="expression" priority="4644" dxfId="22">
      <formula>AV146="후보"</formula>
    </cfRule>
  </conditionalFormatting>
  <conditionalFormatting sqref="AC14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4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46">
    <cfRule type="expression" priority="4635" dxfId="3">
      <formula>AND(IF(OR($Q146=1,$Q146=2),1,0),IF($X146&lt;=20,1,0))</formula>
    </cfRule>
    <cfRule type="expression" priority="4636" dxfId="2">
      <formula>AND(IF($Q146=2,1,0),IF($X146&lt;30,1,0))</formula>
    </cfRule>
    <cfRule type="expression" priority="4637" dxfId="1">
      <formula>AND(IF($Q146=3,1,0),IF($X146&lt;30,1,0))</formula>
    </cfRule>
    <cfRule type="expression" priority="4638" dxfId="0">
      <formula>AND(IF($Q146=3,1,IF($Q146=4,1,0)),IF($F146&lt;=85,1,0))</formula>
    </cfRule>
  </conditionalFormatting>
  <conditionalFormatting sqref="X146">
    <cfRule type="expression" priority="4631" dxfId="3">
      <formula>AND(IF(OR($Q146=1,$Q146=2),1,0),IF($X146&lt;=20,1,0))</formula>
    </cfRule>
    <cfRule type="expression" priority="4632" dxfId="2">
      <formula>AND(IF($Q146=2,1,0),IF($X146&lt;30,1,0))</formula>
    </cfRule>
    <cfRule type="expression" priority="4633" dxfId="1">
      <formula>AND(IF($Q146=3,1,0),IF($X146&lt;30,1,0))</formula>
    </cfRule>
    <cfRule type="expression" priority="4634" dxfId="0">
      <formula>AND(IF($Q146=3,1,IF($Q146=4,1,0)),IF($F146&lt;=85,1,0))</formula>
    </cfRule>
  </conditionalFormatting>
  <conditionalFormatting sqref="AI146">
    <cfRule type="expression" priority="4627" dxfId="3">
      <formula>AND(IF(OR($Q146=1,$Q146=2),1,0),IF($X146&lt;=20,1,0))</formula>
    </cfRule>
    <cfRule type="expression" priority="4628" dxfId="2">
      <formula>AND(IF($Q146=2,1,0),IF($X146&lt;30,1,0))</formula>
    </cfRule>
    <cfRule type="expression" priority="4629" dxfId="1">
      <formula>AND(IF($Q146=3,1,0),IF($X146&lt;30,1,0))</formula>
    </cfRule>
    <cfRule type="expression" priority="4630" dxfId="0">
      <formula>AND(IF($Q146=3,1,IF($Q146=4,1,0)),IF($F146&lt;=85,1,0))</formula>
    </cfRule>
  </conditionalFormatting>
  <conditionalFormatting sqref="AV147">
    <cfRule type="expression" priority="4625" dxfId="23">
      <formula>AV147="X"</formula>
    </cfRule>
    <cfRule type="expression" priority="4626" dxfId="22">
      <formula>AV147="후보"</formula>
    </cfRule>
  </conditionalFormatting>
  <conditionalFormatting sqref="AC14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4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47">
    <cfRule type="expression" priority="4617" dxfId="3">
      <formula>AND(IF(OR($Q147=1,$Q147=2),1,0),IF($X147&lt;=20,1,0))</formula>
    </cfRule>
    <cfRule type="expression" priority="4618" dxfId="2">
      <formula>AND(IF($Q147=2,1,0),IF($X147&lt;30,1,0))</formula>
    </cfRule>
    <cfRule type="expression" priority="4619" dxfId="1">
      <formula>AND(IF($Q147=3,1,0),IF($X147&lt;30,1,0))</formula>
    </cfRule>
    <cfRule type="expression" priority="4620" dxfId="0">
      <formula>AND(IF($Q147=3,1,IF($Q147=4,1,0)),IF($F147&lt;=85,1,0))</formula>
    </cfRule>
  </conditionalFormatting>
  <conditionalFormatting sqref="X147">
    <cfRule type="expression" priority="4613" dxfId="3">
      <formula>AND(IF(OR($Q147=1,$Q147=2),1,0),IF($X147&lt;=20,1,0))</formula>
    </cfRule>
    <cfRule type="expression" priority="4614" dxfId="2">
      <formula>AND(IF($Q147=2,1,0),IF($X147&lt;30,1,0))</formula>
    </cfRule>
    <cfRule type="expression" priority="4615" dxfId="1">
      <formula>AND(IF($Q147=3,1,0),IF($X147&lt;30,1,0))</formula>
    </cfRule>
    <cfRule type="expression" priority="4616" dxfId="0">
      <formula>AND(IF($Q147=3,1,IF($Q147=4,1,0)),IF($F147&lt;=85,1,0))</formula>
    </cfRule>
  </conditionalFormatting>
  <conditionalFormatting sqref="AI147">
    <cfRule type="expression" priority="4609" dxfId="3">
      <formula>AND(IF(OR($Q147=1,$Q147=2),1,0),IF($X147&lt;=20,1,0))</formula>
    </cfRule>
    <cfRule type="expression" priority="4610" dxfId="2">
      <formula>AND(IF($Q147=2,1,0),IF($X147&lt;30,1,0))</formula>
    </cfRule>
    <cfRule type="expression" priority="4611" dxfId="1">
      <formula>AND(IF($Q147=3,1,0),IF($X147&lt;30,1,0))</formula>
    </cfRule>
    <cfRule type="expression" priority="4612" dxfId="0">
      <formula>AND(IF($Q147=3,1,IF($Q147=4,1,0)),IF($F147&lt;=85,1,0))</formula>
    </cfRule>
  </conditionalFormatting>
  <conditionalFormatting sqref="AV148">
    <cfRule type="expression" priority="4607" dxfId="23">
      <formula>AV148="X"</formula>
    </cfRule>
    <cfRule type="expression" priority="4608" dxfId="22">
      <formula>AV148="후보"</formula>
    </cfRule>
  </conditionalFormatting>
  <conditionalFormatting sqref="AC14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4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48">
    <cfRule type="expression" priority="4599" dxfId="3">
      <formula>AND(IF(OR($Q148=1,$Q148=2),1,0),IF($X148&lt;=20,1,0))</formula>
    </cfRule>
    <cfRule type="expression" priority="4600" dxfId="2">
      <formula>AND(IF($Q148=2,1,0),IF($X148&lt;30,1,0))</formula>
    </cfRule>
    <cfRule type="expression" priority="4601" dxfId="1">
      <formula>AND(IF($Q148=3,1,0),IF($X148&lt;30,1,0))</formula>
    </cfRule>
    <cfRule type="expression" priority="4602" dxfId="0">
      <formula>AND(IF($Q148=3,1,IF($Q148=4,1,0)),IF($F148&lt;=85,1,0))</formula>
    </cfRule>
  </conditionalFormatting>
  <conditionalFormatting sqref="X148">
    <cfRule type="expression" priority="4595" dxfId="3">
      <formula>AND(IF(OR($Q148=1,$Q148=2),1,0),IF($X148&lt;=20,1,0))</formula>
    </cfRule>
    <cfRule type="expression" priority="4596" dxfId="2">
      <formula>AND(IF($Q148=2,1,0),IF($X148&lt;30,1,0))</formula>
    </cfRule>
    <cfRule type="expression" priority="4597" dxfId="1">
      <formula>AND(IF($Q148=3,1,0),IF($X148&lt;30,1,0))</formula>
    </cfRule>
    <cfRule type="expression" priority="4598" dxfId="0">
      <formula>AND(IF($Q148=3,1,IF($Q148=4,1,0)),IF($F148&lt;=85,1,0))</formula>
    </cfRule>
  </conditionalFormatting>
  <conditionalFormatting sqref="AI148">
    <cfRule type="expression" priority="4591" dxfId="3">
      <formula>AND(IF(OR($Q148=1,$Q148=2),1,0),IF($X148&lt;=20,1,0))</formula>
    </cfRule>
    <cfRule type="expression" priority="4592" dxfId="2">
      <formula>AND(IF($Q148=2,1,0),IF($X148&lt;30,1,0))</formula>
    </cfRule>
    <cfRule type="expression" priority="4593" dxfId="1">
      <formula>AND(IF($Q148=3,1,0),IF($X148&lt;30,1,0))</formula>
    </cfRule>
    <cfRule type="expression" priority="4594" dxfId="0">
      <formula>AND(IF($Q148=3,1,IF($Q148=4,1,0)),IF($F148&lt;=85,1,0))</formula>
    </cfRule>
  </conditionalFormatting>
  <conditionalFormatting sqref="AV149">
    <cfRule type="expression" priority="4589" dxfId="23">
      <formula>AV149="X"</formula>
    </cfRule>
    <cfRule type="expression" priority="4590" dxfId="22">
      <formula>AV149="후보"</formula>
    </cfRule>
  </conditionalFormatting>
  <conditionalFormatting sqref="AC14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4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49">
    <cfRule type="expression" priority="4581" dxfId="3">
      <formula>AND(IF(OR($Q149=1,$Q149=2),1,0),IF($X149&lt;=20,1,0))</formula>
    </cfRule>
    <cfRule type="expression" priority="4582" dxfId="2">
      <formula>AND(IF($Q149=2,1,0),IF($X149&lt;30,1,0))</formula>
    </cfRule>
    <cfRule type="expression" priority="4583" dxfId="1">
      <formula>AND(IF($Q149=3,1,0),IF($X149&lt;30,1,0))</formula>
    </cfRule>
    <cfRule type="expression" priority="4584" dxfId="0">
      <formula>AND(IF($Q149=3,1,IF($Q149=4,1,0)),IF($F149&lt;=85,1,0))</formula>
    </cfRule>
  </conditionalFormatting>
  <conditionalFormatting sqref="X149">
    <cfRule type="expression" priority="4577" dxfId="3">
      <formula>AND(IF(OR($Q149=1,$Q149=2),1,0),IF($X149&lt;=20,1,0))</formula>
    </cfRule>
    <cfRule type="expression" priority="4578" dxfId="2">
      <formula>AND(IF($Q149=2,1,0),IF($X149&lt;30,1,0))</formula>
    </cfRule>
    <cfRule type="expression" priority="4579" dxfId="1">
      <formula>AND(IF($Q149=3,1,0),IF($X149&lt;30,1,0))</formula>
    </cfRule>
    <cfRule type="expression" priority="4580" dxfId="0">
      <formula>AND(IF($Q149=3,1,IF($Q149=4,1,0)),IF($F149&lt;=85,1,0))</formula>
    </cfRule>
  </conditionalFormatting>
  <conditionalFormatting sqref="AI149">
    <cfRule type="expression" priority="4573" dxfId="3">
      <formula>AND(IF(OR($Q149=1,$Q149=2),1,0),IF($X149&lt;=20,1,0))</formula>
    </cfRule>
    <cfRule type="expression" priority="4574" dxfId="2">
      <formula>AND(IF($Q149=2,1,0),IF($X149&lt;30,1,0))</formula>
    </cfRule>
    <cfRule type="expression" priority="4575" dxfId="1">
      <formula>AND(IF($Q149=3,1,0),IF($X149&lt;30,1,0))</formula>
    </cfRule>
    <cfRule type="expression" priority="4576" dxfId="0">
      <formula>AND(IF($Q149=3,1,IF($Q149=4,1,0)),IF($F149&lt;=85,1,0))</formula>
    </cfRule>
  </conditionalFormatting>
  <conditionalFormatting sqref="AV150">
    <cfRule type="expression" priority="4571" dxfId="23">
      <formula>AV150="X"</formula>
    </cfRule>
    <cfRule type="expression" priority="4572" dxfId="22">
      <formula>AV150="후보"</formula>
    </cfRule>
  </conditionalFormatting>
  <conditionalFormatting sqref="AC15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0">
    <cfRule type="expression" priority="4563" dxfId="3">
      <formula>AND(IF(OR($Q150=1,$Q150=2),1,0),IF($X150&lt;=20,1,0))</formula>
    </cfRule>
    <cfRule type="expression" priority="4564" dxfId="2">
      <formula>AND(IF($Q150=2,1,0),IF($X150&lt;30,1,0))</formula>
    </cfRule>
    <cfRule type="expression" priority="4565" dxfId="1">
      <formula>AND(IF($Q150=3,1,0),IF($X150&lt;30,1,0))</formula>
    </cfRule>
    <cfRule type="expression" priority="4566" dxfId="0">
      <formula>AND(IF($Q150=3,1,IF($Q150=4,1,0)),IF($F150&lt;=85,1,0))</formula>
    </cfRule>
  </conditionalFormatting>
  <conditionalFormatting sqref="X150">
    <cfRule type="expression" priority="4559" dxfId="3">
      <formula>AND(IF(OR($Q150=1,$Q150=2),1,0),IF($X150&lt;=20,1,0))</formula>
    </cfRule>
    <cfRule type="expression" priority="4560" dxfId="2">
      <formula>AND(IF($Q150=2,1,0),IF($X150&lt;30,1,0))</formula>
    </cfRule>
    <cfRule type="expression" priority="4561" dxfId="1">
      <formula>AND(IF($Q150=3,1,0),IF($X150&lt;30,1,0))</formula>
    </cfRule>
    <cfRule type="expression" priority="4562" dxfId="0">
      <formula>AND(IF($Q150=3,1,IF($Q150=4,1,0)),IF($F150&lt;=85,1,0))</formula>
    </cfRule>
  </conditionalFormatting>
  <conditionalFormatting sqref="AI150">
    <cfRule type="expression" priority="4555" dxfId="3">
      <formula>AND(IF(OR($Q150=1,$Q150=2),1,0),IF($X150&lt;=20,1,0))</formula>
    </cfRule>
    <cfRule type="expression" priority="4556" dxfId="2">
      <formula>AND(IF($Q150=2,1,0),IF($X150&lt;30,1,0))</formula>
    </cfRule>
    <cfRule type="expression" priority="4557" dxfId="1">
      <formula>AND(IF($Q150=3,1,0),IF($X150&lt;30,1,0))</formula>
    </cfRule>
    <cfRule type="expression" priority="4558" dxfId="0">
      <formula>AND(IF($Q150=3,1,IF($Q150=4,1,0)),IF($F150&lt;=85,1,0))</formula>
    </cfRule>
  </conditionalFormatting>
  <conditionalFormatting sqref="AV151">
    <cfRule type="expression" priority="4553" dxfId="23">
      <formula>AV151="X"</formula>
    </cfRule>
    <cfRule type="expression" priority="4554" dxfId="22">
      <formula>AV151="후보"</formula>
    </cfRule>
  </conditionalFormatting>
  <conditionalFormatting sqref="AC15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1">
    <cfRule type="expression" priority="4545" dxfId="3">
      <formula>AND(IF(OR($Q151=1,$Q151=2),1,0),IF($X151&lt;=20,1,0))</formula>
    </cfRule>
    <cfRule type="expression" priority="4546" dxfId="2">
      <formula>AND(IF($Q151=2,1,0),IF($X151&lt;30,1,0))</formula>
    </cfRule>
    <cfRule type="expression" priority="4547" dxfId="1">
      <formula>AND(IF($Q151=3,1,0),IF($X151&lt;30,1,0))</formula>
    </cfRule>
    <cfRule type="expression" priority="4548" dxfId="0">
      <formula>AND(IF($Q151=3,1,IF($Q151=4,1,0)),IF($F151&lt;=85,1,0))</formula>
    </cfRule>
  </conditionalFormatting>
  <conditionalFormatting sqref="X151">
    <cfRule type="expression" priority="4541" dxfId="3">
      <formula>AND(IF(OR($Q151=1,$Q151=2),1,0),IF($X151&lt;=20,1,0))</formula>
    </cfRule>
    <cfRule type="expression" priority="4542" dxfId="2">
      <formula>AND(IF($Q151=2,1,0),IF($X151&lt;30,1,0))</formula>
    </cfRule>
    <cfRule type="expression" priority="4543" dxfId="1">
      <formula>AND(IF($Q151=3,1,0),IF($X151&lt;30,1,0))</formula>
    </cfRule>
    <cfRule type="expression" priority="4544" dxfId="0">
      <formula>AND(IF($Q151=3,1,IF($Q151=4,1,0)),IF($F151&lt;=85,1,0))</formula>
    </cfRule>
  </conditionalFormatting>
  <conditionalFormatting sqref="AI151">
    <cfRule type="expression" priority="4537" dxfId="3">
      <formula>AND(IF(OR($Q151=1,$Q151=2),1,0),IF($X151&lt;=20,1,0))</formula>
    </cfRule>
    <cfRule type="expression" priority="4538" dxfId="2">
      <formula>AND(IF($Q151=2,1,0),IF($X151&lt;30,1,0))</formula>
    </cfRule>
    <cfRule type="expression" priority="4539" dxfId="1">
      <formula>AND(IF($Q151=3,1,0),IF($X151&lt;30,1,0))</formula>
    </cfRule>
    <cfRule type="expression" priority="4540" dxfId="0">
      <formula>AND(IF($Q151=3,1,IF($Q151=4,1,0)),IF($F151&lt;=85,1,0))</formula>
    </cfRule>
  </conditionalFormatting>
  <conditionalFormatting sqref="AV152">
    <cfRule type="expression" priority="4535" dxfId="23">
      <formula>AV152="X"</formula>
    </cfRule>
    <cfRule type="expression" priority="4536" dxfId="22">
      <formula>AV152="후보"</formula>
    </cfRule>
  </conditionalFormatting>
  <conditionalFormatting sqref="AC15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2">
    <cfRule type="expression" priority="4527" dxfId="3">
      <formula>AND(IF(OR($Q152=1,$Q152=2),1,0),IF($X152&lt;=20,1,0))</formula>
    </cfRule>
    <cfRule type="expression" priority="4528" dxfId="2">
      <formula>AND(IF($Q152=2,1,0),IF($X152&lt;30,1,0))</formula>
    </cfRule>
    <cfRule type="expression" priority="4529" dxfId="1">
      <formula>AND(IF($Q152=3,1,0),IF($X152&lt;30,1,0))</formula>
    </cfRule>
    <cfRule type="expression" priority="4530" dxfId="0">
      <formula>AND(IF($Q152=3,1,IF($Q152=4,1,0)),IF($F152&lt;=85,1,0))</formula>
    </cfRule>
  </conditionalFormatting>
  <conditionalFormatting sqref="X152">
    <cfRule type="expression" priority="4523" dxfId="3">
      <formula>AND(IF(OR($Q152=1,$Q152=2),1,0),IF($X152&lt;=20,1,0))</formula>
    </cfRule>
    <cfRule type="expression" priority="4524" dxfId="2">
      <formula>AND(IF($Q152=2,1,0),IF($X152&lt;30,1,0))</formula>
    </cfRule>
    <cfRule type="expression" priority="4525" dxfId="1">
      <formula>AND(IF($Q152=3,1,0),IF($X152&lt;30,1,0))</formula>
    </cfRule>
    <cfRule type="expression" priority="4526" dxfId="0">
      <formula>AND(IF($Q152=3,1,IF($Q152=4,1,0)),IF($F152&lt;=85,1,0))</formula>
    </cfRule>
  </conditionalFormatting>
  <conditionalFormatting sqref="AI152">
    <cfRule type="expression" priority="4519" dxfId="3">
      <formula>AND(IF(OR($Q152=1,$Q152=2),1,0),IF($X152&lt;=20,1,0))</formula>
    </cfRule>
    <cfRule type="expression" priority="4520" dxfId="2">
      <formula>AND(IF($Q152=2,1,0),IF($X152&lt;30,1,0))</formula>
    </cfRule>
    <cfRule type="expression" priority="4521" dxfId="1">
      <formula>AND(IF($Q152=3,1,0),IF($X152&lt;30,1,0))</formula>
    </cfRule>
    <cfRule type="expression" priority="4522" dxfId="0">
      <formula>AND(IF($Q152=3,1,IF($Q152=4,1,0)),IF($F152&lt;=85,1,0))</formula>
    </cfRule>
  </conditionalFormatting>
  <conditionalFormatting sqref="AV153">
    <cfRule type="expression" priority="4517" dxfId="23">
      <formula>AV153="X"</formula>
    </cfRule>
    <cfRule type="expression" priority="4518" dxfId="22">
      <formula>AV153="후보"</formula>
    </cfRule>
  </conditionalFormatting>
  <conditionalFormatting sqref="AC15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3">
    <cfRule type="expression" priority="4509" dxfId="3">
      <formula>AND(IF(OR($Q153=1,$Q153=2),1,0),IF($X153&lt;=20,1,0))</formula>
    </cfRule>
    <cfRule type="expression" priority="4510" dxfId="2">
      <formula>AND(IF($Q153=2,1,0),IF($X153&lt;30,1,0))</formula>
    </cfRule>
    <cfRule type="expression" priority="4511" dxfId="1">
      <formula>AND(IF($Q153=3,1,0),IF($X153&lt;30,1,0))</formula>
    </cfRule>
    <cfRule type="expression" priority="4512" dxfId="0">
      <formula>AND(IF($Q153=3,1,IF($Q153=4,1,0)),IF($F153&lt;=85,1,0))</formula>
    </cfRule>
  </conditionalFormatting>
  <conditionalFormatting sqref="X153">
    <cfRule type="expression" priority="4505" dxfId="3">
      <formula>AND(IF(OR($Q153=1,$Q153=2),1,0),IF($X153&lt;=20,1,0))</formula>
    </cfRule>
    <cfRule type="expression" priority="4506" dxfId="2">
      <formula>AND(IF($Q153=2,1,0),IF($X153&lt;30,1,0))</formula>
    </cfRule>
    <cfRule type="expression" priority="4507" dxfId="1">
      <formula>AND(IF($Q153=3,1,0),IF($X153&lt;30,1,0))</formula>
    </cfRule>
    <cfRule type="expression" priority="4508" dxfId="0">
      <formula>AND(IF($Q153=3,1,IF($Q153=4,1,0)),IF($F153&lt;=85,1,0))</formula>
    </cfRule>
  </conditionalFormatting>
  <conditionalFormatting sqref="AI153">
    <cfRule type="expression" priority="4501" dxfId="3">
      <formula>AND(IF(OR($Q153=1,$Q153=2),1,0),IF($X153&lt;=20,1,0))</formula>
    </cfRule>
    <cfRule type="expression" priority="4502" dxfId="2">
      <formula>AND(IF($Q153=2,1,0),IF($X153&lt;30,1,0))</formula>
    </cfRule>
    <cfRule type="expression" priority="4503" dxfId="1">
      <formula>AND(IF($Q153=3,1,0),IF($X153&lt;30,1,0))</formula>
    </cfRule>
    <cfRule type="expression" priority="4504" dxfId="0">
      <formula>AND(IF($Q153=3,1,IF($Q153=4,1,0)),IF($F153&lt;=85,1,0))</formula>
    </cfRule>
  </conditionalFormatting>
  <conditionalFormatting sqref="AV154">
    <cfRule type="expression" priority="4499" dxfId="23">
      <formula>AV154="X"</formula>
    </cfRule>
    <cfRule type="expression" priority="4500" dxfId="22">
      <formula>AV154="후보"</formula>
    </cfRule>
  </conditionalFormatting>
  <conditionalFormatting sqref="AC15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5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54">
    <cfRule type="expression" priority="4491" dxfId="3">
      <formula>AND(IF(OR($Q154=1,$Q154=2),1,0),IF($X154&lt;=20,1,0))</formula>
    </cfRule>
    <cfRule type="expression" priority="4492" dxfId="2">
      <formula>AND(IF($Q154=2,1,0),IF($X154&lt;30,1,0))</formula>
    </cfRule>
    <cfRule type="expression" priority="4493" dxfId="1">
      <formula>AND(IF($Q154=3,1,0),IF($X154&lt;30,1,0))</formula>
    </cfRule>
    <cfRule type="expression" priority="4494" dxfId="0">
      <formula>AND(IF($Q154=3,1,IF($Q154=4,1,0)),IF($F154&lt;=85,1,0))</formula>
    </cfRule>
  </conditionalFormatting>
  <conditionalFormatting sqref="X154">
    <cfRule type="expression" priority="4487" dxfId="3">
      <formula>AND(IF(OR($Q154=1,$Q154=2),1,0),IF($X154&lt;=20,1,0))</formula>
    </cfRule>
    <cfRule type="expression" priority="4488" dxfId="2">
      <formula>AND(IF($Q154=2,1,0),IF($X154&lt;30,1,0))</formula>
    </cfRule>
    <cfRule type="expression" priority="4489" dxfId="1">
      <formula>AND(IF($Q154=3,1,0),IF($X154&lt;30,1,0))</formula>
    </cfRule>
    <cfRule type="expression" priority="4490" dxfId="0">
      <formula>AND(IF($Q154=3,1,IF($Q154=4,1,0)),IF($F154&lt;=85,1,0))</formula>
    </cfRule>
  </conditionalFormatting>
  <conditionalFormatting sqref="AI154">
    <cfRule type="expression" priority="4483" dxfId="3">
      <formula>AND(IF(OR($Q154=1,$Q154=2),1,0),IF($X154&lt;=20,1,0))</formula>
    </cfRule>
    <cfRule type="expression" priority="4484" dxfId="2">
      <formula>AND(IF($Q154=2,1,0),IF($X154&lt;30,1,0))</formula>
    </cfRule>
    <cfRule type="expression" priority="4485" dxfId="1">
      <formula>AND(IF($Q154=3,1,0),IF($X154&lt;30,1,0))</formula>
    </cfRule>
    <cfRule type="expression" priority="4486" dxfId="0">
      <formula>AND(IF($Q154=3,1,IF($Q154=4,1,0)),IF($F154&lt;=85,1,0))</formula>
    </cfRule>
  </conditionalFormatting>
  <conditionalFormatting sqref="AV155">
    <cfRule type="expression" priority="4481" dxfId="23">
      <formula>AV155="X"</formula>
    </cfRule>
    <cfRule type="expression" priority="4482" dxfId="22">
      <formula>AV155="후보"</formula>
    </cfRule>
  </conditionalFormatting>
  <conditionalFormatting sqref="AC15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5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55">
    <cfRule type="expression" priority="4473" dxfId="3">
      <formula>AND(IF(OR($Q155=1,$Q155=2),1,0),IF($X155&lt;=20,1,0))</formula>
    </cfRule>
    <cfRule type="expression" priority="4474" dxfId="2">
      <formula>AND(IF($Q155=2,1,0),IF($X155&lt;30,1,0))</formula>
    </cfRule>
    <cfRule type="expression" priority="4475" dxfId="1">
      <formula>AND(IF($Q155=3,1,0),IF($X155&lt;30,1,0))</formula>
    </cfRule>
    <cfRule type="expression" priority="4476" dxfId="0">
      <formula>AND(IF($Q155=3,1,IF($Q155=4,1,0)),IF($F155&lt;=85,1,0))</formula>
    </cfRule>
  </conditionalFormatting>
  <conditionalFormatting sqref="X155">
    <cfRule type="expression" priority="4469" dxfId="3">
      <formula>AND(IF(OR($Q155=1,$Q155=2),1,0),IF($X155&lt;=20,1,0))</formula>
    </cfRule>
    <cfRule type="expression" priority="4470" dxfId="2">
      <formula>AND(IF($Q155=2,1,0),IF($X155&lt;30,1,0))</formula>
    </cfRule>
    <cfRule type="expression" priority="4471" dxfId="1">
      <formula>AND(IF($Q155=3,1,0),IF($X155&lt;30,1,0))</formula>
    </cfRule>
    <cfRule type="expression" priority="4472" dxfId="0">
      <formula>AND(IF($Q155=3,1,IF($Q155=4,1,0)),IF($F155&lt;=85,1,0))</formula>
    </cfRule>
  </conditionalFormatting>
  <conditionalFormatting sqref="AI155">
    <cfRule type="expression" priority="4465" dxfId="3">
      <formula>AND(IF(OR($Q155=1,$Q155=2),1,0),IF($X155&lt;=20,1,0))</formula>
    </cfRule>
    <cfRule type="expression" priority="4466" dxfId="2">
      <formula>AND(IF($Q155=2,1,0),IF($X155&lt;30,1,0))</formula>
    </cfRule>
    <cfRule type="expression" priority="4467" dxfId="1">
      <formula>AND(IF($Q155=3,1,0),IF($X155&lt;30,1,0))</formula>
    </cfRule>
    <cfRule type="expression" priority="4468" dxfId="0">
      <formula>AND(IF($Q155=3,1,IF($Q155=4,1,0)),IF($F155&lt;=85,1,0))</formula>
    </cfRule>
  </conditionalFormatting>
  <conditionalFormatting sqref="AV156">
    <cfRule type="expression" priority="4463" dxfId="23">
      <formula>AV156="X"</formula>
    </cfRule>
    <cfRule type="expression" priority="4464" dxfId="22">
      <formula>AV156="후보"</formula>
    </cfRule>
  </conditionalFormatting>
  <conditionalFormatting sqref="AC15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5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56">
    <cfRule type="expression" priority="4455" dxfId="3">
      <formula>AND(IF(OR($Q156=1,$Q156=2),1,0),IF($X156&lt;=20,1,0))</formula>
    </cfRule>
    <cfRule type="expression" priority="4456" dxfId="2">
      <formula>AND(IF($Q156=2,1,0),IF($X156&lt;30,1,0))</formula>
    </cfRule>
    <cfRule type="expression" priority="4457" dxfId="1">
      <formula>AND(IF($Q156=3,1,0),IF($X156&lt;30,1,0))</formula>
    </cfRule>
    <cfRule type="expression" priority="4458" dxfId="0">
      <formula>AND(IF($Q156=3,1,IF($Q156=4,1,0)),IF($F156&lt;=85,1,0))</formula>
    </cfRule>
  </conditionalFormatting>
  <conditionalFormatting sqref="X156">
    <cfRule type="expression" priority="4451" dxfId="3">
      <formula>AND(IF(OR($Q156=1,$Q156=2),1,0),IF($X156&lt;=20,1,0))</formula>
    </cfRule>
    <cfRule type="expression" priority="4452" dxfId="2">
      <formula>AND(IF($Q156=2,1,0),IF($X156&lt;30,1,0))</formula>
    </cfRule>
    <cfRule type="expression" priority="4453" dxfId="1">
      <formula>AND(IF($Q156=3,1,0),IF($X156&lt;30,1,0))</formula>
    </cfRule>
    <cfRule type="expression" priority="4454" dxfId="0">
      <formula>AND(IF($Q156=3,1,IF($Q156=4,1,0)),IF($F156&lt;=85,1,0))</formula>
    </cfRule>
  </conditionalFormatting>
  <conditionalFormatting sqref="AI156">
    <cfRule type="expression" priority="4447" dxfId="3">
      <formula>AND(IF(OR($Q156=1,$Q156=2),1,0),IF($X156&lt;=20,1,0))</formula>
    </cfRule>
    <cfRule type="expression" priority="4448" dxfId="2">
      <formula>AND(IF($Q156=2,1,0),IF($X156&lt;30,1,0))</formula>
    </cfRule>
    <cfRule type="expression" priority="4449" dxfId="1">
      <formula>AND(IF($Q156=3,1,0),IF($X156&lt;30,1,0))</formula>
    </cfRule>
    <cfRule type="expression" priority="4450" dxfId="0">
      <formula>AND(IF($Q156=3,1,IF($Q156=4,1,0)),IF($F156&lt;=85,1,0))</formula>
    </cfRule>
  </conditionalFormatting>
  <conditionalFormatting sqref="AV157">
    <cfRule type="expression" priority="4445" dxfId="23">
      <formula>AV157="X"</formula>
    </cfRule>
    <cfRule type="expression" priority="4446" dxfId="22">
      <formula>AV157="후보"</formula>
    </cfRule>
  </conditionalFormatting>
  <conditionalFormatting sqref="AC15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5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57">
    <cfRule type="expression" priority="4437" dxfId="3">
      <formula>AND(IF(OR($Q157=1,$Q157=2),1,0),IF($X157&lt;=20,1,0))</formula>
    </cfRule>
    <cfRule type="expression" priority="4438" dxfId="2">
      <formula>AND(IF($Q157=2,1,0),IF($X157&lt;30,1,0))</formula>
    </cfRule>
    <cfRule type="expression" priority="4439" dxfId="1">
      <formula>AND(IF($Q157=3,1,0),IF($X157&lt;30,1,0))</formula>
    </cfRule>
    <cfRule type="expression" priority="4440" dxfId="0">
      <formula>AND(IF($Q157=3,1,IF($Q157=4,1,0)),IF($F157&lt;=85,1,0))</formula>
    </cfRule>
  </conditionalFormatting>
  <conditionalFormatting sqref="X157">
    <cfRule type="expression" priority="4433" dxfId="3">
      <formula>AND(IF(OR($Q157=1,$Q157=2),1,0),IF($X157&lt;=20,1,0))</formula>
    </cfRule>
    <cfRule type="expression" priority="4434" dxfId="2">
      <formula>AND(IF($Q157=2,1,0),IF($X157&lt;30,1,0))</formula>
    </cfRule>
    <cfRule type="expression" priority="4435" dxfId="1">
      <formula>AND(IF($Q157=3,1,0),IF($X157&lt;30,1,0))</formula>
    </cfRule>
    <cfRule type="expression" priority="4436" dxfId="0">
      <formula>AND(IF($Q157=3,1,IF($Q157=4,1,0)),IF($F157&lt;=85,1,0))</formula>
    </cfRule>
  </conditionalFormatting>
  <conditionalFormatting sqref="AI157">
    <cfRule type="expression" priority="4429" dxfId="3">
      <formula>AND(IF(OR($Q157=1,$Q157=2),1,0),IF($X157&lt;=20,1,0))</formula>
    </cfRule>
    <cfRule type="expression" priority="4430" dxfId="2">
      <formula>AND(IF($Q157=2,1,0),IF($X157&lt;30,1,0))</formula>
    </cfRule>
    <cfRule type="expression" priority="4431" dxfId="1">
      <formula>AND(IF($Q157=3,1,0),IF($X157&lt;30,1,0))</formula>
    </cfRule>
    <cfRule type="expression" priority="4432" dxfId="0">
      <formula>AND(IF($Q157=3,1,IF($Q157=4,1,0)),IF($F157&lt;=85,1,0))</formula>
    </cfRule>
  </conditionalFormatting>
  <conditionalFormatting sqref="AV158">
    <cfRule type="expression" priority="4427" dxfId="23">
      <formula>AV158="X"</formula>
    </cfRule>
    <cfRule type="expression" priority="4428" dxfId="22">
      <formula>AV158="후보"</formula>
    </cfRule>
  </conditionalFormatting>
  <conditionalFormatting sqref="AC15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5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58">
    <cfRule type="expression" priority="4419" dxfId="3">
      <formula>AND(IF(OR($Q158=1,$Q158=2),1,0),IF($X158&lt;=20,1,0))</formula>
    </cfRule>
    <cfRule type="expression" priority="4420" dxfId="2">
      <formula>AND(IF($Q158=2,1,0),IF($X158&lt;30,1,0))</formula>
    </cfRule>
    <cfRule type="expression" priority="4421" dxfId="1">
      <formula>AND(IF($Q158=3,1,0),IF($X158&lt;30,1,0))</formula>
    </cfRule>
    <cfRule type="expression" priority="4422" dxfId="0">
      <formula>AND(IF($Q158=3,1,IF($Q158=4,1,0)),IF($F158&lt;=85,1,0))</formula>
    </cfRule>
  </conditionalFormatting>
  <conditionalFormatting sqref="X158">
    <cfRule type="expression" priority="4415" dxfId="3">
      <formula>AND(IF(OR($Q158=1,$Q158=2),1,0),IF($X158&lt;=20,1,0))</formula>
    </cfRule>
    <cfRule type="expression" priority="4416" dxfId="2">
      <formula>AND(IF($Q158=2,1,0),IF($X158&lt;30,1,0))</formula>
    </cfRule>
    <cfRule type="expression" priority="4417" dxfId="1">
      <formula>AND(IF($Q158=3,1,0),IF($X158&lt;30,1,0))</formula>
    </cfRule>
    <cfRule type="expression" priority="4418" dxfId="0">
      <formula>AND(IF($Q158=3,1,IF($Q158=4,1,0)),IF($F158&lt;=85,1,0))</formula>
    </cfRule>
  </conditionalFormatting>
  <conditionalFormatting sqref="AI158">
    <cfRule type="expression" priority="4411" dxfId="3">
      <formula>AND(IF(OR($Q158=1,$Q158=2),1,0),IF($X158&lt;=20,1,0))</formula>
    </cfRule>
    <cfRule type="expression" priority="4412" dxfId="2">
      <formula>AND(IF($Q158=2,1,0),IF($X158&lt;30,1,0))</formula>
    </cfRule>
    <cfRule type="expression" priority="4413" dxfId="1">
      <formula>AND(IF($Q158=3,1,0),IF($X158&lt;30,1,0))</formula>
    </cfRule>
    <cfRule type="expression" priority="4414" dxfId="0">
      <formula>AND(IF($Q158=3,1,IF($Q158=4,1,0)),IF($F158&lt;=85,1,0))</formula>
    </cfRule>
  </conditionalFormatting>
  <conditionalFormatting sqref="AV159">
    <cfRule type="expression" priority="4409" dxfId="23">
      <formula>AV159="X"</formula>
    </cfRule>
    <cfRule type="expression" priority="4410" dxfId="22">
      <formula>AV159="후보"</formula>
    </cfRule>
  </conditionalFormatting>
  <conditionalFormatting sqref="AC15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5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59">
    <cfRule type="expression" priority="4401" dxfId="3">
      <formula>AND(IF(OR($Q159=1,$Q159=2),1,0),IF($X159&lt;=20,1,0))</formula>
    </cfRule>
    <cfRule type="expression" priority="4402" dxfId="2">
      <formula>AND(IF($Q159=2,1,0),IF($X159&lt;30,1,0))</formula>
    </cfRule>
    <cfRule type="expression" priority="4403" dxfId="1">
      <formula>AND(IF($Q159=3,1,0),IF($X159&lt;30,1,0))</formula>
    </cfRule>
    <cfRule type="expression" priority="4404" dxfId="0">
      <formula>AND(IF($Q159=3,1,IF($Q159=4,1,0)),IF($F159&lt;=85,1,0))</formula>
    </cfRule>
  </conditionalFormatting>
  <conditionalFormatting sqref="X159">
    <cfRule type="expression" priority="4397" dxfId="3">
      <formula>AND(IF(OR($Q159=1,$Q159=2),1,0),IF($X159&lt;=20,1,0))</formula>
    </cfRule>
    <cfRule type="expression" priority="4398" dxfId="2">
      <formula>AND(IF($Q159=2,1,0),IF($X159&lt;30,1,0))</formula>
    </cfRule>
    <cfRule type="expression" priority="4399" dxfId="1">
      <formula>AND(IF($Q159=3,1,0),IF($X159&lt;30,1,0))</formula>
    </cfRule>
    <cfRule type="expression" priority="4400" dxfId="0">
      <formula>AND(IF($Q159=3,1,IF($Q159=4,1,0)),IF($F159&lt;=85,1,0))</formula>
    </cfRule>
  </conditionalFormatting>
  <conditionalFormatting sqref="AI159">
    <cfRule type="expression" priority="4393" dxfId="3">
      <formula>AND(IF(OR($Q159=1,$Q159=2),1,0),IF($X159&lt;=20,1,0))</formula>
    </cfRule>
    <cfRule type="expression" priority="4394" dxfId="2">
      <formula>AND(IF($Q159=2,1,0),IF($X159&lt;30,1,0))</formula>
    </cfRule>
    <cfRule type="expression" priority="4395" dxfId="1">
      <formula>AND(IF($Q159=3,1,0),IF($X159&lt;30,1,0))</formula>
    </cfRule>
    <cfRule type="expression" priority="4396" dxfId="0">
      <formula>AND(IF($Q159=3,1,IF($Q159=4,1,0)),IF($F159&lt;=85,1,0))</formula>
    </cfRule>
  </conditionalFormatting>
  <conditionalFormatting sqref="AV160">
    <cfRule type="expression" priority="4391" dxfId="23">
      <formula>AV160="X"</formula>
    </cfRule>
    <cfRule type="expression" priority="4392" dxfId="22">
      <formula>AV160="후보"</formula>
    </cfRule>
  </conditionalFormatting>
  <conditionalFormatting sqref="AC16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0">
    <cfRule type="expression" priority="4383" dxfId="3">
      <formula>AND(IF(OR($Q160=1,$Q160=2),1,0),IF($X160&lt;=20,1,0))</formula>
    </cfRule>
    <cfRule type="expression" priority="4384" dxfId="2">
      <formula>AND(IF($Q160=2,1,0),IF($X160&lt;30,1,0))</formula>
    </cfRule>
    <cfRule type="expression" priority="4385" dxfId="1">
      <formula>AND(IF($Q160=3,1,0),IF($X160&lt;30,1,0))</formula>
    </cfRule>
    <cfRule type="expression" priority="4386" dxfId="0">
      <formula>AND(IF($Q160=3,1,IF($Q160=4,1,0)),IF($F160&lt;=85,1,0))</formula>
    </cfRule>
  </conditionalFormatting>
  <conditionalFormatting sqref="X160">
    <cfRule type="expression" priority="4379" dxfId="3">
      <formula>AND(IF(OR($Q160=1,$Q160=2),1,0),IF($X160&lt;=20,1,0))</formula>
    </cfRule>
    <cfRule type="expression" priority="4380" dxfId="2">
      <formula>AND(IF($Q160=2,1,0),IF($X160&lt;30,1,0))</formula>
    </cfRule>
    <cfRule type="expression" priority="4381" dxfId="1">
      <formula>AND(IF($Q160=3,1,0),IF($X160&lt;30,1,0))</formula>
    </cfRule>
    <cfRule type="expression" priority="4382" dxfId="0">
      <formula>AND(IF($Q160=3,1,IF($Q160=4,1,0)),IF($F160&lt;=85,1,0))</formula>
    </cfRule>
  </conditionalFormatting>
  <conditionalFormatting sqref="AI160">
    <cfRule type="expression" priority="4375" dxfId="3">
      <formula>AND(IF(OR($Q160=1,$Q160=2),1,0),IF($X160&lt;=20,1,0))</formula>
    </cfRule>
    <cfRule type="expression" priority="4376" dxfId="2">
      <formula>AND(IF($Q160=2,1,0),IF($X160&lt;30,1,0))</formula>
    </cfRule>
    <cfRule type="expression" priority="4377" dxfId="1">
      <formula>AND(IF($Q160=3,1,0),IF($X160&lt;30,1,0))</formula>
    </cfRule>
    <cfRule type="expression" priority="4378" dxfId="0">
      <formula>AND(IF($Q160=3,1,IF($Q160=4,1,0)),IF($F160&lt;=85,1,0))</formula>
    </cfRule>
  </conditionalFormatting>
  <conditionalFormatting sqref="AV161">
    <cfRule type="expression" priority="4373" dxfId="23">
      <formula>AV161="X"</formula>
    </cfRule>
    <cfRule type="expression" priority="4374" dxfId="22">
      <formula>AV161="후보"</formula>
    </cfRule>
  </conditionalFormatting>
  <conditionalFormatting sqref="AC16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1">
    <cfRule type="expression" priority="4365" dxfId="3">
      <formula>AND(IF(OR($Q161=1,$Q161=2),1,0),IF($X161&lt;=20,1,0))</formula>
    </cfRule>
    <cfRule type="expression" priority="4366" dxfId="2">
      <formula>AND(IF($Q161=2,1,0),IF($X161&lt;30,1,0))</formula>
    </cfRule>
    <cfRule type="expression" priority="4367" dxfId="1">
      <formula>AND(IF($Q161=3,1,0),IF($X161&lt;30,1,0))</formula>
    </cfRule>
    <cfRule type="expression" priority="4368" dxfId="0">
      <formula>AND(IF($Q161=3,1,IF($Q161=4,1,0)),IF($F161&lt;=85,1,0))</formula>
    </cfRule>
  </conditionalFormatting>
  <conditionalFormatting sqref="X161">
    <cfRule type="expression" priority="4361" dxfId="3">
      <formula>AND(IF(OR($Q161=1,$Q161=2),1,0),IF($X161&lt;=20,1,0))</formula>
    </cfRule>
    <cfRule type="expression" priority="4362" dxfId="2">
      <formula>AND(IF($Q161=2,1,0),IF($X161&lt;30,1,0))</formula>
    </cfRule>
    <cfRule type="expression" priority="4363" dxfId="1">
      <formula>AND(IF($Q161=3,1,0),IF($X161&lt;30,1,0))</formula>
    </cfRule>
    <cfRule type="expression" priority="4364" dxfId="0">
      <formula>AND(IF($Q161=3,1,IF($Q161=4,1,0)),IF($F161&lt;=85,1,0))</formula>
    </cfRule>
  </conditionalFormatting>
  <conditionalFormatting sqref="AI161">
    <cfRule type="expression" priority="4357" dxfId="3">
      <formula>AND(IF(OR($Q161=1,$Q161=2),1,0),IF($X161&lt;=20,1,0))</formula>
    </cfRule>
    <cfRule type="expression" priority="4358" dxfId="2">
      <formula>AND(IF($Q161=2,1,0),IF($X161&lt;30,1,0))</formula>
    </cfRule>
    <cfRule type="expression" priority="4359" dxfId="1">
      <formula>AND(IF($Q161=3,1,0),IF($X161&lt;30,1,0))</formula>
    </cfRule>
    <cfRule type="expression" priority="4360" dxfId="0">
      <formula>AND(IF($Q161=3,1,IF($Q161=4,1,0)),IF($F161&lt;=85,1,0))</formula>
    </cfRule>
  </conditionalFormatting>
  <conditionalFormatting sqref="AV162">
    <cfRule type="expression" priority="4355" dxfId="23">
      <formula>AV162="X"</formula>
    </cfRule>
    <cfRule type="expression" priority="4356" dxfId="22">
      <formula>AV162="후보"</formula>
    </cfRule>
  </conditionalFormatting>
  <conditionalFormatting sqref="AC16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2">
    <cfRule type="expression" priority="4347" dxfId="3">
      <formula>AND(IF(OR($Q162=1,$Q162=2),1,0),IF($X162&lt;=20,1,0))</formula>
    </cfRule>
    <cfRule type="expression" priority="4348" dxfId="2">
      <formula>AND(IF($Q162=2,1,0),IF($X162&lt;30,1,0))</formula>
    </cfRule>
    <cfRule type="expression" priority="4349" dxfId="1">
      <formula>AND(IF($Q162=3,1,0),IF($X162&lt;30,1,0))</formula>
    </cfRule>
    <cfRule type="expression" priority="4350" dxfId="0">
      <formula>AND(IF($Q162=3,1,IF($Q162=4,1,0)),IF($F162&lt;=85,1,0))</formula>
    </cfRule>
  </conditionalFormatting>
  <conditionalFormatting sqref="X162">
    <cfRule type="expression" priority="4343" dxfId="3">
      <formula>AND(IF(OR($Q162=1,$Q162=2),1,0),IF($X162&lt;=20,1,0))</formula>
    </cfRule>
    <cfRule type="expression" priority="4344" dxfId="2">
      <formula>AND(IF($Q162=2,1,0),IF($X162&lt;30,1,0))</formula>
    </cfRule>
    <cfRule type="expression" priority="4345" dxfId="1">
      <formula>AND(IF($Q162=3,1,0),IF($X162&lt;30,1,0))</formula>
    </cfRule>
    <cfRule type="expression" priority="4346" dxfId="0">
      <formula>AND(IF($Q162=3,1,IF($Q162=4,1,0)),IF($F162&lt;=85,1,0))</formula>
    </cfRule>
  </conditionalFormatting>
  <conditionalFormatting sqref="AI162">
    <cfRule type="expression" priority="4339" dxfId="3">
      <formula>AND(IF(OR($Q162=1,$Q162=2),1,0),IF($X162&lt;=20,1,0))</formula>
    </cfRule>
    <cfRule type="expression" priority="4340" dxfId="2">
      <formula>AND(IF($Q162=2,1,0),IF($X162&lt;30,1,0))</formula>
    </cfRule>
    <cfRule type="expression" priority="4341" dxfId="1">
      <formula>AND(IF($Q162=3,1,0),IF($X162&lt;30,1,0))</formula>
    </cfRule>
    <cfRule type="expression" priority="4342" dxfId="0">
      <formula>AND(IF($Q162=3,1,IF($Q162=4,1,0)),IF($F162&lt;=85,1,0))</formula>
    </cfRule>
  </conditionalFormatting>
  <conditionalFormatting sqref="AV163">
    <cfRule type="expression" priority="4337" dxfId="23">
      <formula>AV163="X"</formula>
    </cfRule>
    <cfRule type="expression" priority="4338" dxfId="22">
      <formula>AV163="후보"</formula>
    </cfRule>
  </conditionalFormatting>
  <conditionalFormatting sqref="AC16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3">
    <cfRule type="expression" priority="4329" dxfId="3">
      <formula>AND(IF(OR($Q163=1,$Q163=2),1,0),IF($X163&lt;=20,1,0))</formula>
    </cfRule>
    <cfRule type="expression" priority="4330" dxfId="2">
      <formula>AND(IF($Q163=2,1,0),IF($X163&lt;30,1,0))</formula>
    </cfRule>
    <cfRule type="expression" priority="4331" dxfId="1">
      <formula>AND(IF($Q163=3,1,0),IF($X163&lt;30,1,0))</formula>
    </cfRule>
    <cfRule type="expression" priority="4332" dxfId="0">
      <formula>AND(IF($Q163=3,1,IF($Q163=4,1,0)),IF($F163&lt;=85,1,0))</formula>
    </cfRule>
  </conditionalFormatting>
  <conditionalFormatting sqref="X163">
    <cfRule type="expression" priority="4325" dxfId="3">
      <formula>AND(IF(OR($Q163=1,$Q163=2),1,0),IF($X163&lt;=20,1,0))</formula>
    </cfRule>
    <cfRule type="expression" priority="4326" dxfId="2">
      <formula>AND(IF($Q163=2,1,0),IF($X163&lt;30,1,0))</formula>
    </cfRule>
    <cfRule type="expression" priority="4327" dxfId="1">
      <formula>AND(IF($Q163=3,1,0),IF($X163&lt;30,1,0))</formula>
    </cfRule>
    <cfRule type="expression" priority="4328" dxfId="0">
      <formula>AND(IF($Q163=3,1,IF($Q163=4,1,0)),IF($F163&lt;=85,1,0))</formula>
    </cfRule>
  </conditionalFormatting>
  <conditionalFormatting sqref="AI163">
    <cfRule type="expression" priority="4321" dxfId="3">
      <formula>AND(IF(OR($Q163=1,$Q163=2),1,0),IF($X163&lt;=20,1,0))</formula>
    </cfRule>
    <cfRule type="expression" priority="4322" dxfId="2">
      <formula>AND(IF($Q163=2,1,0),IF($X163&lt;30,1,0))</formula>
    </cfRule>
    <cfRule type="expression" priority="4323" dxfId="1">
      <formula>AND(IF($Q163=3,1,0),IF($X163&lt;30,1,0))</formula>
    </cfRule>
    <cfRule type="expression" priority="4324" dxfId="0">
      <formula>AND(IF($Q163=3,1,IF($Q163=4,1,0)),IF($F163&lt;=85,1,0))</formula>
    </cfRule>
  </conditionalFormatting>
  <conditionalFormatting sqref="AV164">
    <cfRule type="expression" priority="4319" dxfId="23">
      <formula>AV164="X"</formula>
    </cfRule>
    <cfRule type="expression" priority="4320" dxfId="22">
      <formula>AV164="후보"</formula>
    </cfRule>
  </conditionalFormatting>
  <conditionalFormatting sqref="AC16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6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64">
    <cfRule type="expression" priority="4311" dxfId="3">
      <formula>AND(IF(OR($Q164=1,$Q164=2),1,0),IF($X164&lt;=20,1,0))</formula>
    </cfRule>
    <cfRule type="expression" priority="4312" dxfId="2">
      <formula>AND(IF($Q164=2,1,0),IF($X164&lt;30,1,0))</formula>
    </cfRule>
    <cfRule type="expression" priority="4313" dxfId="1">
      <formula>AND(IF($Q164=3,1,0),IF($X164&lt;30,1,0))</formula>
    </cfRule>
    <cfRule type="expression" priority="4314" dxfId="0">
      <formula>AND(IF($Q164=3,1,IF($Q164=4,1,0)),IF($F164&lt;=85,1,0))</formula>
    </cfRule>
  </conditionalFormatting>
  <conditionalFormatting sqref="X164">
    <cfRule type="expression" priority="4307" dxfId="3">
      <formula>AND(IF(OR($Q164=1,$Q164=2),1,0),IF($X164&lt;=20,1,0))</formula>
    </cfRule>
    <cfRule type="expression" priority="4308" dxfId="2">
      <formula>AND(IF($Q164=2,1,0),IF($X164&lt;30,1,0))</formula>
    </cfRule>
    <cfRule type="expression" priority="4309" dxfId="1">
      <formula>AND(IF($Q164=3,1,0),IF($X164&lt;30,1,0))</formula>
    </cfRule>
    <cfRule type="expression" priority="4310" dxfId="0">
      <formula>AND(IF($Q164=3,1,IF($Q164=4,1,0)),IF($F164&lt;=85,1,0))</formula>
    </cfRule>
  </conditionalFormatting>
  <conditionalFormatting sqref="AI164">
    <cfRule type="expression" priority="4303" dxfId="3">
      <formula>AND(IF(OR($Q164=1,$Q164=2),1,0),IF($X164&lt;=20,1,0))</formula>
    </cfRule>
    <cfRule type="expression" priority="4304" dxfId="2">
      <formula>AND(IF($Q164=2,1,0),IF($X164&lt;30,1,0))</formula>
    </cfRule>
    <cfRule type="expression" priority="4305" dxfId="1">
      <formula>AND(IF($Q164=3,1,0),IF($X164&lt;30,1,0))</formula>
    </cfRule>
    <cfRule type="expression" priority="4306" dxfId="0">
      <formula>AND(IF($Q164=3,1,IF($Q164=4,1,0)),IF($F164&lt;=85,1,0))</formula>
    </cfRule>
  </conditionalFormatting>
  <conditionalFormatting sqref="AV165">
    <cfRule type="expression" priority="4301" dxfId="23">
      <formula>AV165="X"</formula>
    </cfRule>
    <cfRule type="expression" priority="4302" dxfId="22">
      <formula>AV165="후보"</formula>
    </cfRule>
  </conditionalFormatting>
  <conditionalFormatting sqref="AC16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6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65">
    <cfRule type="expression" priority="4293" dxfId="3">
      <formula>AND(IF(OR($Q165=1,$Q165=2),1,0),IF($X165&lt;=20,1,0))</formula>
    </cfRule>
    <cfRule type="expression" priority="4294" dxfId="2">
      <formula>AND(IF($Q165=2,1,0),IF($X165&lt;30,1,0))</formula>
    </cfRule>
    <cfRule type="expression" priority="4295" dxfId="1">
      <formula>AND(IF($Q165=3,1,0),IF($X165&lt;30,1,0))</formula>
    </cfRule>
    <cfRule type="expression" priority="4296" dxfId="0">
      <formula>AND(IF($Q165=3,1,IF($Q165=4,1,0)),IF($F165&lt;=85,1,0))</formula>
    </cfRule>
  </conditionalFormatting>
  <conditionalFormatting sqref="X165">
    <cfRule type="expression" priority="4289" dxfId="3">
      <formula>AND(IF(OR($Q165=1,$Q165=2),1,0),IF($X165&lt;=20,1,0))</formula>
    </cfRule>
    <cfRule type="expression" priority="4290" dxfId="2">
      <formula>AND(IF($Q165=2,1,0),IF($X165&lt;30,1,0))</formula>
    </cfRule>
    <cfRule type="expression" priority="4291" dxfId="1">
      <formula>AND(IF($Q165=3,1,0),IF($X165&lt;30,1,0))</formula>
    </cfRule>
    <cfRule type="expression" priority="4292" dxfId="0">
      <formula>AND(IF($Q165=3,1,IF($Q165=4,1,0)),IF($F165&lt;=85,1,0))</formula>
    </cfRule>
  </conditionalFormatting>
  <conditionalFormatting sqref="AI165">
    <cfRule type="expression" priority="4285" dxfId="3">
      <formula>AND(IF(OR($Q165=1,$Q165=2),1,0),IF($X165&lt;=20,1,0))</formula>
    </cfRule>
    <cfRule type="expression" priority="4286" dxfId="2">
      <formula>AND(IF($Q165=2,1,0),IF($X165&lt;30,1,0))</formula>
    </cfRule>
    <cfRule type="expression" priority="4287" dxfId="1">
      <formula>AND(IF($Q165=3,1,0),IF($X165&lt;30,1,0))</formula>
    </cfRule>
    <cfRule type="expression" priority="4288" dxfId="0">
      <formula>AND(IF($Q165=3,1,IF($Q165=4,1,0)),IF($F165&lt;=85,1,0))</formula>
    </cfRule>
  </conditionalFormatting>
  <conditionalFormatting sqref="AV166">
    <cfRule type="expression" priority="4283" dxfId="23">
      <formula>AV166="X"</formula>
    </cfRule>
    <cfRule type="expression" priority="4284" dxfId="22">
      <formula>AV166="후보"</formula>
    </cfRule>
  </conditionalFormatting>
  <conditionalFormatting sqref="AC16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6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66">
    <cfRule type="expression" priority="4275" dxfId="3">
      <formula>AND(IF(OR($Q166=1,$Q166=2),1,0),IF($X166&lt;=20,1,0))</formula>
    </cfRule>
    <cfRule type="expression" priority="4276" dxfId="2">
      <formula>AND(IF($Q166=2,1,0),IF($X166&lt;30,1,0))</formula>
    </cfRule>
    <cfRule type="expression" priority="4277" dxfId="1">
      <formula>AND(IF($Q166=3,1,0),IF($X166&lt;30,1,0))</formula>
    </cfRule>
    <cfRule type="expression" priority="4278" dxfId="0">
      <formula>AND(IF($Q166=3,1,IF($Q166=4,1,0)),IF($F166&lt;=85,1,0))</formula>
    </cfRule>
  </conditionalFormatting>
  <conditionalFormatting sqref="X166">
    <cfRule type="expression" priority="4271" dxfId="3">
      <formula>AND(IF(OR($Q166=1,$Q166=2),1,0),IF($X166&lt;=20,1,0))</formula>
    </cfRule>
    <cfRule type="expression" priority="4272" dxfId="2">
      <formula>AND(IF($Q166=2,1,0),IF($X166&lt;30,1,0))</formula>
    </cfRule>
    <cfRule type="expression" priority="4273" dxfId="1">
      <formula>AND(IF($Q166=3,1,0),IF($X166&lt;30,1,0))</formula>
    </cfRule>
    <cfRule type="expression" priority="4274" dxfId="0">
      <formula>AND(IF($Q166=3,1,IF($Q166=4,1,0)),IF($F166&lt;=85,1,0))</formula>
    </cfRule>
  </conditionalFormatting>
  <conditionalFormatting sqref="AI166">
    <cfRule type="expression" priority="4267" dxfId="3">
      <formula>AND(IF(OR($Q166=1,$Q166=2),1,0),IF($X166&lt;=20,1,0))</formula>
    </cfRule>
    <cfRule type="expression" priority="4268" dxfId="2">
      <formula>AND(IF($Q166=2,1,0),IF($X166&lt;30,1,0))</formula>
    </cfRule>
    <cfRule type="expression" priority="4269" dxfId="1">
      <formula>AND(IF($Q166=3,1,0),IF($X166&lt;30,1,0))</formula>
    </cfRule>
    <cfRule type="expression" priority="4270" dxfId="0">
      <formula>AND(IF($Q166=3,1,IF($Q166=4,1,0)),IF($F166&lt;=85,1,0))</formula>
    </cfRule>
  </conditionalFormatting>
  <conditionalFormatting sqref="AV167">
    <cfRule type="expression" priority="4265" dxfId="23">
      <formula>AV167="X"</formula>
    </cfRule>
    <cfRule type="expression" priority="4266" dxfId="22">
      <formula>AV167="후보"</formula>
    </cfRule>
  </conditionalFormatting>
  <conditionalFormatting sqref="AC16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6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67">
    <cfRule type="expression" priority="4257" dxfId="3">
      <formula>AND(IF(OR($Q167=1,$Q167=2),1,0),IF($X167&lt;=20,1,0))</formula>
    </cfRule>
    <cfRule type="expression" priority="4258" dxfId="2">
      <formula>AND(IF($Q167=2,1,0),IF($X167&lt;30,1,0))</formula>
    </cfRule>
    <cfRule type="expression" priority="4259" dxfId="1">
      <formula>AND(IF($Q167=3,1,0),IF($X167&lt;30,1,0))</formula>
    </cfRule>
    <cfRule type="expression" priority="4260" dxfId="0">
      <formula>AND(IF($Q167=3,1,IF($Q167=4,1,0)),IF($F167&lt;=85,1,0))</formula>
    </cfRule>
  </conditionalFormatting>
  <conditionalFormatting sqref="X167">
    <cfRule type="expression" priority="4253" dxfId="3">
      <formula>AND(IF(OR($Q167=1,$Q167=2),1,0),IF($X167&lt;=20,1,0))</formula>
    </cfRule>
    <cfRule type="expression" priority="4254" dxfId="2">
      <formula>AND(IF($Q167=2,1,0),IF($X167&lt;30,1,0))</formula>
    </cfRule>
    <cfRule type="expression" priority="4255" dxfId="1">
      <formula>AND(IF($Q167=3,1,0),IF($X167&lt;30,1,0))</formula>
    </cfRule>
    <cfRule type="expression" priority="4256" dxfId="0">
      <formula>AND(IF($Q167=3,1,IF($Q167=4,1,0)),IF($F167&lt;=85,1,0))</formula>
    </cfRule>
  </conditionalFormatting>
  <conditionalFormatting sqref="AI167">
    <cfRule type="expression" priority="4249" dxfId="3">
      <formula>AND(IF(OR($Q167=1,$Q167=2),1,0),IF($X167&lt;=20,1,0))</formula>
    </cfRule>
    <cfRule type="expression" priority="4250" dxfId="2">
      <formula>AND(IF($Q167=2,1,0),IF($X167&lt;30,1,0))</formula>
    </cfRule>
    <cfRule type="expression" priority="4251" dxfId="1">
      <formula>AND(IF($Q167=3,1,0),IF($X167&lt;30,1,0))</formula>
    </cfRule>
    <cfRule type="expression" priority="4252" dxfId="0">
      <formula>AND(IF($Q167=3,1,IF($Q167=4,1,0)),IF($F167&lt;=85,1,0))</formula>
    </cfRule>
  </conditionalFormatting>
  <conditionalFormatting sqref="AV168">
    <cfRule type="expression" priority="4247" dxfId="23">
      <formula>AV168="X"</formula>
    </cfRule>
    <cfRule type="expression" priority="4248" dxfId="22">
      <formula>AV168="후보"</formula>
    </cfRule>
  </conditionalFormatting>
  <conditionalFormatting sqref="AC16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6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68">
    <cfRule type="expression" priority="4239" dxfId="3">
      <formula>AND(IF(OR($Q168=1,$Q168=2),1,0),IF($X168&lt;=20,1,0))</formula>
    </cfRule>
    <cfRule type="expression" priority="4240" dxfId="2">
      <formula>AND(IF($Q168=2,1,0),IF($X168&lt;30,1,0))</formula>
    </cfRule>
    <cfRule type="expression" priority="4241" dxfId="1">
      <formula>AND(IF($Q168=3,1,0),IF($X168&lt;30,1,0))</formula>
    </cfRule>
    <cfRule type="expression" priority="4242" dxfId="0">
      <formula>AND(IF($Q168=3,1,IF($Q168=4,1,0)),IF($F168&lt;=85,1,0))</formula>
    </cfRule>
  </conditionalFormatting>
  <conditionalFormatting sqref="X168">
    <cfRule type="expression" priority="4235" dxfId="3">
      <formula>AND(IF(OR($Q168=1,$Q168=2),1,0),IF($X168&lt;=20,1,0))</formula>
    </cfRule>
    <cfRule type="expression" priority="4236" dxfId="2">
      <formula>AND(IF($Q168=2,1,0),IF($X168&lt;30,1,0))</formula>
    </cfRule>
    <cfRule type="expression" priority="4237" dxfId="1">
      <formula>AND(IF($Q168=3,1,0),IF($X168&lt;30,1,0))</formula>
    </cfRule>
    <cfRule type="expression" priority="4238" dxfId="0">
      <formula>AND(IF($Q168=3,1,IF($Q168=4,1,0)),IF($F168&lt;=85,1,0))</formula>
    </cfRule>
  </conditionalFormatting>
  <conditionalFormatting sqref="AI168">
    <cfRule type="expression" priority="4231" dxfId="3">
      <formula>AND(IF(OR($Q168=1,$Q168=2),1,0),IF($X168&lt;=20,1,0))</formula>
    </cfRule>
    <cfRule type="expression" priority="4232" dxfId="2">
      <formula>AND(IF($Q168=2,1,0),IF($X168&lt;30,1,0))</formula>
    </cfRule>
    <cfRule type="expression" priority="4233" dxfId="1">
      <formula>AND(IF($Q168=3,1,0),IF($X168&lt;30,1,0))</formula>
    </cfRule>
    <cfRule type="expression" priority="4234" dxfId="0">
      <formula>AND(IF($Q168=3,1,IF($Q168=4,1,0)),IF($F168&lt;=85,1,0))</formula>
    </cfRule>
  </conditionalFormatting>
  <conditionalFormatting sqref="AV169">
    <cfRule type="expression" priority="4229" dxfId="23">
      <formula>AV169="X"</formula>
    </cfRule>
    <cfRule type="expression" priority="4230" dxfId="22">
      <formula>AV169="후보"</formula>
    </cfRule>
  </conditionalFormatting>
  <conditionalFormatting sqref="AC16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6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69">
    <cfRule type="expression" priority="4221" dxfId="3">
      <formula>AND(IF(OR($Q169=1,$Q169=2),1,0),IF($X169&lt;=20,1,0))</formula>
    </cfRule>
    <cfRule type="expression" priority="4222" dxfId="2">
      <formula>AND(IF($Q169=2,1,0),IF($X169&lt;30,1,0))</formula>
    </cfRule>
    <cfRule type="expression" priority="4223" dxfId="1">
      <formula>AND(IF($Q169=3,1,0),IF($X169&lt;30,1,0))</formula>
    </cfRule>
    <cfRule type="expression" priority="4224" dxfId="0">
      <formula>AND(IF($Q169=3,1,IF($Q169=4,1,0)),IF($F169&lt;=85,1,0))</formula>
    </cfRule>
  </conditionalFormatting>
  <conditionalFormatting sqref="X169">
    <cfRule type="expression" priority="4217" dxfId="3">
      <formula>AND(IF(OR($Q169=1,$Q169=2),1,0),IF($X169&lt;=20,1,0))</formula>
    </cfRule>
    <cfRule type="expression" priority="4218" dxfId="2">
      <formula>AND(IF($Q169=2,1,0),IF($X169&lt;30,1,0))</formula>
    </cfRule>
    <cfRule type="expression" priority="4219" dxfId="1">
      <formula>AND(IF($Q169=3,1,0),IF($X169&lt;30,1,0))</formula>
    </cfRule>
    <cfRule type="expression" priority="4220" dxfId="0">
      <formula>AND(IF($Q169=3,1,IF($Q169=4,1,0)),IF($F169&lt;=85,1,0))</formula>
    </cfRule>
  </conditionalFormatting>
  <conditionalFormatting sqref="AI169">
    <cfRule type="expression" priority="4213" dxfId="3">
      <formula>AND(IF(OR($Q169=1,$Q169=2),1,0),IF($X169&lt;=20,1,0))</formula>
    </cfRule>
    <cfRule type="expression" priority="4214" dxfId="2">
      <formula>AND(IF($Q169=2,1,0),IF($X169&lt;30,1,0))</formula>
    </cfRule>
    <cfRule type="expression" priority="4215" dxfId="1">
      <formula>AND(IF($Q169=3,1,0),IF($X169&lt;30,1,0))</formula>
    </cfRule>
    <cfRule type="expression" priority="4216" dxfId="0">
      <formula>AND(IF($Q169=3,1,IF($Q169=4,1,0)),IF($F169&lt;=85,1,0))</formula>
    </cfRule>
  </conditionalFormatting>
  <conditionalFormatting sqref="AV170">
    <cfRule type="expression" priority="4211" dxfId="23">
      <formula>AV170="X"</formula>
    </cfRule>
    <cfRule type="expression" priority="4212" dxfId="22">
      <formula>AV170="후보"</formula>
    </cfRule>
  </conditionalFormatting>
  <conditionalFormatting sqref="AC17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0">
    <cfRule type="expression" priority="4203" dxfId="3">
      <formula>AND(IF(OR($Q170=1,$Q170=2),1,0),IF($X170&lt;=20,1,0))</formula>
    </cfRule>
    <cfRule type="expression" priority="4204" dxfId="2">
      <formula>AND(IF($Q170=2,1,0),IF($X170&lt;30,1,0))</formula>
    </cfRule>
    <cfRule type="expression" priority="4205" dxfId="1">
      <formula>AND(IF($Q170=3,1,0),IF($X170&lt;30,1,0))</formula>
    </cfRule>
    <cfRule type="expression" priority="4206" dxfId="0">
      <formula>AND(IF($Q170=3,1,IF($Q170=4,1,0)),IF($F170&lt;=85,1,0))</formula>
    </cfRule>
  </conditionalFormatting>
  <conditionalFormatting sqref="X170">
    <cfRule type="expression" priority="4199" dxfId="3">
      <formula>AND(IF(OR($Q170=1,$Q170=2),1,0),IF($X170&lt;=20,1,0))</formula>
    </cfRule>
    <cfRule type="expression" priority="4200" dxfId="2">
      <formula>AND(IF($Q170=2,1,0),IF($X170&lt;30,1,0))</formula>
    </cfRule>
    <cfRule type="expression" priority="4201" dxfId="1">
      <formula>AND(IF($Q170=3,1,0),IF($X170&lt;30,1,0))</formula>
    </cfRule>
    <cfRule type="expression" priority="4202" dxfId="0">
      <formula>AND(IF($Q170=3,1,IF($Q170=4,1,0)),IF($F170&lt;=85,1,0))</formula>
    </cfRule>
  </conditionalFormatting>
  <conditionalFormatting sqref="AI170">
    <cfRule type="expression" priority="4195" dxfId="3">
      <formula>AND(IF(OR($Q170=1,$Q170=2),1,0),IF($X170&lt;=20,1,0))</formula>
    </cfRule>
    <cfRule type="expression" priority="4196" dxfId="2">
      <formula>AND(IF($Q170=2,1,0),IF($X170&lt;30,1,0))</formula>
    </cfRule>
    <cfRule type="expression" priority="4197" dxfId="1">
      <formula>AND(IF($Q170=3,1,0),IF($X170&lt;30,1,0))</formula>
    </cfRule>
    <cfRule type="expression" priority="4198" dxfId="0">
      <formula>AND(IF($Q170=3,1,IF($Q170=4,1,0)),IF($F170&lt;=85,1,0))</formula>
    </cfRule>
  </conditionalFormatting>
  <conditionalFormatting sqref="AV171">
    <cfRule type="expression" priority="4193" dxfId="23">
      <formula>AV171="X"</formula>
    </cfRule>
    <cfRule type="expression" priority="4194" dxfId="22">
      <formula>AV171="후보"</formula>
    </cfRule>
  </conditionalFormatting>
  <conditionalFormatting sqref="AC17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1">
    <cfRule type="expression" priority="4185" dxfId="3">
      <formula>AND(IF(OR($Q171=1,$Q171=2),1,0),IF($X171&lt;=20,1,0))</formula>
    </cfRule>
    <cfRule type="expression" priority="4186" dxfId="2">
      <formula>AND(IF($Q171=2,1,0),IF($X171&lt;30,1,0))</formula>
    </cfRule>
    <cfRule type="expression" priority="4187" dxfId="1">
      <formula>AND(IF($Q171=3,1,0),IF($X171&lt;30,1,0))</formula>
    </cfRule>
    <cfRule type="expression" priority="4188" dxfId="0">
      <formula>AND(IF($Q171=3,1,IF($Q171=4,1,0)),IF($F171&lt;=85,1,0))</formula>
    </cfRule>
  </conditionalFormatting>
  <conditionalFormatting sqref="X171">
    <cfRule type="expression" priority="4181" dxfId="3">
      <formula>AND(IF(OR($Q171=1,$Q171=2),1,0),IF($X171&lt;=20,1,0))</formula>
    </cfRule>
    <cfRule type="expression" priority="4182" dxfId="2">
      <formula>AND(IF($Q171=2,1,0),IF($X171&lt;30,1,0))</formula>
    </cfRule>
    <cfRule type="expression" priority="4183" dxfId="1">
      <formula>AND(IF($Q171=3,1,0),IF($X171&lt;30,1,0))</formula>
    </cfRule>
    <cfRule type="expression" priority="4184" dxfId="0">
      <formula>AND(IF($Q171=3,1,IF($Q171=4,1,0)),IF($F171&lt;=85,1,0))</formula>
    </cfRule>
  </conditionalFormatting>
  <conditionalFormatting sqref="AI171">
    <cfRule type="expression" priority="4177" dxfId="3">
      <formula>AND(IF(OR($Q171=1,$Q171=2),1,0),IF($X171&lt;=20,1,0))</formula>
    </cfRule>
    <cfRule type="expression" priority="4178" dxfId="2">
      <formula>AND(IF($Q171=2,1,0),IF($X171&lt;30,1,0))</formula>
    </cfRule>
    <cfRule type="expression" priority="4179" dxfId="1">
      <formula>AND(IF($Q171=3,1,0),IF($X171&lt;30,1,0))</formula>
    </cfRule>
    <cfRule type="expression" priority="4180" dxfId="0">
      <formula>AND(IF($Q171=3,1,IF($Q171=4,1,0)),IF($F171&lt;=85,1,0))</formula>
    </cfRule>
  </conditionalFormatting>
  <conditionalFormatting sqref="AV172">
    <cfRule type="expression" priority="4175" dxfId="23">
      <formula>AV172="X"</formula>
    </cfRule>
    <cfRule type="expression" priority="4176" dxfId="22">
      <formula>AV172="후보"</formula>
    </cfRule>
  </conditionalFormatting>
  <conditionalFormatting sqref="AC17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2">
    <cfRule type="expression" priority="4167" dxfId="3">
      <formula>AND(IF(OR($Q172=1,$Q172=2),1,0),IF($X172&lt;=20,1,0))</formula>
    </cfRule>
    <cfRule type="expression" priority="4168" dxfId="2">
      <formula>AND(IF($Q172=2,1,0),IF($X172&lt;30,1,0))</formula>
    </cfRule>
    <cfRule type="expression" priority="4169" dxfId="1">
      <formula>AND(IF($Q172=3,1,0),IF($X172&lt;30,1,0))</formula>
    </cfRule>
    <cfRule type="expression" priority="4170" dxfId="0">
      <formula>AND(IF($Q172=3,1,IF($Q172=4,1,0)),IF($F172&lt;=85,1,0))</formula>
    </cfRule>
  </conditionalFormatting>
  <conditionalFormatting sqref="X172">
    <cfRule type="expression" priority="4163" dxfId="3">
      <formula>AND(IF(OR($Q172=1,$Q172=2),1,0),IF($X172&lt;=20,1,0))</formula>
    </cfRule>
    <cfRule type="expression" priority="4164" dxfId="2">
      <formula>AND(IF($Q172=2,1,0),IF($X172&lt;30,1,0))</formula>
    </cfRule>
    <cfRule type="expression" priority="4165" dxfId="1">
      <formula>AND(IF($Q172=3,1,0),IF($X172&lt;30,1,0))</formula>
    </cfRule>
    <cfRule type="expression" priority="4166" dxfId="0">
      <formula>AND(IF($Q172=3,1,IF($Q172=4,1,0)),IF($F172&lt;=85,1,0))</formula>
    </cfRule>
  </conditionalFormatting>
  <conditionalFormatting sqref="AI172">
    <cfRule type="expression" priority="4159" dxfId="3">
      <formula>AND(IF(OR($Q172=1,$Q172=2),1,0),IF($X172&lt;=20,1,0))</formula>
    </cfRule>
    <cfRule type="expression" priority="4160" dxfId="2">
      <formula>AND(IF($Q172=2,1,0),IF($X172&lt;30,1,0))</formula>
    </cfRule>
    <cfRule type="expression" priority="4161" dxfId="1">
      <formula>AND(IF($Q172=3,1,0),IF($X172&lt;30,1,0))</formula>
    </cfRule>
    <cfRule type="expression" priority="4162" dxfId="0">
      <formula>AND(IF($Q172=3,1,IF($Q172=4,1,0)),IF($F172&lt;=85,1,0))</formula>
    </cfRule>
  </conditionalFormatting>
  <conditionalFormatting sqref="AV173">
    <cfRule type="expression" priority="4157" dxfId="23">
      <formula>AV173="X"</formula>
    </cfRule>
    <cfRule type="expression" priority="4158" dxfId="22">
      <formula>AV173="후보"</formula>
    </cfRule>
  </conditionalFormatting>
  <conditionalFormatting sqref="AC17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3">
    <cfRule type="expression" priority="4149" dxfId="3">
      <formula>AND(IF(OR($Q173=1,$Q173=2),1,0),IF($X173&lt;=20,1,0))</formula>
    </cfRule>
    <cfRule type="expression" priority="4150" dxfId="2">
      <formula>AND(IF($Q173=2,1,0),IF($X173&lt;30,1,0))</formula>
    </cfRule>
    <cfRule type="expression" priority="4151" dxfId="1">
      <formula>AND(IF($Q173=3,1,0),IF($X173&lt;30,1,0))</formula>
    </cfRule>
    <cfRule type="expression" priority="4152" dxfId="0">
      <formula>AND(IF($Q173=3,1,IF($Q173=4,1,0)),IF($F173&lt;=85,1,0))</formula>
    </cfRule>
  </conditionalFormatting>
  <conditionalFormatting sqref="X173">
    <cfRule type="expression" priority="4145" dxfId="3">
      <formula>AND(IF(OR($Q173=1,$Q173=2),1,0),IF($X173&lt;=20,1,0))</formula>
    </cfRule>
    <cfRule type="expression" priority="4146" dxfId="2">
      <formula>AND(IF($Q173=2,1,0),IF($X173&lt;30,1,0))</formula>
    </cfRule>
    <cfRule type="expression" priority="4147" dxfId="1">
      <formula>AND(IF($Q173=3,1,0),IF($X173&lt;30,1,0))</formula>
    </cfRule>
    <cfRule type="expression" priority="4148" dxfId="0">
      <formula>AND(IF($Q173=3,1,IF($Q173=4,1,0)),IF($F173&lt;=85,1,0))</formula>
    </cfRule>
  </conditionalFormatting>
  <conditionalFormatting sqref="AI173">
    <cfRule type="expression" priority="4141" dxfId="3">
      <formula>AND(IF(OR($Q173=1,$Q173=2),1,0),IF($X173&lt;=20,1,0))</formula>
    </cfRule>
    <cfRule type="expression" priority="4142" dxfId="2">
      <formula>AND(IF($Q173=2,1,0),IF($X173&lt;30,1,0))</formula>
    </cfRule>
    <cfRule type="expression" priority="4143" dxfId="1">
      <formula>AND(IF($Q173=3,1,0),IF($X173&lt;30,1,0))</formula>
    </cfRule>
    <cfRule type="expression" priority="4144" dxfId="0">
      <formula>AND(IF($Q173=3,1,IF($Q173=4,1,0)),IF($F173&lt;=85,1,0))</formula>
    </cfRule>
  </conditionalFormatting>
  <conditionalFormatting sqref="AV174">
    <cfRule type="expression" priority="4139" dxfId="23">
      <formula>AV174="X"</formula>
    </cfRule>
    <cfRule type="expression" priority="4140" dxfId="22">
      <formula>AV174="후보"</formula>
    </cfRule>
  </conditionalFormatting>
  <conditionalFormatting sqref="AC17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7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74">
    <cfRule type="expression" priority="4131" dxfId="3">
      <formula>AND(IF(OR($Q174=1,$Q174=2),1,0),IF($X174&lt;=20,1,0))</formula>
    </cfRule>
    <cfRule type="expression" priority="4132" dxfId="2">
      <formula>AND(IF($Q174=2,1,0),IF($X174&lt;30,1,0))</formula>
    </cfRule>
    <cfRule type="expression" priority="4133" dxfId="1">
      <formula>AND(IF($Q174=3,1,0),IF($X174&lt;30,1,0))</formula>
    </cfRule>
    <cfRule type="expression" priority="4134" dxfId="0">
      <formula>AND(IF($Q174=3,1,IF($Q174=4,1,0)),IF($F174&lt;=85,1,0))</formula>
    </cfRule>
  </conditionalFormatting>
  <conditionalFormatting sqref="X174">
    <cfRule type="expression" priority="4127" dxfId="3">
      <formula>AND(IF(OR($Q174=1,$Q174=2),1,0),IF($X174&lt;=20,1,0))</formula>
    </cfRule>
    <cfRule type="expression" priority="4128" dxfId="2">
      <formula>AND(IF($Q174=2,1,0),IF($X174&lt;30,1,0))</formula>
    </cfRule>
    <cfRule type="expression" priority="4129" dxfId="1">
      <formula>AND(IF($Q174=3,1,0),IF($X174&lt;30,1,0))</formula>
    </cfRule>
    <cfRule type="expression" priority="4130" dxfId="0">
      <formula>AND(IF($Q174=3,1,IF($Q174=4,1,0)),IF($F174&lt;=85,1,0))</formula>
    </cfRule>
  </conditionalFormatting>
  <conditionalFormatting sqref="AI174">
    <cfRule type="expression" priority="4123" dxfId="3">
      <formula>AND(IF(OR($Q174=1,$Q174=2),1,0),IF($X174&lt;=20,1,0))</formula>
    </cfRule>
    <cfRule type="expression" priority="4124" dxfId="2">
      <formula>AND(IF($Q174=2,1,0),IF($X174&lt;30,1,0))</formula>
    </cfRule>
    <cfRule type="expression" priority="4125" dxfId="1">
      <formula>AND(IF($Q174=3,1,0),IF($X174&lt;30,1,0))</formula>
    </cfRule>
    <cfRule type="expression" priority="4126" dxfId="0">
      <formula>AND(IF($Q174=3,1,IF($Q174=4,1,0)),IF($F174&lt;=85,1,0))</formula>
    </cfRule>
  </conditionalFormatting>
  <conditionalFormatting sqref="AV175">
    <cfRule type="expression" priority="4121" dxfId="23">
      <formula>AV175="X"</formula>
    </cfRule>
    <cfRule type="expression" priority="4122" dxfId="22">
      <formula>AV175="후보"</formula>
    </cfRule>
  </conditionalFormatting>
  <conditionalFormatting sqref="AC17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7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75">
    <cfRule type="expression" priority="4113" dxfId="3">
      <formula>AND(IF(OR($Q175=1,$Q175=2),1,0),IF($X175&lt;=20,1,0))</formula>
    </cfRule>
    <cfRule type="expression" priority="4114" dxfId="2">
      <formula>AND(IF($Q175=2,1,0),IF($X175&lt;30,1,0))</formula>
    </cfRule>
    <cfRule type="expression" priority="4115" dxfId="1">
      <formula>AND(IF($Q175=3,1,0),IF($X175&lt;30,1,0))</formula>
    </cfRule>
    <cfRule type="expression" priority="4116" dxfId="0">
      <formula>AND(IF($Q175=3,1,IF($Q175=4,1,0)),IF($F175&lt;=85,1,0))</formula>
    </cfRule>
  </conditionalFormatting>
  <conditionalFormatting sqref="X175">
    <cfRule type="expression" priority="4109" dxfId="3">
      <formula>AND(IF(OR($Q175=1,$Q175=2),1,0),IF($X175&lt;=20,1,0))</formula>
    </cfRule>
    <cfRule type="expression" priority="4110" dxfId="2">
      <formula>AND(IF($Q175=2,1,0),IF($X175&lt;30,1,0))</formula>
    </cfRule>
    <cfRule type="expression" priority="4111" dxfId="1">
      <formula>AND(IF($Q175=3,1,0),IF($X175&lt;30,1,0))</formula>
    </cfRule>
    <cfRule type="expression" priority="4112" dxfId="0">
      <formula>AND(IF($Q175=3,1,IF($Q175=4,1,0)),IF($F175&lt;=85,1,0))</formula>
    </cfRule>
  </conditionalFormatting>
  <conditionalFormatting sqref="AI175">
    <cfRule type="expression" priority="4105" dxfId="3">
      <formula>AND(IF(OR($Q175=1,$Q175=2),1,0),IF($X175&lt;=20,1,0))</formula>
    </cfRule>
    <cfRule type="expression" priority="4106" dxfId="2">
      <formula>AND(IF($Q175=2,1,0),IF($X175&lt;30,1,0))</formula>
    </cfRule>
    <cfRule type="expression" priority="4107" dxfId="1">
      <formula>AND(IF($Q175=3,1,0),IF($X175&lt;30,1,0))</formula>
    </cfRule>
    <cfRule type="expression" priority="4108" dxfId="0">
      <formula>AND(IF($Q175=3,1,IF($Q175=4,1,0)),IF($F175&lt;=85,1,0))</formula>
    </cfRule>
  </conditionalFormatting>
  <conditionalFormatting sqref="AV176">
    <cfRule type="expression" priority="4103" dxfId="23">
      <formula>AV176="X"</formula>
    </cfRule>
    <cfRule type="expression" priority="4104" dxfId="22">
      <formula>AV176="후보"</formula>
    </cfRule>
  </conditionalFormatting>
  <conditionalFormatting sqref="AC17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7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76">
    <cfRule type="expression" priority="4095" dxfId="3">
      <formula>AND(IF(OR($Q176=1,$Q176=2),1,0),IF($X176&lt;=20,1,0))</formula>
    </cfRule>
    <cfRule type="expression" priority="4096" dxfId="2">
      <formula>AND(IF($Q176=2,1,0),IF($X176&lt;30,1,0))</formula>
    </cfRule>
    <cfRule type="expression" priority="4097" dxfId="1">
      <formula>AND(IF($Q176=3,1,0),IF($X176&lt;30,1,0))</formula>
    </cfRule>
    <cfRule type="expression" priority="4098" dxfId="0">
      <formula>AND(IF($Q176=3,1,IF($Q176=4,1,0)),IF($F176&lt;=85,1,0))</formula>
    </cfRule>
  </conditionalFormatting>
  <conditionalFormatting sqref="X176">
    <cfRule type="expression" priority="4091" dxfId="3">
      <formula>AND(IF(OR($Q176=1,$Q176=2),1,0),IF($X176&lt;=20,1,0))</formula>
    </cfRule>
    <cfRule type="expression" priority="4092" dxfId="2">
      <formula>AND(IF($Q176=2,1,0),IF($X176&lt;30,1,0))</formula>
    </cfRule>
    <cfRule type="expression" priority="4093" dxfId="1">
      <formula>AND(IF($Q176=3,1,0),IF($X176&lt;30,1,0))</formula>
    </cfRule>
    <cfRule type="expression" priority="4094" dxfId="0">
      <formula>AND(IF($Q176=3,1,IF($Q176=4,1,0)),IF($F176&lt;=85,1,0))</formula>
    </cfRule>
  </conditionalFormatting>
  <conditionalFormatting sqref="AI176">
    <cfRule type="expression" priority="4087" dxfId="3">
      <formula>AND(IF(OR($Q176=1,$Q176=2),1,0),IF($X176&lt;=20,1,0))</formula>
    </cfRule>
    <cfRule type="expression" priority="4088" dxfId="2">
      <formula>AND(IF($Q176=2,1,0),IF($X176&lt;30,1,0))</formula>
    </cfRule>
    <cfRule type="expression" priority="4089" dxfId="1">
      <formula>AND(IF($Q176=3,1,0),IF($X176&lt;30,1,0))</formula>
    </cfRule>
    <cfRule type="expression" priority="4090" dxfId="0">
      <formula>AND(IF($Q176=3,1,IF($Q176=4,1,0)),IF($F176&lt;=85,1,0))</formula>
    </cfRule>
  </conditionalFormatting>
  <conditionalFormatting sqref="AV177">
    <cfRule type="expression" priority="4085" dxfId="23">
      <formula>AV177="X"</formula>
    </cfRule>
    <cfRule type="expression" priority="4086" dxfId="22">
      <formula>AV177="후보"</formula>
    </cfRule>
  </conditionalFormatting>
  <conditionalFormatting sqref="AC17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7">
    <cfRule type="expression" priority="4077" dxfId="3">
      <formula>AND(IF(OR($Q177=1,$Q177=2),1,0),IF($X177&lt;=20,1,0))</formula>
    </cfRule>
    <cfRule type="expression" priority="4078" dxfId="2">
      <formula>AND(IF($Q177=2,1,0),IF($X177&lt;30,1,0))</formula>
    </cfRule>
    <cfRule type="expression" priority="4079" dxfId="1">
      <formula>AND(IF($Q177=3,1,0),IF($X177&lt;30,1,0))</formula>
    </cfRule>
    <cfRule type="expression" priority="4080" dxfId="0">
      <formula>AND(IF($Q177=3,1,IF($Q177=4,1,0)),IF($F177&lt;=85,1,0))</formula>
    </cfRule>
  </conditionalFormatting>
  <conditionalFormatting sqref="X177">
    <cfRule type="expression" priority="4073" dxfId="3">
      <formula>AND(IF(OR($Q177=1,$Q177=2),1,0),IF($X177&lt;=20,1,0))</formula>
    </cfRule>
    <cfRule type="expression" priority="4074" dxfId="2">
      <formula>AND(IF($Q177=2,1,0),IF($X177&lt;30,1,0))</formula>
    </cfRule>
    <cfRule type="expression" priority="4075" dxfId="1">
      <formula>AND(IF($Q177=3,1,0),IF($X177&lt;30,1,0))</formula>
    </cfRule>
    <cfRule type="expression" priority="4076" dxfId="0">
      <formula>AND(IF($Q177=3,1,IF($Q177=4,1,0)),IF($F177&lt;=85,1,0))</formula>
    </cfRule>
  </conditionalFormatting>
  <conditionalFormatting sqref="AI177">
    <cfRule type="expression" priority="4069" dxfId="3">
      <formula>AND(IF(OR($Q177=1,$Q177=2),1,0),IF($X177&lt;=20,1,0))</formula>
    </cfRule>
    <cfRule type="expression" priority="4070" dxfId="2">
      <formula>AND(IF($Q177=2,1,0),IF($X177&lt;30,1,0))</formula>
    </cfRule>
    <cfRule type="expression" priority="4071" dxfId="1">
      <formula>AND(IF($Q177=3,1,0),IF($X177&lt;30,1,0))</formula>
    </cfRule>
    <cfRule type="expression" priority="4072" dxfId="0">
      <formula>AND(IF($Q177=3,1,IF($Q177=4,1,0)),IF($F177&lt;=85,1,0))</formula>
    </cfRule>
  </conditionalFormatting>
  <conditionalFormatting sqref="AV178">
    <cfRule type="expression" priority="4067" dxfId="23">
      <formula>AV178="X"</formula>
    </cfRule>
    <cfRule type="expression" priority="4068" dxfId="22">
      <formula>AV178="후보"</formula>
    </cfRule>
  </conditionalFormatting>
  <conditionalFormatting sqref="AC17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7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78">
    <cfRule type="expression" priority="4059" dxfId="3">
      <formula>AND(IF(OR($Q178=1,$Q178=2),1,0),IF($X178&lt;=20,1,0))</formula>
    </cfRule>
    <cfRule type="expression" priority="4060" dxfId="2">
      <formula>AND(IF($Q178=2,1,0),IF($X178&lt;30,1,0))</formula>
    </cfRule>
    <cfRule type="expression" priority="4061" dxfId="1">
      <formula>AND(IF($Q178=3,1,0),IF($X178&lt;30,1,0))</formula>
    </cfRule>
    <cfRule type="expression" priority="4062" dxfId="0">
      <formula>AND(IF($Q178=3,1,IF($Q178=4,1,0)),IF($F178&lt;=85,1,0))</formula>
    </cfRule>
  </conditionalFormatting>
  <conditionalFormatting sqref="X178">
    <cfRule type="expression" priority="4055" dxfId="3">
      <formula>AND(IF(OR($Q178=1,$Q178=2),1,0),IF($X178&lt;=20,1,0))</formula>
    </cfRule>
    <cfRule type="expression" priority="4056" dxfId="2">
      <formula>AND(IF($Q178=2,1,0),IF($X178&lt;30,1,0))</formula>
    </cfRule>
    <cfRule type="expression" priority="4057" dxfId="1">
      <formula>AND(IF($Q178=3,1,0),IF($X178&lt;30,1,0))</formula>
    </cfRule>
    <cfRule type="expression" priority="4058" dxfId="0">
      <formula>AND(IF($Q178=3,1,IF($Q178=4,1,0)),IF($F178&lt;=85,1,0))</formula>
    </cfRule>
  </conditionalFormatting>
  <conditionalFormatting sqref="AI178">
    <cfRule type="expression" priority="4051" dxfId="3">
      <formula>AND(IF(OR($Q178=1,$Q178=2),1,0),IF($X178&lt;=20,1,0))</formula>
    </cfRule>
    <cfRule type="expression" priority="4052" dxfId="2">
      <formula>AND(IF($Q178=2,1,0),IF($X178&lt;30,1,0))</formula>
    </cfRule>
    <cfRule type="expression" priority="4053" dxfId="1">
      <formula>AND(IF($Q178=3,1,0),IF($X178&lt;30,1,0))</formula>
    </cfRule>
    <cfRule type="expression" priority="4054" dxfId="0">
      <formula>AND(IF($Q178=3,1,IF($Q178=4,1,0)),IF($F178&lt;=85,1,0))</formula>
    </cfRule>
  </conditionalFormatting>
  <conditionalFormatting sqref="AV179">
    <cfRule type="expression" priority="4049" dxfId="23">
      <formula>AV179="X"</formula>
    </cfRule>
    <cfRule type="expression" priority="4050" dxfId="22">
      <formula>AV179="후보"</formula>
    </cfRule>
  </conditionalFormatting>
  <conditionalFormatting sqref="AC17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7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79">
    <cfRule type="expression" priority="4041" dxfId="3">
      <formula>AND(IF(OR($Q179=1,$Q179=2),1,0),IF($X179&lt;=20,1,0))</formula>
    </cfRule>
    <cfRule type="expression" priority="4042" dxfId="2">
      <formula>AND(IF($Q179=2,1,0),IF($X179&lt;30,1,0))</formula>
    </cfRule>
    <cfRule type="expression" priority="4043" dxfId="1">
      <formula>AND(IF($Q179=3,1,0),IF($X179&lt;30,1,0))</formula>
    </cfRule>
    <cfRule type="expression" priority="4044" dxfId="0">
      <formula>AND(IF($Q179=3,1,IF($Q179=4,1,0)),IF($F179&lt;=85,1,0))</formula>
    </cfRule>
  </conditionalFormatting>
  <conditionalFormatting sqref="X179">
    <cfRule type="expression" priority="4037" dxfId="3">
      <formula>AND(IF(OR($Q179=1,$Q179=2),1,0),IF($X179&lt;=20,1,0))</formula>
    </cfRule>
    <cfRule type="expression" priority="4038" dxfId="2">
      <formula>AND(IF($Q179=2,1,0),IF($X179&lt;30,1,0))</formula>
    </cfRule>
    <cfRule type="expression" priority="4039" dxfId="1">
      <formula>AND(IF($Q179=3,1,0),IF($X179&lt;30,1,0))</formula>
    </cfRule>
    <cfRule type="expression" priority="4040" dxfId="0">
      <formula>AND(IF($Q179=3,1,IF($Q179=4,1,0)),IF($F179&lt;=85,1,0))</formula>
    </cfRule>
  </conditionalFormatting>
  <conditionalFormatting sqref="AI179">
    <cfRule type="expression" priority="4033" dxfId="3">
      <formula>AND(IF(OR($Q179=1,$Q179=2),1,0),IF($X179&lt;=20,1,0))</formula>
    </cfRule>
    <cfRule type="expression" priority="4034" dxfId="2">
      <formula>AND(IF($Q179=2,1,0),IF($X179&lt;30,1,0))</formula>
    </cfRule>
    <cfRule type="expression" priority="4035" dxfId="1">
      <formula>AND(IF($Q179=3,1,0),IF($X179&lt;30,1,0))</formula>
    </cfRule>
    <cfRule type="expression" priority="4036" dxfId="0">
      <formula>AND(IF($Q179=3,1,IF($Q179=4,1,0)),IF($F179&lt;=85,1,0))</formula>
    </cfRule>
  </conditionalFormatting>
  <conditionalFormatting sqref="AV180">
    <cfRule type="expression" priority="4031" dxfId="23">
      <formula>AV180="X"</formula>
    </cfRule>
    <cfRule type="expression" priority="4032" dxfId="22">
      <formula>AV180="후보"</formula>
    </cfRule>
  </conditionalFormatting>
  <conditionalFormatting sqref="AC18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0">
    <cfRule type="expression" priority="4023" dxfId="3">
      <formula>AND(IF(OR($Q180=1,$Q180=2),1,0),IF($X180&lt;=20,1,0))</formula>
    </cfRule>
    <cfRule type="expression" priority="4024" dxfId="2">
      <formula>AND(IF($Q180=2,1,0),IF($X180&lt;30,1,0))</formula>
    </cfRule>
    <cfRule type="expression" priority="4025" dxfId="1">
      <formula>AND(IF($Q180=3,1,0),IF($X180&lt;30,1,0))</formula>
    </cfRule>
    <cfRule type="expression" priority="4026" dxfId="0">
      <formula>AND(IF($Q180=3,1,IF($Q180=4,1,0)),IF($F180&lt;=85,1,0))</formula>
    </cfRule>
  </conditionalFormatting>
  <conditionalFormatting sqref="X180">
    <cfRule type="expression" priority="4019" dxfId="3">
      <formula>AND(IF(OR($Q180=1,$Q180=2),1,0),IF($X180&lt;=20,1,0))</formula>
    </cfRule>
    <cfRule type="expression" priority="4020" dxfId="2">
      <formula>AND(IF($Q180=2,1,0),IF($X180&lt;30,1,0))</formula>
    </cfRule>
    <cfRule type="expression" priority="4021" dxfId="1">
      <formula>AND(IF($Q180=3,1,0),IF($X180&lt;30,1,0))</formula>
    </cfRule>
    <cfRule type="expression" priority="4022" dxfId="0">
      <formula>AND(IF($Q180=3,1,IF($Q180=4,1,0)),IF($F180&lt;=85,1,0))</formula>
    </cfRule>
  </conditionalFormatting>
  <conditionalFormatting sqref="AI180">
    <cfRule type="expression" priority="4015" dxfId="3">
      <formula>AND(IF(OR($Q180=1,$Q180=2),1,0),IF($X180&lt;=20,1,0))</formula>
    </cfRule>
    <cfRule type="expression" priority="4016" dxfId="2">
      <formula>AND(IF($Q180=2,1,0),IF($X180&lt;30,1,0))</formula>
    </cfRule>
    <cfRule type="expression" priority="4017" dxfId="1">
      <formula>AND(IF($Q180=3,1,0),IF($X180&lt;30,1,0))</formula>
    </cfRule>
    <cfRule type="expression" priority="4018" dxfId="0">
      <formula>AND(IF($Q180=3,1,IF($Q180=4,1,0)),IF($F180&lt;=85,1,0))</formula>
    </cfRule>
  </conditionalFormatting>
  <conditionalFormatting sqref="AV181">
    <cfRule type="expression" priority="4013" dxfId="23">
      <formula>AV181="X"</formula>
    </cfRule>
    <cfRule type="expression" priority="4014" dxfId="22">
      <formula>AV181="후보"</formula>
    </cfRule>
  </conditionalFormatting>
  <conditionalFormatting sqref="AC18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1">
    <cfRule type="expression" priority="4005" dxfId="3">
      <formula>AND(IF(OR($Q181=1,$Q181=2),1,0),IF($X181&lt;=20,1,0))</formula>
    </cfRule>
    <cfRule type="expression" priority="4006" dxfId="2">
      <formula>AND(IF($Q181=2,1,0),IF($X181&lt;30,1,0))</formula>
    </cfRule>
    <cfRule type="expression" priority="4007" dxfId="1">
      <formula>AND(IF($Q181=3,1,0),IF($X181&lt;30,1,0))</formula>
    </cfRule>
    <cfRule type="expression" priority="4008" dxfId="0">
      <formula>AND(IF($Q181=3,1,IF($Q181=4,1,0)),IF($F181&lt;=85,1,0))</formula>
    </cfRule>
  </conditionalFormatting>
  <conditionalFormatting sqref="X181">
    <cfRule type="expression" priority="4001" dxfId="3">
      <formula>AND(IF(OR($Q181=1,$Q181=2),1,0),IF($X181&lt;=20,1,0))</formula>
    </cfRule>
    <cfRule type="expression" priority="4002" dxfId="2">
      <formula>AND(IF($Q181=2,1,0),IF($X181&lt;30,1,0))</formula>
    </cfRule>
    <cfRule type="expression" priority="4003" dxfId="1">
      <formula>AND(IF($Q181=3,1,0),IF($X181&lt;30,1,0))</formula>
    </cfRule>
    <cfRule type="expression" priority="4004" dxfId="0">
      <formula>AND(IF($Q181=3,1,IF($Q181=4,1,0)),IF($F181&lt;=85,1,0))</formula>
    </cfRule>
  </conditionalFormatting>
  <conditionalFormatting sqref="AI181">
    <cfRule type="expression" priority="3997" dxfId="3">
      <formula>AND(IF(OR($Q181=1,$Q181=2),1,0),IF($X181&lt;=20,1,0))</formula>
    </cfRule>
    <cfRule type="expression" priority="3998" dxfId="2">
      <formula>AND(IF($Q181=2,1,0),IF($X181&lt;30,1,0))</formula>
    </cfRule>
    <cfRule type="expression" priority="3999" dxfId="1">
      <formula>AND(IF($Q181=3,1,0),IF($X181&lt;30,1,0))</formula>
    </cfRule>
    <cfRule type="expression" priority="4000" dxfId="0">
      <formula>AND(IF($Q181=3,1,IF($Q181=4,1,0)),IF($F181&lt;=85,1,0))</formula>
    </cfRule>
  </conditionalFormatting>
  <conditionalFormatting sqref="AV182">
    <cfRule type="expression" priority="3995" dxfId="23">
      <formula>AV182="X"</formula>
    </cfRule>
    <cfRule type="expression" priority="3996" dxfId="22">
      <formula>AV182="후보"</formula>
    </cfRule>
  </conditionalFormatting>
  <conditionalFormatting sqref="AC18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2">
    <cfRule type="expression" priority="3987" dxfId="3">
      <formula>AND(IF(OR($Q182=1,$Q182=2),1,0),IF($X182&lt;=20,1,0))</formula>
    </cfRule>
    <cfRule type="expression" priority="3988" dxfId="2">
      <formula>AND(IF($Q182=2,1,0),IF($X182&lt;30,1,0))</formula>
    </cfRule>
    <cfRule type="expression" priority="3989" dxfId="1">
      <formula>AND(IF($Q182=3,1,0),IF($X182&lt;30,1,0))</formula>
    </cfRule>
    <cfRule type="expression" priority="3990" dxfId="0">
      <formula>AND(IF($Q182=3,1,IF($Q182=4,1,0)),IF($F182&lt;=85,1,0))</formula>
    </cfRule>
  </conditionalFormatting>
  <conditionalFormatting sqref="X182">
    <cfRule type="expression" priority="3983" dxfId="3">
      <formula>AND(IF(OR($Q182=1,$Q182=2),1,0),IF($X182&lt;=20,1,0))</formula>
    </cfRule>
    <cfRule type="expression" priority="3984" dxfId="2">
      <formula>AND(IF($Q182=2,1,0),IF($X182&lt;30,1,0))</formula>
    </cfRule>
    <cfRule type="expression" priority="3985" dxfId="1">
      <formula>AND(IF($Q182=3,1,0),IF($X182&lt;30,1,0))</formula>
    </cfRule>
    <cfRule type="expression" priority="3986" dxfId="0">
      <formula>AND(IF($Q182=3,1,IF($Q182=4,1,0)),IF($F182&lt;=85,1,0))</formula>
    </cfRule>
  </conditionalFormatting>
  <conditionalFormatting sqref="AI182">
    <cfRule type="expression" priority="3979" dxfId="3">
      <formula>AND(IF(OR($Q182=1,$Q182=2),1,0),IF($X182&lt;=20,1,0))</formula>
    </cfRule>
    <cfRule type="expression" priority="3980" dxfId="2">
      <formula>AND(IF($Q182=2,1,0),IF($X182&lt;30,1,0))</formula>
    </cfRule>
    <cfRule type="expression" priority="3981" dxfId="1">
      <formula>AND(IF($Q182=3,1,0),IF($X182&lt;30,1,0))</formula>
    </cfRule>
    <cfRule type="expression" priority="3982" dxfId="0">
      <formula>AND(IF($Q182=3,1,IF($Q182=4,1,0)),IF($F182&lt;=85,1,0))</formula>
    </cfRule>
  </conditionalFormatting>
  <conditionalFormatting sqref="AV183">
    <cfRule type="expression" priority="3977" dxfId="23">
      <formula>AV183="X"</formula>
    </cfRule>
    <cfRule type="expression" priority="3978" dxfId="22">
      <formula>AV183="후보"</formula>
    </cfRule>
  </conditionalFormatting>
  <conditionalFormatting sqref="AC18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3">
    <cfRule type="expression" priority="3969" dxfId="3">
      <formula>AND(IF(OR($Q183=1,$Q183=2),1,0),IF($X183&lt;=20,1,0))</formula>
    </cfRule>
    <cfRule type="expression" priority="3970" dxfId="2">
      <formula>AND(IF($Q183=2,1,0),IF($X183&lt;30,1,0))</formula>
    </cfRule>
    <cfRule type="expression" priority="3971" dxfId="1">
      <formula>AND(IF($Q183=3,1,0),IF($X183&lt;30,1,0))</formula>
    </cfRule>
    <cfRule type="expression" priority="3972" dxfId="0">
      <formula>AND(IF($Q183=3,1,IF($Q183=4,1,0)),IF($F183&lt;=85,1,0))</formula>
    </cfRule>
  </conditionalFormatting>
  <conditionalFormatting sqref="X183">
    <cfRule type="expression" priority="3965" dxfId="3">
      <formula>AND(IF(OR($Q183=1,$Q183=2),1,0),IF($X183&lt;=20,1,0))</formula>
    </cfRule>
    <cfRule type="expression" priority="3966" dxfId="2">
      <formula>AND(IF($Q183=2,1,0),IF($X183&lt;30,1,0))</formula>
    </cfRule>
    <cfRule type="expression" priority="3967" dxfId="1">
      <formula>AND(IF($Q183=3,1,0),IF($X183&lt;30,1,0))</formula>
    </cfRule>
    <cfRule type="expression" priority="3968" dxfId="0">
      <formula>AND(IF($Q183=3,1,IF($Q183=4,1,0)),IF($F183&lt;=85,1,0))</formula>
    </cfRule>
  </conditionalFormatting>
  <conditionalFormatting sqref="AI183">
    <cfRule type="expression" priority="3961" dxfId="3">
      <formula>AND(IF(OR($Q183=1,$Q183=2),1,0),IF($X183&lt;=20,1,0))</formula>
    </cfRule>
    <cfRule type="expression" priority="3962" dxfId="2">
      <formula>AND(IF($Q183=2,1,0),IF($X183&lt;30,1,0))</formula>
    </cfRule>
    <cfRule type="expression" priority="3963" dxfId="1">
      <formula>AND(IF($Q183=3,1,0),IF($X183&lt;30,1,0))</formula>
    </cfRule>
    <cfRule type="expression" priority="3964" dxfId="0">
      <formula>AND(IF($Q183=3,1,IF($Q183=4,1,0)),IF($F183&lt;=85,1,0))</formula>
    </cfRule>
  </conditionalFormatting>
  <conditionalFormatting sqref="AV184">
    <cfRule type="expression" priority="3959" dxfId="23">
      <formula>AV184="X"</formula>
    </cfRule>
    <cfRule type="expression" priority="3960" dxfId="22">
      <formula>AV184="후보"</formula>
    </cfRule>
  </conditionalFormatting>
  <conditionalFormatting sqref="AC18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8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84">
    <cfRule type="expression" priority="3951" dxfId="3">
      <formula>AND(IF(OR($Q184=1,$Q184=2),1,0),IF($X184&lt;=20,1,0))</formula>
    </cfRule>
    <cfRule type="expression" priority="3952" dxfId="2">
      <formula>AND(IF($Q184=2,1,0),IF($X184&lt;30,1,0))</formula>
    </cfRule>
    <cfRule type="expression" priority="3953" dxfId="1">
      <formula>AND(IF($Q184=3,1,0),IF($X184&lt;30,1,0))</formula>
    </cfRule>
    <cfRule type="expression" priority="3954" dxfId="0">
      <formula>AND(IF($Q184=3,1,IF($Q184=4,1,0)),IF($F184&lt;=85,1,0))</formula>
    </cfRule>
  </conditionalFormatting>
  <conditionalFormatting sqref="X184">
    <cfRule type="expression" priority="3947" dxfId="3">
      <formula>AND(IF(OR($Q184=1,$Q184=2),1,0),IF($X184&lt;=20,1,0))</formula>
    </cfRule>
    <cfRule type="expression" priority="3948" dxfId="2">
      <formula>AND(IF($Q184=2,1,0),IF($X184&lt;30,1,0))</formula>
    </cfRule>
    <cfRule type="expression" priority="3949" dxfId="1">
      <formula>AND(IF($Q184=3,1,0),IF($X184&lt;30,1,0))</formula>
    </cfRule>
    <cfRule type="expression" priority="3950" dxfId="0">
      <formula>AND(IF($Q184=3,1,IF($Q184=4,1,0)),IF($F184&lt;=85,1,0))</formula>
    </cfRule>
  </conditionalFormatting>
  <conditionalFormatting sqref="AI184">
    <cfRule type="expression" priority="3943" dxfId="3">
      <formula>AND(IF(OR($Q184=1,$Q184=2),1,0),IF($X184&lt;=20,1,0))</formula>
    </cfRule>
    <cfRule type="expression" priority="3944" dxfId="2">
      <formula>AND(IF($Q184=2,1,0),IF($X184&lt;30,1,0))</formula>
    </cfRule>
    <cfRule type="expression" priority="3945" dxfId="1">
      <formula>AND(IF($Q184=3,1,0),IF($X184&lt;30,1,0))</formula>
    </cfRule>
    <cfRule type="expression" priority="3946" dxfId="0">
      <formula>AND(IF($Q184=3,1,IF($Q184=4,1,0)),IF($F184&lt;=85,1,0))</formula>
    </cfRule>
  </conditionalFormatting>
  <conditionalFormatting sqref="AV185">
    <cfRule type="expression" priority="3941" dxfId="23">
      <formula>AV185="X"</formula>
    </cfRule>
    <cfRule type="expression" priority="3942" dxfId="22">
      <formula>AV185="후보"</formula>
    </cfRule>
  </conditionalFormatting>
  <conditionalFormatting sqref="AC18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5">
    <cfRule type="expression" priority="3933" dxfId="3">
      <formula>AND(IF(OR($Q185=1,$Q185=2),1,0),IF($X185&lt;=20,1,0))</formula>
    </cfRule>
    <cfRule type="expression" priority="3934" dxfId="2">
      <formula>AND(IF($Q185=2,1,0),IF($X185&lt;30,1,0))</formula>
    </cfRule>
    <cfRule type="expression" priority="3935" dxfId="1">
      <formula>AND(IF($Q185=3,1,0),IF($X185&lt;30,1,0))</formula>
    </cfRule>
    <cfRule type="expression" priority="3936" dxfId="0">
      <formula>AND(IF($Q185=3,1,IF($Q185=4,1,0)),IF($F185&lt;=85,1,0))</formula>
    </cfRule>
  </conditionalFormatting>
  <conditionalFormatting sqref="X185">
    <cfRule type="expression" priority="3929" dxfId="3">
      <formula>AND(IF(OR($Q185=1,$Q185=2),1,0),IF($X185&lt;=20,1,0))</formula>
    </cfRule>
    <cfRule type="expression" priority="3930" dxfId="2">
      <formula>AND(IF($Q185=2,1,0),IF($X185&lt;30,1,0))</formula>
    </cfRule>
    <cfRule type="expression" priority="3931" dxfId="1">
      <formula>AND(IF($Q185=3,1,0),IF($X185&lt;30,1,0))</formula>
    </cfRule>
    <cfRule type="expression" priority="3932" dxfId="0">
      <formula>AND(IF($Q185=3,1,IF($Q185=4,1,0)),IF($F185&lt;=85,1,0))</formula>
    </cfRule>
  </conditionalFormatting>
  <conditionalFormatting sqref="AI185">
    <cfRule type="expression" priority="3925" dxfId="3">
      <formula>AND(IF(OR($Q185=1,$Q185=2),1,0),IF($X185&lt;=20,1,0))</formula>
    </cfRule>
    <cfRule type="expression" priority="3926" dxfId="2">
      <formula>AND(IF($Q185=2,1,0),IF($X185&lt;30,1,0))</formula>
    </cfRule>
    <cfRule type="expression" priority="3927" dxfId="1">
      <formula>AND(IF($Q185=3,1,0),IF($X185&lt;30,1,0))</formula>
    </cfRule>
    <cfRule type="expression" priority="3928" dxfId="0">
      <formula>AND(IF($Q185=3,1,IF($Q185=4,1,0)),IF($F185&lt;=85,1,0))</formula>
    </cfRule>
  </conditionalFormatting>
  <conditionalFormatting sqref="AV186">
    <cfRule type="expression" priority="3923" dxfId="23">
      <formula>AV186="X"</formula>
    </cfRule>
    <cfRule type="expression" priority="3924" dxfId="22">
      <formula>AV186="후보"</formula>
    </cfRule>
  </conditionalFormatting>
  <conditionalFormatting sqref="AC18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8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86">
    <cfRule type="expression" priority="3915" dxfId="3">
      <formula>AND(IF(OR($Q186=1,$Q186=2),1,0),IF($X186&lt;=20,1,0))</formula>
    </cfRule>
    <cfRule type="expression" priority="3916" dxfId="2">
      <formula>AND(IF($Q186=2,1,0),IF($X186&lt;30,1,0))</formula>
    </cfRule>
    <cfRule type="expression" priority="3917" dxfId="1">
      <formula>AND(IF($Q186=3,1,0),IF($X186&lt;30,1,0))</formula>
    </cfRule>
    <cfRule type="expression" priority="3918" dxfId="0">
      <formula>AND(IF($Q186=3,1,IF($Q186=4,1,0)),IF($F186&lt;=85,1,0))</formula>
    </cfRule>
  </conditionalFormatting>
  <conditionalFormatting sqref="X186">
    <cfRule type="expression" priority="3911" dxfId="3">
      <formula>AND(IF(OR($Q186=1,$Q186=2),1,0),IF($X186&lt;=20,1,0))</formula>
    </cfRule>
    <cfRule type="expression" priority="3912" dxfId="2">
      <formula>AND(IF($Q186=2,1,0),IF($X186&lt;30,1,0))</formula>
    </cfRule>
    <cfRule type="expression" priority="3913" dxfId="1">
      <formula>AND(IF($Q186=3,1,0),IF($X186&lt;30,1,0))</formula>
    </cfRule>
    <cfRule type="expression" priority="3914" dxfId="0">
      <formula>AND(IF($Q186=3,1,IF($Q186=4,1,0)),IF($F186&lt;=85,1,0))</formula>
    </cfRule>
  </conditionalFormatting>
  <conditionalFormatting sqref="AI186">
    <cfRule type="expression" priority="3907" dxfId="3">
      <formula>AND(IF(OR($Q186=1,$Q186=2),1,0),IF($X186&lt;=20,1,0))</formula>
    </cfRule>
    <cfRule type="expression" priority="3908" dxfId="2">
      <formula>AND(IF($Q186=2,1,0),IF($X186&lt;30,1,0))</formula>
    </cfRule>
    <cfRule type="expression" priority="3909" dxfId="1">
      <formula>AND(IF($Q186=3,1,0),IF($X186&lt;30,1,0))</formula>
    </cfRule>
    <cfRule type="expression" priority="3910" dxfId="0">
      <formula>AND(IF($Q186=3,1,IF($Q186=4,1,0)),IF($F186&lt;=85,1,0))</formula>
    </cfRule>
  </conditionalFormatting>
  <conditionalFormatting sqref="AV187">
    <cfRule type="expression" priority="3905" dxfId="23">
      <formula>AV187="X"</formula>
    </cfRule>
    <cfRule type="expression" priority="3906" dxfId="22">
      <formula>AV187="후보"</formula>
    </cfRule>
  </conditionalFormatting>
  <conditionalFormatting sqref="AC18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8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87">
    <cfRule type="expression" priority="3897" dxfId="3">
      <formula>AND(IF(OR($Q187=1,$Q187=2),1,0),IF($X187&lt;=20,1,0))</formula>
    </cfRule>
    <cfRule type="expression" priority="3898" dxfId="2">
      <formula>AND(IF($Q187=2,1,0),IF($X187&lt;30,1,0))</formula>
    </cfRule>
    <cfRule type="expression" priority="3899" dxfId="1">
      <formula>AND(IF($Q187=3,1,0),IF($X187&lt;30,1,0))</formula>
    </cfRule>
    <cfRule type="expression" priority="3900" dxfId="0">
      <formula>AND(IF($Q187=3,1,IF($Q187=4,1,0)),IF($F187&lt;=85,1,0))</formula>
    </cfRule>
  </conditionalFormatting>
  <conditionalFormatting sqref="X187">
    <cfRule type="expression" priority="3893" dxfId="3">
      <formula>AND(IF(OR($Q187=1,$Q187=2),1,0),IF($X187&lt;=20,1,0))</formula>
    </cfRule>
    <cfRule type="expression" priority="3894" dxfId="2">
      <formula>AND(IF($Q187=2,1,0),IF($X187&lt;30,1,0))</formula>
    </cfRule>
    <cfRule type="expression" priority="3895" dxfId="1">
      <formula>AND(IF($Q187=3,1,0),IF($X187&lt;30,1,0))</formula>
    </cfRule>
    <cfRule type="expression" priority="3896" dxfId="0">
      <formula>AND(IF($Q187=3,1,IF($Q187=4,1,0)),IF($F187&lt;=85,1,0))</formula>
    </cfRule>
  </conditionalFormatting>
  <conditionalFormatting sqref="AI187">
    <cfRule type="expression" priority="3889" dxfId="3">
      <formula>AND(IF(OR($Q187=1,$Q187=2),1,0),IF($X187&lt;=20,1,0))</formula>
    </cfRule>
    <cfRule type="expression" priority="3890" dxfId="2">
      <formula>AND(IF($Q187=2,1,0),IF($X187&lt;30,1,0))</formula>
    </cfRule>
    <cfRule type="expression" priority="3891" dxfId="1">
      <formula>AND(IF($Q187=3,1,0),IF($X187&lt;30,1,0))</formula>
    </cfRule>
    <cfRule type="expression" priority="3892" dxfId="0">
      <formula>AND(IF($Q187=3,1,IF($Q187=4,1,0)),IF($F187&lt;=85,1,0))</formula>
    </cfRule>
  </conditionalFormatting>
  <conditionalFormatting sqref="AV188">
    <cfRule type="expression" priority="3887" dxfId="23">
      <formula>AV188="X"</formula>
    </cfRule>
    <cfRule type="expression" priority="3888" dxfId="22">
      <formula>AV188="후보"</formula>
    </cfRule>
  </conditionalFormatting>
  <conditionalFormatting sqref="AC18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8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88">
    <cfRule type="expression" priority="3879" dxfId="3">
      <formula>AND(IF(OR($Q188=1,$Q188=2),1,0),IF($X188&lt;=20,1,0))</formula>
    </cfRule>
    <cfRule type="expression" priority="3880" dxfId="2">
      <formula>AND(IF($Q188=2,1,0),IF($X188&lt;30,1,0))</formula>
    </cfRule>
    <cfRule type="expression" priority="3881" dxfId="1">
      <formula>AND(IF($Q188=3,1,0),IF($X188&lt;30,1,0))</formula>
    </cfRule>
    <cfRule type="expression" priority="3882" dxfId="0">
      <formula>AND(IF($Q188=3,1,IF($Q188=4,1,0)),IF($F188&lt;=85,1,0))</formula>
    </cfRule>
  </conditionalFormatting>
  <conditionalFormatting sqref="X188">
    <cfRule type="expression" priority="3875" dxfId="3">
      <formula>AND(IF(OR($Q188=1,$Q188=2),1,0),IF($X188&lt;=20,1,0))</formula>
    </cfRule>
    <cfRule type="expression" priority="3876" dxfId="2">
      <formula>AND(IF($Q188=2,1,0),IF($X188&lt;30,1,0))</formula>
    </cfRule>
    <cfRule type="expression" priority="3877" dxfId="1">
      <formula>AND(IF($Q188=3,1,0),IF($X188&lt;30,1,0))</formula>
    </cfRule>
    <cfRule type="expression" priority="3878" dxfId="0">
      <formula>AND(IF($Q188=3,1,IF($Q188=4,1,0)),IF($F188&lt;=85,1,0))</formula>
    </cfRule>
  </conditionalFormatting>
  <conditionalFormatting sqref="AI188">
    <cfRule type="expression" priority="3871" dxfId="3">
      <formula>AND(IF(OR($Q188=1,$Q188=2),1,0),IF($X188&lt;=20,1,0))</formula>
    </cfRule>
    <cfRule type="expression" priority="3872" dxfId="2">
      <formula>AND(IF($Q188=2,1,0),IF($X188&lt;30,1,0))</formula>
    </cfRule>
    <cfRule type="expression" priority="3873" dxfId="1">
      <formula>AND(IF($Q188=3,1,0),IF($X188&lt;30,1,0))</formula>
    </cfRule>
    <cfRule type="expression" priority="3874" dxfId="0">
      <formula>AND(IF($Q188=3,1,IF($Q188=4,1,0)),IF($F188&lt;=85,1,0))</formula>
    </cfRule>
  </conditionalFormatting>
  <conditionalFormatting sqref="AV189">
    <cfRule type="expression" priority="3869" dxfId="23">
      <formula>AV189="X"</formula>
    </cfRule>
    <cfRule type="expression" priority="3870" dxfId="22">
      <formula>AV189="후보"</formula>
    </cfRule>
  </conditionalFormatting>
  <conditionalFormatting sqref="AC18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8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89">
    <cfRule type="expression" priority="3861" dxfId="3">
      <formula>AND(IF(OR($Q189=1,$Q189=2),1,0),IF($X189&lt;=20,1,0))</formula>
    </cfRule>
    <cfRule type="expression" priority="3862" dxfId="2">
      <formula>AND(IF($Q189=2,1,0),IF($X189&lt;30,1,0))</formula>
    </cfRule>
    <cfRule type="expression" priority="3863" dxfId="1">
      <formula>AND(IF($Q189=3,1,0),IF($X189&lt;30,1,0))</formula>
    </cfRule>
    <cfRule type="expression" priority="3864" dxfId="0">
      <formula>AND(IF($Q189=3,1,IF($Q189=4,1,0)),IF($F189&lt;=85,1,0))</formula>
    </cfRule>
  </conditionalFormatting>
  <conditionalFormatting sqref="X189">
    <cfRule type="expression" priority="3857" dxfId="3">
      <formula>AND(IF(OR($Q189=1,$Q189=2),1,0),IF($X189&lt;=20,1,0))</formula>
    </cfRule>
    <cfRule type="expression" priority="3858" dxfId="2">
      <formula>AND(IF($Q189=2,1,0),IF($X189&lt;30,1,0))</formula>
    </cfRule>
    <cfRule type="expression" priority="3859" dxfId="1">
      <formula>AND(IF($Q189=3,1,0),IF($X189&lt;30,1,0))</formula>
    </cfRule>
    <cfRule type="expression" priority="3860" dxfId="0">
      <formula>AND(IF($Q189=3,1,IF($Q189=4,1,0)),IF($F189&lt;=85,1,0))</formula>
    </cfRule>
  </conditionalFormatting>
  <conditionalFormatting sqref="AI189">
    <cfRule type="expression" priority="3853" dxfId="3">
      <formula>AND(IF(OR($Q189=1,$Q189=2),1,0),IF($X189&lt;=20,1,0))</formula>
    </cfRule>
    <cfRule type="expression" priority="3854" dxfId="2">
      <formula>AND(IF($Q189=2,1,0),IF($X189&lt;30,1,0))</formula>
    </cfRule>
    <cfRule type="expression" priority="3855" dxfId="1">
      <formula>AND(IF($Q189=3,1,0),IF($X189&lt;30,1,0))</formula>
    </cfRule>
    <cfRule type="expression" priority="3856" dxfId="0">
      <formula>AND(IF($Q189=3,1,IF($Q189=4,1,0)),IF($F189&lt;=85,1,0))</formula>
    </cfRule>
  </conditionalFormatting>
  <conditionalFormatting sqref="AV190">
    <cfRule type="expression" priority="3851" dxfId="23">
      <formula>AV190="X"</formula>
    </cfRule>
    <cfRule type="expression" priority="3852" dxfId="22">
      <formula>AV190="후보"</formula>
    </cfRule>
  </conditionalFormatting>
  <conditionalFormatting sqref="AC19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0">
    <cfRule type="expression" priority="3843" dxfId="3">
      <formula>AND(IF(OR($Q190=1,$Q190=2),1,0),IF($X190&lt;=20,1,0))</formula>
    </cfRule>
    <cfRule type="expression" priority="3844" dxfId="2">
      <formula>AND(IF($Q190=2,1,0),IF($X190&lt;30,1,0))</formula>
    </cfRule>
    <cfRule type="expression" priority="3845" dxfId="1">
      <formula>AND(IF($Q190=3,1,0),IF($X190&lt;30,1,0))</formula>
    </cfRule>
    <cfRule type="expression" priority="3846" dxfId="0">
      <formula>AND(IF($Q190=3,1,IF($Q190=4,1,0)),IF($F190&lt;=85,1,0))</formula>
    </cfRule>
  </conditionalFormatting>
  <conditionalFormatting sqref="X190">
    <cfRule type="expression" priority="3839" dxfId="3">
      <formula>AND(IF(OR($Q190=1,$Q190=2),1,0),IF($X190&lt;=20,1,0))</formula>
    </cfRule>
    <cfRule type="expression" priority="3840" dxfId="2">
      <formula>AND(IF($Q190=2,1,0),IF($X190&lt;30,1,0))</formula>
    </cfRule>
    <cfRule type="expression" priority="3841" dxfId="1">
      <formula>AND(IF($Q190=3,1,0),IF($X190&lt;30,1,0))</formula>
    </cfRule>
    <cfRule type="expression" priority="3842" dxfId="0">
      <formula>AND(IF($Q190=3,1,IF($Q190=4,1,0)),IF($F190&lt;=85,1,0))</formula>
    </cfRule>
  </conditionalFormatting>
  <conditionalFormatting sqref="AI190">
    <cfRule type="expression" priority="3835" dxfId="3">
      <formula>AND(IF(OR($Q190=1,$Q190=2),1,0),IF($X190&lt;=20,1,0))</formula>
    </cfRule>
    <cfRule type="expression" priority="3836" dxfId="2">
      <formula>AND(IF($Q190=2,1,0),IF($X190&lt;30,1,0))</formula>
    </cfRule>
    <cfRule type="expression" priority="3837" dxfId="1">
      <formula>AND(IF($Q190=3,1,0),IF($X190&lt;30,1,0))</formula>
    </cfRule>
    <cfRule type="expression" priority="3838" dxfId="0">
      <formula>AND(IF($Q190=3,1,IF($Q190=4,1,0)),IF($F190&lt;=85,1,0))</formula>
    </cfRule>
  </conditionalFormatting>
  <conditionalFormatting sqref="AV191">
    <cfRule type="expression" priority="3833" dxfId="23">
      <formula>AV191="X"</formula>
    </cfRule>
    <cfRule type="expression" priority="3834" dxfId="22">
      <formula>AV191="후보"</formula>
    </cfRule>
  </conditionalFormatting>
  <conditionalFormatting sqref="AC19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1">
    <cfRule type="expression" priority="3825" dxfId="3">
      <formula>AND(IF(OR($Q191=1,$Q191=2),1,0),IF($X191&lt;=20,1,0))</formula>
    </cfRule>
    <cfRule type="expression" priority="3826" dxfId="2">
      <formula>AND(IF($Q191=2,1,0),IF($X191&lt;30,1,0))</formula>
    </cfRule>
    <cfRule type="expression" priority="3827" dxfId="1">
      <formula>AND(IF($Q191=3,1,0),IF($X191&lt;30,1,0))</formula>
    </cfRule>
    <cfRule type="expression" priority="3828" dxfId="0">
      <formula>AND(IF($Q191=3,1,IF($Q191=4,1,0)),IF($F191&lt;=85,1,0))</formula>
    </cfRule>
  </conditionalFormatting>
  <conditionalFormatting sqref="X191">
    <cfRule type="expression" priority="3821" dxfId="3">
      <formula>AND(IF(OR($Q191=1,$Q191=2),1,0),IF($X191&lt;=20,1,0))</formula>
    </cfRule>
    <cfRule type="expression" priority="3822" dxfId="2">
      <formula>AND(IF($Q191=2,1,0),IF($X191&lt;30,1,0))</formula>
    </cfRule>
    <cfRule type="expression" priority="3823" dxfId="1">
      <formula>AND(IF($Q191=3,1,0),IF($X191&lt;30,1,0))</formula>
    </cfRule>
    <cfRule type="expression" priority="3824" dxfId="0">
      <formula>AND(IF($Q191=3,1,IF($Q191=4,1,0)),IF($F191&lt;=85,1,0))</formula>
    </cfRule>
  </conditionalFormatting>
  <conditionalFormatting sqref="AI191">
    <cfRule type="expression" priority="3817" dxfId="3">
      <formula>AND(IF(OR($Q191=1,$Q191=2),1,0),IF($X191&lt;=20,1,0))</formula>
    </cfRule>
    <cfRule type="expression" priority="3818" dxfId="2">
      <formula>AND(IF($Q191=2,1,0),IF($X191&lt;30,1,0))</formula>
    </cfRule>
    <cfRule type="expression" priority="3819" dxfId="1">
      <formula>AND(IF($Q191=3,1,0),IF($X191&lt;30,1,0))</formula>
    </cfRule>
    <cfRule type="expression" priority="3820" dxfId="0">
      <formula>AND(IF($Q191=3,1,IF($Q191=4,1,0)),IF($F191&lt;=85,1,0))</formula>
    </cfRule>
  </conditionalFormatting>
  <conditionalFormatting sqref="AV192">
    <cfRule type="expression" priority="3815" dxfId="23">
      <formula>AV192="X"</formula>
    </cfRule>
    <cfRule type="expression" priority="3816" dxfId="22">
      <formula>AV192="후보"</formula>
    </cfRule>
  </conditionalFormatting>
  <conditionalFormatting sqref="AC19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2">
    <cfRule type="expression" priority="3807" dxfId="3">
      <formula>AND(IF(OR($Q192=1,$Q192=2),1,0),IF($X192&lt;=20,1,0))</formula>
    </cfRule>
    <cfRule type="expression" priority="3808" dxfId="2">
      <formula>AND(IF($Q192=2,1,0),IF($X192&lt;30,1,0))</formula>
    </cfRule>
    <cfRule type="expression" priority="3809" dxfId="1">
      <formula>AND(IF($Q192=3,1,0),IF($X192&lt;30,1,0))</formula>
    </cfRule>
    <cfRule type="expression" priority="3810" dxfId="0">
      <formula>AND(IF($Q192=3,1,IF($Q192=4,1,0)),IF($F192&lt;=85,1,0))</formula>
    </cfRule>
  </conditionalFormatting>
  <conditionalFormatting sqref="X192">
    <cfRule type="expression" priority="3803" dxfId="3">
      <formula>AND(IF(OR($Q192=1,$Q192=2),1,0),IF($X192&lt;=20,1,0))</formula>
    </cfRule>
    <cfRule type="expression" priority="3804" dxfId="2">
      <formula>AND(IF($Q192=2,1,0),IF($X192&lt;30,1,0))</formula>
    </cfRule>
    <cfRule type="expression" priority="3805" dxfId="1">
      <formula>AND(IF($Q192=3,1,0),IF($X192&lt;30,1,0))</formula>
    </cfRule>
    <cfRule type="expression" priority="3806" dxfId="0">
      <formula>AND(IF($Q192=3,1,IF($Q192=4,1,0)),IF($F192&lt;=85,1,0))</formula>
    </cfRule>
  </conditionalFormatting>
  <conditionalFormatting sqref="AI192">
    <cfRule type="expression" priority="3799" dxfId="3">
      <formula>AND(IF(OR($Q192=1,$Q192=2),1,0),IF($X192&lt;=20,1,0))</formula>
    </cfRule>
    <cfRule type="expression" priority="3800" dxfId="2">
      <formula>AND(IF($Q192=2,1,0),IF($X192&lt;30,1,0))</formula>
    </cfRule>
    <cfRule type="expression" priority="3801" dxfId="1">
      <formula>AND(IF($Q192=3,1,0),IF($X192&lt;30,1,0))</formula>
    </cfRule>
    <cfRule type="expression" priority="3802" dxfId="0">
      <formula>AND(IF($Q192=3,1,IF($Q192=4,1,0)),IF($F192&lt;=85,1,0))</formula>
    </cfRule>
  </conditionalFormatting>
  <conditionalFormatting sqref="AV193">
    <cfRule type="expression" priority="3797" dxfId="23">
      <formula>AV193="X"</formula>
    </cfRule>
    <cfRule type="expression" priority="3798" dxfId="22">
      <formula>AV193="후보"</formula>
    </cfRule>
  </conditionalFormatting>
  <conditionalFormatting sqref="AC19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3">
    <cfRule type="expression" priority="3789" dxfId="3">
      <formula>AND(IF(OR($Q193=1,$Q193=2),1,0),IF($X193&lt;=20,1,0))</formula>
    </cfRule>
    <cfRule type="expression" priority="3790" dxfId="2">
      <formula>AND(IF($Q193=2,1,0),IF($X193&lt;30,1,0))</formula>
    </cfRule>
    <cfRule type="expression" priority="3791" dxfId="1">
      <formula>AND(IF($Q193=3,1,0),IF($X193&lt;30,1,0))</formula>
    </cfRule>
    <cfRule type="expression" priority="3792" dxfId="0">
      <formula>AND(IF($Q193=3,1,IF($Q193=4,1,0)),IF($F193&lt;=85,1,0))</formula>
    </cfRule>
  </conditionalFormatting>
  <conditionalFormatting sqref="X193">
    <cfRule type="expression" priority="3785" dxfId="3">
      <formula>AND(IF(OR($Q193=1,$Q193=2),1,0),IF($X193&lt;=20,1,0))</formula>
    </cfRule>
    <cfRule type="expression" priority="3786" dxfId="2">
      <formula>AND(IF($Q193=2,1,0),IF($X193&lt;30,1,0))</formula>
    </cfRule>
    <cfRule type="expression" priority="3787" dxfId="1">
      <formula>AND(IF($Q193=3,1,0),IF($X193&lt;30,1,0))</formula>
    </cfRule>
    <cfRule type="expression" priority="3788" dxfId="0">
      <formula>AND(IF($Q193=3,1,IF($Q193=4,1,0)),IF($F193&lt;=85,1,0))</formula>
    </cfRule>
  </conditionalFormatting>
  <conditionalFormatting sqref="AI193">
    <cfRule type="expression" priority="3781" dxfId="3">
      <formula>AND(IF(OR($Q193=1,$Q193=2),1,0),IF($X193&lt;=20,1,0))</formula>
    </cfRule>
    <cfRule type="expression" priority="3782" dxfId="2">
      <formula>AND(IF($Q193=2,1,0),IF($X193&lt;30,1,0))</formula>
    </cfRule>
    <cfRule type="expression" priority="3783" dxfId="1">
      <formula>AND(IF($Q193=3,1,0),IF($X193&lt;30,1,0))</formula>
    </cfRule>
    <cfRule type="expression" priority="3784" dxfId="0">
      <formula>AND(IF($Q193=3,1,IF($Q193=4,1,0)),IF($F193&lt;=85,1,0))</formula>
    </cfRule>
  </conditionalFormatting>
  <conditionalFormatting sqref="AV194">
    <cfRule type="expression" priority="3779" dxfId="23">
      <formula>AV194="X"</formula>
    </cfRule>
    <cfRule type="expression" priority="3780" dxfId="22">
      <formula>AV194="후보"</formula>
    </cfRule>
  </conditionalFormatting>
  <conditionalFormatting sqref="AC19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9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94">
    <cfRule type="expression" priority="3771" dxfId="3">
      <formula>AND(IF(OR($Q194=1,$Q194=2),1,0),IF($X194&lt;=20,1,0))</formula>
    </cfRule>
    <cfRule type="expression" priority="3772" dxfId="2">
      <formula>AND(IF($Q194=2,1,0),IF($X194&lt;30,1,0))</formula>
    </cfRule>
    <cfRule type="expression" priority="3773" dxfId="1">
      <formula>AND(IF($Q194=3,1,0),IF($X194&lt;30,1,0))</formula>
    </cfRule>
    <cfRule type="expression" priority="3774" dxfId="0">
      <formula>AND(IF($Q194=3,1,IF($Q194=4,1,0)),IF($F194&lt;=85,1,0))</formula>
    </cfRule>
  </conditionalFormatting>
  <conditionalFormatting sqref="X194">
    <cfRule type="expression" priority="3767" dxfId="3">
      <formula>AND(IF(OR($Q194=1,$Q194=2),1,0),IF($X194&lt;=20,1,0))</formula>
    </cfRule>
    <cfRule type="expression" priority="3768" dxfId="2">
      <formula>AND(IF($Q194=2,1,0),IF($X194&lt;30,1,0))</formula>
    </cfRule>
    <cfRule type="expression" priority="3769" dxfId="1">
      <formula>AND(IF($Q194=3,1,0),IF($X194&lt;30,1,0))</formula>
    </cfRule>
    <cfRule type="expression" priority="3770" dxfId="0">
      <formula>AND(IF($Q194=3,1,IF($Q194=4,1,0)),IF($F194&lt;=85,1,0))</formula>
    </cfRule>
  </conditionalFormatting>
  <conditionalFormatting sqref="AI194">
    <cfRule type="expression" priority="3763" dxfId="3">
      <formula>AND(IF(OR($Q194=1,$Q194=2),1,0),IF($X194&lt;=20,1,0))</formula>
    </cfRule>
    <cfRule type="expression" priority="3764" dxfId="2">
      <formula>AND(IF($Q194=2,1,0),IF($X194&lt;30,1,0))</formula>
    </cfRule>
    <cfRule type="expression" priority="3765" dxfId="1">
      <formula>AND(IF($Q194=3,1,0),IF($X194&lt;30,1,0))</formula>
    </cfRule>
    <cfRule type="expression" priority="3766" dxfId="0">
      <formula>AND(IF($Q194=3,1,IF($Q194=4,1,0)),IF($F194&lt;=85,1,0))</formula>
    </cfRule>
  </conditionalFormatting>
  <conditionalFormatting sqref="AV195">
    <cfRule type="expression" priority="3761" dxfId="23">
      <formula>AV195="X"</formula>
    </cfRule>
    <cfRule type="expression" priority="3762" dxfId="22">
      <formula>AV195="후보"</formula>
    </cfRule>
  </conditionalFormatting>
  <conditionalFormatting sqref="AC19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9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95">
    <cfRule type="expression" priority="3753" dxfId="3">
      <formula>AND(IF(OR($Q195=1,$Q195=2),1,0),IF($X195&lt;=20,1,0))</formula>
    </cfRule>
    <cfRule type="expression" priority="3754" dxfId="2">
      <formula>AND(IF($Q195=2,1,0),IF($X195&lt;30,1,0))</formula>
    </cfRule>
    <cfRule type="expression" priority="3755" dxfId="1">
      <formula>AND(IF($Q195=3,1,0),IF($X195&lt;30,1,0))</formula>
    </cfRule>
    <cfRule type="expression" priority="3756" dxfId="0">
      <formula>AND(IF($Q195=3,1,IF($Q195=4,1,0)),IF($F195&lt;=85,1,0))</formula>
    </cfRule>
  </conditionalFormatting>
  <conditionalFormatting sqref="X195">
    <cfRule type="expression" priority="3749" dxfId="3">
      <formula>AND(IF(OR($Q195=1,$Q195=2),1,0),IF($X195&lt;=20,1,0))</formula>
    </cfRule>
    <cfRule type="expression" priority="3750" dxfId="2">
      <formula>AND(IF($Q195=2,1,0),IF($X195&lt;30,1,0))</formula>
    </cfRule>
    <cfRule type="expression" priority="3751" dxfId="1">
      <formula>AND(IF($Q195=3,1,0),IF($X195&lt;30,1,0))</formula>
    </cfRule>
    <cfRule type="expression" priority="3752" dxfId="0">
      <formula>AND(IF($Q195=3,1,IF($Q195=4,1,0)),IF($F195&lt;=85,1,0))</formula>
    </cfRule>
  </conditionalFormatting>
  <conditionalFormatting sqref="AI195">
    <cfRule type="expression" priority="3745" dxfId="3">
      <formula>AND(IF(OR($Q195=1,$Q195=2),1,0),IF($X195&lt;=20,1,0))</formula>
    </cfRule>
    <cfRule type="expression" priority="3746" dxfId="2">
      <formula>AND(IF($Q195=2,1,0),IF($X195&lt;30,1,0))</formula>
    </cfRule>
    <cfRule type="expression" priority="3747" dxfId="1">
      <formula>AND(IF($Q195=3,1,0),IF($X195&lt;30,1,0))</formula>
    </cfRule>
    <cfRule type="expression" priority="3748" dxfId="0">
      <formula>AND(IF($Q195=3,1,IF($Q195=4,1,0)),IF($F195&lt;=85,1,0))</formula>
    </cfRule>
  </conditionalFormatting>
  <conditionalFormatting sqref="AV196">
    <cfRule type="expression" priority="3743" dxfId="23">
      <formula>AV196="X"</formula>
    </cfRule>
    <cfRule type="expression" priority="3744" dxfId="22">
      <formula>AV196="후보"</formula>
    </cfRule>
  </conditionalFormatting>
  <conditionalFormatting sqref="AC19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9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96">
    <cfRule type="expression" priority="3735" dxfId="3">
      <formula>AND(IF(OR($Q196=1,$Q196=2),1,0),IF($X196&lt;=20,1,0))</formula>
    </cfRule>
    <cfRule type="expression" priority="3736" dxfId="2">
      <formula>AND(IF($Q196=2,1,0),IF($X196&lt;30,1,0))</formula>
    </cfRule>
    <cfRule type="expression" priority="3737" dxfId="1">
      <formula>AND(IF($Q196=3,1,0),IF($X196&lt;30,1,0))</formula>
    </cfRule>
    <cfRule type="expression" priority="3738" dxfId="0">
      <formula>AND(IF($Q196=3,1,IF($Q196=4,1,0)),IF($F196&lt;=85,1,0))</formula>
    </cfRule>
  </conditionalFormatting>
  <conditionalFormatting sqref="X196">
    <cfRule type="expression" priority="3731" dxfId="3">
      <formula>AND(IF(OR($Q196=1,$Q196=2),1,0),IF($X196&lt;=20,1,0))</formula>
    </cfRule>
    <cfRule type="expression" priority="3732" dxfId="2">
      <formula>AND(IF($Q196=2,1,0),IF($X196&lt;30,1,0))</formula>
    </cfRule>
    <cfRule type="expression" priority="3733" dxfId="1">
      <formula>AND(IF($Q196=3,1,0),IF($X196&lt;30,1,0))</formula>
    </cfRule>
    <cfRule type="expression" priority="3734" dxfId="0">
      <formula>AND(IF($Q196=3,1,IF($Q196=4,1,0)),IF($F196&lt;=85,1,0))</formula>
    </cfRule>
  </conditionalFormatting>
  <conditionalFormatting sqref="AI196">
    <cfRule type="expression" priority="3727" dxfId="3">
      <formula>AND(IF(OR($Q196=1,$Q196=2),1,0),IF($X196&lt;=20,1,0))</formula>
    </cfRule>
    <cfRule type="expression" priority="3728" dxfId="2">
      <formula>AND(IF($Q196=2,1,0),IF($X196&lt;30,1,0))</formula>
    </cfRule>
    <cfRule type="expression" priority="3729" dxfId="1">
      <formula>AND(IF($Q196=3,1,0),IF($X196&lt;30,1,0))</formula>
    </cfRule>
    <cfRule type="expression" priority="3730" dxfId="0">
      <formula>AND(IF($Q196=3,1,IF($Q196=4,1,0)),IF($F196&lt;=85,1,0))</formula>
    </cfRule>
  </conditionalFormatting>
  <conditionalFormatting sqref="AV197">
    <cfRule type="expression" priority="3725" dxfId="23">
      <formula>AV197="X"</formula>
    </cfRule>
    <cfRule type="expression" priority="3726" dxfId="22">
      <formula>AV197="후보"</formula>
    </cfRule>
  </conditionalFormatting>
  <conditionalFormatting sqref="AC19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9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97">
    <cfRule type="expression" priority="3717" dxfId="3">
      <formula>AND(IF(OR($Q197=1,$Q197=2),1,0),IF($X197&lt;=20,1,0))</formula>
    </cfRule>
    <cfRule type="expression" priority="3718" dxfId="2">
      <formula>AND(IF($Q197=2,1,0),IF($X197&lt;30,1,0))</formula>
    </cfRule>
    <cfRule type="expression" priority="3719" dxfId="1">
      <formula>AND(IF($Q197=3,1,0),IF($X197&lt;30,1,0))</formula>
    </cfRule>
    <cfRule type="expression" priority="3720" dxfId="0">
      <formula>AND(IF($Q197=3,1,IF($Q197=4,1,0)),IF($F197&lt;=85,1,0))</formula>
    </cfRule>
  </conditionalFormatting>
  <conditionalFormatting sqref="X197">
    <cfRule type="expression" priority="3713" dxfId="3">
      <formula>AND(IF(OR($Q197=1,$Q197=2),1,0),IF($X197&lt;=20,1,0))</formula>
    </cfRule>
    <cfRule type="expression" priority="3714" dxfId="2">
      <formula>AND(IF($Q197=2,1,0),IF($X197&lt;30,1,0))</formula>
    </cfRule>
    <cfRule type="expression" priority="3715" dxfId="1">
      <formula>AND(IF($Q197=3,1,0),IF($X197&lt;30,1,0))</formula>
    </cfRule>
    <cfRule type="expression" priority="3716" dxfId="0">
      <formula>AND(IF($Q197=3,1,IF($Q197=4,1,0)),IF($F197&lt;=85,1,0))</formula>
    </cfRule>
  </conditionalFormatting>
  <conditionalFormatting sqref="AI197">
    <cfRule type="expression" priority="3709" dxfId="3">
      <formula>AND(IF(OR($Q197=1,$Q197=2),1,0),IF($X197&lt;=20,1,0))</formula>
    </cfRule>
    <cfRule type="expression" priority="3710" dxfId="2">
      <formula>AND(IF($Q197=2,1,0),IF($X197&lt;30,1,0))</formula>
    </cfRule>
    <cfRule type="expression" priority="3711" dxfId="1">
      <formula>AND(IF($Q197=3,1,0),IF($X197&lt;30,1,0))</formula>
    </cfRule>
    <cfRule type="expression" priority="3712" dxfId="0">
      <formula>AND(IF($Q197=3,1,IF($Q197=4,1,0)),IF($F197&lt;=85,1,0))</formula>
    </cfRule>
  </conditionalFormatting>
  <conditionalFormatting sqref="AV198">
    <cfRule type="expression" priority="3707" dxfId="23">
      <formula>AV198="X"</formula>
    </cfRule>
    <cfRule type="expression" priority="3708" dxfId="22">
      <formula>AV198="후보"</formula>
    </cfRule>
  </conditionalFormatting>
  <conditionalFormatting sqref="AC19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9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98">
    <cfRule type="expression" priority="3699" dxfId="3">
      <formula>AND(IF(OR($Q198=1,$Q198=2),1,0),IF($X198&lt;=20,1,0))</formula>
    </cfRule>
    <cfRule type="expression" priority="3700" dxfId="2">
      <formula>AND(IF($Q198=2,1,0),IF($X198&lt;30,1,0))</formula>
    </cfRule>
    <cfRule type="expression" priority="3701" dxfId="1">
      <formula>AND(IF($Q198=3,1,0),IF($X198&lt;30,1,0))</formula>
    </cfRule>
    <cfRule type="expression" priority="3702" dxfId="0">
      <formula>AND(IF($Q198=3,1,IF($Q198=4,1,0)),IF($F198&lt;=85,1,0))</formula>
    </cfRule>
  </conditionalFormatting>
  <conditionalFormatting sqref="X198">
    <cfRule type="expression" priority="3695" dxfId="3">
      <formula>AND(IF(OR($Q198=1,$Q198=2),1,0),IF($X198&lt;=20,1,0))</formula>
    </cfRule>
    <cfRule type="expression" priority="3696" dxfId="2">
      <formula>AND(IF($Q198=2,1,0),IF($X198&lt;30,1,0))</formula>
    </cfRule>
    <cfRule type="expression" priority="3697" dxfId="1">
      <formula>AND(IF($Q198=3,1,0),IF($X198&lt;30,1,0))</formula>
    </cfRule>
    <cfRule type="expression" priority="3698" dxfId="0">
      <formula>AND(IF($Q198=3,1,IF($Q198=4,1,0)),IF($F198&lt;=85,1,0))</formula>
    </cfRule>
  </conditionalFormatting>
  <conditionalFormatting sqref="AI198">
    <cfRule type="expression" priority="3691" dxfId="3">
      <formula>AND(IF(OR($Q198=1,$Q198=2),1,0),IF($X198&lt;=20,1,0))</formula>
    </cfRule>
    <cfRule type="expression" priority="3692" dxfId="2">
      <formula>AND(IF($Q198=2,1,0),IF($X198&lt;30,1,0))</formula>
    </cfRule>
    <cfRule type="expression" priority="3693" dxfId="1">
      <formula>AND(IF($Q198=3,1,0),IF($X198&lt;30,1,0))</formula>
    </cfRule>
    <cfRule type="expression" priority="3694" dxfId="0">
      <formula>AND(IF($Q198=3,1,IF($Q198=4,1,0)),IF($F198&lt;=85,1,0))</formula>
    </cfRule>
  </conditionalFormatting>
  <conditionalFormatting sqref="AV199">
    <cfRule type="expression" priority="3689" dxfId="23">
      <formula>AV199="X"</formula>
    </cfRule>
    <cfRule type="expression" priority="3690" dxfId="22">
      <formula>AV199="후보"</formula>
    </cfRule>
  </conditionalFormatting>
  <conditionalFormatting sqref="AC19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9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99">
    <cfRule type="expression" priority="3681" dxfId="3">
      <formula>AND(IF(OR($Q199=1,$Q199=2),1,0),IF($X199&lt;=20,1,0))</formula>
    </cfRule>
    <cfRule type="expression" priority="3682" dxfId="2">
      <formula>AND(IF($Q199=2,1,0),IF($X199&lt;30,1,0))</formula>
    </cfRule>
    <cfRule type="expression" priority="3683" dxfId="1">
      <formula>AND(IF($Q199=3,1,0),IF($X199&lt;30,1,0))</formula>
    </cfRule>
    <cfRule type="expression" priority="3684" dxfId="0">
      <formula>AND(IF($Q199=3,1,IF($Q199=4,1,0)),IF($F199&lt;=85,1,0))</formula>
    </cfRule>
  </conditionalFormatting>
  <conditionalFormatting sqref="X199">
    <cfRule type="expression" priority="3677" dxfId="3">
      <formula>AND(IF(OR($Q199=1,$Q199=2),1,0),IF($X199&lt;=20,1,0))</formula>
    </cfRule>
    <cfRule type="expression" priority="3678" dxfId="2">
      <formula>AND(IF($Q199=2,1,0),IF($X199&lt;30,1,0))</formula>
    </cfRule>
    <cfRule type="expression" priority="3679" dxfId="1">
      <formula>AND(IF($Q199=3,1,0),IF($X199&lt;30,1,0))</formula>
    </cfRule>
    <cfRule type="expression" priority="3680" dxfId="0">
      <formula>AND(IF($Q199=3,1,IF($Q199=4,1,0)),IF($F199&lt;=85,1,0))</formula>
    </cfRule>
  </conditionalFormatting>
  <conditionalFormatting sqref="AI199">
    <cfRule type="expression" priority="3673" dxfId="3">
      <formula>AND(IF(OR($Q199=1,$Q199=2),1,0),IF($X199&lt;=20,1,0))</formula>
    </cfRule>
    <cfRule type="expression" priority="3674" dxfId="2">
      <formula>AND(IF($Q199=2,1,0),IF($X199&lt;30,1,0))</formula>
    </cfRule>
    <cfRule type="expression" priority="3675" dxfId="1">
      <formula>AND(IF($Q199=3,1,0),IF($X199&lt;30,1,0))</formula>
    </cfRule>
    <cfRule type="expression" priority="3676" dxfId="0">
      <formula>AND(IF($Q199=3,1,IF($Q199=4,1,0)),IF($F199&lt;=85,1,0))</formula>
    </cfRule>
  </conditionalFormatting>
  <conditionalFormatting sqref="AV200">
    <cfRule type="expression" priority="3671" dxfId="23">
      <formula>AV200="X"</formula>
    </cfRule>
    <cfRule type="expression" priority="3672" dxfId="22">
      <formula>AV200="후보"</formula>
    </cfRule>
  </conditionalFormatting>
  <conditionalFormatting sqref="AC20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0">
    <cfRule type="expression" priority="3663" dxfId="3">
      <formula>AND(IF(OR($Q200=1,$Q200=2),1,0),IF($X200&lt;=20,1,0))</formula>
    </cfRule>
    <cfRule type="expression" priority="3664" dxfId="2">
      <formula>AND(IF($Q200=2,1,0),IF($X200&lt;30,1,0))</formula>
    </cfRule>
    <cfRule type="expression" priority="3665" dxfId="1">
      <formula>AND(IF($Q200=3,1,0),IF($X200&lt;30,1,0))</formula>
    </cfRule>
    <cfRule type="expression" priority="3666" dxfId="0">
      <formula>AND(IF($Q200=3,1,IF($Q200=4,1,0)),IF($F200&lt;=85,1,0))</formula>
    </cfRule>
  </conditionalFormatting>
  <conditionalFormatting sqref="X200">
    <cfRule type="expression" priority="3659" dxfId="3">
      <formula>AND(IF(OR($Q200=1,$Q200=2),1,0),IF($X200&lt;=20,1,0))</formula>
    </cfRule>
    <cfRule type="expression" priority="3660" dxfId="2">
      <formula>AND(IF($Q200=2,1,0),IF($X200&lt;30,1,0))</formula>
    </cfRule>
    <cfRule type="expression" priority="3661" dxfId="1">
      <formula>AND(IF($Q200=3,1,0),IF($X200&lt;30,1,0))</formula>
    </cfRule>
    <cfRule type="expression" priority="3662" dxfId="0">
      <formula>AND(IF($Q200=3,1,IF($Q200=4,1,0)),IF($F200&lt;=85,1,0))</formula>
    </cfRule>
  </conditionalFormatting>
  <conditionalFormatting sqref="AI200">
    <cfRule type="expression" priority="3655" dxfId="3">
      <formula>AND(IF(OR($Q200=1,$Q200=2),1,0),IF($X200&lt;=20,1,0))</formula>
    </cfRule>
    <cfRule type="expression" priority="3656" dxfId="2">
      <formula>AND(IF($Q200=2,1,0),IF($X200&lt;30,1,0))</formula>
    </cfRule>
    <cfRule type="expression" priority="3657" dxfId="1">
      <formula>AND(IF($Q200=3,1,0),IF($X200&lt;30,1,0))</formula>
    </cfRule>
    <cfRule type="expression" priority="3658" dxfId="0">
      <formula>AND(IF($Q200=3,1,IF($Q200=4,1,0)),IF($F200&lt;=85,1,0))</formula>
    </cfRule>
  </conditionalFormatting>
  <conditionalFormatting sqref="AV201">
    <cfRule type="expression" priority="3653" dxfId="23">
      <formula>AV201="X"</formula>
    </cfRule>
    <cfRule type="expression" priority="3654" dxfId="22">
      <formula>AV201="후보"</formula>
    </cfRule>
  </conditionalFormatting>
  <conditionalFormatting sqref="AC20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1">
    <cfRule type="expression" priority="3645" dxfId="3">
      <formula>AND(IF(OR($Q201=1,$Q201=2),1,0),IF($X201&lt;=20,1,0))</formula>
    </cfRule>
    <cfRule type="expression" priority="3646" dxfId="2">
      <formula>AND(IF($Q201=2,1,0),IF($X201&lt;30,1,0))</formula>
    </cfRule>
    <cfRule type="expression" priority="3647" dxfId="1">
      <formula>AND(IF($Q201=3,1,0),IF($X201&lt;30,1,0))</formula>
    </cfRule>
    <cfRule type="expression" priority="3648" dxfId="0">
      <formula>AND(IF($Q201=3,1,IF($Q201=4,1,0)),IF($F201&lt;=85,1,0))</formula>
    </cfRule>
  </conditionalFormatting>
  <conditionalFormatting sqref="X201">
    <cfRule type="expression" priority="3641" dxfId="3">
      <formula>AND(IF(OR($Q201=1,$Q201=2),1,0),IF($X201&lt;=20,1,0))</formula>
    </cfRule>
    <cfRule type="expression" priority="3642" dxfId="2">
      <formula>AND(IF($Q201=2,1,0),IF($X201&lt;30,1,0))</formula>
    </cfRule>
    <cfRule type="expression" priority="3643" dxfId="1">
      <formula>AND(IF($Q201=3,1,0),IF($X201&lt;30,1,0))</formula>
    </cfRule>
    <cfRule type="expression" priority="3644" dxfId="0">
      <formula>AND(IF($Q201=3,1,IF($Q201=4,1,0)),IF($F201&lt;=85,1,0))</formula>
    </cfRule>
  </conditionalFormatting>
  <conditionalFormatting sqref="AI201">
    <cfRule type="expression" priority="3637" dxfId="3">
      <formula>AND(IF(OR($Q201=1,$Q201=2),1,0),IF($X201&lt;=20,1,0))</formula>
    </cfRule>
    <cfRule type="expression" priority="3638" dxfId="2">
      <formula>AND(IF($Q201=2,1,0),IF($X201&lt;30,1,0))</formula>
    </cfRule>
    <cfRule type="expression" priority="3639" dxfId="1">
      <formula>AND(IF($Q201=3,1,0),IF($X201&lt;30,1,0))</formula>
    </cfRule>
    <cfRule type="expression" priority="3640" dxfId="0">
      <formula>AND(IF($Q201=3,1,IF($Q201=4,1,0)),IF($F201&lt;=85,1,0))</formula>
    </cfRule>
  </conditionalFormatting>
  <conditionalFormatting sqref="AV202">
    <cfRule type="expression" priority="3635" dxfId="23">
      <formula>AV202="X"</formula>
    </cfRule>
    <cfRule type="expression" priority="3636" dxfId="22">
      <formula>AV202="후보"</formula>
    </cfRule>
  </conditionalFormatting>
  <conditionalFormatting sqref="AC20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2">
    <cfRule type="expression" priority="3627" dxfId="3">
      <formula>AND(IF(OR($Q202=1,$Q202=2),1,0),IF($X202&lt;=20,1,0))</formula>
    </cfRule>
    <cfRule type="expression" priority="3628" dxfId="2">
      <formula>AND(IF($Q202=2,1,0),IF($X202&lt;30,1,0))</formula>
    </cfRule>
    <cfRule type="expression" priority="3629" dxfId="1">
      <formula>AND(IF($Q202=3,1,0),IF($X202&lt;30,1,0))</formula>
    </cfRule>
    <cfRule type="expression" priority="3630" dxfId="0">
      <formula>AND(IF($Q202=3,1,IF($Q202=4,1,0)),IF($F202&lt;=85,1,0))</formula>
    </cfRule>
  </conditionalFormatting>
  <conditionalFormatting sqref="X202">
    <cfRule type="expression" priority="3623" dxfId="3">
      <formula>AND(IF(OR($Q202=1,$Q202=2),1,0),IF($X202&lt;=20,1,0))</formula>
    </cfRule>
    <cfRule type="expression" priority="3624" dxfId="2">
      <formula>AND(IF($Q202=2,1,0),IF($X202&lt;30,1,0))</formula>
    </cfRule>
    <cfRule type="expression" priority="3625" dxfId="1">
      <formula>AND(IF($Q202=3,1,0),IF($X202&lt;30,1,0))</formula>
    </cfRule>
    <cfRule type="expression" priority="3626" dxfId="0">
      <formula>AND(IF($Q202=3,1,IF($Q202=4,1,0)),IF($F202&lt;=85,1,0))</formula>
    </cfRule>
  </conditionalFormatting>
  <conditionalFormatting sqref="AI202">
    <cfRule type="expression" priority="3619" dxfId="3">
      <formula>AND(IF(OR($Q202=1,$Q202=2),1,0),IF($X202&lt;=20,1,0))</formula>
    </cfRule>
    <cfRule type="expression" priority="3620" dxfId="2">
      <formula>AND(IF($Q202=2,1,0),IF($X202&lt;30,1,0))</formula>
    </cfRule>
    <cfRule type="expression" priority="3621" dxfId="1">
      <formula>AND(IF($Q202=3,1,0),IF($X202&lt;30,1,0))</formula>
    </cfRule>
    <cfRule type="expression" priority="3622" dxfId="0">
      <formula>AND(IF($Q202=3,1,IF($Q202=4,1,0)),IF($F202&lt;=85,1,0))</formula>
    </cfRule>
  </conditionalFormatting>
  <conditionalFormatting sqref="AV203">
    <cfRule type="expression" priority="3617" dxfId="23">
      <formula>AV203="X"</formula>
    </cfRule>
    <cfRule type="expression" priority="3618" dxfId="22">
      <formula>AV203="후보"</formula>
    </cfRule>
  </conditionalFormatting>
  <conditionalFormatting sqref="AC20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3">
    <cfRule type="expression" priority="3609" dxfId="3">
      <formula>AND(IF(OR($Q203=1,$Q203=2),1,0),IF($X203&lt;=20,1,0))</formula>
    </cfRule>
    <cfRule type="expression" priority="3610" dxfId="2">
      <formula>AND(IF($Q203=2,1,0),IF($X203&lt;30,1,0))</formula>
    </cfRule>
    <cfRule type="expression" priority="3611" dxfId="1">
      <formula>AND(IF($Q203=3,1,0),IF($X203&lt;30,1,0))</formula>
    </cfRule>
    <cfRule type="expression" priority="3612" dxfId="0">
      <formula>AND(IF($Q203=3,1,IF($Q203=4,1,0)),IF($F203&lt;=85,1,0))</formula>
    </cfRule>
  </conditionalFormatting>
  <conditionalFormatting sqref="X203">
    <cfRule type="expression" priority="3605" dxfId="3">
      <formula>AND(IF(OR($Q203=1,$Q203=2),1,0),IF($X203&lt;=20,1,0))</formula>
    </cfRule>
    <cfRule type="expression" priority="3606" dxfId="2">
      <formula>AND(IF($Q203=2,1,0),IF($X203&lt;30,1,0))</formula>
    </cfRule>
    <cfRule type="expression" priority="3607" dxfId="1">
      <formula>AND(IF($Q203=3,1,0),IF($X203&lt;30,1,0))</formula>
    </cfRule>
    <cfRule type="expression" priority="3608" dxfId="0">
      <formula>AND(IF($Q203=3,1,IF($Q203=4,1,0)),IF($F203&lt;=85,1,0))</formula>
    </cfRule>
  </conditionalFormatting>
  <conditionalFormatting sqref="AI203">
    <cfRule type="expression" priority="3601" dxfId="3">
      <formula>AND(IF(OR($Q203=1,$Q203=2),1,0),IF($X203&lt;=20,1,0))</formula>
    </cfRule>
    <cfRule type="expression" priority="3602" dxfId="2">
      <formula>AND(IF($Q203=2,1,0),IF($X203&lt;30,1,0))</formula>
    </cfRule>
    <cfRule type="expression" priority="3603" dxfId="1">
      <formula>AND(IF($Q203=3,1,0),IF($X203&lt;30,1,0))</formula>
    </cfRule>
    <cfRule type="expression" priority="3604" dxfId="0">
      <formula>AND(IF($Q203=3,1,IF($Q203=4,1,0)),IF($F203&lt;=85,1,0))</formula>
    </cfRule>
  </conditionalFormatting>
  <conditionalFormatting sqref="AV204">
    <cfRule type="expression" priority="3599" dxfId="23">
      <formula>AV204="X"</formula>
    </cfRule>
    <cfRule type="expression" priority="3600" dxfId="22">
      <formula>AV204="후보"</formula>
    </cfRule>
  </conditionalFormatting>
  <conditionalFormatting sqref="AC20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0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04">
    <cfRule type="expression" priority="3591" dxfId="3">
      <formula>AND(IF(OR($Q204=1,$Q204=2),1,0),IF($X204&lt;=20,1,0))</formula>
    </cfRule>
    <cfRule type="expression" priority="3592" dxfId="2">
      <formula>AND(IF($Q204=2,1,0),IF($X204&lt;30,1,0))</formula>
    </cfRule>
    <cfRule type="expression" priority="3593" dxfId="1">
      <formula>AND(IF($Q204=3,1,0),IF($X204&lt;30,1,0))</formula>
    </cfRule>
    <cfRule type="expression" priority="3594" dxfId="0">
      <formula>AND(IF($Q204=3,1,IF($Q204=4,1,0)),IF($F204&lt;=85,1,0))</formula>
    </cfRule>
  </conditionalFormatting>
  <conditionalFormatting sqref="X204">
    <cfRule type="expression" priority="3587" dxfId="3">
      <formula>AND(IF(OR($Q204=1,$Q204=2),1,0),IF($X204&lt;=20,1,0))</formula>
    </cfRule>
    <cfRule type="expression" priority="3588" dxfId="2">
      <formula>AND(IF($Q204=2,1,0),IF($X204&lt;30,1,0))</formula>
    </cfRule>
    <cfRule type="expression" priority="3589" dxfId="1">
      <formula>AND(IF($Q204=3,1,0),IF($X204&lt;30,1,0))</formula>
    </cfRule>
    <cfRule type="expression" priority="3590" dxfId="0">
      <formula>AND(IF($Q204=3,1,IF($Q204=4,1,0)),IF($F204&lt;=85,1,0))</formula>
    </cfRule>
  </conditionalFormatting>
  <conditionalFormatting sqref="AI204">
    <cfRule type="expression" priority="3583" dxfId="3">
      <formula>AND(IF(OR($Q204=1,$Q204=2),1,0),IF($X204&lt;=20,1,0))</formula>
    </cfRule>
    <cfRule type="expression" priority="3584" dxfId="2">
      <formula>AND(IF($Q204=2,1,0),IF($X204&lt;30,1,0))</formula>
    </cfRule>
    <cfRule type="expression" priority="3585" dxfId="1">
      <formula>AND(IF($Q204=3,1,0),IF($X204&lt;30,1,0))</formula>
    </cfRule>
    <cfRule type="expression" priority="3586" dxfId="0">
      <formula>AND(IF($Q204=3,1,IF($Q204=4,1,0)),IF($F204&lt;=85,1,0))</formula>
    </cfRule>
  </conditionalFormatting>
  <conditionalFormatting sqref="AV205">
    <cfRule type="expression" priority="3581" dxfId="23">
      <formula>AV205="X"</formula>
    </cfRule>
    <cfRule type="expression" priority="3582" dxfId="22">
      <formula>AV205="후보"</formula>
    </cfRule>
  </conditionalFormatting>
  <conditionalFormatting sqref="AC20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0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05">
    <cfRule type="expression" priority="3573" dxfId="3">
      <formula>AND(IF(OR($Q205=1,$Q205=2),1,0),IF($X205&lt;=20,1,0))</formula>
    </cfRule>
    <cfRule type="expression" priority="3574" dxfId="2">
      <formula>AND(IF($Q205=2,1,0),IF($X205&lt;30,1,0))</formula>
    </cfRule>
    <cfRule type="expression" priority="3575" dxfId="1">
      <formula>AND(IF($Q205=3,1,0),IF($X205&lt;30,1,0))</formula>
    </cfRule>
    <cfRule type="expression" priority="3576" dxfId="0">
      <formula>AND(IF($Q205=3,1,IF($Q205=4,1,0)),IF($F205&lt;=85,1,0))</formula>
    </cfRule>
  </conditionalFormatting>
  <conditionalFormatting sqref="X205">
    <cfRule type="expression" priority="3569" dxfId="3">
      <formula>AND(IF(OR($Q205=1,$Q205=2),1,0),IF($X205&lt;=20,1,0))</formula>
    </cfRule>
    <cfRule type="expression" priority="3570" dxfId="2">
      <formula>AND(IF($Q205=2,1,0),IF($X205&lt;30,1,0))</formula>
    </cfRule>
    <cfRule type="expression" priority="3571" dxfId="1">
      <formula>AND(IF($Q205=3,1,0),IF($X205&lt;30,1,0))</formula>
    </cfRule>
    <cfRule type="expression" priority="3572" dxfId="0">
      <formula>AND(IF($Q205=3,1,IF($Q205=4,1,0)),IF($F205&lt;=85,1,0))</formula>
    </cfRule>
  </conditionalFormatting>
  <conditionalFormatting sqref="AI205">
    <cfRule type="expression" priority="3565" dxfId="3">
      <formula>AND(IF(OR($Q205=1,$Q205=2),1,0),IF($X205&lt;=20,1,0))</formula>
    </cfRule>
    <cfRule type="expression" priority="3566" dxfId="2">
      <formula>AND(IF($Q205=2,1,0),IF($X205&lt;30,1,0))</formula>
    </cfRule>
    <cfRule type="expression" priority="3567" dxfId="1">
      <formula>AND(IF($Q205=3,1,0),IF($X205&lt;30,1,0))</formula>
    </cfRule>
    <cfRule type="expression" priority="3568" dxfId="0">
      <formula>AND(IF($Q205=3,1,IF($Q205=4,1,0)),IF($F205&lt;=85,1,0))</formula>
    </cfRule>
  </conditionalFormatting>
  <conditionalFormatting sqref="AV206">
    <cfRule type="expression" priority="3563" dxfId="23">
      <formula>AV206="X"</formula>
    </cfRule>
    <cfRule type="expression" priority="3564" dxfId="22">
      <formula>AV206="후보"</formula>
    </cfRule>
  </conditionalFormatting>
  <conditionalFormatting sqref="AC20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0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06">
    <cfRule type="expression" priority="3555" dxfId="3">
      <formula>AND(IF(OR($Q206=1,$Q206=2),1,0),IF($X206&lt;=20,1,0))</formula>
    </cfRule>
    <cfRule type="expression" priority="3556" dxfId="2">
      <formula>AND(IF($Q206=2,1,0),IF($X206&lt;30,1,0))</formula>
    </cfRule>
    <cfRule type="expression" priority="3557" dxfId="1">
      <formula>AND(IF($Q206=3,1,0),IF($X206&lt;30,1,0))</formula>
    </cfRule>
    <cfRule type="expression" priority="3558" dxfId="0">
      <formula>AND(IF($Q206=3,1,IF($Q206=4,1,0)),IF($F206&lt;=85,1,0))</formula>
    </cfRule>
  </conditionalFormatting>
  <conditionalFormatting sqref="X206">
    <cfRule type="expression" priority="3551" dxfId="3">
      <formula>AND(IF(OR($Q206=1,$Q206=2),1,0),IF($X206&lt;=20,1,0))</formula>
    </cfRule>
    <cfRule type="expression" priority="3552" dxfId="2">
      <formula>AND(IF($Q206=2,1,0),IF($X206&lt;30,1,0))</formula>
    </cfRule>
    <cfRule type="expression" priority="3553" dxfId="1">
      <formula>AND(IF($Q206=3,1,0),IF($X206&lt;30,1,0))</formula>
    </cfRule>
    <cfRule type="expression" priority="3554" dxfId="0">
      <formula>AND(IF($Q206=3,1,IF($Q206=4,1,0)),IF($F206&lt;=85,1,0))</formula>
    </cfRule>
  </conditionalFormatting>
  <conditionalFormatting sqref="AI206">
    <cfRule type="expression" priority="3547" dxfId="3">
      <formula>AND(IF(OR($Q206=1,$Q206=2),1,0),IF($X206&lt;=20,1,0))</formula>
    </cfRule>
    <cfRule type="expression" priority="3548" dxfId="2">
      <formula>AND(IF($Q206=2,1,0),IF($X206&lt;30,1,0))</formula>
    </cfRule>
    <cfRule type="expression" priority="3549" dxfId="1">
      <formula>AND(IF($Q206=3,1,0),IF($X206&lt;30,1,0))</formula>
    </cfRule>
    <cfRule type="expression" priority="3550" dxfId="0">
      <formula>AND(IF($Q206=3,1,IF($Q206=4,1,0)),IF($F206&lt;=85,1,0))</formula>
    </cfRule>
  </conditionalFormatting>
  <conditionalFormatting sqref="AV207">
    <cfRule type="expression" priority="3545" dxfId="23">
      <formula>AV207="X"</formula>
    </cfRule>
    <cfRule type="expression" priority="3546" dxfId="22">
      <formula>AV207="후보"</formula>
    </cfRule>
  </conditionalFormatting>
  <conditionalFormatting sqref="AC20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0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07">
    <cfRule type="expression" priority="3537" dxfId="3">
      <formula>AND(IF(OR($Q207=1,$Q207=2),1,0),IF($X207&lt;=20,1,0))</formula>
    </cfRule>
    <cfRule type="expression" priority="3538" dxfId="2">
      <formula>AND(IF($Q207=2,1,0),IF($X207&lt;30,1,0))</formula>
    </cfRule>
    <cfRule type="expression" priority="3539" dxfId="1">
      <formula>AND(IF($Q207=3,1,0),IF($X207&lt;30,1,0))</formula>
    </cfRule>
    <cfRule type="expression" priority="3540" dxfId="0">
      <formula>AND(IF($Q207=3,1,IF($Q207=4,1,0)),IF($F207&lt;=85,1,0))</formula>
    </cfRule>
  </conditionalFormatting>
  <conditionalFormatting sqref="X207">
    <cfRule type="expression" priority="3533" dxfId="3">
      <formula>AND(IF(OR($Q207=1,$Q207=2),1,0),IF($X207&lt;=20,1,0))</formula>
    </cfRule>
    <cfRule type="expression" priority="3534" dxfId="2">
      <formula>AND(IF($Q207=2,1,0),IF($X207&lt;30,1,0))</formula>
    </cfRule>
    <cfRule type="expression" priority="3535" dxfId="1">
      <formula>AND(IF($Q207=3,1,0),IF($X207&lt;30,1,0))</formula>
    </cfRule>
    <cfRule type="expression" priority="3536" dxfId="0">
      <formula>AND(IF($Q207=3,1,IF($Q207=4,1,0)),IF($F207&lt;=85,1,0))</formula>
    </cfRule>
  </conditionalFormatting>
  <conditionalFormatting sqref="AI207">
    <cfRule type="expression" priority="3529" dxfId="3">
      <formula>AND(IF(OR($Q207=1,$Q207=2),1,0),IF($X207&lt;=20,1,0))</formula>
    </cfRule>
    <cfRule type="expression" priority="3530" dxfId="2">
      <formula>AND(IF($Q207=2,1,0),IF($X207&lt;30,1,0))</formula>
    </cfRule>
    <cfRule type="expression" priority="3531" dxfId="1">
      <formula>AND(IF($Q207=3,1,0),IF($X207&lt;30,1,0))</formula>
    </cfRule>
    <cfRule type="expression" priority="3532" dxfId="0">
      <formula>AND(IF($Q207=3,1,IF($Q207=4,1,0)),IF($F207&lt;=85,1,0))</formula>
    </cfRule>
  </conditionalFormatting>
  <conditionalFormatting sqref="AV208">
    <cfRule type="expression" priority="3527" dxfId="23">
      <formula>AV208="X"</formula>
    </cfRule>
    <cfRule type="expression" priority="3528" dxfId="22">
      <formula>AV208="후보"</formula>
    </cfRule>
  </conditionalFormatting>
  <conditionalFormatting sqref="AC20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0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08">
    <cfRule type="expression" priority="3519" dxfId="3">
      <formula>AND(IF(OR($Q208=1,$Q208=2),1,0),IF($X208&lt;=20,1,0))</formula>
    </cfRule>
    <cfRule type="expression" priority="3520" dxfId="2">
      <formula>AND(IF($Q208=2,1,0),IF($X208&lt;30,1,0))</formula>
    </cfRule>
    <cfRule type="expression" priority="3521" dxfId="1">
      <formula>AND(IF($Q208=3,1,0),IF($X208&lt;30,1,0))</formula>
    </cfRule>
    <cfRule type="expression" priority="3522" dxfId="0">
      <formula>AND(IF($Q208=3,1,IF($Q208=4,1,0)),IF($F208&lt;=85,1,0))</formula>
    </cfRule>
  </conditionalFormatting>
  <conditionalFormatting sqref="X208">
    <cfRule type="expression" priority="3515" dxfId="3">
      <formula>AND(IF(OR($Q208=1,$Q208=2),1,0),IF($X208&lt;=20,1,0))</formula>
    </cfRule>
    <cfRule type="expression" priority="3516" dxfId="2">
      <formula>AND(IF($Q208=2,1,0),IF($X208&lt;30,1,0))</formula>
    </cfRule>
    <cfRule type="expression" priority="3517" dxfId="1">
      <formula>AND(IF($Q208=3,1,0),IF($X208&lt;30,1,0))</formula>
    </cfRule>
    <cfRule type="expression" priority="3518" dxfId="0">
      <formula>AND(IF($Q208=3,1,IF($Q208=4,1,0)),IF($F208&lt;=85,1,0))</formula>
    </cfRule>
  </conditionalFormatting>
  <conditionalFormatting sqref="AI208">
    <cfRule type="expression" priority="3511" dxfId="3">
      <formula>AND(IF(OR($Q208=1,$Q208=2),1,0),IF($X208&lt;=20,1,0))</formula>
    </cfRule>
    <cfRule type="expression" priority="3512" dxfId="2">
      <formula>AND(IF($Q208=2,1,0),IF($X208&lt;30,1,0))</formula>
    </cfRule>
    <cfRule type="expression" priority="3513" dxfId="1">
      <formula>AND(IF($Q208=3,1,0),IF($X208&lt;30,1,0))</formula>
    </cfRule>
    <cfRule type="expression" priority="3514" dxfId="0">
      <formula>AND(IF($Q208=3,1,IF($Q208=4,1,0)),IF($F208&lt;=85,1,0))</formula>
    </cfRule>
  </conditionalFormatting>
  <conditionalFormatting sqref="AV209">
    <cfRule type="expression" priority="3509" dxfId="23">
      <formula>AV209="X"</formula>
    </cfRule>
    <cfRule type="expression" priority="3510" dxfId="22">
      <formula>AV209="후보"</formula>
    </cfRule>
  </conditionalFormatting>
  <conditionalFormatting sqref="AC20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0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09">
    <cfRule type="expression" priority="3501" dxfId="3">
      <formula>AND(IF(OR($Q209=1,$Q209=2),1,0),IF($X209&lt;=20,1,0))</formula>
    </cfRule>
    <cfRule type="expression" priority="3502" dxfId="2">
      <formula>AND(IF($Q209=2,1,0),IF($X209&lt;30,1,0))</formula>
    </cfRule>
    <cfRule type="expression" priority="3503" dxfId="1">
      <formula>AND(IF($Q209=3,1,0),IF($X209&lt;30,1,0))</formula>
    </cfRule>
    <cfRule type="expression" priority="3504" dxfId="0">
      <formula>AND(IF($Q209=3,1,IF($Q209=4,1,0)),IF($F209&lt;=85,1,0))</formula>
    </cfRule>
  </conditionalFormatting>
  <conditionalFormatting sqref="X209">
    <cfRule type="expression" priority="3497" dxfId="3">
      <formula>AND(IF(OR($Q209=1,$Q209=2),1,0),IF($X209&lt;=20,1,0))</formula>
    </cfRule>
    <cfRule type="expression" priority="3498" dxfId="2">
      <formula>AND(IF($Q209=2,1,0),IF($X209&lt;30,1,0))</formula>
    </cfRule>
    <cfRule type="expression" priority="3499" dxfId="1">
      <formula>AND(IF($Q209=3,1,0),IF($X209&lt;30,1,0))</formula>
    </cfRule>
    <cfRule type="expression" priority="3500" dxfId="0">
      <formula>AND(IF($Q209=3,1,IF($Q209=4,1,0)),IF($F209&lt;=85,1,0))</formula>
    </cfRule>
  </conditionalFormatting>
  <conditionalFormatting sqref="AI209">
    <cfRule type="expression" priority="3493" dxfId="3">
      <formula>AND(IF(OR($Q209=1,$Q209=2),1,0),IF($X209&lt;=20,1,0))</formula>
    </cfRule>
    <cfRule type="expression" priority="3494" dxfId="2">
      <formula>AND(IF($Q209=2,1,0),IF($X209&lt;30,1,0))</formula>
    </cfRule>
    <cfRule type="expression" priority="3495" dxfId="1">
      <formula>AND(IF($Q209=3,1,0),IF($X209&lt;30,1,0))</formula>
    </cfRule>
    <cfRule type="expression" priority="3496" dxfId="0">
      <formula>AND(IF($Q209=3,1,IF($Q209=4,1,0)),IF($F209&lt;=85,1,0))</formula>
    </cfRule>
  </conditionalFormatting>
  <conditionalFormatting sqref="AV210">
    <cfRule type="expression" priority="3491" dxfId="23">
      <formula>AV210="X"</formula>
    </cfRule>
    <cfRule type="expression" priority="3492" dxfId="22">
      <formula>AV210="후보"</formula>
    </cfRule>
  </conditionalFormatting>
  <conditionalFormatting sqref="AC21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0">
    <cfRule type="expression" priority="3483" dxfId="3">
      <formula>AND(IF(OR($Q210=1,$Q210=2),1,0),IF($X210&lt;=20,1,0))</formula>
    </cfRule>
    <cfRule type="expression" priority="3484" dxfId="2">
      <formula>AND(IF($Q210=2,1,0),IF($X210&lt;30,1,0))</formula>
    </cfRule>
    <cfRule type="expression" priority="3485" dxfId="1">
      <formula>AND(IF($Q210=3,1,0),IF($X210&lt;30,1,0))</formula>
    </cfRule>
    <cfRule type="expression" priority="3486" dxfId="0">
      <formula>AND(IF($Q210=3,1,IF($Q210=4,1,0)),IF($F210&lt;=85,1,0))</formula>
    </cfRule>
  </conditionalFormatting>
  <conditionalFormatting sqref="X210">
    <cfRule type="expression" priority="3479" dxfId="3">
      <formula>AND(IF(OR($Q210=1,$Q210=2),1,0),IF($X210&lt;=20,1,0))</formula>
    </cfRule>
    <cfRule type="expression" priority="3480" dxfId="2">
      <formula>AND(IF($Q210=2,1,0),IF($X210&lt;30,1,0))</formula>
    </cfRule>
    <cfRule type="expression" priority="3481" dxfId="1">
      <formula>AND(IF($Q210=3,1,0),IF($X210&lt;30,1,0))</formula>
    </cfRule>
    <cfRule type="expression" priority="3482" dxfId="0">
      <formula>AND(IF($Q210=3,1,IF($Q210=4,1,0)),IF($F210&lt;=85,1,0))</formula>
    </cfRule>
  </conditionalFormatting>
  <conditionalFormatting sqref="AI210">
    <cfRule type="expression" priority="3475" dxfId="3">
      <formula>AND(IF(OR($Q210=1,$Q210=2),1,0),IF($X210&lt;=20,1,0))</formula>
    </cfRule>
    <cfRule type="expression" priority="3476" dxfId="2">
      <formula>AND(IF($Q210=2,1,0),IF($X210&lt;30,1,0))</formula>
    </cfRule>
    <cfRule type="expression" priority="3477" dxfId="1">
      <formula>AND(IF($Q210=3,1,0),IF($X210&lt;30,1,0))</formula>
    </cfRule>
    <cfRule type="expression" priority="3478" dxfId="0">
      <formula>AND(IF($Q210=3,1,IF($Q210=4,1,0)),IF($F210&lt;=85,1,0))</formula>
    </cfRule>
  </conditionalFormatting>
  <conditionalFormatting sqref="AV211">
    <cfRule type="expression" priority="3473" dxfId="23">
      <formula>AV211="X"</formula>
    </cfRule>
    <cfRule type="expression" priority="3474" dxfId="22">
      <formula>AV211="후보"</formula>
    </cfRule>
  </conditionalFormatting>
  <conditionalFormatting sqref="AC21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1">
    <cfRule type="expression" priority="3465" dxfId="3">
      <formula>AND(IF(OR($Q211=1,$Q211=2),1,0),IF($X211&lt;=20,1,0))</formula>
    </cfRule>
    <cfRule type="expression" priority="3466" dxfId="2">
      <formula>AND(IF($Q211=2,1,0),IF($X211&lt;30,1,0))</formula>
    </cfRule>
    <cfRule type="expression" priority="3467" dxfId="1">
      <formula>AND(IF($Q211=3,1,0),IF($X211&lt;30,1,0))</formula>
    </cfRule>
    <cfRule type="expression" priority="3468" dxfId="0">
      <formula>AND(IF($Q211=3,1,IF($Q211=4,1,0)),IF($F211&lt;=85,1,0))</formula>
    </cfRule>
  </conditionalFormatting>
  <conditionalFormatting sqref="X211">
    <cfRule type="expression" priority="3461" dxfId="3">
      <formula>AND(IF(OR($Q211=1,$Q211=2),1,0),IF($X211&lt;=20,1,0))</formula>
    </cfRule>
    <cfRule type="expression" priority="3462" dxfId="2">
      <formula>AND(IF($Q211=2,1,0),IF($X211&lt;30,1,0))</formula>
    </cfRule>
    <cfRule type="expression" priority="3463" dxfId="1">
      <formula>AND(IF($Q211=3,1,0),IF($X211&lt;30,1,0))</formula>
    </cfRule>
    <cfRule type="expression" priority="3464" dxfId="0">
      <formula>AND(IF($Q211=3,1,IF($Q211=4,1,0)),IF($F211&lt;=85,1,0))</formula>
    </cfRule>
  </conditionalFormatting>
  <conditionalFormatting sqref="AI211">
    <cfRule type="expression" priority="3457" dxfId="3">
      <formula>AND(IF(OR($Q211=1,$Q211=2),1,0),IF($X211&lt;=20,1,0))</formula>
    </cfRule>
    <cfRule type="expression" priority="3458" dxfId="2">
      <formula>AND(IF($Q211=2,1,0),IF($X211&lt;30,1,0))</formula>
    </cfRule>
    <cfRule type="expression" priority="3459" dxfId="1">
      <formula>AND(IF($Q211=3,1,0),IF($X211&lt;30,1,0))</formula>
    </cfRule>
    <cfRule type="expression" priority="3460" dxfId="0">
      <formula>AND(IF($Q211=3,1,IF($Q211=4,1,0)),IF($F211&lt;=85,1,0))</formula>
    </cfRule>
  </conditionalFormatting>
  <conditionalFormatting sqref="AV212">
    <cfRule type="expression" priority="3455" dxfId="23">
      <formula>AV212="X"</formula>
    </cfRule>
    <cfRule type="expression" priority="3456" dxfId="22">
      <formula>AV212="후보"</formula>
    </cfRule>
  </conditionalFormatting>
  <conditionalFormatting sqref="AC21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2">
    <cfRule type="expression" priority="3447" dxfId="3">
      <formula>AND(IF(OR($Q212=1,$Q212=2),1,0),IF($X212&lt;=20,1,0))</formula>
    </cfRule>
    <cfRule type="expression" priority="3448" dxfId="2">
      <formula>AND(IF($Q212=2,1,0),IF($X212&lt;30,1,0))</formula>
    </cfRule>
    <cfRule type="expression" priority="3449" dxfId="1">
      <formula>AND(IF($Q212=3,1,0),IF($X212&lt;30,1,0))</formula>
    </cfRule>
    <cfRule type="expression" priority="3450" dxfId="0">
      <formula>AND(IF($Q212=3,1,IF($Q212=4,1,0)),IF($F212&lt;=85,1,0))</formula>
    </cfRule>
  </conditionalFormatting>
  <conditionalFormatting sqref="X212">
    <cfRule type="expression" priority="3443" dxfId="3">
      <formula>AND(IF(OR($Q212=1,$Q212=2),1,0),IF($X212&lt;=20,1,0))</formula>
    </cfRule>
    <cfRule type="expression" priority="3444" dxfId="2">
      <formula>AND(IF($Q212=2,1,0),IF($X212&lt;30,1,0))</formula>
    </cfRule>
    <cfRule type="expression" priority="3445" dxfId="1">
      <formula>AND(IF($Q212=3,1,0),IF($X212&lt;30,1,0))</formula>
    </cfRule>
    <cfRule type="expression" priority="3446" dxfId="0">
      <formula>AND(IF($Q212=3,1,IF($Q212=4,1,0)),IF($F212&lt;=85,1,0))</formula>
    </cfRule>
  </conditionalFormatting>
  <conditionalFormatting sqref="AI212">
    <cfRule type="expression" priority="3439" dxfId="3">
      <formula>AND(IF(OR($Q212=1,$Q212=2),1,0),IF($X212&lt;=20,1,0))</formula>
    </cfRule>
    <cfRule type="expression" priority="3440" dxfId="2">
      <formula>AND(IF($Q212=2,1,0),IF($X212&lt;30,1,0))</formula>
    </cfRule>
    <cfRule type="expression" priority="3441" dxfId="1">
      <formula>AND(IF($Q212=3,1,0),IF($X212&lt;30,1,0))</formula>
    </cfRule>
    <cfRule type="expression" priority="3442" dxfId="0">
      <formula>AND(IF($Q212=3,1,IF($Q212=4,1,0)),IF($F212&lt;=85,1,0))</formula>
    </cfRule>
  </conditionalFormatting>
  <conditionalFormatting sqref="AV213">
    <cfRule type="expression" priority="3437" dxfId="23">
      <formula>AV213="X"</formula>
    </cfRule>
    <cfRule type="expression" priority="3438" dxfId="22">
      <formula>AV213="후보"</formula>
    </cfRule>
  </conditionalFormatting>
  <conditionalFormatting sqref="AC21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3">
    <cfRule type="expression" priority="3429" dxfId="3">
      <formula>AND(IF(OR($Q213=1,$Q213=2),1,0),IF($X213&lt;=20,1,0))</formula>
    </cfRule>
    <cfRule type="expression" priority="3430" dxfId="2">
      <formula>AND(IF($Q213=2,1,0),IF($X213&lt;30,1,0))</formula>
    </cfRule>
    <cfRule type="expression" priority="3431" dxfId="1">
      <formula>AND(IF($Q213=3,1,0),IF($X213&lt;30,1,0))</formula>
    </cfRule>
    <cfRule type="expression" priority="3432" dxfId="0">
      <formula>AND(IF($Q213=3,1,IF($Q213=4,1,0)),IF($F213&lt;=85,1,0))</formula>
    </cfRule>
  </conditionalFormatting>
  <conditionalFormatting sqref="X213">
    <cfRule type="expression" priority="3425" dxfId="3">
      <formula>AND(IF(OR($Q213=1,$Q213=2),1,0),IF($X213&lt;=20,1,0))</formula>
    </cfRule>
    <cfRule type="expression" priority="3426" dxfId="2">
      <formula>AND(IF($Q213=2,1,0),IF($X213&lt;30,1,0))</formula>
    </cfRule>
    <cfRule type="expression" priority="3427" dxfId="1">
      <formula>AND(IF($Q213=3,1,0),IF($X213&lt;30,1,0))</formula>
    </cfRule>
    <cfRule type="expression" priority="3428" dxfId="0">
      <formula>AND(IF($Q213=3,1,IF($Q213=4,1,0)),IF($F213&lt;=85,1,0))</formula>
    </cfRule>
  </conditionalFormatting>
  <conditionalFormatting sqref="AI213">
    <cfRule type="expression" priority="3421" dxfId="3">
      <formula>AND(IF(OR($Q213=1,$Q213=2),1,0),IF($X213&lt;=20,1,0))</formula>
    </cfRule>
    <cfRule type="expression" priority="3422" dxfId="2">
      <formula>AND(IF($Q213=2,1,0),IF($X213&lt;30,1,0))</formula>
    </cfRule>
    <cfRule type="expression" priority="3423" dxfId="1">
      <formula>AND(IF($Q213=3,1,0),IF($X213&lt;30,1,0))</formula>
    </cfRule>
    <cfRule type="expression" priority="3424" dxfId="0">
      <formula>AND(IF($Q213=3,1,IF($Q213=4,1,0)),IF($F213&lt;=85,1,0))</formula>
    </cfRule>
  </conditionalFormatting>
  <conditionalFormatting sqref="AV214">
    <cfRule type="expression" priority="3419" dxfId="23">
      <formula>AV214="X"</formula>
    </cfRule>
    <cfRule type="expression" priority="3420" dxfId="22">
      <formula>AV214="후보"</formula>
    </cfRule>
  </conditionalFormatting>
  <conditionalFormatting sqref="AC21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1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14">
    <cfRule type="expression" priority="3411" dxfId="3">
      <formula>AND(IF(OR($Q214=1,$Q214=2),1,0),IF($X214&lt;=20,1,0))</formula>
    </cfRule>
    <cfRule type="expression" priority="3412" dxfId="2">
      <formula>AND(IF($Q214=2,1,0),IF($X214&lt;30,1,0))</formula>
    </cfRule>
    <cfRule type="expression" priority="3413" dxfId="1">
      <formula>AND(IF($Q214=3,1,0),IF($X214&lt;30,1,0))</formula>
    </cfRule>
    <cfRule type="expression" priority="3414" dxfId="0">
      <formula>AND(IF($Q214=3,1,IF($Q214=4,1,0)),IF($F214&lt;=85,1,0))</formula>
    </cfRule>
  </conditionalFormatting>
  <conditionalFormatting sqref="X214">
    <cfRule type="expression" priority="3407" dxfId="3">
      <formula>AND(IF(OR($Q214=1,$Q214=2),1,0),IF($X214&lt;=20,1,0))</formula>
    </cfRule>
    <cfRule type="expression" priority="3408" dxfId="2">
      <formula>AND(IF($Q214=2,1,0),IF($X214&lt;30,1,0))</formula>
    </cfRule>
    <cfRule type="expression" priority="3409" dxfId="1">
      <formula>AND(IF($Q214=3,1,0),IF($X214&lt;30,1,0))</formula>
    </cfRule>
    <cfRule type="expression" priority="3410" dxfId="0">
      <formula>AND(IF($Q214=3,1,IF($Q214=4,1,0)),IF($F214&lt;=85,1,0))</formula>
    </cfRule>
  </conditionalFormatting>
  <conditionalFormatting sqref="AI214">
    <cfRule type="expression" priority="3403" dxfId="3">
      <formula>AND(IF(OR($Q214=1,$Q214=2),1,0),IF($X214&lt;=20,1,0))</formula>
    </cfRule>
    <cfRule type="expression" priority="3404" dxfId="2">
      <formula>AND(IF($Q214=2,1,0),IF($X214&lt;30,1,0))</formula>
    </cfRule>
    <cfRule type="expression" priority="3405" dxfId="1">
      <formula>AND(IF($Q214=3,1,0),IF($X214&lt;30,1,0))</formula>
    </cfRule>
    <cfRule type="expression" priority="3406" dxfId="0">
      <formula>AND(IF($Q214=3,1,IF($Q214=4,1,0)),IF($F214&lt;=85,1,0))</formula>
    </cfRule>
  </conditionalFormatting>
  <conditionalFormatting sqref="AV215">
    <cfRule type="expression" priority="3401" dxfId="23">
      <formula>AV215="X"</formula>
    </cfRule>
    <cfRule type="expression" priority="3402" dxfId="22">
      <formula>AV215="후보"</formula>
    </cfRule>
  </conditionalFormatting>
  <conditionalFormatting sqref="AC21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1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15">
    <cfRule type="expression" priority="3393" dxfId="3">
      <formula>AND(IF(OR($Q215=1,$Q215=2),1,0),IF($X215&lt;=20,1,0))</formula>
    </cfRule>
    <cfRule type="expression" priority="3394" dxfId="2">
      <formula>AND(IF($Q215=2,1,0),IF($X215&lt;30,1,0))</formula>
    </cfRule>
    <cfRule type="expression" priority="3395" dxfId="1">
      <formula>AND(IF($Q215=3,1,0),IF($X215&lt;30,1,0))</formula>
    </cfRule>
    <cfRule type="expression" priority="3396" dxfId="0">
      <formula>AND(IF($Q215=3,1,IF($Q215=4,1,0)),IF($F215&lt;=85,1,0))</formula>
    </cfRule>
  </conditionalFormatting>
  <conditionalFormatting sqref="X215">
    <cfRule type="expression" priority="3389" dxfId="3">
      <formula>AND(IF(OR($Q215=1,$Q215=2),1,0),IF($X215&lt;=20,1,0))</formula>
    </cfRule>
    <cfRule type="expression" priority="3390" dxfId="2">
      <formula>AND(IF($Q215=2,1,0),IF($X215&lt;30,1,0))</formula>
    </cfRule>
    <cfRule type="expression" priority="3391" dxfId="1">
      <formula>AND(IF($Q215=3,1,0),IF($X215&lt;30,1,0))</formula>
    </cfRule>
    <cfRule type="expression" priority="3392" dxfId="0">
      <formula>AND(IF($Q215=3,1,IF($Q215=4,1,0)),IF($F215&lt;=85,1,0))</formula>
    </cfRule>
  </conditionalFormatting>
  <conditionalFormatting sqref="AI215">
    <cfRule type="expression" priority="3385" dxfId="3">
      <formula>AND(IF(OR($Q215=1,$Q215=2),1,0),IF($X215&lt;=20,1,0))</formula>
    </cfRule>
    <cfRule type="expression" priority="3386" dxfId="2">
      <formula>AND(IF($Q215=2,1,0),IF($X215&lt;30,1,0))</formula>
    </cfRule>
    <cfRule type="expression" priority="3387" dxfId="1">
      <formula>AND(IF($Q215=3,1,0),IF($X215&lt;30,1,0))</formula>
    </cfRule>
    <cfRule type="expression" priority="3388" dxfId="0">
      <formula>AND(IF($Q215=3,1,IF($Q215=4,1,0)),IF($F215&lt;=85,1,0))</formula>
    </cfRule>
  </conditionalFormatting>
  <conditionalFormatting sqref="AV216">
    <cfRule type="expression" priority="3383" dxfId="23">
      <formula>AV216="X"</formula>
    </cfRule>
    <cfRule type="expression" priority="3384" dxfId="22">
      <formula>AV216="후보"</formula>
    </cfRule>
  </conditionalFormatting>
  <conditionalFormatting sqref="AC21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1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16">
    <cfRule type="expression" priority="3375" dxfId="3">
      <formula>AND(IF(OR($Q216=1,$Q216=2),1,0),IF($X216&lt;=20,1,0))</formula>
    </cfRule>
    <cfRule type="expression" priority="3376" dxfId="2">
      <formula>AND(IF($Q216=2,1,0),IF($X216&lt;30,1,0))</formula>
    </cfRule>
    <cfRule type="expression" priority="3377" dxfId="1">
      <formula>AND(IF($Q216=3,1,0),IF($X216&lt;30,1,0))</formula>
    </cfRule>
    <cfRule type="expression" priority="3378" dxfId="0">
      <formula>AND(IF($Q216=3,1,IF($Q216=4,1,0)),IF($F216&lt;=85,1,0))</formula>
    </cfRule>
  </conditionalFormatting>
  <conditionalFormatting sqref="X216">
    <cfRule type="expression" priority="3371" dxfId="3">
      <formula>AND(IF(OR($Q216=1,$Q216=2),1,0),IF($X216&lt;=20,1,0))</formula>
    </cfRule>
    <cfRule type="expression" priority="3372" dxfId="2">
      <formula>AND(IF($Q216=2,1,0),IF($X216&lt;30,1,0))</formula>
    </cfRule>
    <cfRule type="expression" priority="3373" dxfId="1">
      <formula>AND(IF($Q216=3,1,0),IF($X216&lt;30,1,0))</formula>
    </cfRule>
    <cfRule type="expression" priority="3374" dxfId="0">
      <formula>AND(IF($Q216=3,1,IF($Q216=4,1,0)),IF($F216&lt;=85,1,0))</formula>
    </cfRule>
  </conditionalFormatting>
  <conditionalFormatting sqref="AI216">
    <cfRule type="expression" priority="3367" dxfId="3">
      <formula>AND(IF(OR($Q216=1,$Q216=2),1,0),IF($X216&lt;=20,1,0))</formula>
    </cfRule>
    <cfRule type="expression" priority="3368" dxfId="2">
      <formula>AND(IF($Q216=2,1,0),IF($X216&lt;30,1,0))</formula>
    </cfRule>
    <cfRule type="expression" priority="3369" dxfId="1">
      <formula>AND(IF($Q216=3,1,0),IF($X216&lt;30,1,0))</formula>
    </cfRule>
    <cfRule type="expression" priority="3370" dxfId="0">
      <formula>AND(IF($Q216=3,1,IF($Q216=4,1,0)),IF($F216&lt;=85,1,0))</formula>
    </cfRule>
  </conditionalFormatting>
  <conditionalFormatting sqref="AV217">
    <cfRule type="expression" priority="3365" dxfId="23">
      <formula>AV217="X"</formula>
    </cfRule>
    <cfRule type="expression" priority="3366" dxfId="22">
      <formula>AV217="후보"</formula>
    </cfRule>
  </conditionalFormatting>
  <conditionalFormatting sqref="AC21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1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17">
    <cfRule type="expression" priority="3357" dxfId="3">
      <formula>AND(IF(OR($Q217=1,$Q217=2),1,0),IF($X217&lt;=20,1,0))</formula>
    </cfRule>
    <cfRule type="expression" priority="3358" dxfId="2">
      <formula>AND(IF($Q217=2,1,0),IF($X217&lt;30,1,0))</formula>
    </cfRule>
    <cfRule type="expression" priority="3359" dxfId="1">
      <formula>AND(IF($Q217=3,1,0),IF($X217&lt;30,1,0))</formula>
    </cfRule>
    <cfRule type="expression" priority="3360" dxfId="0">
      <formula>AND(IF($Q217=3,1,IF($Q217=4,1,0)),IF($F217&lt;=85,1,0))</formula>
    </cfRule>
  </conditionalFormatting>
  <conditionalFormatting sqref="X217">
    <cfRule type="expression" priority="3353" dxfId="3">
      <formula>AND(IF(OR($Q217=1,$Q217=2),1,0),IF($X217&lt;=20,1,0))</formula>
    </cfRule>
    <cfRule type="expression" priority="3354" dxfId="2">
      <formula>AND(IF($Q217=2,1,0),IF($X217&lt;30,1,0))</formula>
    </cfRule>
    <cfRule type="expression" priority="3355" dxfId="1">
      <formula>AND(IF($Q217=3,1,0),IF($X217&lt;30,1,0))</formula>
    </cfRule>
    <cfRule type="expression" priority="3356" dxfId="0">
      <formula>AND(IF($Q217=3,1,IF($Q217=4,1,0)),IF($F217&lt;=85,1,0))</formula>
    </cfRule>
  </conditionalFormatting>
  <conditionalFormatting sqref="AI217">
    <cfRule type="expression" priority="3349" dxfId="3">
      <formula>AND(IF(OR($Q217=1,$Q217=2),1,0),IF($X217&lt;=20,1,0))</formula>
    </cfRule>
    <cfRule type="expression" priority="3350" dxfId="2">
      <formula>AND(IF($Q217=2,1,0),IF($X217&lt;30,1,0))</formula>
    </cfRule>
    <cfRule type="expression" priority="3351" dxfId="1">
      <formula>AND(IF($Q217=3,1,0),IF($X217&lt;30,1,0))</formula>
    </cfRule>
    <cfRule type="expression" priority="3352" dxfId="0">
      <formula>AND(IF($Q217=3,1,IF($Q217=4,1,0)),IF($F217&lt;=85,1,0))</formula>
    </cfRule>
  </conditionalFormatting>
  <conditionalFormatting sqref="AV218">
    <cfRule type="expression" priority="3347" dxfId="23">
      <formula>AV218="X"</formula>
    </cfRule>
    <cfRule type="expression" priority="3348" dxfId="22">
      <formula>AV218="후보"</formula>
    </cfRule>
  </conditionalFormatting>
  <conditionalFormatting sqref="AC21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1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18">
    <cfRule type="expression" priority="3339" dxfId="3">
      <formula>AND(IF(OR($Q218=1,$Q218=2),1,0),IF($X218&lt;=20,1,0))</formula>
    </cfRule>
    <cfRule type="expression" priority="3340" dxfId="2">
      <formula>AND(IF($Q218=2,1,0),IF($X218&lt;30,1,0))</formula>
    </cfRule>
    <cfRule type="expression" priority="3341" dxfId="1">
      <formula>AND(IF($Q218=3,1,0),IF($X218&lt;30,1,0))</formula>
    </cfRule>
    <cfRule type="expression" priority="3342" dxfId="0">
      <formula>AND(IF($Q218=3,1,IF($Q218=4,1,0)),IF($F218&lt;=85,1,0))</formula>
    </cfRule>
  </conditionalFormatting>
  <conditionalFormatting sqref="X218">
    <cfRule type="expression" priority="3335" dxfId="3">
      <formula>AND(IF(OR($Q218=1,$Q218=2),1,0),IF($X218&lt;=20,1,0))</formula>
    </cfRule>
    <cfRule type="expression" priority="3336" dxfId="2">
      <formula>AND(IF($Q218=2,1,0),IF($X218&lt;30,1,0))</formula>
    </cfRule>
    <cfRule type="expression" priority="3337" dxfId="1">
      <formula>AND(IF($Q218=3,1,0),IF($X218&lt;30,1,0))</formula>
    </cfRule>
    <cfRule type="expression" priority="3338" dxfId="0">
      <formula>AND(IF($Q218=3,1,IF($Q218=4,1,0)),IF($F218&lt;=85,1,0))</formula>
    </cfRule>
  </conditionalFormatting>
  <conditionalFormatting sqref="AI218">
    <cfRule type="expression" priority="3331" dxfId="3">
      <formula>AND(IF(OR($Q218=1,$Q218=2),1,0),IF($X218&lt;=20,1,0))</formula>
    </cfRule>
    <cfRule type="expression" priority="3332" dxfId="2">
      <formula>AND(IF($Q218=2,1,0),IF($X218&lt;30,1,0))</formula>
    </cfRule>
    <cfRule type="expression" priority="3333" dxfId="1">
      <formula>AND(IF($Q218=3,1,0),IF($X218&lt;30,1,0))</formula>
    </cfRule>
    <cfRule type="expression" priority="3334" dxfId="0">
      <formula>AND(IF($Q218=3,1,IF($Q218=4,1,0)),IF($F218&lt;=85,1,0))</formula>
    </cfRule>
  </conditionalFormatting>
  <conditionalFormatting sqref="AV219">
    <cfRule type="expression" priority="3329" dxfId="23">
      <formula>AV219="X"</formula>
    </cfRule>
    <cfRule type="expression" priority="3330" dxfId="22">
      <formula>AV219="후보"</formula>
    </cfRule>
  </conditionalFormatting>
  <conditionalFormatting sqref="AC21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1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19">
    <cfRule type="expression" priority="3321" dxfId="3">
      <formula>AND(IF(OR($Q219=1,$Q219=2),1,0),IF($X219&lt;=20,1,0))</formula>
    </cfRule>
    <cfRule type="expression" priority="3322" dxfId="2">
      <formula>AND(IF($Q219=2,1,0),IF($X219&lt;30,1,0))</formula>
    </cfRule>
    <cfRule type="expression" priority="3323" dxfId="1">
      <formula>AND(IF($Q219=3,1,0),IF($X219&lt;30,1,0))</formula>
    </cfRule>
    <cfRule type="expression" priority="3324" dxfId="0">
      <formula>AND(IF($Q219=3,1,IF($Q219=4,1,0)),IF($F219&lt;=85,1,0))</formula>
    </cfRule>
  </conditionalFormatting>
  <conditionalFormatting sqref="X219">
    <cfRule type="expression" priority="3317" dxfId="3">
      <formula>AND(IF(OR($Q219=1,$Q219=2),1,0),IF($X219&lt;=20,1,0))</formula>
    </cfRule>
    <cfRule type="expression" priority="3318" dxfId="2">
      <formula>AND(IF($Q219=2,1,0),IF($X219&lt;30,1,0))</formula>
    </cfRule>
    <cfRule type="expression" priority="3319" dxfId="1">
      <formula>AND(IF($Q219=3,1,0),IF($X219&lt;30,1,0))</formula>
    </cfRule>
    <cfRule type="expression" priority="3320" dxfId="0">
      <formula>AND(IF($Q219=3,1,IF($Q219=4,1,0)),IF($F219&lt;=85,1,0))</formula>
    </cfRule>
  </conditionalFormatting>
  <conditionalFormatting sqref="AI219">
    <cfRule type="expression" priority="3313" dxfId="3">
      <formula>AND(IF(OR($Q219=1,$Q219=2),1,0),IF($X219&lt;=20,1,0))</formula>
    </cfRule>
    <cfRule type="expression" priority="3314" dxfId="2">
      <formula>AND(IF($Q219=2,1,0),IF($X219&lt;30,1,0))</formula>
    </cfRule>
    <cfRule type="expression" priority="3315" dxfId="1">
      <formula>AND(IF($Q219=3,1,0),IF($X219&lt;30,1,0))</formula>
    </cfRule>
    <cfRule type="expression" priority="3316" dxfId="0">
      <formula>AND(IF($Q219=3,1,IF($Q219=4,1,0)),IF($F219&lt;=85,1,0))</formula>
    </cfRule>
  </conditionalFormatting>
  <conditionalFormatting sqref="AV220">
    <cfRule type="expression" priority="3311" dxfId="23">
      <formula>AV220="X"</formula>
    </cfRule>
    <cfRule type="expression" priority="3312" dxfId="22">
      <formula>AV220="후보"</formula>
    </cfRule>
  </conditionalFormatting>
  <conditionalFormatting sqref="AC22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0">
    <cfRule type="expression" priority="3303" dxfId="3">
      <formula>AND(IF(OR($Q220=1,$Q220=2),1,0),IF($X220&lt;=20,1,0))</formula>
    </cfRule>
    <cfRule type="expression" priority="3304" dxfId="2">
      <formula>AND(IF($Q220=2,1,0),IF($X220&lt;30,1,0))</formula>
    </cfRule>
    <cfRule type="expression" priority="3305" dxfId="1">
      <formula>AND(IF($Q220=3,1,0),IF($X220&lt;30,1,0))</formula>
    </cfRule>
    <cfRule type="expression" priority="3306" dxfId="0">
      <formula>AND(IF($Q220=3,1,IF($Q220=4,1,0)),IF($F220&lt;=85,1,0))</formula>
    </cfRule>
  </conditionalFormatting>
  <conditionalFormatting sqref="X220">
    <cfRule type="expression" priority="3299" dxfId="3">
      <formula>AND(IF(OR($Q220=1,$Q220=2),1,0),IF($X220&lt;=20,1,0))</formula>
    </cfRule>
    <cfRule type="expression" priority="3300" dxfId="2">
      <formula>AND(IF($Q220=2,1,0),IF($X220&lt;30,1,0))</formula>
    </cfRule>
    <cfRule type="expression" priority="3301" dxfId="1">
      <formula>AND(IF($Q220=3,1,0),IF($X220&lt;30,1,0))</formula>
    </cfRule>
    <cfRule type="expression" priority="3302" dxfId="0">
      <formula>AND(IF($Q220=3,1,IF($Q220=4,1,0)),IF($F220&lt;=85,1,0))</formula>
    </cfRule>
  </conditionalFormatting>
  <conditionalFormatting sqref="AI220">
    <cfRule type="expression" priority="3295" dxfId="3">
      <formula>AND(IF(OR($Q220=1,$Q220=2),1,0),IF($X220&lt;=20,1,0))</formula>
    </cfRule>
    <cfRule type="expression" priority="3296" dxfId="2">
      <formula>AND(IF($Q220=2,1,0),IF($X220&lt;30,1,0))</formula>
    </cfRule>
    <cfRule type="expression" priority="3297" dxfId="1">
      <formula>AND(IF($Q220=3,1,0),IF($X220&lt;30,1,0))</formula>
    </cfRule>
    <cfRule type="expression" priority="3298" dxfId="0">
      <formula>AND(IF($Q220=3,1,IF($Q220=4,1,0)),IF($F220&lt;=85,1,0))</formula>
    </cfRule>
  </conditionalFormatting>
  <conditionalFormatting sqref="AV221">
    <cfRule type="expression" priority="3293" dxfId="23">
      <formula>AV221="X"</formula>
    </cfRule>
    <cfRule type="expression" priority="3294" dxfId="22">
      <formula>AV221="후보"</formula>
    </cfRule>
  </conditionalFormatting>
  <conditionalFormatting sqref="AC22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1">
    <cfRule type="expression" priority="3285" dxfId="3">
      <formula>AND(IF(OR($Q221=1,$Q221=2),1,0),IF($X221&lt;=20,1,0))</formula>
    </cfRule>
    <cfRule type="expression" priority="3286" dxfId="2">
      <formula>AND(IF($Q221=2,1,0),IF($X221&lt;30,1,0))</formula>
    </cfRule>
    <cfRule type="expression" priority="3287" dxfId="1">
      <formula>AND(IF($Q221=3,1,0),IF($X221&lt;30,1,0))</formula>
    </cfRule>
    <cfRule type="expression" priority="3288" dxfId="0">
      <formula>AND(IF($Q221=3,1,IF($Q221=4,1,0)),IF($F221&lt;=85,1,0))</formula>
    </cfRule>
  </conditionalFormatting>
  <conditionalFormatting sqref="X221">
    <cfRule type="expression" priority="3281" dxfId="3">
      <formula>AND(IF(OR($Q221=1,$Q221=2),1,0),IF($X221&lt;=20,1,0))</formula>
    </cfRule>
    <cfRule type="expression" priority="3282" dxfId="2">
      <formula>AND(IF($Q221=2,1,0),IF($X221&lt;30,1,0))</formula>
    </cfRule>
    <cfRule type="expression" priority="3283" dxfId="1">
      <formula>AND(IF($Q221=3,1,0),IF($X221&lt;30,1,0))</formula>
    </cfRule>
    <cfRule type="expression" priority="3284" dxfId="0">
      <formula>AND(IF($Q221=3,1,IF($Q221=4,1,0)),IF($F221&lt;=85,1,0))</formula>
    </cfRule>
  </conditionalFormatting>
  <conditionalFormatting sqref="AI221">
    <cfRule type="expression" priority="3277" dxfId="3">
      <formula>AND(IF(OR($Q221=1,$Q221=2),1,0),IF($X221&lt;=20,1,0))</formula>
    </cfRule>
    <cfRule type="expression" priority="3278" dxfId="2">
      <formula>AND(IF($Q221=2,1,0),IF($X221&lt;30,1,0))</formula>
    </cfRule>
    <cfRule type="expression" priority="3279" dxfId="1">
      <formula>AND(IF($Q221=3,1,0),IF($X221&lt;30,1,0))</formula>
    </cfRule>
    <cfRule type="expression" priority="3280" dxfId="0">
      <formula>AND(IF($Q221=3,1,IF($Q221=4,1,0)),IF($F221&lt;=85,1,0))</formula>
    </cfRule>
  </conditionalFormatting>
  <conditionalFormatting sqref="AV222">
    <cfRule type="expression" priority="3275" dxfId="23">
      <formula>AV222="X"</formula>
    </cfRule>
    <cfRule type="expression" priority="3276" dxfId="22">
      <formula>AV222="후보"</formula>
    </cfRule>
  </conditionalFormatting>
  <conditionalFormatting sqref="AC22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2">
    <cfRule type="expression" priority="3267" dxfId="3">
      <formula>AND(IF(OR($Q222=1,$Q222=2),1,0),IF($X222&lt;=20,1,0))</formula>
    </cfRule>
    <cfRule type="expression" priority="3268" dxfId="2">
      <formula>AND(IF($Q222=2,1,0),IF($X222&lt;30,1,0))</formula>
    </cfRule>
    <cfRule type="expression" priority="3269" dxfId="1">
      <formula>AND(IF($Q222=3,1,0),IF($X222&lt;30,1,0))</formula>
    </cfRule>
    <cfRule type="expression" priority="3270" dxfId="0">
      <formula>AND(IF($Q222=3,1,IF($Q222=4,1,0)),IF($F222&lt;=85,1,0))</formula>
    </cfRule>
  </conditionalFormatting>
  <conditionalFormatting sqref="X222">
    <cfRule type="expression" priority="3263" dxfId="3">
      <formula>AND(IF(OR($Q222=1,$Q222=2),1,0),IF($X222&lt;=20,1,0))</formula>
    </cfRule>
    <cfRule type="expression" priority="3264" dxfId="2">
      <formula>AND(IF($Q222=2,1,0),IF($X222&lt;30,1,0))</formula>
    </cfRule>
    <cfRule type="expression" priority="3265" dxfId="1">
      <formula>AND(IF($Q222=3,1,0),IF($X222&lt;30,1,0))</formula>
    </cfRule>
    <cfRule type="expression" priority="3266" dxfId="0">
      <formula>AND(IF($Q222=3,1,IF($Q222=4,1,0)),IF($F222&lt;=85,1,0))</formula>
    </cfRule>
  </conditionalFormatting>
  <conditionalFormatting sqref="AI222">
    <cfRule type="expression" priority="3259" dxfId="3">
      <formula>AND(IF(OR($Q222=1,$Q222=2),1,0),IF($X222&lt;=20,1,0))</formula>
    </cfRule>
    <cfRule type="expression" priority="3260" dxfId="2">
      <formula>AND(IF($Q222=2,1,0),IF($X222&lt;30,1,0))</formula>
    </cfRule>
    <cfRule type="expression" priority="3261" dxfId="1">
      <formula>AND(IF($Q222=3,1,0),IF($X222&lt;30,1,0))</formula>
    </cfRule>
    <cfRule type="expression" priority="3262" dxfId="0">
      <formula>AND(IF($Q222=3,1,IF($Q222=4,1,0)),IF($F222&lt;=85,1,0))</formula>
    </cfRule>
  </conditionalFormatting>
  <conditionalFormatting sqref="AV223">
    <cfRule type="expression" priority="3257" dxfId="23">
      <formula>AV223="X"</formula>
    </cfRule>
    <cfRule type="expression" priority="3258" dxfId="22">
      <formula>AV223="후보"</formula>
    </cfRule>
  </conditionalFormatting>
  <conditionalFormatting sqref="AC22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3">
    <cfRule type="expression" priority="3249" dxfId="3">
      <formula>AND(IF(OR($Q223=1,$Q223=2),1,0),IF($X223&lt;=20,1,0))</formula>
    </cfRule>
    <cfRule type="expression" priority="3250" dxfId="2">
      <formula>AND(IF($Q223=2,1,0),IF($X223&lt;30,1,0))</formula>
    </cfRule>
    <cfRule type="expression" priority="3251" dxfId="1">
      <formula>AND(IF($Q223=3,1,0),IF($X223&lt;30,1,0))</formula>
    </cfRule>
    <cfRule type="expression" priority="3252" dxfId="0">
      <formula>AND(IF($Q223=3,1,IF($Q223=4,1,0)),IF($F223&lt;=85,1,0))</formula>
    </cfRule>
  </conditionalFormatting>
  <conditionalFormatting sqref="X223">
    <cfRule type="expression" priority="3245" dxfId="3">
      <formula>AND(IF(OR($Q223=1,$Q223=2),1,0),IF($X223&lt;=20,1,0))</formula>
    </cfRule>
    <cfRule type="expression" priority="3246" dxfId="2">
      <formula>AND(IF($Q223=2,1,0),IF($X223&lt;30,1,0))</formula>
    </cfRule>
    <cfRule type="expression" priority="3247" dxfId="1">
      <formula>AND(IF($Q223=3,1,0),IF($X223&lt;30,1,0))</formula>
    </cfRule>
    <cfRule type="expression" priority="3248" dxfId="0">
      <formula>AND(IF($Q223=3,1,IF($Q223=4,1,0)),IF($F223&lt;=85,1,0))</formula>
    </cfRule>
  </conditionalFormatting>
  <conditionalFormatting sqref="AI223">
    <cfRule type="expression" priority="3241" dxfId="3">
      <formula>AND(IF(OR($Q223=1,$Q223=2),1,0),IF($X223&lt;=20,1,0))</formula>
    </cfRule>
    <cfRule type="expression" priority="3242" dxfId="2">
      <formula>AND(IF($Q223=2,1,0),IF($X223&lt;30,1,0))</formula>
    </cfRule>
    <cfRule type="expression" priority="3243" dxfId="1">
      <formula>AND(IF($Q223=3,1,0),IF($X223&lt;30,1,0))</formula>
    </cfRule>
    <cfRule type="expression" priority="3244" dxfId="0">
      <formula>AND(IF($Q223=3,1,IF($Q223=4,1,0)),IF($F223&lt;=85,1,0))</formula>
    </cfRule>
  </conditionalFormatting>
  <conditionalFormatting sqref="AV224">
    <cfRule type="expression" priority="3239" dxfId="23">
      <formula>AV224="X"</formula>
    </cfRule>
    <cfRule type="expression" priority="3240" dxfId="22">
      <formula>AV224="후보"</formula>
    </cfRule>
  </conditionalFormatting>
  <conditionalFormatting sqref="AC22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2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24">
    <cfRule type="expression" priority="3231" dxfId="3">
      <formula>AND(IF(OR($Q224=1,$Q224=2),1,0),IF($X224&lt;=20,1,0))</formula>
    </cfRule>
    <cfRule type="expression" priority="3232" dxfId="2">
      <formula>AND(IF($Q224=2,1,0),IF($X224&lt;30,1,0))</formula>
    </cfRule>
    <cfRule type="expression" priority="3233" dxfId="1">
      <formula>AND(IF($Q224=3,1,0),IF($X224&lt;30,1,0))</formula>
    </cfRule>
    <cfRule type="expression" priority="3234" dxfId="0">
      <formula>AND(IF($Q224=3,1,IF($Q224=4,1,0)),IF($F224&lt;=85,1,0))</formula>
    </cfRule>
  </conditionalFormatting>
  <conditionalFormatting sqref="X224">
    <cfRule type="expression" priority="3227" dxfId="3">
      <formula>AND(IF(OR($Q224=1,$Q224=2),1,0),IF($X224&lt;=20,1,0))</formula>
    </cfRule>
    <cfRule type="expression" priority="3228" dxfId="2">
      <formula>AND(IF($Q224=2,1,0),IF($X224&lt;30,1,0))</formula>
    </cfRule>
    <cfRule type="expression" priority="3229" dxfId="1">
      <formula>AND(IF($Q224=3,1,0),IF($X224&lt;30,1,0))</formula>
    </cfRule>
    <cfRule type="expression" priority="3230" dxfId="0">
      <formula>AND(IF($Q224=3,1,IF($Q224=4,1,0)),IF($F224&lt;=85,1,0))</formula>
    </cfRule>
  </conditionalFormatting>
  <conditionalFormatting sqref="AI224">
    <cfRule type="expression" priority="3223" dxfId="3">
      <formula>AND(IF(OR($Q224=1,$Q224=2),1,0),IF($X224&lt;=20,1,0))</formula>
    </cfRule>
    <cfRule type="expression" priority="3224" dxfId="2">
      <formula>AND(IF($Q224=2,1,0),IF($X224&lt;30,1,0))</formula>
    </cfRule>
    <cfRule type="expression" priority="3225" dxfId="1">
      <formula>AND(IF($Q224=3,1,0),IF($X224&lt;30,1,0))</formula>
    </cfRule>
    <cfRule type="expression" priority="3226" dxfId="0">
      <formula>AND(IF($Q224=3,1,IF($Q224=4,1,0)),IF($F224&lt;=85,1,0))</formula>
    </cfRule>
  </conditionalFormatting>
  <conditionalFormatting sqref="AV225">
    <cfRule type="expression" priority="3221" dxfId="23">
      <formula>AV225="X"</formula>
    </cfRule>
    <cfRule type="expression" priority="3222" dxfId="22">
      <formula>AV225="후보"</formula>
    </cfRule>
  </conditionalFormatting>
  <conditionalFormatting sqref="AC22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2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25">
    <cfRule type="expression" priority="3213" dxfId="3">
      <formula>AND(IF(OR($Q225=1,$Q225=2),1,0),IF($X225&lt;=20,1,0))</formula>
    </cfRule>
    <cfRule type="expression" priority="3214" dxfId="2">
      <formula>AND(IF($Q225=2,1,0),IF($X225&lt;30,1,0))</formula>
    </cfRule>
    <cfRule type="expression" priority="3215" dxfId="1">
      <formula>AND(IF($Q225=3,1,0),IF($X225&lt;30,1,0))</formula>
    </cfRule>
    <cfRule type="expression" priority="3216" dxfId="0">
      <formula>AND(IF($Q225=3,1,IF($Q225=4,1,0)),IF($F225&lt;=85,1,0))</formula>
    </cfRule>
  </conditionalFormatting>
  <conditionalFormatting sqref="X225">
    <cfRule type="expression" priority="3209" dxfId="3">
      <formula>AND(IF(OR($Q225=1,$Q225=2),1,0),IF($X225&lt;=20,1,0))</formula>
    </cfRule>
    <cfRule type="expression" priority="3210" dxfId="2">
      <formula>AND(IF($Q225=2,1,0),IF($X225&lt;30,1,0))</formula>
    </cfRule>
    <cfRule type="expression" priority="3211" dxfId="1">
      <formula>AND(IF($Q225=3,1,0),IF($X225&lt;30,1,0))</formula>
    </cfRule>
    <cfRule type="expression" priority="3212" dxfId="0">
      <formula>AND(IF($Q225=3,1,IF($Q225=4,1,0)),IF($F225&lt;=85,1,0))</formula>
    </cfRule>
  </conditionalFormatting>
  <conditionalFormatting sqref="AI225">
    <cfRule type="expression" priority="3205" dxfId="3">
      <formula>AND(IF(OR($Q225=1,$Q225=2),1,0),IF($X225&lt;=20,1,0))</formula>
    </cfRule>
    <cfRule type="expression" priority="3206" dxfId="2">
      <formula>AND(IF($Q225=2,1,0),IF($X225&lt;30,1,0))</formula>
    </cfRule>
    <cfRule type="expression" priority="3207" dxfId="1">
      <formula>AND(IF($Q225=3,1,0),IF($X225&lt;30,1,0))</formula>
    </cfRule>
    <cfRule type="expression" priority="3208" dxfId="0">
      <formula>AND(IF($Q225=3,1,IF($Q225=4,1,0)),IF($F225&lt;=85,1,0))</formula>
    </cfRule>
  </conditionalFormatting>
  <conditionalFormatting sqref="AV226">
    <cfRule type="expression" priority="3203" dxfId="23">
      <formula>AV226="X"</formula>
    </cfRule>
    <cfRule type="expression" priority="3204" dxfId="22">
      <formula>AV226="후보"</formula>
    </cfRule>
  </conditionalFormatting>
  <conditionalFormatting sqref="AC22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2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26">
    <cfRule type="expression" priority="3195" dxfId="3">
      <formula>AND(IF(OR($Q226=1,$Q226=2),1,0),IF($X226&lt;=20,1,0))</formula>
    </cfRule>
    <cfRule type="expression" priority="3196" dxfId="2">
      <formula>AND(IF($Q226=2,1,0),IF($X226&lt;30,1,0))</formula>
    </cfRule>
    <cfRule type="expression" priority="3197" dxfId="1">
      <formula>AND(IF($Q226=3,1,0),IF($X226&lt;30,1,0))</formula>
    </cfRule>
    <cfRule type="expression" priority="3198" dxfId="0">
      <formula>AND(IF($Q226=3,1,IF($Q226=4,1,0)),IF($F226&lt;=85,1,0))</formula>
    </cfRule>
  </conditionalFormatting>
  <conditionalFormatting sqref="X226">
    <cfRule type="expression" priority="3191" dxfId="3">
      <formula>AND(IF(OR($Q226=1,$Q226=2),1,0),IF($X226&lt;=20,1,0))</formula>
    </cfRule>
    <cfRule type="expression" priority="3192" dxfId="2">
      <formula>AND(IF($Q226=2,1,0),IF($X226&lt;30,1,0))</formula>
    </cfRule>
    <cfRule type="expression" priority="3193" dxfId="1">
      <formula>AND(IF($Q226=3,1,0),IF($X226&lt;30,1,0))</formula>
    </cfRule>
    <cfRule type="expression" priority="3194" dxfId="0">
      <formula>AND(IF($Q226=3,1,IF($Q226=4,1,0)),IF($F226&lt;=85,1,0))</formula>
    </cfRule>
  </conditionalFormatting>
  <conditionalFormatting sqref="AI226">
    <cfRule type="expression" priority="3187" dxfId="3">
      <formula>AND(IF(OR($Q226=1,$Q226=2),1,0),IF($X226&lt;=20,1,0))</formula>
    </cfRule>
    <cfRule type="expression" priority="3188" dxfId="2">
      <formula>AND(IF($Q226=2,1,0),IF($X226&lt;30,1,0))</formula>
    </cfRule>
    <cfRule type="expression" priority="3189" dxfId="1">
      <formula>AND(IF($Q226=3,1,0),IF($X226&lt;30,1,0))</formula>
    </cfRule>
    <cfRule type="expression" priority="3190" dxfId="0">
      <formula>AND(IF($Q226=3,1,IF($Q226=4,1,0)),IF($F226&lt;=85,1,0))</formula>
    </cfRule>
  </conditionalFormatting>
  <conditionalFormatting sqref="AV227">
    <cfRule type="expression" priority="3185" dxfId="23">
      <formula>AV227="X"</formula>
    </cfRule>
    <cfRule type="expression" priority="3186" dxfId="22">
      <formula>AV227="후보"</formula>
    </cfRule>
  </conditionalFormatting>
  <conditionalFormatting sqref="AC22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2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27">
    <cfRule type="expression" priority="3177" dxfId="3">
      <formula>AND(IF(OR($Q227=1,$Q227=2),1,0),IF($X227&lt;=20,1,0))</formula>
    </cfRule>
    <cfRule type="expression" priority="3178" dxfId="2">
      <formula>AND(IF($Q227=2,1,0),IF($X227&lt;30,1,0))</formula>
    </cfRule>
    <cfRule type="expression" priority="3179" dxfId="1">
      <formula>AND(IF($Q227=3,1,0),IF($X227&lt;30,1,0))</formula>
    </cfRule>
    <cfRule type="expression" priority="3180" dxfId="0">
      <formula>AND(IF($Q227=3,1,IF($Q227=4,1,0)),IF($F227&lt;=85,1,0))</formula>
    </cfRule>
  </conditionalFormatting>
  <conditionalFormatting sqref="X227">
    <cfRule type="expression" priority="3173" dxfId="3">
      <formula>AND(IF(OR($Q227=1,$Q227=2),1,0),IF($X227&lt;=20,1,0))</formula>
    </cfRule>
    <cfRule type="expression" priority="3174" dxfId="2">
      <formula>AND(IF($Q227=2,1,0),IF($X227&lt;30,1,0))</formula>
    </cfRule>
    <cfRule type="expression" priority="3175" dxfId="1">
      <formula>AND(IF($Q227=3,1,0),IF($X227&lt;30,1,0))</formula>
    </cfRule>
    <cfRule type="expression" priority="3176" dxfId="0">
      <formula>AND(IF($Q227=3,1,IF($Q227=4,1,0)),IF($F227&lt;=85,1,0))</formula>
    </cfRule>
  </conditionalFormatting>
  <conditionalFormatting sqref="AI227">
    <cfRule type="expression" priority="3169" dxfId="3">
      <formula>AND(IF(OR($Q227=1,$Q227=2),1,0),IF($X227&lt;=20,1,0))</formula>
    </cfRule>
    <cfRule type="expression" priority="3170" dxfId="2">
      <formula>AND(IF($Q227=2,1,0),IF($X227&lt;30,1,0))</formula>
    </cfRule>
    <cfRule type="expression" priority="3171" dxfId="1">
      <formula>AND(IF($Q227=3,1,0),IF($X227&lt;30,1,0))</formula>
    </cfRule>
    <cfRule type="expression" priority="3172" dxfId="0">
      <formula>AND(IF($Q227=3,1,IF($Q227=4,1,0)),IF($F227&lt;=85,1,0))</formula>
    </cfRule>
  </conditionalFormatting>
  <conditionalFormatting sqref="AV228">
    <cfRule type="expression" priority="3167" dxfId="23">
      <formula>AV228="X"</formula>
    </cfRule>
    <cfRule type="expression" priority="3168" dxfId="22">
      <formula>AV228="후보"</formula>
    </cfRule>
  </conditionalFormatting>
  <conditionalFormatting sqref="AC22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2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28">
    <cfRule type="expression" priority="3159" dxfId="3">
      <formula>AND(IF(OR($Q228=1,$Q228=2),1,0),IF($X228&lt;=20,1,0))</formula>
    </cfRule>
    <cfRule type="expression" priority="3160" dxfId="2">
      <formula>AND(IF($Q228=2,1,0),IF($X228&lt;30,1,0))</formula>
    </cfRule>
    <cfRule type="expression" priority="3161" dxfId="1">
      <formula>AND(IF($Q228=3,1,0),IF($X228&lt;30,1,0))</formula>
    </cfRule>
    <cfRule type="expression" priority="3162" dxfId="0">
      <formula>AND(IF($Q228=3,1,IF($Q228=4,1,0)),IF($F228&lt;=85,1,0))</formula>
    </cfRule>
  </conditionalFormatting>
  <conditionalFormatting sqref="X228">
    <cfRule type="expression" priority="3155" dxfId="3">
      <formula>AND(IF(OR($Q228=1,$Q228=2),1,0),IF($X228&lt;=20,1,0))</formula>
    </cfRule>
    <cfRule type="expression" priority="3156" dxfId="2">
      <formula>AND(IF($Q228=2,1,0),IF($X228&lt;30,1,0))</formula>
    </cfRule>
    <cfRule type="expression" priority="3157" dxfId="1">
      <formula>AND(IF($Q228=3,1,0),IF($X228&lt;30,1,0))</formula>
    </cfRule>
    <cfRule type="expression" priority="3158" dxfId="0">
      <formula>AND(IF($Q228=3,1,IF($Q228=4,1,0)),IF($F228&lt;=85,1,0))</formula>
    </cfRule>
  </conditionalFormatting>
  <conditionalFormatting sqref="AI228">
    <cfRule type="expression" priority="3151" dxfId="3">
      <formula>AND(IF(OR($Q228=1,$Q228=2),1,0),IF($X228&lt;=20,1,0))</formula>
    </cfRule>
    <cfRule type="expression" priority="3152" dxfId="2">
      <formula>AND(IF($Q228=2,1,0),IF($X228&lt;30,1,0))</formula>
    </cfRule>
    <cfRule type="expression" priority="3153" dxfId="1">
      <formula>AND(IF($Q228=3,1,0),IF($X228&lt;30,1,0))</formula>
    </cfRule>
    <cfRule type="expression" priority="3154" dxfId="0">
      <formula>AND(IF($Q228=3,1,IF($Q228=4,1,0)),IF($F228&lt;=85,1,0))</formula>
    </cfRule>
  </conditionalFormatting>
  <conditionalFormatting sqref="AV229">
    <cfRule type="expression" priority="3149" dxfId="23">
      <formula>AV229="X"</formula>
    </cfRule>
    <cfRule type="expression" priority="3150" dxfId="22">
      <formula>AV229="후보"</formula>
    </cfRule>
  </conditionalFormatting>
  <conditionalFormatting sqref="AC22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2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29">
    <cfRule type="expression" priority="3141" dxfId="3">
      <formula>AND(IF(OR($Q229=1,$Q229=2),1,0),IF($X229&lt;=20,1,0))</formula>
    </cfRule>
    <cfRule type="expression" priority="3142" dxfId="2">
      <formula>AND(IF($Q229=2,1,0),IF($X229&lt;30,1,0))</formula>
    </cfRule>
    <cfRule type="expression" priority="3143" dxfId="1">
      <formula>AND(IF($Q229=3,1,0),IF($X229&lt;30,1,0))</formula>
    </cfRule>
    <cfRule type="expression" priority="3144" dxfId="0">
      <formula>AND(IF($Q229=3,1,IF($Q229=4,1,0)),IF($F229&lt;=85,1,0))</formula>
    </cfRule>
  </conditionalFormatting>
  <conditionalFormatting sqref="X229">
    <cfRule type="expression" priority="3137" dxfId="3">
      <formula>AND(IF(OR($Q229=1,$Q229=2),1,0),IF($X229&lt;=20,1,0))</formula>
    </cfRule>
    <cfRule type="expression" priority="3138" dxfId="2">
      <formula>AND(IF($Q229=2,1,0),IF($X229&lt;30,1,0))</formula>
    </cfRule>
    <cfRule type="expression" priority="3139" dxfId="1">
      <formula>AND(IF($Q229=3,1,0),IF($X229&lt;30,1,0))</formula>
    </cfRule>
    <cfRule type="expression" priority="3140" dxfId="0">
      <formula>AND(IF($Q229=3,1,IF($Q229=4,1,0)),IF($F229&lt;=85,1,0))</formula>
    </cfRule>
  </conditionalFormatting>
  <conditionalFormatting sqref="AI229">
    <cfRule type="expression" priority="3133" dxfId="3">
      <formula>AND(IF(OR($Q229=1,$Q229=2),1,0),IF($X229&lt;=20,1,0))</formula>
    </cfRule>
    <cfRule type="expression" priority="3134" dxfId="2">
      <formula>AND(IF($Q229=2,1,0),IF($X229&lt;30,1,0))</formula>
    </cfRule>
    <cfRule type="expression" priority="3135" dxfId="1">
      <formula>AND(IF($Q229=3,1,0),IF($X229&lt;30,1,0))</formula>
    </cfRule>
    <cfRule type="expression" priority="3136" dxfId="0">
      <formula>AND(IF($Q229=3,1,IF($Q229=4,1,0)),IF($F229&lt;=85,1,0))</formula>
    </cfRule>
  </conditionalFormatting>
  <conditionalFormatting sqref="AV230">
    <cfRule type="expression" priority="3131" dxfId="23">
      <formula>AV230="X"</formula>
    </cfRule>
    <cfRule type="expression" priority="3132" dxfId="22">
      <formula>AV230="후보"</formula>
    </cfRule>
  </conditionalFormatting>
  <conditionalFormatting sqref="AC23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0">
    <cfRule type="expression" priority="3123" dxfId="3">
      <formula>AND(IF(OR($Q230=1,$Q230=2),1,0),IF($X230&lt;=20,1,0))</formula>
    </cfRule>
    <cfRule type="expression" priority="3124" dxfId="2">
      <formula>AND(IF($Q230=2,1,0),IF($X230&lt;30,1,0))</formula>
    </cfRule>
    <cfRule type="expression" priority="3125" dxfId="1">
      <formula>AND(IF($Q230=3,1,0),IF($X230&lt;30,1,0))</formula>
    </cfRule>
    <cfRule type="expression" priority="3126" dxfId="0">
      <formula>AND(IF($Q230=3,1,IF($Q230=4,1,0)),IF($F230&lt;=85,1,0))</formula>
    </cfRule>
  </conditionalFormatting>
  <conditionalFormatting sqref="X230">
    <cfRule type="expression" priority="3119" dxfId="3">
      <formula>AND(IF(OR($Q230=1,$Q230=2),1,0),IF($X230&lt;=20,1,0))</formula>
    </cfRule>
    <cfRule type="expression" priority="3120" dxfId="2">
      <formula>AND(IF($Q230=2,1,0),IF($X230&lt;30,1,0))</formula>
    </cfRule>
    <cfRule type="expression" priority="3121" dxfId="1">
      <formula>AND(IF($Q230=3,1,0),IF($X230&lt;30,1,0))</formula>
    </cfRule>
    <cfRule type="expression" priority="3122" dxfId="0">
      <formula>AND(IF($Q230=3,1,IF($Q230=4,1,0)),IF($F230&lt;=85,1,0))</formula>
    </cfRule>
  </conditionalFormatting>
  <conditionalFormatting sqref="AI230">
    <cfRule type="expression" priority="3115" dxfId="3">
      <formula>AND(IF(OR($Q230=1,$Q230=2),1,0),IF($X230&lt;=20,1,0))</formula>
    </cfRule>
    <cfRule type="expression" priority="3116" dxfId="2">
      <formula>AND(IF($Q230=2,1,0),IF($X230&lt;30,1,0))</formula>
    </cfRule>
    <cfRule type="expression" priority="3117" dxfId="1">
      <formula>AND(IF($Q230=3,1,0),IF($X230&lt;30,1,0))</formula>
    </cfRule>
    <cfRule type="expression" priority="3118" dxfId="0">
      <formula>AND(IF($Q230=3,1,IF($Q230=4,1,0)),IF($F230&lt;=85,1,0))</formula>
    </cfRule>
  </conditionalFormatting>
  <conditionalFormatting sqref="AV231">
    <cfRule type="expression" priority="3113" dxfId="23">
      <formula>AV231="X"</formula>
    </cfRule>
    <cfRule type="expression" priority="3114" dxfId="22">
      <formula>AV231="후보"</formula>
    </cfRule>
  </conditionalFormatting>
  <conditionalFormatting sqref="AC23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1">
    <cfRule type="expression" priority="3105" dxfId="3">
      <formula>AND(IF(OR($Q231=1,$Q231=2),1,0),IF($X231&lt;=20,1,0))</formula>
    </cfRule>
    <cfRule type="expression" priority="3106" dxfId="2">
      <formula>AND(IF($Q231=2,1,0),IF($X231&lt;30,1,0))</formula>
    </cfRule>
    <cfRule type="expression" priority="3107" dxfId="1">
      <formula>AND(IF($Q231=3,1,0),IF($X231&lt;30,1,0))</formula>
    </cfRule>
    <cfRule type="expression" priority="3108" dxfId="0">
      <formula>AND(IF($Q231=3,1,IF($Q231=4,1,0)),IF($F231&lt;=85,1,0))</formula>
    </cfRule>
  </conditionalFormatting>
  <conditionalFormatting sqref="X231">
    <cfRule type="expression" priority="3101" dxfId="3">
      <formula>AND(IF(OR($Q231=1,$Q231=2),1,0),IF($X231&lt;=20,1,0))</formula>
    </cfRule>
    <cfRule type="expression" priority="3102" dxfId="2">
      <formula>AND(IF($Q231=2,1,0),IF($X231&lt;30,1,0))</formula>
    </cfRule>
    <cfRule type="expression" priority="3103" dxfId="1">
      <formula>AND(IF($Q231=3,1,0),IF($X231&lt;30,1,0))</formula>
    </cfRule>
    <cfRule type="expression" priority="3104" dxfId="0">
      <formula>AND(IF($Q231=3,1,IF($Q231=4,1,0)),IF($F231&lt;=85,1,0))</formula>
    </cfRule>
  </conditionalFormatting>
  <conditionalFormatting sqref="AI231">
    <cfRule type="expression" priority="3097" dxfId="3">
      <formula>AND(IF(OR($Q231=1,$Q231=2),1,0),IF($X231&lt;=20,1,0))</formula>
    </cfRule>
    <cfRule type="expression" priority="3098" dxfId="2">
      <formula>AND(IF($Q231=2,1,0),IF($X231&lt;30,1,0))</formula>
    </cfRule>
    <cfRule type="expression" priority="3099" dxfId="1">
      <formula>AND(IF($Q231=3,1,0),IF($X231&lt;30,1,0))</formula>
    </cfRule>
    <cfRule type="expression" priority="3100" dxfId="0">
      <formula>AND(IF($Q231=3,1,IF($Q231=4,1,0)),IF($F231&lt;=85,1,0))</formula>
    </cfRule>
  </conditionalFormatting>
  <conditionalFormatting sqref="AV232">
    <cfRule type="expression" priority="3095" dxfId="23">
      <formula>AV232="X"</formula>
    </cfRule>
    <cfRule type="expression" priority="3096" dxfId="22">
      <formula>AV232="후보"</formula>
    </cfRule>
  </conditionalFormatting>
  <conditionalFormatting sqref="AC23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2">
    <cfRule type="expression" priority="3087" dxfId="3">
      <formula>AND(IF(OR($Q232=1,$Q232=2),1,0),IF($X232&lt;=20,1,0))</formula>
    </cfRule>
    <cfRule type="expression" priority="3088" dxfId="2">
      <formula>AND(IF($Q232=2,1,0),IF($X232&lt;30,1,0))</formula>
    </cfRule>
    <cfRule type="expression" priority="3089" dxfId="1">
      <formula>AND(IF($Q232=3,1,0),IF($X232&lt;30,1,0))</formula>
    </cfRule>
    <cfRule type="expression" priority="3090" dxfId="0">
      <formula>AND(IF($Q232=3,1,IF($Q232=4,1,0)),IF($F232&lt;=85,1,0))</formula>
    </cfRule>
  </conditionalFormatting>
  <conditionalFormatting sqref="X232">
    <cfRule type="expression" priority="3083" dxfId="3">
      <formula>AND(IF(OR($Q232=1,$Q232=2),1,0),IF($X232&lt;=20,1,0))</formula>
    </cfRule>
    <cfRule type="expression" priority="3084" dxfId="2">
      <formula>AND(IF($Q232=2,1,0),IF($X232&lt;30,1,0))</formula>
    </cfRule>
    <cfRule type="expression" priority="3085" dxfId="1">
      <formula>AND(IF($Q232=3,1,0),IF($X232&lt;30,1,0))</formula>
    </cfRule>
    <cfRule type="expression" priority="3086" dxfId="0">
      <formula>AND(IF($Q232=3,1,IF($Q232=4,1,0)),IF($F232&lt;=85,1,0))</formula>
    </cfRule>
  </conditionalFormatting>
  <conditionalFormatting sqref="AI232">
    <cfRule type="expression" priority="3079" dxfId="3">
      <formula>AND(IF(OR($Q232=1,$Q232=2),1,0),IF($X232&lt;=20,1,0))</formula>
    </cfRule>
    <cfRule type="expression" priority="3080" dxfId="2">
      <formula>AND(IF($Q232=2,1,0),IF($X232&lt;30,1,0))</formula>
    </cfRule>
    <cfRule type="expression" priority="3081" dxfId="1">
      <formula>AND(IF($Q232=3,1,0),IF($X232&lt;30,1,0))</formula>
    </cfRule>
    <cfRule type="expression" priority="3082" dxfId="0">
      <formula>AND(IF($Q232=3,1,IF($Q232=4,1,0)),IF($F232&lt;=85,1,0))</formula>
    </cfRule>
  </conditionalFormatting>
  <conditionalFormatting sqref="AV233">
    <cfRule type="expression" priority="3077" dxfId="23">
      <formula>AV233="X"</formula>
    </cfRule>
    <cfRule type="expression" priority="3078" dxfId="22">
      <formula>AV233="후보"</formula>
    </cfRule>
  </conditionalFormatting>
  <conditionalFormatting sqref="AC23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3">
    <cfRule type="expression" priority="3069" dxfId="3">
      <formula>AND(IF(OR($Q233=1,$Q233=2),1,0),IF($X233&lt;=20,1,0))</formula>
    </cfRule>
    <cfRule type="expression" priority="3070" dxfId="2">
      <formula>AND(IF($Q233=2,1,0),IF($X233&lt;30,1,0))</formula>
    </cfRule>
    <cfRule type="expression" priority="3071" dxfId="1">
      <formula>AND(IF($Q233=3,1,0),IF($X233&lt;30,1,0))</formula>
    </cfRule>
    <cfRule type="expression" priority="3072" dxfId="0">
      <formula>AND(IF($Q233=3,1,IF($Q233=4,1,0)),IF($F233&lt;=85,1,0))</formula>
    </cfRule>
  </conditionalFormatting>
  <conditionalFormatting sqref="X233">
    <cfRule type="expression" priority="3065" dxfId="3">
      <formula>AND(IF(OR($Q233=1,$Q233=2),1,0),IF($X233&lt;=20,1,0))</formula>
    </cfRule>
    <cfRule type="expression" priority="3066" dxfId="2">
      <formula>AND(IF($Q233=2,1,0),IF($X233&lt;30,1,0))</formula>
    </cfRule>
    <cfRule type="expression" priority="3067" dxfId="1">
      <formula>AND(IF($Q233=3,1,0),IF($X233&lt;30,1,0))</formula>
    </cfRule>
    <cfRule type="expression" priority="3068" dxfId="0">
      <formula>AND(IF($Q233=3,1,IF($Q233=4,1,0)),IF($F233&lt;=85,1,0))</formula>
    </cfRule>
  </conditionalFormatting>
  <conditionalFormatting sqref="AI233">
    <cfRule type="expression" priority="3061" dxfId="3">
      <formula>AND(IF(OR($Q233=1,$Q233=2),1,0),IF($X233&lt;=20,1,0))</formula>
    </cfRule>
    <cfRule type="expression" priority="3062" dxfId="2">
      <formula>AND(IF($Q233=2,1,0),IF($X233&lt;30,1,0))</formula>
    </cfRule>
    <cfRule type="expression" priority="3063" dxfId="1">
      <formula>AND(IF($Q233=3,1,0),IF($X233&lt;30,1,0))</formula>
    </cfRule>
    <cfRule type="expression" priority="3064" dxfId="0">
      <formula>AND(IF($Q233=3,1,IF($Q233=4,1,0)),IF($F233&lt;=85,1,0))</formula>
    </cfRule>
  </conditionalFormatting>
  <conditionalFormatting sqref="AV234">
    <cfRule type="expression" priority="3059" dxfId="23">
      <formula>AV234="X"</formula>
    </cfRule>
    <cfRule type="expression" priority="3060" dxfId="22">
      <formula>AV234="후보"</formula>
    </cfRule>
  </conditionalFormatting>
  <conditionalFormatting sqref="AC23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3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34">
    <cfRule type="expression" priority="3051" dxfId="3">
      <formula>AND(IF(OR($Q234=1,$Q234=2),1,0),IF($X234&lt;=20,1,0))</formula>
    </cfRule>
    <cfRule type="expression" priority="3052" dxfId="2">
      <formula>AND(IF($Q234=2,1,0),IF($X234&lt;30,1,0))</formula>
    </cfRule>
    <cfRule type="expression" priority="3053" dxfId="1">
      <formula>AND(IF($Q234=3,1,0),IF($X234&lt;30,1,0))</formula>
    </cfRule>
    <cfRule type="expression" priority="3054" dxfId="0">
      <formula>AND(IF($Q234=3,1,IF($Q234=4,1,0)),IF($F234&lt;=85,1,0))</formula>
    </cfRule>
  </conditionalFormatting>
  <conditionalFormatting sqref="X234">
    <cfRule type="expression" priority="3047" dxfId="3">
      <formula>AND(IF(OR($Q234=1,$Q234=2),1,0),IF($X234&lt;=20,1,0))</formula>
    </cfRule>
    <cfRule type="expression" priority="3048" dxfId="2">
      <formula>AND(IF($Q234=2,1,0),IF($X234&lt;30,1,0))</formula>
    </cfRule>
    <cfRule type="expression" priority="3049" dxfId="1">
      <formula>AND(IF($Q234=3,1,0),IF($X234&lt;30,1,0))</formula>
    </cfRule>
    <cfRule type="expression" priority="3050" dxfId="0">
      <formula>AND(IF($Q234=3,1,IF($Q234=4,1,0)),IF($F234&lt;=85,1,0))</formula>
    </cfRule>
  </conditionalFormatting>
  <conditionalFormatting sqref="AI234">
    <cfRule type="expression" priority="3043" dxfId="3">
      <formula>AND(IF(OR($Q234=1,$Q234=2),1,0),IF($X234&lt;=20,1,0))</formula>
    </cfRule>
    <cfRule type="expression" priority="3044" dxfId="2">
      <formula>AND(IF($Q234=2,1,0),IF($X234&lt;30,1,0))</formula>
    </cfRule>
    <cfRule type="expression" priority="3045" dxfId="1">
      <formula>AND(IF($Q234=3,1,0),IF($X234&lt;30,1,0))</formula>
    </cfRule>
    <cfRule type="expression" priority="3046" dxfId="0">
      <formula>AND(IF($Q234=3,1,IF($Q234=4,1,0)),IF($F234&lt;=85,1,0))</formula>
    </cfRule>
  </conditionalFormatting>
  <conditionalFormatting sqref="AV235">
    <cfRule type="expression" priority="3041" dxfId="23">
      <formula>AV235="X"</formula>
    </cfRule>
    <cfRule type="expression" priority="3042" dxfId="22">
      <formula>AV235="후보"</formula>
    </cfRule>
  </conditionalFormatting>
  <conditionalFormatting sqref="AC23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3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35">
    <cfRule type="expression" priority="3033" dxfId="3">
      <formula>AND(IF(OR($Q235=1,$Q235=2),1,0),IF($X235&lt;=20,1,0))</formula>
    </cfRule>
    <cfRule type="expression" priority="3034" dxfId="2">
      <formula>AND(IF($Q235=2,1,0),IF($X235&lt;30,1,0))</formula>
    </cfRule>
    <cfRule type="expression" priority="3035" dxfId="1">
      <formula>AND(IF($Q235=3,1,0),IF($X235&lt;30,1,0))</formula>
    </cfRule>
    <cfRule type="expression" priority="3036" dxfId="0">
      <formula>AND(IF($Q235=3,1,IF($Q235=4,1,0)),IF($F235&lt;=85,1,0))</formula>
    </cfRule>
  </conditionalFormatting>
  <conditionalFormatting sqref="X235">
    <cfRule type="expression" priority="3029" dxfId="3">
      <formula>AND(IF(OR($Q235=1,$Q235=2),1,0),IF($X235&lt;=20,1,0))</formula>
    </cfRule>
    <cfRule type="expression" priority="3030" dxfId="2">
      <formula>AND(IF($Q235=2,1,0),IF($X235&lt;30,1,0))</formula>
    </cfRule>
    <cfRule type="expression" priority="3031" dxfId="1">
      <formula>AND(IF($Q235=3,1,0),IF($X235&lt;30,1,0))</formula>
    </cfRule>
    <cfRule type="expression" priority="3032" dxfId="0">
      <formula>AND(IF($Q235=3,1,IF($Q235=4,1,0)),IF($F235&lt;=85,1,0))</formula>
    </cfRule>
  </conditionalFormatting>
  <conditionalFormatting sqref="AI235">
    <cfRule type="expression" priority="3025" dxfId="3">
      <formula>AND(IF(OR($Q235=1,$Q235=2),1,0),IF($X235&lt;=20,1,0))</formula>
    </cfRule>
    <cfRule type="expression" priority="3026" dxfId="2">
      <formula>AND(IF($Q235=2,1,0),IF($X235&lt;30,1,0))</formula>
    </cfRule>
    <cfRule type="expression" priority="3027" dxfId="1">
      <formula>AND(IF($Q235=3,1,0),IF($X235&lt;30,1,0))</formula>
    </cfRule>
    <cfRule type="expression" priority="3028" dxfId="0">
      <formula>AND(IF($Q235=3,1,IF($Q235=4,1,0)),IF($F235&lt;=85,1,0))</formula>
    </cfRule>
  </conditionalFormatting>
  <conditionalFormatting sqref="AV236">
    <cfRule type="expression" priority="3023" dxfId="23">
      <formula>AV236="X"</formula>
    </cfRule>
    <cfRule type="expression" priority="3024" dxfId="22">
      <formula>AV236="후보"</formula>
    </cfRule>
  </conditionalFormatting>
  <conditionalFormatting sqref="AC23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6">
    <cfRule type="expression" priority="3015" dxfId="3">
      <formula>AND(IF(OR($Q236=1,$Q236=2),1,0),IF($X236&lt;=20,1,0))</formula>
    </cfRule>
    <cfRule type="expression" priority="3016" dxfId="2">
      <formula>AND(IF($Q236=2,1,0),IF($X236&lt;30,1,0))</formula>
    </cfRule>
    <cfRule type="expression" priority="3017" dxfId="1">
      <formula>AND(IF($Q236=3,1,0),IF($X236&lt;30,1,0))</formula>
    </cfRule>
    <cfRule type="expression" priority="3018" dxfId="0">
      <formula>AND(IF($Q236=3,1,IF($Q236=4,1,0)),IF($F236&lt;=85,1,0))</formula>
    </cfRule>
  </conditionalFormatting>
  <conditionalFormatting sqref="X236">
    <cfRule type="expression" priority="3011" dxfId="3">
      <formula>AND(IF(OR($Q236=1,$Q236=2),1,0),IF($X236&lt;=20,1,0))</formula>
    </cfRule>
    <cfRule type="expression" priority="3012" dxfId="2">
      <formula>AND(IF($Q236=2,1,0),IF($X236&lt;30,1,0))</formula>
    </cfRule>
    <cfRule type="expression" priority="3013" dxfId="1">
      <formula>AND(IF($Q236=3,1,0),IF($X236&lt;30,1,0))</formula>
    </cfRule>
    <cfRule type="expression" priority="3014" dxfId="0">
      <formula>AND(IF($Q236=3,1,IF($Q236=4,1,0)),IF($F236&lt;=85,1,0))</formula>
    </cfRule>
  </conditionalFormatting>
  <conditionalFormatting sqref="AI236">
    <cfRule type="expression" priority="3007" dxfId="3">
      <formula>AND(IF(OR($Q236=1,$Q236=2),1,0),IF($X236&lt;=20,1,0))</formula>
    </cfRule>
    <cfRule type="expression" priority="3008" dxfId="2">
      <formula>AND(IF($Q236=2,1,0),IF($X236&lt;30,1,0))</formula>
    </cfRule>
    <cfRule type="expression" priority="3009" dxfId="1">
      <formula>AND(IF($Q236=3,1,0),IF($X236&lt;30,1,0))</formula>
    </cfRule>
    <cfRule type="expression" priority="3010" dxfId="0">
      <formula>AND(IF($Q236=3,1,IF($Q236=4,1,0)),IF($F236&lt;=85,1,0))</formula>
    </cfRule>
  </conditionalFormatting>
  <conditionalFormatting sqref="AV237">
    <cfRule type="expression" priority="3005" dxfId="23">
      <formula>AV237="X"</formula>
    </cfRule>
    <cfRule type="expression" priority="3006" dxfId="22">
      <formula>AV237="후보"</formula>
    </cfRule>
  </conditionalFormatting>
  <conditionalFormatting sqref="AC23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3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37">
    <cfRule type="expression" priority="2997" dxfId="3">
      <formula>AND(IF(OR($Q237=1,$Q237=2),1,0),IF($X237&lt;=20,1,0))</formula>
    </cfRule>
    <cfRule type="expression" priority="2998" dxfId="2">
      <formula>AND(IF($Q237=2,1,0),IF($X237&lt;30,1,0))</formula>
    </cfRule>
    <cfRule type="expression" priority="2999" dxfId="1">
      <formula>AND(IF($Q237=3,1,0),IF($X237&lt;30,1,0))</formula>
    </cfRule>
    <cfRule type="expression" priority="3000" dxfId="0">
      <formula>AND(IF($Q237=3,1,IF($Q237=4,1,0)),IF($F237&lt;=85,1,0))</formula>
    </cfRule>
  </conditionalFormatting>
  <conditionalFormatting sqref="X237">
    <cfRule type="expression" priority="2993" dxfId="3">
      <formula>AND(IF(OR($Q237=1,$Q237=2),1,0),IF($X237&lt;=20,1,0))</formula>
    </cfRule>
    <cfRule type="expression" priority="2994" dxfId="2">
      <formula>AND(IF($Q237=2,1,0),IF($X237&lt;30,1,0))</formula>
    </cfRule>
    <cfRule type="expression" priority="2995" dxfId="1">
      <formula>AND(IF($Q237=3,1,0),IF($X237&lt;30,1,0))</formula>
    </cfRule>
    <cfRule type="expression" priority="2996" dxfId="0">
      <formula>AND(IF($Q237=3,1,IF($Q237=4,1,0)),IF($F237&lt;=85,1,0))</formula>
    </cfRule>
  </conditionalFormatting>
  <conditionalFormatting sqref="AI237">
    <cfRule type="expression" priority="2989" dxfId="3">
      <formula>AND(IF(OR($Q237=1,$Q237=2),1,0),IF($X237&lt;=20,1,0))</formula>
    </cfRule>
    <cfRule type="expression" priority="2990" dxfId="2">
      <formula>AND(IF($Q237=2,1,0),IF($X237&lt;30,1,0))</formula>
    </cfRule>
    <cfRule type="expression" priority="2991" dxfId="1">
      <formula>AND(IF($Q237=3,1,0),IF($X237&lt;30,1,0))</formula>
    </cfRule>
    <cfRule type="expression" priority="2992" dxfId="0">
      <formula>AND(IF($Q237=3,1,IF($Q237=4,1,0)),IF($F237&lt;=85,1,0))</formula>
    </cfRule>
  </conditionalFormatting>
  <conditionalFormatting sqref="AV238">
    <cfRule type="expression" priority="2987" dxfId="23">
      <formula>AV238="X"</formula>
    </cfRule>
    <cfRule type="expression" priority="2988" dxfId="22">
      <formula>AV238="후보"</formula>
    </cfRule>
  </conditionalFormatting>
  <conditionalFormatting sqref="AC23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3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38">
    <cfRule type="expression" priority="2979" dxfId="3">
      <formula>AND(IF(OR($Q238=1,$Q238=2),1,0),IF($X238&lt;=20,1,0))</formula>
    </cfRule>
    <cfRule type="expression" priority="2980" dxfId="2">
      <formula>AND(IF($Q238=2,1,0),IF($X238&lt;30,1,0))</formula>
    </cfRule>
    <cfRule type="expression" priority="2981" dxfId="1">
      <formula>AND(IF($Q238=3,1,0),IF($X238&lt;30,1,0))</formula>
    </cfRule>
    <cfRule type="expression" priority="2982" dxfId="0">
      <formula>AND(IF($Q238=3,1,IF($Q238=4,1,0)),IF($F238&lt;=85,1,0))</formula>
    </cfRule>
  </conditionalFormatting>
  <conditionalFormatting sqref="X238">
    <cfRule type="expression" priority="2975" dxfId="3">
      <formula>AND(IF(OR($Q238=1,$Q238=2),1,0),IF($X238&lt;=20,1,0))</formula>
    </cfRule>
    <cfRule type="expression" priority="2976" dxfId="2">
      <formula>AND(IF($Q238=2,1,0),IF($X238&lt;30,1,0))</formula>
    </cfRule>
    <cfRule type="expression" priority="2977" dxfId="1">
      <formula>AND(IF($Q238=3,1,0),IF($X238&lt;30,1,0))</formula>
    </cfRule>
    <cfRule type="expression" priority="2978" dxfId="0">
      <formula>AND(IF($Q238=3,1,IF($Q238=4,1,0)),IF($F238&lt;=85,1,0))</formula>
    </cfRule>
  </conditionalFormatting>
  <conditionalFormatting sqref="AI238">
    <cfRule type="expression" priority="2971" dxfId="3">
      <formula>AND(IF(OR($Q238=1,$Q238=2),1,0),IF($X238&lt;=20,1,0))</formula>
    </cfRule>
    <cfRule type="expression" priority="2972" dxfId="2">
      <formula>AND(IF($Q238=2,1,0),IF($X238&lt;30,1,0))</formula>
    </cfRule>
    <cfRule type="expression" priority="2973" dxfId="1">
      <formula>AND(IF($Q238=3,1,0),IF($X238&lt;30,1,0))</formula>
    </cfRule>
    <cfRule type="expression" priority="2974" dxfId="0">
      <formula>AND(IF($Q238=3,1,IF($Q238=4,1,0)),IF($F238&lt;=85,1,0))</formula>
    </cfRule>
  </conditionalFormatting>
  <conditionalFormatting sqref="AV239">
    <cfRule type="expression" priority="2969" dxfId="23">
      <formula>AV239="X"</formula>
    </cfRule>
    <cfRule type="expression" priority="2970" dxfId="22">
      <formula>AV239="후보"</formula>
    </cfRule>
  </conditionalFormatting>
  <conditionalFormatting sqref="AC23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3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39">
    <cfRule type="expression" priority="2961" dxfId="3">
      <formula>AND(IF(OR($Q239=1,$Q239=2),1,0),IF($X239&lt;=20,1,0))</formula>
    </cfRule>
    <cfRule type="expression" priority="2962" dxfId="2">
      <formula>AND(IF($Q239=2,1,0),IF($X239&lt;30,1,0))</formula>
    </cfRule>
    <cfRule type="expression" priority="2963" dxfId="1">
      <formula>AND(IF($Q239=3,1,0),IF($X239&lt;30,1,0))</formula>
    </cfRule>
    <cfRule type="expression" priority="2964" dxfId="0">
      <formula>AND(IF($Q239=3,1,IF($Q239=4,1,0)),IF($F239&lt;=85,1,0))</formula>
    </cfRule>
  </conditionalFormatting>
  <conditionalFormatting sqref="X239">
    <cfRule type="expression" priority="2957" dxfId="3">
      <formula>AND(IF(OR($Q239=1,$Q239=2),1,0),IF($X239&lt;=20,1,0))</formula>
    </cfRule>
    <cfRule type="expression" priority="2958" dxfId="2">
      <formula>AND(IF($Q239=2,1,0),IF($X239&lt;30,1,0))</formula>
    </cfRule>
    <cfRule type="expression" priority="2959" dxfId="1">
      <formula>AND(IF($Q239=3,1,0),IF($X239&lt;30,1,0))</formula>
    </cfRule>
    <cfRule type="expression" priority="2960" dxfId="0">
      <formula>AND(IF($Q239=3,1,IF($Q239=4,1,0)),IF($F239&lt;=85,1,0))</formula>
    </cfRule>
  </conditionalFormatting>
  <conditionalFormatting sqref="AI239">
    <cfRule type="expression" priority="2953" dxfId="3">
      <formula>AND(IF(OR($Q239=1,$Q239=2),1,0),IF($X239&lt;=20,1,0))</formula>
    </cfRule>
    <cfRule type="expression" priority="2954" dxfId="2">
      <formula>AND(IF($Q239=2,1,0),IF($X239&lt;30,1,0))</formula>
    </cfRule>
    <cfRule type="expression" priority="2955" dxfId="1">
      <formula>AND(IF($Q239=3,1,0),IF($X239&lt;30,1,0))</formula>
    </cfRule>
    <cfRule type="expression" priority="2956" dxfId="0">
      <formula>AND(IF($Q239=3,1,IF($Q239=4,1,0)),IF($F239&lt;=85,1,0))</formula>
    </cfRule>
  </conditionalFormatting>
  <conditionalFormatting sqref="AV240">
    <cfRule type="expression" priority="2951" dxfId="23">
      <formula>AV240="X"</formula>
    </cfRule>
    <cfRule type="expression" priority="2952" dxfId="22">
      <formula>AV240="후보"</formula>
    </cfRule>
  </conditionalFormatting>
  <conditionalFormatting sqref="AC24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0">
    <cfRule type="expression" priority="2943" dxfId="3">
      <formula>AND(IF(OR($Q240=1,$Q240=2),1,0),IF($X240&lt;=20,1,0))</formula>
    </cfRule>
    <cfRule type="expression" priority="2944" dxfId="2">
      <formula>AND(IF($Q240=2,1,0),IF($X240&lt;30,1,0))</formula>
    </cfRule>
    <cfRule type="expression" priority="2945" dxfId="1">
      <formula>AND(IF($Q240=3,1,0),IF($X240&lt;30,1,0))</formula>
    </cfRule>
    <cfRule type="expression" priority="2946" dxfId="0">
      <formula>AND(IF($Q240=3,1,IF($Q240=4,1,0)),IF($F240&lt;=85,1,0))</formula>
    </cfRule>
  </conditionalFormatting>
  <conditionalFormatting sqref="X240">
    <cfRule type="expression" priority="2939" dxfId="3">
      <formula>AND(IF(OR($Q240=1,$Q240=2),1,0),IF($X240&lt;=20,1,0))</formula>
    </cfRule>
    <cfRule type="expression" priority="2940" dxfId="2">
      <formula>AND(IF($Q240=2,1,0),IF($X240&lt;30,1,0))</formula>
    </cfRule>
    <cfRule type="expression" priority="2941" dxfId="1">
      <formula>AND(IF($Q240=3,1,0),IF($X240&lt;30,1,0))</formula>
    </cfRule>
    <cfRule type="expression" priority="2942" dxfId="0">
      <formula>AND(IF($Q240=3,1,IF($Q240=4,1,0)),IF($F240&lt;=85,1,0))</formula>
    </cfRule>
  </conditionalFormatting>
  <conditionalFormatting sqref="AI240">
    <cfRule type="expression" priority="2935" dxfId="3">
      <formula>AND(IF(OR($Q240=1,$Q240=2),1,0),IF($X240&lt;=20,1,0))</formula>
    </cfRule>
    <cfRule type="expression" priority="2936" dxfId="2">
      <formula>AND(IF($Q240=2,1,0),IF($X240&lt;30,1,0))</formula>
    </cfRule>
    <cfRule type="expression" priority="2937" dxfId="1">
      <formula>AND(IF($Q240=3,1,0),IF($X240&lt;30,1,0))</formula>
    </cfRule>
    <cfRule type="expression" priority="2938" dxfId="0">
      <formula>AND(IF($Q240=3,1,IF($Q240=4,1,0)),IF($F240&lt;=85,1,0))</formula>
    </cfRule>
  </conditionalFormatting>
  <conditionalFormatting sqref="AV241">
    <cfRule type="expression" priority="2933" dxfId="23">
      <formula>AV241="X"</formula>
    </cfRule>
    <cfRule type="expression" priority="2934" dxfId="22">
      <formula>AV241="후보"</formula>
    </cfRule>
  </conditionalFormatting>
  <conditionalFormatting sqref="AC24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1">
    <cfRule type="expression" priority="2925" dxfId="3">
      <formula>AND(IF(OR($Q241=1,$Q241=2),1,0),IF($X241&lt;=20,1,0))</formula>
    </cfRule>
    <cfRule type="expression" priority="2926" dxfId="2">
      <formula>AND(IF($Q241=2,1,0),IF($X241&lt;30,1,0))</formula>
    </cfRule>
    <cfRule type="expression" priority="2927" dxfId="1">
      <formula>AND(IF($Q241=3,1,0),IF($X241&lt;30,1,0))</formula>
    </cfRule>
    <cfRule type="expression" priority="2928" dxfId="0">
      <formula>AND(IF($Q241=3,1,IF($Q241=4,1,0)),IF($F241&lt;=85,1,0))</formula>
    </cfRule>
  </conditionalFormatting>
  <conditionalFormatting sqref="X241">
    <cfRule type="expression" priority="2921" dxfId="3">
      <formula>AND(IF(OR($Q241=1,$Q241=2),1,0),IF($X241&lt;=20,1,0))</formula>
    </cfRule>
    <cfRule type="expression" priority="2922" dxfId="2">
      <formula>AND(IF($Q241=2,1,0),IF($X241&lt;30,1,0))</formula>
    </cfRule>
    <cfRule type="expression" priority="2923" dxfId="1">
      <formula>AND(IF($Q241=3,1,0),IF($X241&lt;30,1,0))</formula>
    </cfRule>
    <cfRule type="expression" priority="2924" dxfId="0">
      <formula>AND(IF($Q241=3,1,IF($Q241=4,1,0)),IF($F241&lt;=85,1,0))</formula>
    </cfRule>
  </conditionalFormatting>
  <conditionalFormatting sqref="AI241">
    <cfRule type="expression" priority="2917" dxfId="3">
      <formula>AND(IF(OR($Q241=1,$Q241=2),1,0),IF($X241&lt;=20,1,0))</formula>
    </cfRule>
    <cfRule type="expression" priority="2918" dxfId="2">
      <formula>AND(IF($Q241=2,1,0),IF($X241&lt;30,1,0))</formula>
    </cfRule>
    <cfRule type="expression" priority="2919" dxfId="1">
      <formula>AND(IF($Q241=3,1,0),IF($X241&lt;30,1,0))</formula>
    </cfRule>
    <cfRule type="expression" priority="2920" dxfId="0">
      <formula>AND(IF($Q241=3,1,IF($Q241=4,1,0)),IF($F241&lt;=85,1,0))</formula>
    </cfRule>
  </conditionalFormatting>
  <conditionalFormatting sqref="AV242">
    <cfRule type="expression" priority="2915" dxfId="23">
      <formula>AV242="X"</formula>
    </cfRule>
    <cfRule type="expression" priority="2916" dxfId="22">
      <formula>AV242="후보"</formula>
    </cfRule>
  </conditionalFormatting>
  <conditionalFormatting sqref="AC24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2">
    <cfRule type="expression" priority="2907" dxfId="3">
      <formula>AND(IF(OR($Q242=1,$Q242=2),1,0),IF($X242&lt;=20,1,0))</formula>
    </cfRule>
    <cfRule type="expression" priority="2908" dxfId="2">
      <formula>AND(IF($Q242=2,1,0),IF($X242&lt;30,1,0))</formula>
    </cfRule>
    <cfRule type="expression" priority="2909" dxfId="1">
      <formula>AND(IF($Q242=3,1,0),IF($X242&lt;30,1,0))</formula>
    </cfRule>
    <cfRule type="expression" priority="2910" dxfId="0">
      <formula>AND(IF($Q242=3,1,IF($Q242=4,1,0)),IF($F242&lt;=85,1,0))</formula>
    </cfRule>
  </conditionalFormatting>
  <conditionalFormatting sqref="X242">
    <cfRule type="expression" priority="2903" dxfId="3">
      <formula>AND(IF(OR($Q242=1,$Q242=2),1,0),IF($X242&lt;=20,1,0))</formula>
    </cfRule>
    <cfRule type="expression" priority="2904" dxfId="2">
      <formula>AND(IF($Q242=2,1,0),IF($X242&lt;30,1,0))</formula>
    </cfRule>
    <cfRule type="expression" priority="2905" dxfId="1">
      <formula>AND(IF($Q242=3,1,0),IF($X242&lt;30,1,0))</formula>
    </cfRule>
    <cfRule type="expression" priority="2906" dxfId="0">
      <formula>AND(IF($Q242=3,1,IF($Q242=4,1,0)),IF($F242&lt;=85,1,0))</formula>
    </cfRule>
  </conditionalFormatting>
  <conditionalFormatting sqref="AI242">
    <cfRule type="expression" priority="2899" dxfId="3">
      <formula>AND(IF(OR($Q242=1,$Q242=2),1,0),IF($X242&lt;=20,1,0))</formula>
    </cfRule>
    <cfRule type="expression" priority="2900" dxfId="2">
      <formula>AND(IF($Q242=2,1,0),IF($X242&lt;30,1,0))</formula>
    </cfRule>
    <cfRule type="expression" priority="2901" dxfId="1">
      <formula>AND(IF($Q242=3,1,0),IF($X242&lt;30,1,0))</formula>
    </cfRule>
    <cfRule type="expression" priority="2902" dxfId="0">
      <formula>AND(IF($Q242=3,1,IF($Q242=4,1,0)),IF($F242&lt;=85,1,0))</formula>
    </cfRule>
  </conditionalFormatting>
  <conditionalFormatting sqref="AV243">
    <cfRule type="expression" priority="2897" dxfId="23">
      <formula>AV243="X"</formula>
    </cfRule>
    <cfRule type="expression" priority="2898" dxfId="22">
      <formula>AV243="후보"</formula>
    </cfRule>
  </conditionalFormatting>
  <conditionalFormatting sqref="AC24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3">
    <cfRule type="expression" priority="2889" dxfId="3">
      <formula>AND(IF(OR($Q243=1,$Q243=2),1,0),IF($X243&lt;=20,1,0))</formula>
    </cfRule>
    <cfRule type="expression" priority="2890" dxfId="2">
      <formula>AND(IF($Q243=2,1,0),IF($X243&lt;30,1,0))</formula>
    </cfRule>
    <cfRule type="expression" priority="2891" dxfId="1">
      <formula>AND(IF($Q243=3,1,0),IF($X243&lt;30,1,0))</formula>
    </cfRule>
    <cfRule type="expression" priority="2892" dxfId="0">
      <formula>AND(IF($Q243=3,1,IF($Q243=4,1,0)),IF($F243&lt;=85,1,0))</formula>
    </cfRule>
  </conditionalFormatting>
  <conditionalFormatting sqref="X243">
    <cfRule type="expression" priority="2885" dxfId="3">
      <formula>AND(IF(OR($Q243=1,$Q243=2),1,0),IF($X243&lt;=20,1,0))</formula>
    </cfRule>
    <cfRule type="expression" priority="2886" dxfId="2">
      <formula>AND(IF($Q243=2,1,0),IF($X243&lt;30,1,0))</formula>
    </cfRule>
    <cfRule type="expression" priority="2887" dxfId="1">
      <formula>AND(IF($Q243=3,1,0),IF($X243&lt;30,1,0))</formula>
    </cfRule>
    <cfRule type="expression" priority="2888" dxfId="0">
      <formula>AND(IF($Q243=3,1,IF($Q243=4,1,0)),IF($F243&lt;=85,1,0))</formula>
    </cfRule>
  </conditionalFormatting>
  <conditionalFormatting sqref="AI243">
    <cfRule type="expression" priority="2881" dxfId="3">
      <formula>AND(IF(OR($Q243=1,$Q243=2),1,0),IF($X243&lt;=20,1,0))</formula>
    </cfRule>
    <cfRule type="expression" priority="2882" dxfId="2">
      <formula>AND(IF($Q243=2,1,0),IF($X243&lt;30,1,0))</formula>
    </cfRule>
    <cfRule type="expression" priority="2883" dxfId="1">
      <formula>AND(IF($Q243=3,1,0),IF($X243&lt;30,1,0))</formula>
    </cfRule>
    <cfRule type="expression" priority="2884" dxfId="0">
      <formula>AND(IF($Q243=3,1,IF($Q243=4,1,0)),IF($F243&lt;=85,1,0))</formula>
    </cfRule>
  </conditionalFormatting>
  <conditionalFormatting sqref="AV244">
    <cfRule type="expression" priority="2879" dxfId="23">
      <formula>AV244="X"</formula>
    </cfRule>
    <cfRule type="expression" priority="2880" dxfId="22">
      <formula>AV244="후보"</formula>
    </cfRule>
  </conditionalFormatting>
  <conditionalFormatting sqref="AC24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4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44">
    <cfRule type="expression" priority="2871" dxfId="3">
      <formula>AND(IF(OR($Q244=1,$Q244=2),1,0),IF($X244&lt;=20,1,0))</formula>
    </cfRule>
    <cfRule type="expression" priority="2872" dxfId="2">
      <formula>AND(IF($Q244=2,1,0),IF($X244&lt;30,1,0))</formula>
    </cfRule>
    <cfRule type="expression" priority="2873" dxfId="1">
      <formula>AND(IF($Q244=3,1,0),IF($X244&lt;30,1,0))</formula>
    </cfRule>
    <cfRule type="expression" priority="2874" dxfId="0">
      <formula>AND(IF($Q244=3,1,IF($Q244=4,1,0)),IF($F244&lt;=85,1,0))</formula>
    </cfRule>
  </conditionalFormatting>
  <conditionalFormatting sqref="X244">
    <cfRule type="expression" priority="2867" dxfId="3">
      <formula>AND(IF(OR($Q244=1,$Q244=2),1,0),IF($X244&lt;=20,1,0))</formula>
    </cfRule>
    <cfRule type="expression" priority="2868" dxfId="2">
      <formula>AND(IF($Q244=2,1,0),IF($X244&lt;30,1,0))</formula>
    </cfRule>
    <cfRule type="expression" priority="2869" dxfId="1">
      <formula>AND(IF($Q244=3,1,0),IF($X244&lt;30,1,0))</formula>
    </cfRule>
    <cfRule type="expression" priority="2870" dxfId="0">
      <formula>AND(IF($Q244=3,1,IF($Q244=4,1,0)),IF($F244&lt;=85,1,0))</formula>
    </cfRule>
  </conditionalFormatting>
  <conditionalFormatting sqref="AI244">
    <cfRule type="expression" priority="2863" dxfId="3">
      <formula>AND(IF(OR($Q244=1,$Q244=2),1,0),IF($X244&lt;=20,1,0))</formula>
    </cfRule>
    <cfRule type="expression" priority="2864" dxfId="2">
      <formula>AND(IF($Q244=2,1,0),IF($X244&lt;30,1,0))</formula>
    </cfRule>
    <cfRule type="expression" priority="2865" dxfId="1">
      <formula>AND(IF($Q244=3,1,0),IF($X244&lt;30,1,0))</formula>
    </cfRule>
    <cfRule type="expression" priority="2866" dxfId="0">
      <formula>AND(IF($Q244=3,1,IF($Q244=4,1,0)),IF($F244&lt;=85,1,0))</formula>
    </cfRule>
  </conditionalFormatting>
  <conditionalFormatting sqref="AV245">
    <cfRule type="expression" priority="2861" dxfId="23">
      <formula>AV245="X"</formula>
    </cfRule>
    <cfRule type="expression" priority="2862" dxfId="22">
      <formula>AV245="후보"</formula>
    </cfRule>
  </conditionalFormatting>
  <conditionalFormatting sqref="AC24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4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45">
    <cfRule type="expression" priority="2853" dxfId="3">
      <formula>AND(IF(OR($Q245=1,$Q245=2),1,0),IF($X245&lt;=20,1,0))</formula>
    </cfRule>
    <cfRule type="expression" priority="2854" dxfId="2">
      <formula>AND(IF($Q245=2,1,0),IF($X245&lt;30,1,0))</formula>
    </cfRule>
    <cfRule type="expression" priority="2855" dxfId="1">
      <formula>AND(IF($Q245=3,1,0),IF($X245&lt;30,1,0))</formula>
    </cfRule>
    <cfRule type="expression" priority="2856" dxfId="0">
      <formula>AND(IF($Q245=3,1,IF($Q245=4,1,0)),IF($F245&lt;=85,1,0))</formula>
    </cfRule>
  </conditionalFormatting>
  <conditionalFormatting sqref="X245">
    <cfRule type="expression" priority="2849" dxfId="3">
      <formula>AND(IF(OR($Q245=1,$Q245=2),1,0),IF($X245&lt;=20,1,0))</formula>
    </cfRule>
    <cfRule type="expression" priority="2850" dxfId="2">
      <formula>AND(IF($Q245=2,1,0),IF($X245&lt;30,1,0))</formula>
    </cfRule>
    <cfRule type="expression" priority="2851" dxfId="1">
      <formula>AND(IF($Q245=3,1,0),IF($X245&lt;30,1,0))</formula>
    </cfRule>
    <cfRule type="expression" priority="2852" dxfId="0">
      <formula>AND(IF($Q245=3,1,IF($Q245=4,1,0)),IF($F245&lt;=85,1,0))</formula>
    </cfRule>
  </conditionalFormatting>
  <conditionalFormatting sqref="AI245">
    <cfRule type="expression" priority="2845" dxfId="3">
      <formula>AND(IF(OR($Q245=1,$Q245=2),1,0),IF($X245&lt;=20,1,0))</formula>
    </cfRule>
    <cfRule type="expression" priority="2846" dxfId="2">
      <formula>AND(IF($Q245=2,1,0),IF($X245&lt;30,1,0))</formula>
    </cfRule>
    <cfRule type="expression" priority="2847" dxfId="1">
      <formula>AND(IF($Q245=3,1,0),IF($X245&lt;30,1,0))</formula>
    </cfRule>
    <cfRule type="expression" priority="2848" dxfId="0">
      <formula>AND(IF($Q245=3,1,IF($Q245=4,1,0)),IF($F245&lt;=85,1,0))</formula>
    </cfRule>
  </conditionalFormatting>
  <conditionalFormatting sqref="AV246">
    <cfRule type="expression" priority="2843" dxfId="23">
      <formula>AV246="X"</formula>
    </cfRule>
    <cfRule type="expression" priority="2844" dxfId="22">
      <formula>AV246="후보"</formula>
    </cfRule>
  </conditionalFormatting>
  <conditionalFormatting sqref="AC24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4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46">
    <cfRule type="expression" priority="2835" dxfId="3">
      <formula>AND(IF(OR($Q246=1,$Q246=2),1,0),IF($X246&lt;=20,1,0))</formula>
    </cfRule>
    <cfRule type="expression" priority="2836" dxfId="2">
      <formula>AND(IF($Q246=2,1,0),IF($X246&lt;30,1,0))</formula>
    </cfRule>
    <cfRule type="expression" priority="2837" dxfId="1">
      <formula>AND(IF($Q246=3,1,0),IF($X246&lt;30,1,0))</formula>
    </cfRule>
    <cfRule type="expression" priority="2838" dxfId="0">
      <formula>AND(IF($Q246=3,1,IF($Q246=4,1,0)),IF($F246&lt;=85,1,0))</formula>
    </cfRule>
  </conditionalFormatting>
  <conditionalFormatting sqref="X246">
    <cfRule type="expression" priority="2831" dxfId="3">
      <formula>AND(IF(OR($Q246=1,$Q246=2),1,0),IF($X246&lt;=20,1,0))</formula>
    </cfRule>
    <cfRule type="expression" priority="2832" dxfId="2">
      <formula>AND(IF($Q246=2,1,0),IF($X246&lt;30,1,0))</formula>
    </cfRule>
    <cfRule type="expression" priority="2833" dxfId="1">
      <formula>AND(IF($Q246=3,1,0),IF($X246&lt;30,1,0))</formula>
    </cfRule>
    <cfRule type="expression" priority="2834" dxfId="0">
      <formula>AND(IF($Q246=3,1,IF($Q246=4,1,0)),IF($F246&lt;=85,1,0))</formula>
    </cfRule>
  </conditionalFormatting>
  <conditionalFormatting sqref="AI246">
    <cfRule type="expression" priority="2827" dxfId="3">
      <formula>AND(IF(OR($Q246=1,$Q246=2),1,0),IF($X246&lt;=20,1,0))</formula>
    </cfRule>
    <cfRule type="expression" priority="2828" dxfId="2">
      <formula>AND(IF($Q246=2,1,0),IF($X246&lt;30,1,0))</formula>
    </cfRule>
    <cfRule type="expression" priority="2829" dxfId="1">
      <formula>AND(IF($Q246=3,1,0),IF($X246&lt;30,1,0))</formula>
    </cfRule>
    <cfRule type="expression" priority="2830" dxfId="0">
      <formula>AND(IF($Q246=3,1,IF($Q246=4,1,0)),IF($F246&lt;=85,1,0))</formula>
    </cfRule>
  </conditionalFormatting>
  <conditionalFormatting sqref="AV247">
    <cfRule type="expression" priority="2825" dxfId="23">
      <formula>AV247="X"</formula>
    </cfRule>
    <cfRule type="expression" priority="2826" dxfId="22">
      <formula>AV247="후보"</formula>
    </cfRule>
  </conditionalFormatting>
  <conditionalFormatting sqref="AC24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4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47">
    <cfRule type="expression" priority="2817" dxfId="3">
      <formula>AND(IF(OR($Q247=1,$Q247=2),1,0),IF($X247&lt;=20,1,0))</formula>
    </cfRule>
    <cfRule type="expression" priority="2818" dxfId="2">
      <formula>AND(IF($Q247=2,1,0),IF($X247&lt;30,1,0))</formula>
    </cfRule>
    <cfRule type="expression" priority="2819" dxfId="1">
      <formula>AND(IF($Q247=3,1,0),IF($X247&lt;30,1,0))</formula>
    </cfRule>
    <cfRule type="expression" priority="2820" dxfId="0">
      <formula>AND(IF($Q247=3,1,IF($Q247=4,1,0)),IF($F247&lt;=85,1,0))</formula>
    </cfRule>
  </conditionalFormatting>
  <conditionalFormatting sqref="X247">
    <cfRule type="expression" priority="2813" dxfId="3">
      <formula>AND(IF(OR($Q247=1,$Q247=2),1,0),IF($X247&lt;=20,1,0))</formula>
    </cfRule>
    <cfRule type="expression" priority="2814" dxfId="2">
      <formula>AND(IF($Q247=2,1,0),IF($X247&lt;30,1,0))</formula>
    </cfRule>
    <cfRule type="expression" priority="2815" dxfId="1">
      <formula>AND(IF($Q247=3,1,0),IF($X247&lt;30,1,0))</formula>
    </cfRule>
    <cfRule type="expression" priority="2816" dxfId="0">
      <formula>AND(IF($Q247=3,1,IF($Q247=4,1,0)),IF($F247&lt;=85,1,0))</formula>
    </cfRule>
  </conditionalFormatting>
  <conditionalFormatting sqref="AI247">
    <cfRule type="expression" priority="2809" dxfId="3">
      <formula>AND(IF(OR($Q247=1,$Q247=2),1,0),IF($X247&lt;=20,1,0))</formula>
    </cfRule>
    <cfRule type="expression" priority="2810" dxfId="2">
      <formula>AND(IF($Q247=2,1,0),IF($X247&lt;30,1,0))</formula>
    </cfRule>
    <cfRule type="expression" priority="2811" dxfId="1">
      <formula>AND(IF($Q247=3,1,0),IF($X247&lt;30,1,0))</formula>
    </cfRule>
    <cfRule type="expression" priority="2812" dxfId="0">
      <formula>AND(IF($Q247=3,1,IF($Q247=4,1,0)),IF($F247&lt;=85,1,0))</formula>
    </cfRule>
  </conditionalFormatting>
  <conditionalFormatting sqref="AV248">
    <cfRule type="expression" priority="2807" dxfId="23">
      <formula>AV248="X"</formula>
    </cfRule>
    <cfRule type="expression" priority="2808" dxfId="22">
      <formula>AV248="후보"</formula>
    </cfRule>
  </conditionalFormatting>
  <conditionalFormatting sqref="AC24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4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48">
    <cfRule type="expression" priority="2799" dxfId="3">
      <formula>AND(IF(OR($Q248=1,$Q248=2),1,0),IF($X248&lt;=20,1,0))</formula>
    </cfRule>
    <cfRule type="expression" priority="2800" dxfId="2">
      <formula>AND(IF($Q248=2,1,0),IF($X248&lt;30,1,0))</formula>
    </cfRule>
    <cfRule type="expression" priority="2801" dxfId="1">
      <formula>AND(IF($Q248=3,1,0),IF($X248&lt;30,1,0))</formula>
    </cfRule>
    <cfRule type="expression" priority="2802" dxfId="0">
      <formula>AND(IF($Q248=3,1,IF($Q248=4,1,0)),IF($F248&lt;=85,1,0))</formula>
    </cfRule>
  </conditionalFormatting>
  <conditionalFormatting sqref="X248">
    <cfRule type="expression" priority="2795" dxfId="3">
      <formula>AND(IF(OR($Q248=1,$Q248=2),1,0),IF($X248&lt;=20,1,0))</formula>
    </cfRule>
    <cfRule type="expression" priority="2796" dxfId="2">
      <formula>AND(IF($Q248=2,1,0),IF($X248&lt;30,1,0))</formula>
    </cfRule>
    <cfRule type="expression" priority="2797" dxfId="1">
      <formula>AND(IF($Q248=3,1,0),IF($X248&lt;30,1,0))</formula>
    </cfRule>
    <cfRule type="expression" priority="2798" dxfId="0">
      <formula>AND(IF($Q248=3,1,IF($Q248=4,1,0)),IF($F248&lt;=85,1,0))</formula>
    </cfRule>
  </conditionalFormatting>
  <conditionalFormatting sqref="AI248">
    <cfRule type="expression" priority="2791" dxfId="3">
      <formula>AND(IF(OR($Q248=1,$Q248=2),1,0),IF($X248&lt;=20,1,0))</formula>
    </cfRule>
    <cfRule type="expression" priority="2792" dxfId="2">
      <formula>AND(IF($Q248=2,1,0),IF($X248&lt;30,1,0))</formula>
    </cfRule>
    <cfRule type="expression" priority="2793" dxfId="1">
      <formula>AND(IF($Q248=3,1,0),IF($X248&lt;30,1,0))</formula>
    </cfRule>
    <cfRule type="expression" priority="2794" dxfId="0">
      <formula>AND(IF($Q248=3,1,IF($Q248=4,1,0)),IF($F248&lt;=85,1,0))</formula>
    </cfRule>
  </conditionalFormatting>
  <conditionalFormatting sqref="AV249">
    <cfRule type="expression" priority="2789" dxfId="23">
      <formula>AV249="X"</formula>
    </cfRule>
    <cfRule type="expression" priority="2790" dxfId="22">
      <formula>AV249="후보"</formula>
    </cfRule>
  </conditionalFormatting>
  <conditionalFormatting sqref="AC24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4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49">
    <cfRule type="expression" priority="2781" dxfId="3">
      <formula>AND(IF(OR($Q249=1,$Q249=2),1,0),IF($X249&lt;=20,1,0))</formula>
    </cfRule>
    <cfRule type="expression" priority="2782" dxfId="2">
      <formula>AND(IF($Q249=2,1,0),IF($X249&lt;30,1,0))</formula>
    </cfRule>
    <cfRule type="expression" priority="2783" dxfId="1">
      <formula>AND(IF($Q249=3,1,0),IF($X249&lt;30,1,0))</formula>
    </cfRule>
    <cfRule type="expression" priority="2784" dxfId="0">
      <formula>AND(IF($Q249=3,1,IF($Q249=4,1,0)),IF($F249&lt;=85,1,0))</formula>
    </cfRule>
  </conditionalFormatting>
  <conditionalFormatting sqref="X249">
    <cfRule type="expression" priority="2777" dxfId="3">
      <formula>AND(IF(OR($Q249=1,$Q249=2),1,0),IF($X249&lt;=20,1,0))</formula>
    </cfRule>
    <cfRule type="expression" priority="2778" dxfId="2">
      <formula>AND(IF($Q249=2,1,0),IF($X249&lt;30,1,0))</formula>
    </cfRule>
    <cfRule type="expression" priority="2779" dxfId="1">
      <formula>AND(IF($Q249=3,1,0),IF($X249&lt;30,1,0))</formula>
    </cfRule>
    <cfRule type="expression" priority="2780" dxfId="0">
      <formula>AND(IF($Q249=3,1,IF($Q249=4,1,0)),IF($F249&lt;=85,1,0))</formula>
    </cfRule>
  </conditionalFormatting>
  <conditionalFormatting sqref="AI249">
    <cfRule type="expression" priority="2773" dxfId="3">
      <formula>AND(IF(OR($Q249=1,$Q249=2),1,0),IF($X249&lt;=20,1,0))</formula>
    </cfRule>
    <cfRule type="expression" priority="2774" dxfId="2">
      <formula>AND(IF($Q249=2,1,0),IF($X249&lt;30,1,0))</formula>
    </cfRule>
    <cfRule type="expression" priority="2775" dxfId="1">
      <formula>AND(IF($Q249=3,1,0),IF($X249&lt;30,1,0))</formula>
    </cfRule>
    <cfRule type="expression" priority="2776" dxfId="0">
      <formula>AND(IF($Q249=3,1,IF($Q249=4,1,0)),IF($F249&lt;=85,1,0))</formula>
    </cfRule>
  </conditionalFormatting>
  <conditionalFormatting sqref="AV250">
    <cfRule type="expression" priority="2771" dxfId="23">
      <formula>AV250="X"</formula>
    </cfRule>
    <cfRule type="expression" priority="2772" dxfId="22">
      <formula>AV250="후보"</formula>
    </cfRule>
  </conditionalFormatting>
  <conditionalFormatting sqref="AC25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0">
    <cfRule type="expression" priority="2763" dxfId="3">
      <formula>AND(IF(OR($Q250=1,$Q250=2),1,0),IF($X250&lt;=20,1,0))</formula>
    </cfRule>
    <cfRule type="expression" priority="2764" dxfId="2">
      <formula>AND(IF($Q250=2,1,0),IF($X250&lt;30,1,0))</formula>
    </cfRule>
    <cfRule type="expression" priority="2765" dxfId="1">
      <formula>AND(IF($Q250=3,1,0),IF($X250&lt;30,1,0))</formula>
    </cfRule>
    <cfRule type="expression" priority="2766" dxfId="0">
      <formula>AND(IF($Q250=3,1,IF($Q250=4,1,0)),IF($F250&lt;=85,1,0))</formula>
    </cfRule>
  </conditionalFormatting>
  <conditionalFormatting sqref="X250">
    <cfRule type="expression" priority="2759" dxfId="3">
      <formula>AND(IF(OR($Q250=1,$Q250=2),1,0),IF($X250&lt;=20,1,0))</formula>
    </cfRule>
    <cfRule type="expression" priority="2760" dxfId="2">
      <formula>AND(IF($Q250=2,1,0),IF($X250&lt;30,1,0))</formula>
    </cfRule>
    <cfRule type="expression" priority="2761" dxfId="1">
      <formula>AND(IF($Q250=3,1,0),IF($X250&lt;30,1,0))</formula>
    </cfRule>
    <cfRule type="expression" priority="2762" dxfId="0">
      <formula>AND(IF($Q250=3,1,IF($Q250=4,1,0)),IF($F250&lt;=85,1,0))</formula>
    </cfRule>
  </conditionalFormatting>
  <conditionalFormatting sqref="AI250">
    <cfRule type="expression" priority="2755" dxfId="3">
      <formula>AND(IF(OR($Q250=1,$Q250=2),1,0),IF($X250&lt;=20,1,0))</formula>
    </cfRule>
    <cfRule type="expression" priority="2756" dxfId="2">
      <formula>AND(IF($Q250=2,1,0),IF($X250&lt;30,1,0))</formula>
    </cfRule>
    <cfRule type="expression" priority="2757" dxfId="1">
      <formula>AND(IF($Q250=3,1,0),IF($X250&lt;30,1,0))</formula>
    </cfRule>
    <cfRule type="expression" priority="2758" dxfId="0">
      <formula>AND(IF($Q250=3,1,IF($Q250=4,1,0)),IF($F250&lt;=85,1,0))</formula>
    </cfRule>
  </conditionalFormatting>
  <conditionalFormatting sqref="AV251">
    <cfRule type="expression" priority="2753" dxfId="23">
      <formula>AV251="X"</formula>
    </cfRule>
    <cfRule type="expression" priority="2754" dxfId="22">
      <formula>AV251="후보"</formula>
    </cfRule>
  </conditionalFormatting>
  <conditionalFormatting sqref="AC25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1">
    <cfRule type="expression" priority="2745" dxfId="3">
      <formula>AND(IF(OR($Q251=1,$Q251=2),1,0),IF($X251&lt;=20,1,0))</formula>
    </cfRule>
    <cfRule type="expression" priority="2746" dxfId="2">
      <formula>AND(IF($Q251=2,1,0),IF($X251&lt;30,1,0))</formula>
    </cfRule>
    <cfRule type="expression" priority="2747" dxfId="1">
      <formula>AND(IF($Q251=3,1,0),IF($X251&lt;30,1,0))</formula>
    </cfRule>
    <cfRule type="expression" priority="2748" dxfId="0">
      <formula>AND(IF($Q251=3,1,IF($Q251=4,1,0)),IF($F251&lt;=85,1,0))</formula>
    </cfRule>
  </conditionalFormatting>
  <conditionalFormatting sqref="X251">
    <cfRule type="expression" priority="2741" dxfId="3">
      <formula>AND(IF(OR($Q251=1,$Q251=2),1,0),IF($X251&lt;=20,1,0))</formula>
    </cfRule>
    <cfRule type="expression" priority="2742" dxfId="2">
      <formula>AND(IF($Q251=2,1,0),IF($X251&lt;30,1,0))</formula>
    </cfRule>
    <cfRule type="expression" priority="2743" dxfId="1">
      <formula>AND(IF($Q251=3,1,0),IF($X251&lt;30,1,0))</formula>
    </cfRule>
    <cfRule type="expression" priority="2744" dxfId="0">
      <formula>AND(IF($Q251=3,1,IF($Q251=4,1,0)),IF($F251&lt;=85,1,0))</formula>
    </cfRule>
  </conditionalFormatting>
  <conditionalFormatting sqref="AI251">
    <cfRule type="expression" priority="2737" dxfId="3">
      <formula>AND(IF(OR($Q251=1,$Q251=2),1,0),IF($X251&lt;=20,1,0))</formula>
    </cfRule>
    <cfRule type="expression" priority="2738" dxfId="2">
      <formula>AND(IF($Q251=2,1,0),IF($X251&lt;30,1,0))</formula>
    </cfRule>
    <cfRule type="expression" priority="2739" dxfId="1">
      <formula>AND(IF($Q251=3,1,0),IF($X251&lt;30,1,0))</formula>
    </cfRule>
    <cfRule type="expression" priority="2740" dxfId="0">
      <formula>AND(IF($Q251=3,1,IF($Q251=4,1,0)),IF($F251&lt;=85,1,0))</formula>
    </cfRule>
  </conditionalFormatting>
  <conditionalFormatting sqref="AV252">
    <cfRule type="expression" priority="2735" dxfId="23">
      <formula>AV252="X"</formula>
    </cfRule>
    <cfRule type="expression" priority="2736" dxfId="22">
      <formula>AV252="후보"</formula>
    </cfRule>
  </conditionalFormatting>
  <conditionalFormatting sqref="AC25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2">
    <cfRule type="expression" priority="2727" dxfId="3">
      <formula>AND(IF(OR($Q252=1,$Q252=2),1,0),IF($X252&lt;=20,1,0))</formula>
    </cfRule>
    <cfRule type="expression" priority="2728" dxfId="2">
      <formula>AND(IF($Q252=2,1,0),IF($X252&lt;30,1,0))</formula>
    </cfRule>
    <cfRule type="expression" priority="2729" dxfId="1">
      <formula>AND(IF($Q252=3,1,0),IF($X252&lt;30,1,0))</formula>
    </cfRule>
    <cfRule type="expression" priority="2730" dxfId="0">
      <formula>AND(IF($Q252=3,1,IF($Q252=4,1,0)),IF($F252&lt;=85,1,0))</formula>
    </cfRule>
  </conditionalFormatting>
  <conditionalFormatting sqref="X252">
    <cfRule type="expression" priority="2723" dxfId="3">
      <formula>AND(IF(OR($Q252=1,$Q252=2),1,0),IF($X252&lt;=20,1,0))</formula>
    </cfRule>
    <cfRule type="expression" priority="2724" dxfId="2">
      <formula>AND(IF($Q252=2,1,0),IF($X252&lt;30,1,0))</formula>
    </cfRule>
    <cfRule type="expression" priority="2725" dxfId="1">
      <formula>AND(IF($Q252=3,1,0),IF($X252&lt;30,1,0))</formula>
    </cfRule>
    <cfRule type="expression" priority="2726" dxfId="0">
      <formula>AND(IF($Q252=3,1,IF($Q252=4,1,0)),IF($F252&lt;=85,1,0))</formula>
    </cfRule>
  </conditionalFormatting>
  <conditionalFormatting sqref="AI252">
    <cfRule type="expression" priority="2719" dxfId="3">
      <formula>AND(IF(OR($Q252=1,$Q252=2),1,0),IF($X252&lt;=20,1,0))</formula>
    </cfRule>
    <cfRule type="expression" priority="2720" dxfId="2">
      <formula>AND(IF($Q252=2,1,0),IF($X252&lt;30,1,0))</formula>
    </cfRule>
    <cfRule type="expression" priority="2721" dxfId="1">
      <formula>AND(IF($Q252=3,1,0),IF($X252&lt;30,1,0))</formula>
    </cfRule>
    <cfRule type="expression" priority="2722" dxfId="0">
      <formula>AND(IF($Q252=3,1,IF($Q252=4,1,0)),IF($F252&lt;=85,1,0))</formula>
    </cfRule>
  </conditionalFormatting>
  <conditionalFormatting sqref="AV253">
    <cfRule type="expression" priority="2717" dxfId="23">
      <formula>AV253="X"</formula>
    </cfRule>
    <cfRule type="expression" priority="2718" dxfId="22">
      <formula>AV253="후보"</formula>
    </cfRule>
  </conditionalFormatting>
  <conditionalFormatting sqref="AC25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3">
    <cfRule type="expression" priority="2709" dxfId="3">
      <formula>AND(IF(OR($Q253=1,$Q253=2),1,0),IF($X253&lt;=20,1,0))</formula>
    </cfRule>
    <cfRule type="expression" priority="2710" dxfId="2">
      <formula>AND(IF($Q253=2,1,0),IF($X253&lt;30,1,0))</formula>
    </cfRule>
    <cfRule type="expression" priority="2711" dxfId="1">
      <formula>AND(IF($Q253=3,1,0),IF($X253&lt;30,1,0))</formula>
    </cfRule>
    <cfRule type="expression" priority="2712" dxfId="0">
      <formula>AND(IF($Q253=3,1,IF($Q253=4,1,0)),IF($F253&lt;=85,1,0))</formula>
    </cfRule>
  </conditionalFormatting>
  <conditionalFormatting sqref="X253">
    <cfRule type="expression" priority="2705" dxfId="3">
      <formula>AND(IF(OR($Q253=1,$Q253=2),1,0),IF($X253&lt;=20,1,0))</formula>
    </cfRule>
    <cfRule type="expression" priority="2706" dxfId="2">
      <formula>AND(IF($Q253=2,1,0),IF($X253&lt;30,1,0))</formula>
    </cfRule>
    <cfRule type="expression" priority="2707" dxfId="1">
      <formula>AND(IF($Q253=3,1,0),IF($X253&lt;30,1,0))</formula>
    </cfRule>
    <cfRule type="expression" priority="2708" dxfId="0">
      <formula>AND(IF($Q253=3,1,IF($Q253=4,1,0)),IF($F253&lt;=85,1,0))</formula>
    </cfRule>
  </conditionalFormatting>
  <conditionalFormatting sqref="AI253">
    <cfRule type="expression" priority="2701" dxfId="3">
      <formula>AND(IF(OR($Q253=1,$Q253=2),1,0),IF($X253&lt;=20,1,0))</formula>
    </cfRule>
    <cfRule type="expression" priority="2702" dxfId="2">
      <formula>AND(IF($Q253=2,1,0),IF($X253&lt;30,1,0))</formula>
    </cfRule>
    <cfRule type="expression" priority="2703" dxfId="1">
      <formula>AND(IF($Q253=3,1,0),IF($X253&lt;30,1,0))</formula>
    </cfRule>
    <cfRule type="expression" priority="2704" dxfId="0">
      <formula>AND(IF($Q253=3,1,IF($Q253=4,1,0)),IF($F253&lt;=85,1,0))</formula>
    </cfRule>
  </conditionalFormatting>
  <conditionalFormatting sqref="AV254">
    <cfRule type="expression" priority="2699" dxfId="23">
      <formula>AV254="X"</formula>
    </cfRule>
    <cfRule type="expression" priority="2700" dxfId="22">
      <formula>AV254="후보"</formula>
    </cfRule>
  </conditionalFormatting>
  <conditionalFormatting sqref="AC25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5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54">
    <cfRule type="expression" priority="2691" dxfId="3">
      <formula>AND(IF(OR($Q254=1,$Q254=2),1,0),IF($X254&lt;=20,1,0))</formula>
    </cfRule>
    <cfRule type="expression" priority="2692" dxfId="2">
      <formula>AND(IF($Q254=2,1,0),IF($X254&lt;30,1,0))</formula>
    </cfRule>
    <cfRule type="expression" priority="2693" dxfId="1">
      <formula>AND(IF($Q254=3,1,0),IF($X254&lt;30,1,0))</formula>
    </cfRule>
    <cfRule type="expression" priority="2694" dxfId="0">
      <formula>AND(IF($Q254=3,1,IF($Q254=4,1,0)),IF($F254&lt;=85,1,0))</formula>
    </cfRule>
  </conditionalFormatting>
  <conditionalFormatting sqref="X254">
    <cfRule type="expression" priority="2687" dxfId="3">
      <formula>AND(IF(OR($Q254=1,$Q254=2),1,0),IF($X254&lt;=20,1,0))</formula>
    </cfRule>
    <cfRule type="expression" priority="2688" dxfId="2">
      <formula>AND(IF($Q254=2,1,0),IF($X254&lt;30,1,0))</formula>
    </cfRule>
    <cfRule type="expression" priority="2689" dxfId="1">
      <formula>AND(IF($Q254=3,1,0),IF($X254&lt;30,1,0))</formula>
    </cfRule>
    <cfRule type="expression" priority="2690" dxfId="0">
      <formula>AND(IF($Q254=3,1,IF($Q254=4,1,0)),IF($F254&lt;=85,1,0))</formula>
    </cfRule>
  </conditionalFormatting>
  <conditionalFormatting sqref="AI254">
    <cfRule type="expression" priority="2683" dxfId="3">
      <formula>AND(IF(OR($Q254=1,$Q254=2),1,0),IF($X254&lt;=20,1,0))</formula>
    </cfRule>
    <cfRule type="expression" priority="2684" dxfId="2">
      <formula>AND(IF($Q254=2,1,0),IF($X254&lt;30,1,0))</formula>
    </cfRule>
    <cfRule type="expression" priority="2685" dxfId="1">
      <formula>AND(IF($Q254=3,1,0),IF($X254&lt;30,1,0))</formula>
    </cfRule>
    <cfRule type="expression" priority="2686" dxfId="0">
      <formula>AND(IF($Q254=3,1,IF($Q254=4,1,0)),IF($F254&lt;=85,1,0))</formula>
    </cfRule>
  </conditionalFormatting>
  <conditionalFormatting sqref="AV255">
    <cfRule type="expression" priority="2681" dxfId="23">
      <formula>AV255="X"</formula>
    </cfRule>
    <cfRule type="expression" priority="2682" dxfId="22">
      <formula>AV255="후보"</formula>
    </cfRule>
  </conditionalFormatting>
  <conditionalFormatting sqref="AC25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5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55">
    <cfRule type="expression" priority="2673" dxfId="3">
      <formula>AND(IF(OR($Q255=1,$Q255=2),1,0),IF($X255&lt;=20,1,0))</formula>
    </cfRule>
    <cfRule type="expression" priority="2674" dxfId="2">
      <formula>AND(IF($Q255=2,1,0),IF($X255&lt;30,1,0))</formula>
    </cfRule>
    <cfRule type="expression" priority="2675" dxfId="1">
      <formula>AND(IF($Q255=3,1,0),IF($X255&lt;30,1,0))</formula>
    </cfRule>
    <cfRule type="expression" priority="2676" dxfId="0">
      <formula>AND(IF($Q255=3,1,IF($Q255=4,1,0)),IF($F255&lt;=85,1,0))</formula>
    </cfRule>
  </conditionalFormatting>
  <conditionalFormatting sqref="X255">
    <cfRule type="expression" priority="2669" dxfId="3">
      <formula>AND(IF(OR($Q255=1,$Q255=2),1,0),IF($X255&lt;=20,1,0))</formula>
    </cfRule>
    <cfRule type="expression" priority="2670" dxfId="2">
      <formula>AND(IF($Q255=2,1,0),IF($X255&lt;30,1,0))</formula>
    </cfRule>
    <cfRule type="expression" priority="2671" dxfId="1">
      <formula>AND(IF($Q255=3,1,0),IF($X255&lt;30,1,0))</formula>
    </cfRule>
    <cfRule type="expression" priority="2672" dxfId="0">
      <formula>AND(IF($Q255=3,1,IF($Q255=4,1,0)),IF($F255&lt;=85,1,0))</formula>
    </cfRule>
  </conditionalFormatting>
  <conditionalFormatting sqref="AI255">
    <cfRule type="expression" priority="2665" dxfId="3">
      <formula>AND(IF(OR($Q255=1,$Q255=2),1,0),IF($X255&lt;=20,1,0))</formula>
    </cfRule>
    <cfRule type="expression" priority="2666" dxfId="2">
      <formula>AND(IF($Q255=2,1,0),IF($X255&lt;30,1,0))</formula>
    </cfRule>
    <cfRule type="expression" priority="2667" dxfId="1">
      <formula>AND(IF($Q255=3,1,0),IF($X255&lt;30,1,0))</formula>
    </cfRule>
    <cfRule type="expression" priority="2668" dxfId="0">
      <formula>AND(IF($Q255=3,1,IF($Q255=4,1,0)),IF($F255&lt;=85,1,0))</formula>
    </cfRule>
  </conditionalFormatting>
  <conditionalFormatting sqref="AV256">
    <cfRule type="expression" priority="2663" dxfId="23">
      <formula>AV256="X"</formula>
    </cfRule>
    <cfRule type="expression" priority="2664" dxfId="22">
      <formula>AV256="후보"</formula>
    </cfRule>
  </conditionalFormatting>
  <conditionalFormatting sqref="AC25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5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56">
    <cfRule type="expression" priority="2655" dxfId="3">
      <formula>AND(IF(OR($Q256=1,$Q256=2),1,0),IF($X256&lt;=20,1,0))</formula>
    </cfRule>
    <cfRule type="expression" priority="2656" dxfId="2">
      <formula>AND(IF($Q256=2,1,0),IF($X256&lt;30,1,0))</formula>
    </cfRule>
    <cfRule type="expression" priority="2657" dxfId="1">
      <formula>AND(IF($Q256=3,1,0),IF($X256&lt;30,1,0))</formula>
    </cfRule>
    <cfRule type="expression" priority="2658" dxfId="0">
      <formula>AND(IF($Q256=3,1,IF($Q256=4,1,0)),IF($F256&lt;=85,1,0))</formula>
    </cfRule>
  </conditionalFormatting>
  <conditionalFormatting sqref="X256">
    <cfRule type="expression" priority="2651" dxfId="3">
      <formula>AND(IF(OR($Q256=1,$Q256=2),1,0),IF($X256&lt;=20,1,0))</formula>
    </cfRule>
    <cfRule type="expression" priority="2652" dxfId="2">
      <formula>AND(IF($Q256=2,1,0),IF($X256&lt;30,1,0))</formula>
    </cfRule>
    <cfRule type="expression" priority="2653" dxfId="1">
      <formula>AND(IF($Q256=3,1,0),IF($X256&lt;30,1,0))</formula>
    </cfRule>
    <cfRule type="expression" priority="2654" dxfId="0">
      <formula>AND(IF($Q256=3,1,IF($Q256=4,1,0)),IF($F256&lt;=85,1,0))</formula>
    </cfRule>
  </conditionalFormatting>
  <conditionalFormatting sqref="AI256">
    <cfRule type="expression" priority="2647" dxfId="3">
      <formula>AND(IF(OR($Q256=1,$Q256=2),1,0),IF($X256&lt;=20,1,0))</formula>
    </cfRule>
    <cfRule type="expression" priority="2648" dxfId="2">
      <formula>AND(IF($Q256=2,1,0),IF($X256&lt;30,1,0))</formula>
    </cfRule>
    <cfRule type="expression" priority="2649" dxfId="1">
      <formula>AND(IF($Q256=3,1,0),IF($X256&lt;30,1,0))</formula>
    </cfRule>
    <cfRule type="expression" priority="2650" dxfId="0">
      <formula>AND(IF($Q256=3,1,IF($Q256=4,1,0)),IF($F256&lt;=85,1,0))</formula>
    </cfRule>
  </conditionalFormatting>
  <conditionalFormatting sqref="AV257">
    <cfRule type="expression" priority="2645" dxfId="23">
      <formula>AV257="X"</formula>
    </cfRule>
    <cfRule type="expression" priority="2646" dxfId="22">
      <formula>AV257="후보"</formula>
    </cfRule>
  </conditionalFormatting>
  <conditionalFormatting sqref="AC25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5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57">
    <cfRule type="expression" priority="2637" dxfId="3">
      <formula>AND(IF(OR($Q257=1,$Q257=2),1,0),IF($X257&lt;=20,1,0))</formula>
    </cfRule>
    <cfRule type="expression" priority="2638" dxfId="2">
      <formula>AND(IF($Q257=2,1,0),IF($X257&lt;30,1,0))</formula>
    </cfRule>
    <cfRule type="expression" priority="2639" dxfId="1">
      <formula>AND(IF($Q257=3,1,0),IF($X257&lt;30,1,0))</formula>
    </cfRule>
    <cfRule type="expression" priority="2640" dxfId="0">
      <formula>AND(IF($Q257=3,1,IF($Q257=4,1,0)),IF($F257&lt;=85,1,0))</formula>
    </cfRule>
  </conditionalFormatting>
  <conditionalFormatting sqref="X257">
    <cfRule type="expression" priority="2633" dxfId="3">
      <formula>AND(IF(OR($Q257=1,$Q257=2),1,0),IF($X257&lt;=20,1,0))</formula>
    </cfRule>
    <cfRule type="expression" priority="2634" dxfId="2">
      <formula>AND(IF($Q257=2,1,0),IF($X257&lt;30,1,0))</formula>
    </cfRule>
    <cfRule type="expression" priority="2635" dxfId="1">
      <formula>AND(IF($Q257=3,1,0),IF($X257&lt;30,1,0))</formula>
    </cfRule>
    <cfRule type="expression" priority="2636" dxfId="0">
      <formula>AND(IF($Q257=3,1,IF($Q257=4,1,0)),IF($F257&lt;=85,1,0))</formula>
    </cfRule>
  </conditionalFormatting>
  <conditionalFormatting sqref="AI257">
    <cfRule type="expression" priority="2629" dxfId="3">
      <formula>AND(IF(OR($Q257=1,$Q257=2),1,0),IF($X257&lt;=20,1,0))</formula>
    </cfRule>
    <cfRule type="expression" priority="2630" dxfId="2">
      <formula>AND(IF($Q257=2,1,0),IF($X257&lt;30,1,0))</formula>
    </cfRule>
    <cfRule type="expression" priority="2631" dxfId="1">
      <formula>AND(IF($Q257=3,1,0),IF($X257&lt;30,1,0))</formula>
    </cfRule>
    <cfRule type="expression" priority="2632" dxfId="0">
      <formula>AND(IF($Q257=3,1,IF($Q257=4,1,0)),IF($F257&lt;=85,1,0))</formula>
    </cfRule>
  </conditionalFormatting>
  <conditionalFormatting sqref="AV258">
    <cfRule type="expression" priority="2627" dxfId="23">
      <formula>AV258="X"</formula>
    </cfRule>
    <cfRule type="expression" priority="2628" dxfId="22">
      <formula>AV258="후보"</formula>
    </cfRule>
  </conditionalFormatting>
  <conditionalFormatting sqref="AC25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5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58">
    <cfRule type="expression" priority="2619" dxfId="3">
      <formula>AND(IF(OR($Q258=1,$Q258=2),1,0),IF($X258&lt;=20,1,0))</formula>
    </cfRule>
    <cfRule type="expression" priority="2620" dxfId="2">
      <formula>AND(IF($Q258=2,1,0),IF($X258&lt;30,1,0))</formula>
    </cfRule>
    <cfRule type="expression" priority="2621" dxfId="1">
      <formula>AND(IF($Q258=3,1,0),IF($X258&lt;30,1,0))</formula>
    </cfRule>
    <cfRule type="expression" priority="2622" dxfId="0">
      <formula>AND(IF($Q258=3,1,IF($Q258=4,1,0)),IF($F258&lt;=85,1,0))</formula>
    </cfRule>
  </conditionalFormatting>
  <conditionalFormatting sqref="X258">
    <cfRule type="expression" priority="2615" dxfId="3">
      <formula>AND(IF(OR($Q258=1,$Q258=2),1,0),IF($X258&lt;=20,1,0))</formula>
    </cfRule>
    <cfRule type="expression" priority="2616" dxfId="2">
      <formula>AND(IF($Q258=2,1,0),IF($X258&lt;30,1,0))</formula>
    </cfRule>
    <cfRule type="expression" priority="2617" dxfId="1">
      <formula>AND(IF($Q258=3,1,0),IF($X258&lt;30,1,0))</formula>
    </cfRule>
    <cfRule type="expression" priority="2618" dxfId="0">
      <formula>AND(IF($Q258=3,1,IF($Q258=4,1,0)),IF($F258&lt;=85,1,0))</formula>
    </cfRule>
  </conditionalFormatting>
  <conditionalFormatting sqref="AI258">
    <cfRule type="expression" priority="2611" dxfId="3">
      <formula>AND(IF(OR($Q258=1,$Q258=2),1,0),IF($X258&lt;=20,1,0))</formula>
    </cfRule>
    <cfRule type="expression" priority="2612" dxfId="2">
      <formula>AND(IF($Q258=2,1,0),IF($X258&lt;30,1,0))</formula>
    </cfRule>
    <cfRule type="expression" priority="2613" dxfId="1">
      <formula>AND(IF($Q258=3,1,0),IF($X258&lt;30,1,0))</formula>
    </cfRule>
    <cfRule type="expression" priority="2614" dxfId="0">
      <formula>AND(IF($Q258=3,1,IF($Q258=4,1,0)),IF($F258&lt;=85,1,0))</formula>
    </cfRule>
  </conditionalFormatting>
  <conditionalFormatting sqref="AV259">
    <cfRule type="expression" priority="2609" dxfId="23">
      <formula>AV259="X"</formula>
    </cfRule>
    <cfRule type="expression" priority="2610" dxfId="22">
      <formula>AV259="후보"</formula>
    </cfRule>
  </conditionalFormatting>
  <conditionalFormatting sqref="AC25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5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59">
    <cfRule type="expression" priority="2601" dxfId="3">
      <formula>AND(IF(OR($Q259=1,$Q259=2),1,0),IF($X259&lt;=20,1,0))</formula>
    </cfRule>
    <cfRule type="expression" priority="2602" dxfId="2">
      <formula>AND(IF($Q259=2,1,0),IF($X259&lt;30,1,0))</formula>
    </cfRule>
    <cfRule type="expression" priority="2603" dxfId="1">
      <formula>AND(IF($Q259=3,1,0),IF($X259&lt;30,1,0))</formula>
    </cfRule>
    <cfRule type="expression" priority="2604" dxfId="0">
      <formula>AND(IF($Q259=3,1,IF($Q259=4,1,0)),IF($F259&lt;=85,1,0))</formula>
    </cfRule>
  </conditionalFormatting>
  <conditionalFormatting sqref="X259">
    <cfRule type="expression" priority="2597" dxfId="3">
      <formula>AND(IF(OR($Q259=1,$Q259=2),1,0),IF($X259&lt;=20,1,0))</formula>
    </cfRule>
    <cfRule type="expression" priority="2598" dxfId="2">
      <formula>AND(IF($Q259=2,1,0),IF($X259&lt;30,1,0))</formula>
    </cfRule>
    <cfRule type="expression" priority="2599" dxfId="1">
      <formula>AND(IF($Q259=3,1,0),IF($X259&lt;30,1,0))</formula>
    </cfRule>
    <cfRule type="expression" priority="2600" dxfId="0">
      <formula>AND(IF($Q259=3,1,IF($Q259=4,1,0)),IF($F259&lt;=85,1,0))</formula>
    </cfRule>
  </conditionalFormatting>
  <conditionalFormatting sqref="AI259">
    <cfRule type="expression" priority="2593" dxfId="3">
      <formula>AND(IF(OR($Q259=1,$Q259=2),1,0),IF($X259&lt;=20,1,0))</formula>
    </cfRule>
    <cfRule type="expression" priority="2594" dxfId="2">
      <formula>AND(IF($Q259=2,1,0),IF($X259&lt;30,1,0))</formula>
    </cfRule>
    <cfRule type="expression" priority="2595" dxfId="1">
      <formula>AND(IF($Q259=3,1,0),IF($X259&lt;30,1,0))</formula>
    </cfRule>
    <cfRule type="expression" priority="2596" dxfId="0">
      <formula>AND(IF($Q259=3,1,IF($Q259=4,1,0)),IF($F259&lt;=85,1,0))</formula>
    </cfRule>
  </conditionalFormatting>
  <conditionalFormatting sqref="AV260">
    <cfRule type="expression" priority="2591" dxfId="23">
      <formula>AV260="X"</formula>
    </cfRule>
    <cfRule type="expression" priority="2592" dxfId="22">
      <formula>AV260="후보"</formula>
    </cfRule>
  </conditionalFormatting>
  <conditionalFormatting sqref="AC26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0">
    <cfRule type="expression" priority="2583" dxfId="3">
      <formula>AND(IF(OR($Q260=1,$Q260=2),1,0),IF($X260&lt;=20,1,0))</formula>
    </cfRule>
    <cfRule type="expression" priority="2584" dxfId="2">
      <formula>AND(IF($Q260=2,1,0),IF($X260&lt;30,1,0))</formula>
    </cfRule>
    <cfRule type="expression" priority="2585" dxfId="1">
      <formula>AND(IF($Q260=3,1,0),IF($X260&lt;30,1,0))</formula>
    </cfRule>
    <cfRule type="expression" priority="2586" dxfId="0">
      <formula>AND(IF($Q260=3,1,IF($Q260=4,1,0)),IF($F260&lt;=85,1,0))</formula>
    </cfRule>
  </conditionalFormatting>
  <conditionalFormatting sqref="X260">
    <cfRule type="expression" priority="2579" dxfId="3">
      <formula>AND(IF(OR($Q260=1,$Q260=2),1,0),IF($X260&lt;=20,1,0))</formula>
    </cfRule>
    <cfRule type="expression" priority="2580" dxfId="2">
      <formula>AND(IF($Q260=2,1,0),IF($X260&lt;30,1,0))</formula>
    </cfRule>
    <cfRule type="expression" priority="2581" dxfId="1">
      <formula>AND(IF($Q260=3,1,0),IF($X260&lt;30,1,0))</formula>
    </cfRule>
    <cfRule type="expression" priority="2582" dxfId="0">
      <formula>AND(IF($Q260=3,1,IF($Q260=4,1,0)),IF($F260&lt;=85,1,0))</formula>
    </cfRule>
  </conditionalFormatting>
  <conditionalFormatting sqref="AI260">
    <cfRule type="expression" priority="2575" dxfId="3">
      <formula>AND(IF(OR($Q260=1,$Q260=2),1,0),IF($X260&lt;=20,1,0))</formula>
    </cfRule>
    <cfRule type="expression" priority="2576" dxfId="2">
      <formula>AND(IF($Q260=2,1,0),IF($X260&lt;30,1,0))</formula>
    </cfRule>
    <cfRule type="expression" priority="2577" dxfId="1">
      <formula>AND(IF($Q260=3,1,0),IF($X260&lt;30,1,0))</formula>
    </cfRule>
    <cfRule type="expression" priority="2578" dxfId="0">
      <formula>AND(IF($Q260=3,1,IF($Q260=4,1,0)),IF($F260&lt;=85,1,0))</formula>
    </cfRule>
  </conditionalFormatting>
  <conditionalFormatting sqref="AV261">
    <cfRule type="expression" priority="2573" dxfId="23">
      <formula>AV261="X"</formula>
    </cfRule>
    <cfRule type="expression" priority="2574" dxfId="22">
      <formula>AV261="후보"</formula>
    </cfRule>
  </conditionalFormatting>
  <conditionalFormatting sqref="AC26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1">
    <cfRule type="expression" priority="2565" dxfId="3">
      <formula>AND(IF(OR($Q261=1,$Q261=2),1,0),IF($X261&lt;=20,1,0))</formula>
    </cfRule>
    <cfRule type="expression" priority="2566" dxfId="2">
      <formula>AND(IF($Q261=2,1,0),IF($X261&lt;30,1,0))</formula>
    </cfRule>
    <cfRule type="expression" priority="2567" dxfId="1">
      <formula>AND(IF($Q261=3,1,0),IF($X261&lt;30,1,0))</formula>
    </cfRule>
    <cfRule type="expression" priority="2568" dxfId="0">
      <formula>AND(IF($Q261=3,1,IF($Q261=4,1,0)),IF($F261&lt;=85,1,0))</formula>
    </cfRule>
  </conditionalFormatting>
  <conditionalFormatting sqref="X261">
    <cfRule type="expression" priority="2561" dxfId="3">
      <formula>AND(IF(OR($Q261=1,$Q261=2),1,0),IF($X261&lt;=20,1,0))</formula>
    </cfRule>
    <cfRule type="expression" priority="2562" dxfId="2">
      <formula>AND(IF($Q261=2,1,0),IF($X261&lt;30,1,0))</formula>
    </cfRule>
    <cfRule type="expression" priority="2563" dxfId="1">
      <formula>AND(IF($Q261=3,1,0),IF($X261&lt;30,1,0))</formula>
    </cfRule>
    <cfRule type="expression" priority="2564" dxfId="0">
      <formula>AND(IF($Q261=3,1,IF($Q261=4,1,0)),IF($F261&lt;=85,1,0))</formula>
    </cfRule>
  </conditionalFormatting>
  <conditionalFormatting sqref="AI261">
    <cfRule type="expression" priority="2557" dxfId="3">
      <formula>AND(IF(OR($Q261=1,$Q261=2),1,0),IF($X261&lt;=20,1,0))</formula>
    </cfRule>
    <cfRule type="expression" priority="2558" dxfId="2">
      <formula>AND(IF($Q261=2,1,0),IF($X261&lt;30,1,0))</formula>
    </cfRule>
    <cfRule type="expression" priority="2559" dxfId="1">
      <formula>AND(IF($Q261=3,1,0),IF($X261&lt;30,1,0))</formula>
    </cfRule>
    <cfRule type="expression" priority="2560" dxfId="0">
      <formula>AND(IF($Q261=3,1,IF($Q261=4,1,0)),IF($F261&lt;=85,1,0))</formula>
    </cfRule>
  </conditionalFormatting>
  <conditionalFormatting sqref="AV262">
    <cfRule type="expression" priority="2555" dxfId="23">
      <formula>AV262="X"</formula>
    </cfRule>
    <cfRule type="expression" priority="2556" dxfId="22">
      <formula>AV262="후보"</formula>
    </cfRule>
  </conditionalFormatting>
  <conditionalFormatting sqref="AC26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2">
    <cfRule type="expression" priority="2547" dxfId="3">
      <formula>AND(IF(OR($Q262=1,$Q262=2),1,0),IF($X262&lt;=20,1,0))</formula>
    </cfRule>
    <cfRule type="expression" priority="2548" dxfId="2">
      <formula>AND(IF($Q262=2,1,0),IF($X262&lt;30,1,0))</formula>
    </cfRule>
    <cfRule type="expression" priority="2549" dxfId="1">
      <formula>AND(IF($Q262=3,1,0),IF($X262&lt;30,1,0))</formula>
    </cfRule>
    <cfRule type="expression" priority="2550" dxfId="0">
      <formula>AND(IF($Q262=3,1,IF($Q262=4,1,0)),IF($F262&lt;=85,1,0))</formula>
    </cfRule>
  </conditionalFormatting>
  <conditionalFormatting sqref="X262">
    <cfRule type="expression" priority="2543" dxfId="3">
      <formula>AND(IF(OR($Q262=1,$Q262=2),1,0),IF($X262&lt;=20,1,0))</formula>
    </cfRule>
    <cfRule type="expression" priority="2544" dxfId="2">
      <formula>AND(IF($Q262=2,1,0),IF($X262&lt;30,1,0))</formula>
    </cfRule>
    <cfRule type="expression" priority="2545" dxfId="1">
      <formula>AND(IF($Q262=3,1,0),IF($X262&lt;30,1,0))</formula>
    </cfRule>
    <cfRule type="expression" priority="2546" dxfId="0">
      <formula>AND(IF($Q262=3,1,IF($Q262=4,1,0)),IF($F262&lt;=85,1,0))</formula>
    </cfRule>
  </conditionalFormatting>
  <conditionalFormatting sqref="AI262">
    <cfRule type="expression" priority="2539" dxfId="3">
      <formula>AND(IF(OR($Q262=1,$Q262=2),1,0),IF($X262&lt;=20,1,0))</formula>
    </cfRule>
    <cfRule type="expression" priority="2540" dxfId="2">
      <formula>AND(IF($Q262=2,1,0),IF($X262&lt;30,1,0))</formula>
    </cfRule>
    <cfRule type="expression" priority="2541" dxfId="1">
      <formula>AND(IF($Q262=3,1,0),IF($X262&lt;30,1,0))</formula>
    </cfRule>
    <cfRule type="expression" priority="2542" dxfId="0">
      <formula>AND(IF($Q262=3,1,IF($Q262=4,1,0)),IF($F262&lt;=85,1,0))</formula>
    </cfRule>
  </conditionalFormatting>
  <conditionalFormatting sqref="AV263">
    <cfRule type="expression" priority="2537" dxfId="23">
      <formula>AV263="X"</formula>
    </cfRule>
    <cfRule type="expression" priority="2538" dxfId="22">
      <formula>AV263="후보"</formula>
    </cfRule>
  </conditionalFormatting>
  <conditionalFormatting sqref="AC26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3">
    <cfRule type="expression" priority="2529" dxfId="3">
      <formula>AND(IF(OR($Q263=1,$Q263=2),1,0),IF($X263&lt;=20,1,0))</formula>
    </cfRule>
    <cfRule type="expression" priority="2530" dxfId="2">
      <formula>AND(IF($Q263=2,1,0),IF($X263&lt;30,1,0))</formula>
    </cfRule>
    <cfRule type="expression" priority="2531" dxfId="1">
      <formula>AND(IF($Q263=3,1,0),IF($X263&lt;30,1,0))</formula>
    </cfRule>
    <cfRule type="expression" priority="2532" dxfId="0">
      <formula>AND(IF($Q263=3,1,IF($Q263=4,1,0)),IF($F263&lt;=85,1,0))</formula>
    </cfRule>
  </conditionalFormatting>
  <conditionalFormatting sqref="X263">
    <cfRule type="expression" priority="2525" dxfId="3">
      <formula>AND(IF(OR($Q263=1,$Q263=2),1,0),IF($X263&lt;=20,1,0))</formula>
    </cfRule>
    <cfRule type="expression" priority="2526" dxfId="2">
      <formula>AND(IF($Q263=2,1,0),IF($X263&lt;30,1,0))</formula>
    </cfRule>
    <cfRule type="expression" priority="2527" dxfId="1">
      <formula>AND(IF($Q263=3,1,0),IF($X263&lt;30,1,0))</formula>
    </cfRule>
    <cfRule type="expression" priority="2528" dxfId="0">
      <formula>AND(IF($Q263=3,1,IF($Q263=4,1,0)),IF($F263&lt;=85,1,0))</formula>
    </cfRule>
  </conditionalFormatting>
  <conditionalFormatting sqref="AI263">
    <cfRule type="expression" priority="2521" dxfId="3">
      <formula>AND(IF(OR($Q263=1,$Q263=2),1,0),IF($X263&lt;=20,1,0))</formula>
    </cfRule>
    <cfRule type="expression" priority="2522" dxfId="2">
      <formula>AND(IF($Q263=2,1,0),IF($X263&lt;30,1,0))</formula>
    </cfRule>
    <cfRule type="expression" priority="2523" dxfId="1">
      <formula>AND(IF($Q263=3,1,0),IF($X263&lt;30,1,0))</formula>
    </cfRule>
    <cfRule type="expression" priority="2524" dxfId="0">
      <formula>AND(IF($Q263=3,1,IF($Q263=4,1,0)),IF($F263&lt;=85,1,0))</formula>
    </cfRule>
  </conditionalFormatting>
  <conditionalFormatting sqref="AV264">
    <cfRule type="expression" priority="2519" dxfId="23">
      <formula>AV264="X"</formula>
    </cfRule>
    <cfRule type="expression" priority="2520" dxfId="22">
      <formula>AV264="후보"</formula>
    </cfRule>
  </conditionalFormatting>
  <conditionalFormatting sqref="AC26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6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64">
    <cfRule type="expression" priority="2511" dxfId="3">
      <formula>AND(IF(OR($Q264=1,$Q264=2),1,0),IF($X264&lt;=20,1,0))</formula>
    </cfRule>
    <cfRule type="expression" priority="2512" dxfId="2">
      <formula>AND(IF($Q264=2,1,0),IF($X264&lt;30,1,0))</formula>
    </cfRule>
    <cfRule type="expression" priority="2513" dxfId="1">
      <formula>AND(IF($Q264=3,1,0),IF($X264&lt;30,1,0))</formula>
    </cfRule>
    <cfRule type="expression" priority="2514" dxfId="0">
      <formula>AND(IF($Q264=3,1,IF($Q264=4,1,0)),IF($F264&lt;=85,1,0))</formula>
    </cfRule>
  </conditionalFormatting>
  <conditionalFormatting sqref="X264">
    <cfRule type="expression" priority="2507" dxfId="3">
      <formula>AND(IF(OR($Q264=1,$Q264=2),1,0),IF($X264&lt;=20,1,0))</formula>
    </cfRule>
    <cfRule type="expression" priority="2508" dxfId="2">
      <formula>AND(IF($Q264=2,1,0),IF($X264&lt;30,1,0))</formula>
    </cfRule>
    <cfRule type="expression" priority="2509" dxfId="1">
      <formula>AND(IF($Q264=3,1,0),IF($X264&lt;30,1,0))</formula>
    </cfRule>
    <cfRule type="expression" priority="2510" dxfId="0">
      <formula>AND(IF($Q264=3,1,IF($Q264=4,1,0)),IF($F264&lt;=85,1,0))</formula>
    </cfRule>
  </conditionalFormatting>
  <conditionalFormatting sqref="AI264">
    <cfRule type="expression" priority="2503" dxfId="3">
      <formula>AND(IF(OR($Q264=1,$Q264=2),1,0),IF($X264&lt;=20,1,0))</formula>
    </cfRule>
    <cfRule type="expression" priority="2504" dxfId="2">
      <formula>AND(IF($Q264=2,1,0),IF($X264&lt;30,1,0))</formula>
    </cfRule>
    <cfRule type="expression" priority="2505" dxfId="1">
      <formula>AND(IF($Q264=3,1,0),IF($X264&lt;30,1,0))</formula>
    </cfRule>
    <cfRule type="expression" priority="2506" dxfId="0">
      <formula>AND(IF($Q264=3,1,IF($Q264=4,1,0)),IF($F264&lt;=85,1,0))</formula>
    </cfRule>
  </conditionalFormatting>
  <conditionalFormatting sqref="AV265">
    <cfRule type="expression" priority="2501" dxfId="23">
      <formula>AV265="X"</formula>
    </cfRule>
    <cfRule type="expression" priority="2502" dxfId="22">
      <formula>AV265="후보"</formula>
    </cfRule>
  </conditionalFormatting>
  <conditionalFormatting sqref="AC26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6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65">
    <cfRule type="expression" priority="2493" dxfId="3">
      <formula>AND(IF(OR($Q265=1,$Q265=2),1,0),IF($X265&lt;=20,1,0))</formula>
    </cfRule>
    <cfRule type="expression" priority="2494" dxfId="2">
      <formula>AND(IF($Q265=2,1,0),IF($X265&lt;30,1,0))</formula>
    </cfRule>
    <cfRule type="expression" priority="2495" dxfId="1">
      <formula>AND(IF($Q265=3,1,0),IF($X265&lt;30,1,0))</formula>
    </cfRule>
    <cfRule type="expression" priority="2496" dxfId="0">
      <formula>AND(IF($Q265=3,1,IF($Q265=4,1,0)),IF($F265&lt;=85,1,0))</formula>
    </cfRule>
  </conditionalFormatting>
  <conditionalFormatting sqref="X265">
    <cfRule type="expression" priority="2489" dxfId="3">
      <formula>AND(IF(OR($Q265=1,$Q265=2),1,0),IF($X265&lt;=20,1,0))</formula>
    </cfRule>
    <cfRule type="expression" priority="2490" dxfId="2">
      <formula>AND(IF($Q265=2,1,0),IF($X265&lt;30,1,0))</formula>
    </cfRule>
    <cfRule type="expression" priority="2491" dxfId="1">
      <formula>AND(IF($Q265=3,1,0),IF($X265&lt;30,1,0))</formula>
    </cfRule>
    <cfRule type="expression" priority="2492" dxfId="0">
      <formula>AND(IF($Q265=3,1,IF($Q265=4,1,0)),IF($F265&lt;=85,1,0))</formula>
    </cfRule>
  </conditionalFormatting>
  <conditionalFormatting sqref="AI265">
    <cfRule type="expression" priority="2485" dxfId="3">
      <formula>AND(IF(OR($Q265=1,$Q265=2),1,0),IF($X265&lt;=20,1,0))</formula>
    </cfRule>
    <cfRule type="expression" priority="2486" dxfId="2">
      <formula>AND(IF($Q265=2,1,0),IF($X265&lt;30,1,0))</formula>
    </cfRule>
    <cfRule type="expression" priority="2487" dxfId="1">
      <formula>AND(IF($Q265=3,1,0),IF($X265&lt;30,1,0))</formula>
    </cfRule>
    <cfRule type="expression" priority="2488" dxfId="0">
      <formula>AND(IF($Q265=3,1,IF($Q265=4,1,0)),IF($F265&lt;=85,1,0))</formula>
    </cfRule>
  </conditionalFormatting>
  <conditionalFormatting sqref="AV266">
    <cfRule type="expression" priority="2483" dxfId="23">
      <formula>AV266="X"</formula>
    </cfRule>
    <cfRule type="expression" priority="2484" dxfId="22">
      <formula>AV266="후보"</formula>
    </cfRule>
  </conditionalFormatting>
  <conditionalFormatting sqref="AC26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6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66">
    <cfRule type="expression" priority="2475" dxfId="3">
      <formula>AND(IF(OR($Q266=1,$Q266=2),1,0),IF($X266&lt;=20,1,0))</formula>
    </cfRule>
    <cfRule type="expression" priority="2476" dxfId="2">
      <formula>AND(IF($Q266=2,1,0),IF($X266&lt;30,1,0))</formula>
    </cfRule>
    <cfRule type="expression" priority="2477" dxfId="1">
      <formula>AND(IF($Q266=3,1,0),IF($X266&lt;30,1,0))</formula>
    </cfRule>
    <cfRule type="expression" priority="2478" dxfId="0">
      <formula>AND(IF($Q266=3,1,IF($Q266=4,1,0)),IF($F266&lt;=85,1,0))</formula>
    </cfRule>
  </conditionalFormatting>
  <conditionalFormatting sqref="X266">
    <cfRule type="expression" priority="2471" dxfId="3">
      <formula>AND(IF(OR($Q266=1,$Q266=2),1,0),IF($X266&lt;=20,1,0))</formula>
    </cfRule>
    <cfRule type="expression" priority="2472" dxfId="2">
      <formula>AND(IF($Q266=2,1,0),IF($X266&lt;30,1,0))</formula>
    </cfRule>
    <cfRule type="expression" priority="2473" dxfId="1">
      <formula>AND(IF($Q266=3,1,0),IF($X266&lt;30,1,0))</formula>
    </cfRule>
    <cfRule type="expression" priority="2474" dxfId="0">
      <formula>AND(IF($Q266=3,1,IF($Q266=4,1,0)),IF($F266&lt;=85,1,0))</formula>
    </cfRule>
  </conditionalFormatting>
  <conditionalFormatting sqref="AI266">
    <cfRule type="expression" priority="2467" dxfId="3">
      <formula>AND(IF(OR($Q266=1,$Q266=2),1,0),IF($X266&lt;=20,1,0))</formula>
    </cfRule>
    <cfRule type="expression" priority="2468" dxfId="2">
      <formula>AND(IF($Q266=2,1,0),IF($X266&lt;30,1,0))</formula>
    </cfRule>
    <cfRule type="expression" priority="2469" dxfId="1">
      <formula>AND(IF($Q266=3,1,0),IF($X266&lt;30,1,0))</formula>
    </cfRule>
    <cfRule type="expression" priority="2470" dxfId="0">
      <formula>AND(IF($Q266=3,1,IF($Q266=4,1,0)),IF($F266&lt;=85,1,0))</formula>
    </cfRule>
  </conditionalFormatting>
  <conditionalFormatting sqref="AV267">
    <cfRule type="expression" priority="2465" dxfId="23">
      <formula>AV267="X"</formula>
    </cfRule>
    <cfRule type="expression" priority="2466" dxfId="22">
      <formula>AV267="후보"</formula>
    </cfRule>
  </conditionalFormatting>
  <conditionalFormatting sqref="AC26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6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67">
    <cfRule type="expression" priority="2457" dxfId="3">
      <formula>AND(IF(OR($Q267=1,$Q267=2),1,0),IF($X267&lt;=20,1,0))</formula>
    </cfRule>
    <cfRule type="expression" priority="2458" dxfId="2">
      <formula>AND(IF($Q267=2,1,0),IF($X267&lt;30,1,0))</formula>
    </cfRule>
    <cfRule type="expression" priority="2459" dxfId="1">
      <formula>AND(IF($Q267=3,1,0),IF($X267&lt;30,1,0))</formula>
    </cfRule>
    <cfRule type="expression" priority="2460" dxfId="0">
      <formula>AND(IF($Q267=3,1,IF($Q267=4,1,0)),IF($F267&lt;=85,1,0))</formula>
    </cfRule>
  </conditionalFormatting>
  <conditionalFormatting sqref="X267">
    <cfRule type="expression" priority="2453" dxfId="3">
      <formula>AND(IF(OR($Q267=1,$Q267=2),1,0),IF($X267&lt;=20,1,0))</formula>
    </cfRule>
    <cfRule type="expression" priority="2454" dxfId="2">
      <formula>AND(IF($Q267=2,1,0),IF($X267&lt;30,1,0))</formula>
    </cfRule>
    <cfRule type="expression" priority="2455" dxfId="1">
      <formula>AND(IF($Q267=3,1,0),IF($X267&lt;30,1,0))</formula>
    </cfRule>
    <cfRule type="expression" priority="2456" dxfId="0">
      <formula>AND(IF($Q267=3,1,IF($Q267=4,1,0)),IF($F267&lt;=85,1,0))</formula>
    </cfRule>
  </conditionalFormatting>
  <conditionalFormatting sqref="AI267">
    <cfRule type="expression" priority="2449" dxfId="3">
      <formula>AND(IF(OR($Q267=1,$Q267=2),1,0),IF($X267&lt;=20,1,0))</formula>
    </cfRule>
    <cfRule type="expression" priority="2450" dxfId="2">
      <formula>AND(IF($Q267=2,1,0),IF($X267&lt;30,1,0))</formula>
    </cfRule>
    <cfRule type="expression" priority="2451" dxfId="1">
      <formula>AND(IF($Q267=3,1,0),IF($X267&lt;30,1,0))</formula>
    </cfRule>
    <cfRule type="expression" priority="2452" dxfId="0">
      <formula>AND(IF($Q267=3,1,IF($Q267=4,1,0)),IF($F267&lt;=85,1,0))</formula>
    </cfRule>
  </conditionalFormatting>
  <conditionalFormatting sqref="AV268">
    <cfRule type="expression" priority="2447" dxfId="23">
      <formula>AV268="X"</formula>
    </cfRule>
    <cfRule type="expression" priority="2448" dxfId="22">
      <formula>AV268="후보"</formula>
    </cfRule>
  </conditionalFormatting>
  <conditionalFormatting sqref="AC26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6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68">
    <cfRule type="expression" priority="2439" dxfId="3">
      <formula>AND(IF(OR($Q268=1,$Q268=2),1,0),IF($X268&lt;=20,1,0))</formula>
    </cfRule>
    <cfRule type="expression" priority="2440" dxfId="2">
      <formula>AND(IF($Q268=2,1,0),IF($X268&lt;30,1,0))</formula>
    </cfRule>
    <cfRule type="expression" priority="2441" dxfId="1">
      <formula>AND(IF($Q268=3,1,0),IF($X268&lt;30,1,0))</formula>
    </cfRule>
    <cfRule type="expression" priority="2442" dxfId="0">
      <formula>AND(IF($Q268=3,1,IF($Q268=4,1,0)),IF($F268&lt;=85,1,0))</formula>
    </cfRule>
  </conditionalFormatting>
  <conditionalFormatting sqref="X268">
    <cfRule type="expression" priority="2435" dxfId="3">
      <formula>AND(IF(OR($Q268=1,$Q268=2),1,0),IF($X268&lt;=20,1,0))</formula>
    </cfRule>
    <cfRule type="expression" priority="2436" dxfId="2">
      <formula>AND(IF($Q268=2,1,0),IF($X268&lt;30,1,0))</formula>
    </cfRule>
    <cfRule type="expression" priority="2437" dxfId="1">
      <formula>AND(IF($Q268=3,1,0),IF($X268&lt;30,1,0))</formula>
    </cfRule>
    <cfRule type="expression" priority="2438" dxfId="0">
      <formula>AND(IF($Q268=3,1,IF($Q268=4,1,0)),IF($F268&lt;=85,1,0))</formula>
    </cfRule>
  </conditionalFormatting>
  <conditionalFormatting sqref="AI268">
    <cfRule type="expression" priority="2431" dxfId="3">
      <formula>AND(IF(OR($Q268=1,$Q268=2),1,0),IF($X268&lt;=20,1,0))</formula>
    </cfRule>
    <cfRule type="expression" priority="2432" dxfId="2">
      <formula>AND(IF($Q268=2,1,0),IF($X268&lt;30,1,0))</formula>
    </cfRule>
    <cfRule type="expression" priority="2433" dxfId="1">
      <formula>AND(IF($Q268=3,1,0),IF($X268&lt;30,1,0))</formula>
    </cfRule>
    <cfRule type="expression" priority="2434" dxfId="0">
      <formula>AND(IF($Q268=3,1,IF($Q268=4,1,0)),IF($F268&lt;=85,1,0))</formula>
    </cfRule>
  </conditionalFormatting>
  <conditionalFormatting sqref="AV269">
    <cfRule type="expression" priority="2429" dxfId="23">
      <formula>AV269="X"</formula>
    </cfRule>
    <cfRule type="expression" priority="2430" dxfId="22">
      <formula>AV269="후보"</formula>
    </cfRule>
  </conditionalFormatting>
  <conditionalFormatting sqref="AC26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6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69">
    <cfRule type="expression" priority="2421" dxfId="3">
      <formula>AND(IF(OR($Q269=1,$Q269=2),1,0),IF($X269&lt;=20,1,0))</formula>
    </cfRule>
    <cfRule type="expression" priority="2422" dxfId="2">
      <formula>AND(IF($Q269=2,1,0),IF($X269&lt;30,1,0))</formula>
    </cfRule>
    <cfRule type="expression" priority="2423" dxfId="1">
      <formula>AND(IF($Q269=3,1,0),IF($X269&lt;30,1,0))</formula>
    </cfRule>
    <cfRule type="expression" priority="2424" dxfId="0">
      <formula>AND(IF($Q269=3,1,IF($Q269=4,1,0)),IF($F269&lt;=85,1,0))</formula>
    </cfRule>
  </conditionalFormatting>
  <conditionalFormatting sqref="X269">
    <cfRule type="expression" priority="2417" dxfId="3">
      <formula>AND(IF(OR($Q269=1,$Q269=2),1,0),IF($X269&lt;=20,1,0))</formula>
    </cfRule>
    <cfRule type="expression" priority="2418" dxfId="2">
      <formula>AND(IF($Q269=2,1,0),IF($X269&lt;30,1,0))</formula>
    </cfRule>
    <cfRule type="expression" priority="2419" dxfId="1">
      <formula>AND(IF($Q269=3,1,0),IF($X269&lt;30,1,0))</formula>
    </cfRule>
    <cfRule type="expression" priority="2420" dxfId="0">
      <formula>AND(IF($Q269=3,1,IF($Q269=4,1,0)),IF($F269&lt;=85,1,0))</formula>
    </cfRule>
  </conditionalFormatting>
  <conditionalFormatting sqref="AI269">
    <cfRule type="expression" priority="2413" dxfId="3">
      <formula>AND(IF(OR($Q269=1,$Q269=2),1,0),IF($X269&lt;=20,1,0))</formula>
    </cfRule>
    <cfRule type="expression" priority="2414" dxfId="2">
      <formula>AND(IF($Q269=2,1,0),IF($X269&lt;30,1,0))</formula>
    </cfRule>
    <cfRule type="expression" priority="2415" dxfId="1">
      <formula>AND(IF($Q269=3,1,0),IF($X269&lt;30,1,0))</formula>
    </cfRule>
    <cfRule type="expression" priority="2416" dxfId="0">
      <formula>AND(IF($Q269=3,1,IF($Q269=4,1,0)),IF($F269&lt;=85,1,0))</formula>
    </cfRule>
  </conditionalFormatting>
  <conditionalFormatting sqref="AV270">
    <cfRule type="expression" priority="2411" dxfId="23">
      <formula>AV270="X"</formula>
    </cfRule>
    <cfRule type="expression" priority="2412" dxfId="22">
      <formula>AV270="후보"</formula>
    </cfRule>
  </conditionalFormatting>
  <conditionalFormatting sqref="AC27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0">
    <cfRule type="expression" priority="2403" dxfId="3">
      <formula>AND(IF(OR($Q270=1,$Q270=2),1,0),IF($X270&lt;=20,1,0))</formula>
    </cfRule>
    <cfRule type="expression" priority="2404" dxfId="2">
      <formula>AND(IF($Q270=2,1,0),IF($X270&lt;30,1,0))</formula>
    </cfRule>
    <cfRule type="expression" priority="2405" dxfId="1">
      <formula>AND(IF($Q270=3,1,0),IF($X270&lt;30,1,0))</formula>
    </cfRule>
    <cfRule type="expression" priority="2406" dxfId="0">
      <formula>AND(IF($Q270=3,1,IF($Q270=4,1,0)),IF($F270&lt;=85,1,0))</formula>
    </cfRule>
  </conditionalFormatting>
  <conditionalFormatting sqref="X270">
    <cfRule type="expression" priority="2399" dxfId="3">
      <formula>AND(IF(OR($Q270=1,$Q270=2),1,0),IF($X270&lt;=20,1,0))</formula>
    </cfRule>
    <cfRule type="expression" priority="2400" dxfId="2">
      <formula>AND(IF($Q270=2,1,0),IF($X270&lt;30,1,0))</formula>
    </cfRule>
    <cfRule type="expression" priority="2401" dxfId="1">
      <formula>AND(IF($Q270=3,1,0),IF($X270&lt;30,1,0))</formula>
    </cfRule>
    <cfRule type="expression" priority="2402" dxfId="0">
      <formula>AND(IF($Q270=3,1,IF($Q270=4,1,0)),IF($F270&lt;=85,1,0))</formula>
    </cfRule>
  </conditionalFormatting>
  <conditionalFormatting sqref="AI270">
    <cfRule type="expression" priority="2395" dxfId="3">
      <formula>AND(IF(OR($Q270=1,$Q270=2),1,0),IF($X270&lt;=20,1,0))</formula>
    </cfRule>
    <cfRule type="expression" priority="2396" dxfId="2">
      <formula>AND(IF($Q270=2,1,0),IF($X270&lt;30,1,0))</formula>
    </cfRule>
    <cfRule type="expression" priority="2397" dxfId="1">
      <formula>AND(IF($Q270=3,1,0),IF($X270&lt;30,1,0))</formula>
    </cfRule>
    <cfRule type="expression" priority="2398" dxfId="0">
      <formula>AND(IF($Q270=3,1,IF($Q270=4,1,0)),IF($F270&lt;=85,1,0))</formula>
    </cfRule>
  </conditionalFormatting>
  <conditionalFormatting sqref="AV271">
    <cfRule type="expression" priority="2393" dxfId="23">
      <formula>AV271="X"</formula>
    </cfRule>
    <cfRule type="expression" priority="2394" dxfId="22">
      <formula>AV271="후보"</formula>
    </cfRule>
  </conditionalFormatting>
  <conditionalFormatting sqref="AC27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1">
    <cfRule type="expression" priority="2385" dxfId="3">
      <formula>AND(IF(OR($Q271=1,$Q271=2),1,0),IF($X271&lt;=20,1,0))</formula>
    </cfRule>
    <cfRule type="expression" priority="2386" dxfId="2">
      <formula>AND(IF($Q271=2,1,0),IF($X271&lt;30,1,0))</formula>
    </cfRule>
    <cfRule type="expression" priority="2387" dxfId="1">
      <formula>AND(IF($Q271=3,1,0),IF($X271&lt;30,1,0))</formula>
    </cfRule>
    <cfRule type="expression" priority="2388" dxfId="0">
      <formula>AND(IF($Q271=3,1,IF($Q271=4,1,0)),IF($F271&lt;=85,1,0))</formula>
    </cfRule>
  </conditionalFormatting>
  <conditionalFormatting sqref="X271">
    <cfRule type="expression" priority="2381" dxfId="3">
      <formula>AND(IF(OR($Q271=1,$Q271=2),1,0),IF($X271&lt;=20,1,0))</formula>
    </cfRule>
    <cfRule type="expression" priority="2382" dxfId="2">
      <formula>AND(IF($Q271=2,1,0),IF($X271&lt;30,1,0))</formula>
    </cfRule>
    <cfRule type="expression" priority="2383" dxfId="1">
      <formula>AND(IF($Q271=3,1,0),IF($X271&lt;30,1,0))</formula>
    </cfRule>
    <cfRule type="expression" priority="2384" dxfId="0">
      <formula>AND(IF($Q271=3,1,IF($Q271=4,1,0)),IF($F271&lt;=85,1,0))</formula>
    </cfRule>
  </conditionalFormatting>
  <conditionalFormatting sqref="AI271">
    <cfRule type="expression" priority="2377" dxfId="3">
      <formula>AND(IF(OR($Q271=1,$Q271=2),1,0),IF($X271&lt;=20,1,0))</formula>
    </cfRule>
    <cfRule type="expression" priority="2378" dxfId="2">
      <formula>AND(IF($Q271=2,1,0),IF($X271&lt;30,1,0))</formula>
    </cfRule>
    <cfRule type="expression" priority="2379" dxfId="1">
      <formula>AND(IF($Q271=3,1,0),IF($X271&lt;30,1,0))</formula>
    </cfRule>
    <cfRule type="expression" priority="2380" dxfId="0">
      <formula>AND(IF($Q271=3,1,IF($Q271=4,1,0)),IF($F271&lt;=85,1,0))</formula>
    </cfRule>
  </conditionalFormatting>
  <conditionalFormatting sqref="AV272">
    <cfRule type="expression" priority="2375" dxfId="23">
      <formula>AV272="X"</formula>
    </cfRule>
    <cfRule type="expression" priority="2376" dxfId="22">
      <formula>AV272="후보"</formula>
    </cfRule>
  </conditionalFormatting>
  <conditionalFormatting sqref="AC27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2">
    <cfRule type="expression" priority="2367" dxfId="3">
      <formula>AND(IF(OR($Q272=1,$Q272=2),1,0),IF($X272&lt;=20,1,0))</formula>
    </cfRule>
    <cfRule type="expression" priority="2368" dxfId="2">
      <formula>AND(IF($Q272=2,1,0),IF($X272&lt;30,1,0))</formula>
    </cfRule>
    <cfRule type="expression" priority="2369" dxfId="1">
      <formula>AND(IF($Q272=3,1,0),IF($X272&lt;30,1,0))</formula>
    </cfRule>
    <cfRule type="expression" priority="2370" dxfId="0">
      <formula>AND(IF($Q272=3,1,IF($Q272=4,1,0)),IF($F272&lt;=85,1,0))</formula>
    </cfRule>
  </conditionalFormatting>
  <conditionalFormatting sqref="X272">
    <cfRule type="expression" priority="2363" dxfId="3">
      <formula>AND(IF(OR($Q272=1,$Q272=2),1,0),IF($X272&lt;=20,1,0))</formula>
    </cfRule>
    <cfRule type="expression" priority="2364" dxfId="2">
      <formula>AND(IF($Q272=2,1,0),IF($X272&lt;30,1,0))</formula>
    </cfRule>
    <cfRule type="expression" priority="2365" dxfId="1">
      <formula>AND(IF($Q272=3,1,0),IF($X272&lt;30,1,0))</formula>
    </cfRule>
    <cfRule type="expression" priority="2366" dxfId="0">
      <formula>AND(IF($Q272=3,1,IF($Q272=4,1,0)),IF($F272&lt;=85,1,0))</formula>
    </cfRule>
  </conditionalFormatting>
  <conditionalFormatting sqref="AI272">
    <cfRule type="expression" priority="2359" dxfId="3">
      <formula>AND(IF(OR($Q272=1,$Q272=2),1,0),IF($X272&lt;=20,1,0))</formula>
    </cfRule>
    <cfRule type="expression" priority="2360" dxfId="2">
      <formula>AND(IF($Q272=2,1,0),IF($X272&lt;30,1,0))</formula>
    </cfRule>
    <cfRule type="expression" priority="2361" dxfId="1">
      <formula>AND(IF($Q272=3,1,0),IF($X272&lt;30,1,0))</formula>
    </cfRule>
    <cfRule type="expression" priority="2362" dxfId="0">
      <formula>AND(IF($Q272=3,1,IF($Q272=4,1,0)),IF($F272&lt;=85,1,0))</formula>
    </cfRule>
  </conditionalFormatting>
  <conditionalFormatting sqref="AV273">
    <cfRule type="expression" priority="2357" dxfId="23">
      <formula>AV273="X"</formula>
    </cfRule>
    <cfRule type="expression" priority="2358" dxfId="22">
      <formula>AV273="후보"</formula>
    </cfRule>
  </conditionalFormatting>
  <conditionalFormatting sqref="AC27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3">
    <cfRule type="expression" priority="2349" dxfId="3">
      <formula>AND(IF(OR($Q273=1,$Q273=2),1,0),IF($X273&lt;=20,1,0))</formula>
    </cfRule>
    <cfRule type="expression" priority="2350" dxfId="2">
      <formula>AND(IF($Q273=2,1,0),IF($X273&lt;30,1,0))</formula>
    </cfRule>
    <cfRule type="expression" priority="2351" dxfId="1">
      <formula>AND(IF($Q273=3,1,0),IF($X273&lt;30,1,0))</formula>
    </cfRule>
    <cfRule type="expression" priority="2352" dxfId="0">
      <formula>AND(IF($Q273=3,1,IF($Q273=4,1,0)),IF($F273&lt;=85,1,0))</formula>
    </cfRule>
  </conditionalFormatting>
  <conditionalFormatting sqref="X273">
    <cfRule type="expression" priority="2345" dxfId="3">
      <formula>AND(IF(OR($Q273=1,$Q273=2),1,0),IF($X273&lt;=20,1,0))</formula>
    </cfRule>
    <cfRule type="expression" priority="2346" dxfId="2">
      <formula>AND(IF($Q273=2,1,0),IF($X273&lt;30,1,0))</formula>
    </cfRule>
    <cfRule type="expression" priority="2347" dxfId="1">
      <formula>AND(IF($Q273=3,1,0),IF($X273&lt;30,1,0))</formula>
    </cfRule>
    <cfRule type="expression" priority="2348" dxfId="0">
      <formula>AND(IF($Q273=3,1,IF($Q273=4,1,0)),IF($F273&lt;=85,1,0))</formula>
    </cfRule>
  </conditionalFormatting>
  <conditionalFormatting sqref="AI273">
    <cfRule type="expression" priority="2341" dxfId="3">
      <formula>AND(IF(OR($Q273=1,$Q273=2),1,0),IF($X273&lt;=20,1,0))</formula>
    </cfRule>
    <cfRule type="expression" priority="2342" dxfId="2">
      <formula>AND(IF($Q273=2,1,0),IF($X273&lt;30,1,0))</formula>
    </cfRule>
    <cfRule type="expression" priority="2343" dxfId="1">
      <formula>AND(IF($Q273=3,1,0),IF($X273&lt;30,1,0))</formula>
    </cfRule>
    <cfRule type="expression" priority="2344" dxfId="0">
      <formula>AND(IF($Q273=3,1,IF($Q273=4,1,0)),IF($F273&lt;=85,1,0))</formula>
    </cfRule>
  </conditionalFormatting>
  <conditionalFormatting sqref="AV274">
    <cfRule type="expression" priority="2339" dxfId="23">
      <formula>AV274="X"</formula>
    </cfRule>
    <cfRule type="expression" priority="2340" dxfId="22">
      <formula>AV274="후보"</formula>
    </cfRule>
  </conditionalFormatting>
  <conditionalFormatting sqref="AC27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7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74">
    <cfRule type="expression" priority="2331" dxfId="3">
      <formula>AND(IF(OR($Q274=1,$Q274=2),1,0),IF($X274&lt;=20,1,0))</formula>
    </cfRule>
    <cfRule type="expression" priority="2332" dxfId="2">
      <formula>AND(IF($Q274=2,1,0),IF($X274&lt;30,1,0))</formula>
    </cfRule>
    <cfRule type="expression" priority="2333" dxfId="1">
      <formula>AND(IF($Q274=3,1,0),IF($X274&lt;30,1,0))</formula>
    </cfRule>
    <cfRule type="expression" priority="2334" dxfId="0">
      <formula>AND(IF($Q274=3,1,IF($Q274=4,1,0)),IF($F274&lt;=85,1,0))</formula>
    </cfRule>
  </conditionalFormatting>
  <conditionalFormatting sqref="X274">
    <cfRule type="expression" priority="2327" dxfId="3">
      <formula>AND(IF(OR($Q274=1,$Q274=2),1,0),IF($X274&lt;=20,1,0))</formula>
    </cfRule>
    <cfRule type="expression" priority="2328" dxfId="2">
      <formula>AND(IF($Q274=2,1,0),IF($X274&lt;30,1,0))</formula>
    </cfRule>
    <cfRule type="expression" priority="2329" dxfId="1">
      <formula>AND(IF($Q274=3,1,0),IF($X274&lt;30,1,0))</formula>
    </cfRule>
    <cfRule type="expression" priority="2330" dxfId="0">
      <formula>AND(IF($Q274=3,1,IF($Q274=4,1,0)),IF($F274&lt;=85,1,0))</formula>
    </cfRule>
  </conditionalFormatting>
  <conditionalFormatting sqref="AI274">
    <cfRule type="expression" priority="2323" dxfId="3">
      <formula>AND(IF(OR($Q274=1,$Q274=2),1,0),IF($X274&lt;=20,1,0))</formula>
    </cfRule>
    <cfRule type="expression" priority="2324" dxfId="2">
      <formula>AND(IF($Q274=2,1,0),IF($X274&lt;30,1,0))</formula>
    </cfRule>
    <cfRule type="expression" priority="2325" dxfId="1">
      <formula>AND(IF($Q274=3,1,0),IF($X274&lt;30,1,0))</formula>
    </cfRule>
    <cfRule type="expression" priority="2326" dxfId="0">
      <formula>AND(IF($Q274=3,1,IF($Q274=4,1,0)),IF($F274&lt;=85,1,0))</formula>
    </cfRule>
  </conditionalFormatting>
  <conditionalFormatting sqref="AV275">
    <cfRule type="expression" priority="2321" dxfId="23">
      <formula>AV275="X"</formula>
    </cfRule>
    <cfRule type="expression" priority="2322" dxfId="22">
      <formula>AV275="후보"</formula>
    </cfRule>
  </conditionalFormatting>
  <conditionalFormatting sqref="AC27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7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75">
    <cfRule type="expression" priority="2313" dxfId="3">
      <formula>AND(IF(OR($Q275=1,$Q275=2),1,0),IF($X275&lt;=20,1,0))</formula>
    </cfRule>
    <cfRule type="expression" priority="2314" dxfId="2">
      <formula>AND(IF($Q275=2,1,0),IF($X275&lt;30,1,0))</formula>
    </cfRule>
    <cfRule type="expression" priority="2315" dxfId="1">
      <formula>AND(IF($Q275=3,1,0),IF($X275&lt;30,1,0))</formula>
    </cfRule>
    <cfRule type="expression" priority="2316" dxfId="0">
      <formula>AND(IF($Q275=3,1,IF($Q275=4,1,0)),IF($F275&lt;=85,1,0))</formula>
    </cfRule>
  </conditionalFormatting>
  <conditionalFormatting sqref="X275">
    <cfRule type="expression" priority="2309" dxfId="3">
      <formula>AND(IF(OR($Q275=1,$Q275=2),1,0),IF($X275&lt;=20,1,0))</formula>
    </cfRule>
    <cfRule type="expression" priority="2310" dxfId="2">
      <formula>AND(IF($Q275=2,1,0),IF($X275&lt;30,1,0))</formula>
    </cfRule>
    <cfRule type="expression" priority="2311" dxfId="1">
      <formula>AND(IF($Q275=3,1,0),IF($X275&lt;30,1,0))</formula>
    </cfRule>
    <cfRule type="expression" priority="2312" dxfId="0">
      <formula>AND(IF($Q275=3,1,IF($Q275=4,1,0)),IF($F275&lt;=85,1,0))</formula>
    </cfRule>
  </conditionalFormatting>
  <conditionalFormatting sqref="AI275">
    <cfRule type="expression" priority="2305" dxfId="3">
      <formula>AND(IF(OR($Q275=1,$Q275=2),1,0),IF($X275&lt;=20,1,0))</formula>
    </cfRule>
    <cfRule type="expression" priority="2306" dxfId="2">
      <formula>AND(IF($Q275=2,1,0),IF($X275&lt;30,1,0))</formula>
    </cfRule>
    <cfRule type="expression" priority="2307" dxfId="1">
      <formula>AND(IF($Q275=3,1,0),IF($X275&lt;30,1,0))</formula>
    </cfRule>
    <cfRule type="expression" priority="2308" dxfId="0">
      <formula>AND(IF($Q275=3,1,IF($Q275=4,1,0)),IF($F275&lt;=85,1,0))</formula>
    </cfRule>
  </conditionalFormatting>
  <conditionalFormatting sqref="AV276">
    <cfRule type="expression" priority="2303" dxfId="23">
      <formula>AV276="X"</formula>
    </cfRule>
    <cfRule type="expression" priority="2304" dxfId="22">
      <formula>AV276="후보"</formula>
    </cfRule>
  </conditionalFormatting>
  <conditionalFormatting sqref="AC27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7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76">
    <cfRule type="expression" priority="2295" dxfId="3">
      <formula>AND(IF(OR($Q276=1,$Q276=2),1,0),IF($X276&lt;=20,1,0))</formula>
    </cfRule>
    <cfRule type="expression" priority="2296" dxfId="2">
      <formula>AND(IF($Q276=2,1,0),IF($X276&lt;30,1,0))</formula>
    </cfRule>
    <cfRule type="expression" priority="2297" dxfId="1">
      <formula>AND(IF($Q276=3,1,0),IF($X276&lt;30,1,0))</formula>
    </cfRule>
    <cfRule type="expression" priority="2298" dxfId="0">
      <formula>AND(IF($Q276=3,1,IF($Q276=4,1,0)),IF($F276&lt;=85,1,0))</formula>
    </cfRule>
  </conditionalFormatting>
  <conditionalFormatting sqref="X276">
    <cfRule type="expression" priority="2291" dxfId="3">
      <formula>AND(IF(OR($Q276=1,$Q276=2),1,0),IF($X276&lt;=20,1,0))</formula>
    </cfRule>
    <cfRule type="expression" priority="2292" dxfId="2">
      <formula>AND(IF($Q276=2,1,0),IF($X276&lt;30,1,0))</formula>
    </cfRule>
    <cfRule type="expression" priority="2293" dxfId="1">
      <formula>AND(IF($Q276=3,1,0),IF($X276&lt;30,1,0))</formula>
    </cfRule>
    <cfRule type="expression" priority="2294" dxfId="0">
      <formula>AND(IF($Q276=3,1,IF($Q276=4,1,0)),IF($F276&lt;=85,1,0))</formula>
    </cfRule>
  </conditionalFormatting>
  <conditionalFormatting sqref="AI276">
    <cfRule type="expression" priority="2287" dxfId="3">
      <formula>AND(IF(OR($Q276=1,$Q276=2),1,0),IF($X276&lt;=20,1,0))</formula>
    </cfRule>
    <cfRule type="expression" priority="2288" dxfId="2">
      <formula>AND(IF($Q276=2,1,0),IF($X276&lt;30,1,0))</formula>
    </cfRule>
    <cfRule type="expression" priority="2289" dxfId="1">
      <formula>AND(IF($Q276=3,1,0),IF($X276&lt;30,1,0))</formula>
    </cfRule>
    <cfRule type="expression" priority="2290" dxfId="0">
      <formula>AND(IF($Q276=3,1,IF($Q276=4,1,0)),IF($F276&lt;=85,1,0))</formula>
    </cfRule>
  </conditionalFormatting>
  <conditionalFormatting sqref="AV277">
    <cfRule type="expression" priority="2285" dxfId="23">
      <formula>AV277="X"</formula>
    </cfRule>
    <cfRule type="expression" priority="2286" dxfId="22">
      <formula>AV277="후보"</formula>
    </cfRule>
  </conditionalFormatting>
  <conditionalFormatting sqref="AC27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7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77">
    <cfRule type="expression" priority="2277" dxfId="3">
      <formula>AND(IF(OR($Q277=1,$Q277=2),1,0),IF($X277&lt;=20,1,0))</formula>
    </cfRule>
    <cfRule type="expression" priority="2278" dxfId="2">
      <formula>AND(IF($Q277=2,1,0),IF($X277&lt;30,1,0))</formula>
    </cfRule>
    <cfRule type="expression" priority="2279" dxfId="1">
      <formula>AND(IF($Q277=3,1,0),IF($X277&lt;30,1,0))</formula>
    </cfRule>
    <cfRule type="expression" priority="2280" dxfId="0">
      <formula>AND(IF($Q277=3,1,IF($Q277=4,1,0)),IF($F277&lt;=85,1,0))</formula>
    </cfRule>
  </conditionalFormatting>
  <conditionalFormatting sqref="X277">
    <cfRule type="expression" priority="2273" dxfId="3">
      <formula>AND(IF(OR($Q277=1,$Q277=2),1,0),IF($X277&lt;=20,1,0))</formula>
    </cfRule>
    <cfRule type="expression" priority="2274" dxfId="2">
      <formula>AND(IF($Q277=2,1,0),IF($X277&lt;30,1,0))</formula>
    </cfRule>
    <cfRule type="expression" priority="2275" dxfId="1">
      <formula>AND(IF($Q277=3,1,0),IF($X277&lt;30,1,0))</formula>
    </cfRule>
    <cfRule type="expression" priority="2276" dxfId="0">
      <formula>AND(IF($Q277=3,1,IF($Q277=4,1,0)),IF($F277&lt;=85,1,0))</formula>
    </cfRule>
  </conditionalFormatting>
  <conditionalFormatting sqref="AI277">
    <cfRule type="expression" priority="2269" dxfId="3">
      <formula>AND(IF(OR($Q277=1,$Q277=2),1,0),IF($X277&lt;=20,1,0))</formula>
    </cfRule>
    <cfRule type="expression" priority="2270" dxfId="2">
      <formula>AND(IF($Q277=2,1,0),IF($X277&lt;30,1,0))</formula>
    </cfRule>
    <cfRule type="expression" priority="2271" dxfId="1">
      <formula>AND(IF($Q277=3,1,0),IF($X277&lt;30,1,0))</formula>
    </cfRule>
    <cfRule type="expression" priority="2272" dxfId="0">
      <formula>AND(IF($Q277=3,1,IF($Q277=4,1,0)),IF($F277&lt;=85,1,0))</formula>
    </cfRule>
  </conditionalFormatting>
  <conditionalFormatting sqref="AV278">
    <cfRule type="expression" priority="2267" dxfId="23">
      <formula>AV278="X"</formula>
    </cfRule>
    <cfRule type="expression" priority="2268" dxfId="22">
      <formula>AV278="후보"</formula>
    </cfRule>
  </conditionalFormatting>
  <conditionalFormatting sqref="AC27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7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78">
    <cfRule type="expression" priority="2259" dxfId="3">
      <formula>AND(IF(OR($Q278=1,$Q278=2),1,0),IF($X278&lt;=20,1,0))</formula>
    </cfRule>
    <cfRule type="expression" priority="2260" dxfId="2">
      <formula>AND(IF($Q278=2,1,0),IF($X278&lt;30,1,0))</formula>
    </cfRule>
    <cfRule type="expression" priority="2261" dxfId="1">
      <formula>AND(IF($Q278=3,1,0),IF($X278&lt;30,1,0))</formula>
    </cfRule>
    <cfRule type="expression" priority="2262" dxfId="0">
      <formula>AND(IF($Q278=3,1,IF($Q278=4,1,0)),IF($F278&lt;=85,1,0))</formula>
    </cfRule>
  </conditionalFormatting>
  <conditionalFormatting sqref="X278">
    <cfRule type="expression" priority="2255" dxfId="3">
      <formula>AND(IF(OR($Q278=1,$Q278=2),1,0),IF($X278&lt;=20,1,0))</formula>
    </cfRule>
    <cfRule type="expression" priority="2256" dxfId="2">
      <formula>AND(IF($Q278=2,1,0),IF($X278&lt;30,1,0))</formula>
    </cfRule>
    <cfRule type="expression" priority="2257" dxfId="1">
      <formula>AND(IF($Q278=3,1,0),IF($X278&lt;30,1,0))</formula>
    </cfRule>
    <cfRule type="expression" priority="2258" dxfId="0">
      <formula>AND(IF($Q278=3,1,IF($Q278=4,1,0)),IF($F278&lt;=85,1,0))</formula>
    </cfRule>
  </conditionalFormatting>
  <conditionalFormatting sqref="AI278">
    <cfRule type="expression" priority="2251" dxfId="3">
      <formula>AND(IF(OR($Q278=1,$Q278=2),1,0),IF($X278&lt;=20,1,0))</formula>
    </cfRule>
    <cfRule type="expression" priority="2252" dxfId="2">
      <formula>AND(IF($Q278=2,1,0),IF($X278&lt;30,1,0))</formula>
    </cfRule>
    <cfRule type="expression" priority="2253" dxfId="1">
      <formula>AND(IF($Q278=3,1,0),IF($X278&lt;30,1,0))</formula>
    </cfRule>
    <cfRule type="expression" priority="2254" dxfId="0">
      <formula>AND(IF($Q278=3,1,IF($Q278=4,1,0)),IF($F278&lt;=85,1,0))</formula>
    </cfRule>
  </conditionalFormatting>
  <conditionalFormatting sqref="AV279">
    <cfRule type="expression" priority="2249" dxfId="23">
      <formula>AV279="X"</formula>
    </cfRule>
    <cfRule type="expression" priority="2250" dxfId="22">
      <formula>AV279="후보"</formula>
    </cfRule>
  </conditionalFormatting>
  <conditionalFormatting sqref="AC27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7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79">
    <cfRule type="expression" priority="2241" dxfId="3">
      <formula>AND(IF(OR($Q279=1,$Q279=2),1,0),IF($X279&lt;=20,1,0))</formula>
    </cfRule>
    <cfRule type="expression" priority="2242" dxfId="2">
      <formula>AND(IF($Q279=2,1,0),IF($X279&lt;30,1,0))</formula>
    </cfRule>
    <cfRule type="expression" priority="2243" dxfId="1">
      <formula>AND(IF($Q279=3,1,0),IF($X279&lt;30,1,0))</formula>
    </cfRule>
    <cfRule type="expression" priority="2244" dxfId="0">
      <formula>AND(IF($Q279=3,1,IF($Q279=4,1,0)),IF($F279&lt;=85,1,0))</formula>
    </cfRule>
  </conditionalFormatting>
  <conditionalFormatting sqref="X279">
    <cfRule type="expression" priority="2237" dxfId="3">
      <formula>AND(IF(OR($Q279=1,$Q279=2),1,0),IF($X279&lt;=20,1,0))</formula>
    </cfRule>
    <cfRule type="expression" priority="2238" dxfId="2">
      <formula>AND(IF($Q279=2,1,0),IF($X279&lt;30,1,0))</formula>
    </cfRule>
    <cfRule type="expression" priority="2239" dxfId="1">
      <formula>AND(IF($Q279=3,1,0),IF($X279&lt;30,1,0))</formula>
    </cfRule>
    <cfRule type="expression" priority="2240" dxfId="0">
      <formula>AND(IF($Q279=3,1,IF($Q279=4,1,0)),IF($F279&lt;=85,1,0))</formula>
    </cfRule>
  </conditionalFormatting>
  <conditionalFormatting sqref="AI279">
    <cfRule type="expression" priority="2233" dxfId="3">
      <formula>AND(IF(OR($Q279=1,$Q279=2),1,0),IF($X279&lt;=20,1,0))</formula>
    </cfRule>
    <cfRule type="expression" priority="2234" dxfId="2">
      <formula>AND(IF($Q279=2,1,0),IF($X279&lt;30,1,0))</formula>
    </cfRule>
    <cfRule type="expression" priority="2235" dxfId="1">
      <formula>AND(IF($Q279=3,1,0),IF($X279&lt;30,1,0))</formula>
    </cfRule>
    <cfRule type="expression" priority="2236" dxfId="0">
      <formula>AND(IF($Q279=3,1,IF($Q279=4,1,0)),IF($F279&lt;=85,1,0))</formula>
    </cfRule>
  </conditionalFormatting>
  <conditionalFormatting sqref="AV280">
    <cfRule type="expression" priority="2231" dxfId="23">
      <formula>AV280="X"</formula>
    </cfRule>
    <cfRule type="expression" priority="2232" dxfId="22">
      <formula>AV280="후보"</formula>
    </cfRule>
  </conditionalFormatting>
  <conditionalFormatting sqref="AC28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0">
    <cfRule type="expression" priority="2223" dxfId="3">
      <formula>AND(IF(OR($Q280=1,$Q280=2),1,0),IF($X280&lt;=20,1,0))</formula>
    </cfRule>
    <cfRule type="expression" priority="2224" dxfId="2">
      <formula>AND(IF($Q280=2,1,0),IF($X280&lt;30,1,0))</formula>
    </cfRule>
    <cfRule type="expression" priority="2225" dxfId="1">
      <formula>AND(IF($Q280=3,1,0),IF($X280&lt;30,1,0))</formula>
    </cfRule>
    <cfRule type="expression" priority="2226" dxfId="0">
      <formula>AND(IF($Q280=3,1,IF($Q280=4,1,0)),IF($F280&lt;=85,1,0))</formula>
    </cfRule>
  </conditionalFormatting>
  <conditionalFormatting sqref="X280">
    <cfRule type="expression" priority="2219" dxfId="3">
      <formula>AND(IF(OR($Q280=1,$Q280=2),1,0),IF($X280&lt;=20,1,0))</formula>
    </cfRule>
    <cfRule type="expression" priority="2220" dxfId="2">
      <formula>AND(IF($Q280=2,1,0),IF($X280&lt;30,1,0))</formula>
    </cfRule>
    <cfRule type="expression" priority="2221" dxfId="1">
      <formula>AND(IF($Q280=3,1,0),IF($X280&lt;30,1,0))</formula>
    </cfRule>
    <cfRule type="expression" priority="2222" dxfId="0">
      <formula>AND(IF($Q280=3,1,IF($Q280=4,1,0)),IF($F280&lt;=85,1,0))</formula>
    </cfRule>
  </conditionalFormatting>
  <conditionalFormatting sqref="AI280">
    <cfRule type="expression" priority="2215" dxfId="3">
      <formula>AND(IF(OR($Q280=1,$Q280=2),1,0),IF($X280&lt;=20,1,0))</formula>
    </cfRule>
    <cfRule type="expression" priority="2216" dxfId="2">
      <formula>AND(IF($Q280=2,1,0),IF($X280&lt;30,1,0))</formula>
    </cfRule>
    <cfRule type="expression" priority="2217" dxfId="1">
      <formula>AND(IF($Q280=3,1,0),IF($X280&lt;30,1,0))</formula>
    </cfRule>
    <cfRule type="expression" priority="2218" dxfId="0">
      <formula>AND(IF($Q280=3,1,IF($Q280=4,1,0)),IF($F280&lt;=85,1,0))</formula>
    </cfRule>
  </conditionalFormatting>
  <conditionalFormatting sqref="AV281">
    <cfRule type="expression" priority="2213" dxfId="23">
      <formula>AV281="X"</formula>
    </cfRule>
    <cfRule type="expression" priority="2214" dxfId="22">
      <formula>AV281="후보"</formula>
    </cfRule>
  </conditionalFormatting>
  <conditionalFormatting sqref="AC28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1">
    <cfRule type="expression" priority="2205" dxfId="3">
      <formula>AND(IF(OR($Q281=1,$Q281=2),1,0),IF($X281&lt;=20,1,0))</formula>
    </cfRule>
    <cfRule type="expression" priority="2206" dxfId="2">
      <formula>AND(IF($Q281=2,1,0),IF($X281&lt;30,1,0))</formula>
    </cfRule>
    <cfRule type="expression" priority="2207" dxfId="1">
      <formula>AND(IF($Q281=3,1,0),IF($X281&lt;30,1,0))</formula>
    </cfRule>
    <cfRule type="expression" priority="2208" dxfId="0">
      <formula>AND(IF($Q281=3,1,IF($Q281=4,1,0)),IF($F281&lt;=85,1,0))</formula>
    </cfRule>
  </conditionalFormatting>
  <conditionalFormatting sqref="X281">
    <cfRule type="expression" priority="2201" dxfId="3">
      <formula>AND(IF(OR($Q281=1,$Q281=2),1,0),IF($X281&lt;=20,1,0))</formula>
    </cfRule>
    <cfRule type="expression" priority="2202" dxfId="2">
      <formula>AND(IF($Q281=2,1,0),IF($X281&lt;30,1,0))</formula>
    </cfRule>
    <cfRule type="expression" priority="2203" dxfId="1">
      <formula>AND(IF($Q281=3,1,0),IF($X281&lt;30,1,0))</formula>
    </cfRule>
    <cfRule type="expression" priority="2204" dxfId="0">
      <formula>AND(IF($Q281=3,1,IF($Q281=4,1,0)),IF($F281&lt;=85,1,0))</formula>
    </cfRule>
  </conditionalFormatting>
  <conditionalFormatting sqref="AI281">
    <cfRule type="expression" priority="2197" dxfId="3">
      <formula>AND(IF(OR($Q281=1,$Q281=2),1,0),IF($X281&lt;=20,1,0))</formula>
    </cfRule>
    <cfRule type="expression" priority="2198" dxfId="2">
      <formula>AND(IF($Q281=2,1,0),IF($X281&lt;30,1,0))</formula>
    </cfRule>
    <cfRule type="expression" priority="2199" dxfId="1">
      <formula>AND(IF($Q281=3,1,0),IF($X281&lt;30,1,0))</formula>
    </cfRule>
    <cfRule type="expression" priority="2200" dxfId="0">
      <formula>AND(IF($Q281=3,1,IF($Q281=4,1,0)),IF($F281&lt;=85,1,0))</formula>
    </cfRule>
  </conditionalFormatting>
  <conditionalFormatting sqref="AV282">
    <cfRule type="expression" priority="2195" dxfId="23">
      <formula>AV282="X"</formula>
    </cfRule>
    <cfRule type="expression" priority="2196" dxfId="22">
      <formula>AV282="후보"</formula>
    </cfRule>
  </conditionalFormatting>
  <conditionalFormatting sqref="AC28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2">
    <cfRule type="expression" priority="2187" dxfId="3">
      <formula>AND(IF(OR($Q282=1,$Q282=2),1,0),IF($X282&lt;=20,1,0))</formula>
    </cfRule>
    <cfRule type="expression" priority="2188" dxfId="2">
      <formula>AND(IF($Q282=2,1,0),IF($X282&lt;30,1,0))</formula>
    </cfRule>
    <cfRule type="expression" priority="2189" dxfId="1">
      <formula>AND(IF($Q282=3,1,0),IF($X282&lt;30,1,0))</formula>
    </cfRule>
    <cfRule type="expression" priority="2190" dxfId="0">
      <formula>AND(IF($Q282=3,1,IF($Q282=4,1,0)),IF($F282&lt;=85,1,0))</formula>
    </cfRule>
  </conditionalFormatting>
  <conditionalFormatting sqref="X282">
    <cfRule type="expression" priority="2183" dxfId="3">
      <formula>AND(IF(OR($Q282=1,$Q282=2),1,0),IF($X282&lt;=20,1,0))</formula>
    </cfRule>
    <cfRule type="expression" priority="2184" dxfId="2">
      <formula>AND(IF($Q282=2,1,0),IF($X282&lt;30,1,0))</formula>
    </cfRule>
    <cfRule type="expression" priority="2185" dxfId="1">
      <formula>AND(IF($Q282=3,1,0),IF($X282&lt;30,1,0))</formula>
    </cfRule>
    <cfRule type="expression" priority="2186" dxfId="0">
      <formula>AND(IF($Q282=3,1,IF($Q282=4,1,0)),IF($F282&lt;=85,1,0))</formula>
    </cfRule>
  </conditionalFormatting>
  <conditionalFormatting sqref="AI282">
    <cfRule type="expression" priority="2179" dxfId="3">
      <formula>AND(IF(OR($Q282=1,$Q282=2),1,0),IF($X282&lt;=20,1,0))</formula>
    </cfRule>
    <cfRule type="expression" priority="2180" dxfId="2">
      <formula>AND(IF($Q282=2,1,0),IF($X282&lt;30,1,0))</formula>
    </cfRule>
    <cfRule type="expression" priority="2181" dxfId="1">
      <formula>AND(IF($Q282=3,1,0),IF($X282&lt;30,1,0))</formula>
    </cfRule>
    <cfRule type="expression" priority="2182" dxfId="0">
      <formula>AND(IF($Q282=3,1,IF($Q282=4,1,0)),IF($F282&lt;=85,1,0))</formula>
    </cfRule>
  </conditionalFormatting>
  <conditionalFormatting sqref="AV283">
    <cfRule type="expression" priority="2177" dxfId="23">
      <formula>AV283="X"</formula>
    </cfRule>
    <cfRule type="expression" priority="2178" dxfId="22">
      <formula>AV283="후보"</formula>
    </cfRule>
  </conditionalFormatting>
  <conditionalFormatting sqref="AC28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3">
    <cfRule type="expression" priority="2169" dxfId="3">
      <formula>AND(IF(OR($Q283=1,$Q283=2),1,0),IF($X283&lt;=20,1,0))</formula>
    </cfRule>
    <cfRule type="expression" priority="2170" dxfId="2">
      <formula>AND(IF($Q283=2,1,0),IF($X283&lt;30,1,0))</formula>
    </cfRule>
    <cfRule type="expression" priority="2171" dxfId="1">
      <formula>AND(IF($Q283=3,1,0),IF($X283&lt;30,1,0))</formula>
    </cfRule>
    <cfRule type="expression" priority="2172" dxfId="0">
      <formula>AND(IF($Q283=3,1,IF($Q283=4,1,0)),IF($F283&lt;=85,1,0))</formula>
    </cfRule>
  </conditionalFormatting>
  <conditionalFormatting sqref="X283">
    <cfRule type="expression" priority="2165" dxfId="3">
      <formula>AND(IF(OR($Q283=1,$Q283=2),1,0),IF($X283&lt;=20,1,0))</formula>
    </cfRule>
    <cfRule type="expression" priority="2166" dxfId="2">
      <formula>AND(IF($Q283=2,1,0),IF($X283&lt;30,1,0))</formula>
    </cfRule>
    <cfRule type="expression" priority="2167" dxfId="1">
      <formula>AND(IF($Q283=3,1,0),IF($X283&lt;30,1,0))</formula>
    </cfRule>
    <cfRule type="expression" priority="2168" dxfId="0">
      <formula>AND(IF($Q283=3,1,IF($Q283=4,1,0)),IF($F283&lt;=85,1,0))</formula>
    </cfRule>
  </conditionalFormatting>
  <conditionalFormatting sqref="AI283">
    <cfRule type="expression" priority="2161" dxfId="3">
      <formula>AND(IF(OR($Q283=1,$Q283=2),1,0),IF($X283&lt;=20,1,0))</formula>
    </cfRule>
    <cfRule type="expression" priority="2162" dxfId="2">
      <formula>AND(IF($Q283=2,1,0),IF($X283&lt;30,1,0))</formula>
    </cfRule>
    <cfRule type="expression" priority="2163" dxfId="1">
      <formula>AND(IF($Q283=3,1,0),IF($X283&lt;30,1,0))</formula>
    </cfRule>
    <cfRule type="expression" priority="2164" dxfId="0">
      <formula>AND(IF($Q283=3,1,IF($Q283=4,1,0)),IF($F283&lt;=85,1,0))</formula>
    </cfRule>
  </conditionalFormatting>
  <conditionalFormatting sqref="AV284">
    <cfRule type="expression" priority="2159" dxfId="23">
      <formula>AV284="X"</formula>
    </cfRule>
    <cfRule type="expression" priority="2160" dxfId="22">
      <formula>AV284="후보"</formula>
    </cfRule>
  </conditionalFormatting>
  <conditionalFormatting sqref="AC28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8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84">
    <cfRule type="expression" priority="2151" dxfId="3">
      <formula>AND(IF(OR($Q284=1,$Q284=2),1,0),IF($X284&lt;=20,1,0))</formula>
    </cfRule>
    <cfRule type="expression" priority="2152" dxfId="2">
      <formula>AND(IF($Q284=2,1,0),IF($X284&lt;30,1,0))</formula>
    </cfRule>
    <cfRule type="expression" priority="2153" dxfId="1">
      <formula>AND(IF($Q284=3,1,0),IF($X284&lt;30,1,0))</formula>
    </cfRule>
    <cfRule type="expression" priority="2154" dxfId="0">
      <formula>AND(IF($Q284=3,1,IF($Q284=4,1,0)),IF($F284&lt;=85,1,0))</formula>
    </cfRule>
  </conditionalFormatting>
  <conditionalFormatting sqref="X284">
    <cfRule type="expression" priority="2147" dxfId="3">
      <formula>AND(IF(OR($Q284=1,$Q284=2),1,0),IF($X284&lt;=20,1,0))</formula>
    </cfRule>
    <cfRule type="expression" priority="2148" dxfId="2">
      <formula>AND(IF($Q284=2,1,0),IF($X284&lt;30,1,0))</formula>
    </cfRule>
    <cfRule type="expression" priority="2149" dxfId="1">
      <formula>AND(IF($Q284=3,1,0),IF($X284&lt;30,1,0))</formula>
    </cfRule>
    <cfRule type="expression" priority="2150" dxfId="0">
      <formula>AND(IF($Q284=3,1,IF($Q284=4,1,0)),IF($F284&lt;=85,1,0))</formula>
    </cfRule>
  </conditionalFormatting>
  <conditionalFormatting sqref="AI284">
    <cfRule type="expression" priority="2143" dxfId="3">
      <formula>AND(IF(OR($Q284=1,$Q284=2),1,0),IF($X284&lt;=20,1,0))</formula>
    </cfRule>
    <cfRule type="expression" priority="2144" dxfId="2">
      <formula>AND(IF($Q284=2,1,0),IF($X284&lt;30,1,0))</formula>
    </cfRule>
    <cfRule type="expression" priority="2145" dxfId="1">
      <formula>AND(IF($Q284=3,1,0),IF($X284&lt;30,1,0))</formula>
    </cfRule>
    <cfRule type="expression" priority="2146" dxfId="0">
      <formula>AND(IF($Q284=3,1,IF($Q284=4,1,0)),IF($F284&lt;=85,1,0))</formula>
    </cfRule>
  </conditionalFormatting>
  <conditionalFormatting sqref="AV285">
    <cfRule type="expression" priority="2141" dxfId="23">
      <formula>AV285="X"</formula>
    </cfRule>
    <cfRule type="expression" priority="2142" dxfId="22">
      <formula>AV285="후보"</formula>
    </cfRule>
  </conditionalFormatting>
  <conditionalFormatting sqref="AC28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8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85">
    <cfRule type="expression" priority="2133" dxfId="3">
      <formula>AND(IF(OR($Q285=1,$Q285=2),1,0),IF($X285&lt;=20,1,0))</formula>
    </cfRule>
    <cfRule type="expression" priority="2134" dxfId="2">
      <formula>AND(IF($Q285=2,1,0),IF($X285&lt;30,1,0))</formula>
    </cfRule>
    <cfRule type="expression" priority="2135" dxfId="1">
      <formula>AND(IF($Q285=3,1,0),IF($X285&lt;30,1,0))</formula>
    </cfRule>
    <cfRule type="expression" priority="2136" dxfId="0">
      <formula>AND(IF($Q285=3,1,IF($Q285=4,1,0)),IF($F285&lt;=85,1,0))</formula>
    </cfRule>
  </conditionalFormatting>
  <conditionalFormatting sqref="X285">
    <cfRule type="expression" priority="2129" dxfId="3">
      <formula>AND(IF(OR($Q285=1,$Q285=2),1,0),IF($X285&lt;=20,1,0))</formula>
    </cfRule>
    <cfRule type="expression" priority="2130" dxfId="2">
      <formula>AND(IF($Q285=2,1,0),IF($X285&lt;30,1,0))</formula>
    </cfRule>
    <cfRule type="expression" priority="2131" dxfId="1">
      <formula>AND(IF($Q285=3,1,0),IF($X285&lt;30,1,0))</formula>
    </cfRule>
    <cfRule type="expression" priority="2132" dxfId="0">
      <formula>AND(IF($Q285=3,1,IF($Q285=4,1,0)),IF($F285&lt;=85,1,0))</formula>
    </cfRule>
  </conditionalFormatting>
  <conditionalFormatting sqref="AI285">
    <cfRule type="expression" priority="2125" dxfId="3">
      <formula>AND(IF(OR($Q285=1,$Q285=2),1,0),IF($X285&lt;=20,1,0))</formula>
    </cfRule>
    <cfRule type="expression" priority="2126" dxfId="2">
      <formula>AND(IF($Q285=2,1,0),IF($X285&lt;30,1,0))</formula>
    </cfRule>
    <cfRule type="expression" priority="2127" dxfId="1">
      <formula>AND(IF($Q285=3,1,0),IF($X285&lt;30,1,0))</formula>
    </cfRule>
    <cfRule type="expression" priority="2128" dxfId="0">
      <formula>AND(IF($Q285=3,1,IF($Q285=4,1,0)),IF($F285&lt;=85,1,0))</formula>
    </cfRule>
  </conditionalFormatting>
  <conditionalFormatting sqref="AV286">
    <cfRule type="expression" priority="2123" dxfId="23">
      <formula>AV286="X"</formula>
    </cfRule>
    <cfRule type="expression" priority="2124" dxfId="22">
      <formula>AV286="후보"</formula>
    </cfRule>
  </conditionalFormatting>
  <conditionalFormatting sqref="AC28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8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86">
    <cfRule type="expression" priority="2115" dxfId="3">
      <formula>AND(IF(OR($Q286=1,$Q286=2),1,0),IF($X286&lt;=20,1,0))</formula>
    </cfRule>
    <cfRule type="expression" priority="2116" dxfId="2">
      <formula>AND(IF($Q286=2,1,0),IF($X286&lt;30,1,0))</formula>
    </cfRule>
    <cfRule type="expression" priority="2117" dxfId="1">
      <formula>AND(IF($Q286=3,1,0),IF($X286&lt;30,1,0))</formula>
    </cfRule>
    <cfRule type="expression" priority="2118" dxfId="0">
      <formula>AND(IF($Q286=3,1,IF($Q286=4,1,0)),IF($F286&lt;=85,1,0))</formula>
    </cfRule>
  </conditionalFormatting>
  <conditionalFormatting sqref="X286">
    <cfRule type="expression" priority="2111" dxfId="3">
      <formula>AND(IF(OR($Q286=1,$Q286=2),1,0),IF($X286&lt;=20,1,0))</formula>
    </cfRule>
    <cfRule type="expression" priority="2112" dxfId="2">
      <formula>AND(IF($Q286=2,1,0),IF($X286&lt;30,1,0))</formula>
    </cfRule>
    <cfRule type="expression" priority="2113" dxfId="1">
      <formula>AND(IF($Q286=3,1,0),IF($X286&lt;30,1,0))</formula>
    </cfRule>
    <cfRule type="expression" priority="2114" dxfId="0">
      <formula>AND(IF($Q286=3,1,IF($Q286=4,1,0)),IF($F286&lt;=85,1,0))</formula>
    </cfRule>
  </conditionalFormatting>
  <conditionalFormatting sqref="AI286">
    <cfRule type="expression" priority="2107" dxfId="3">
      <formula>AND(IF(OR($Q286=1,$Q286=2),1,0),IF($X286&lt;=20,1,0))</formula>
    </cfRule>
    <cfRule type="expression" priority="2108" dxfId="2">
      <formula>AND(IF($Q286=2,1,0),IF($X286&lt;30,1,0))</formula>
    </cfRule>
    <cfRule type="expression" priority="2109" dxfId="1">
      <formula>AND(IF($Q286=3,1,0),IF($X286&lt;30,1,0))</formula>
    </cfRule>
    <cfRule type="expression" priority="2110" dxfId="0">
      <formula>AND(IF($Q286=3,1,IF($Q286=4,1,0)),IF($F286&lt;=85,1,0))</formula>
    </cfRule>
  </conditionalFormatting>
  <conditionalFormatting sqref="AV287">
    <cfRule type="expression" priority="2105" dxfId="23">
      <formula>AV287="X"</formula>
    </cfRule>
    <cfRule type="expression" priority="2106" dxfId="22">
      <formula>AV287="후보"</formula>
    </cfRule>
  </conditionalFormatting>
  <conditionalFormatting sqref="AC28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8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87">
    <cfRule type="expression" priority="2097" dxfId="3">
      <formula>AND(IF(OR($Q287=1,$Q287=2),1,0),IF($X287&lt;=20,1,0))</formula>
    </cfRule>
    <cfRule type="expression" priority="2098" dxfId="2">
      <formula>AND(IF($Q287=2,1,0),IF($X287&lt;30,1,0))</formula>
    </cfRule>
    <cfRule type="expression" priority="2099" dxfId="1">
      <formula>AND(IF($Q287=3,1,0),IF($X287&lt;30,1,0))</formula>
    </cfRule>
    <cfRule type="expression" priority="2100" dxfId="0">
      <formula>AND(IF($Q287=3,1,IF($Q287=4,1,0)),IF($F287&lt;=85,1,0))</formula>
    </cfRule>
  </conditionalFormatting>
  <conditionalFormatting sqref="X287">
    <cfRule type="expression" priority="2093" dxfId="3">
      <formula>AND(IF(OR($Q287=1,$Q287=2),1,0),IF($X287&lt;=20,1,0))</formula>
    </cfRule>
    <cfRule type="expression" priority="2094" dxfId="2">
      <formula>AND(IF($Q287=2,1,0),IF($X287&lt;30,1,0))</formula>
    </cfRule>
    <cfRule type="expression" priority="2095" dxfId="1">
      <formula>AND(IF($Q287=3,1,0),IF($X287&lt;30,1,0))</formula>
    </cfRule>
    <cfRule type="expression" priority="2096" dxfId="0">
      <formula>AND(IF($Q287=3,1,IF($Q287=4,1,0)),IF($F287&lt;=85,1,0))</formula>
    </cfRule>
  </conditionalFormatting>
  <conditionalFormatting sqref="AI287">
    <cfRule type="expression" priority="2089" dxfId="3">
      <formula>AND(IF(OR($Q287=1,$Q287=2),1,0),IF($X287&lt;=20,1,0))</formula>
    </cfRule>
    <cfRule type="expression" priority="2090" dxfId="2">
      <formula>AND(IF($Q287=2,1,0),IF($X287&lt;30,1,0))</formula>
    </cfRule>
    <cfRule type="expression" priority="2091" dxfId="1">
      <formula>AND(IF($Q287=3,1,0),IF($X287&lt;30,1,0))</formula>
    </cfRule>
    <cfRule type="expression" priority="2092" dxfId="0">
      <formula>AND(IF($Q287=3,1,IF($Q287=4,1,0)),IF($F287&lt;=85,1,0))</formula>
    </cfRule>
  </conditionalFormatting>
  <conditionalFormatting sqref="AV288">
    <cfRule type="expression" priority="2087" dxfId="23">
      <formula>AV288="X"</formula>
    </cfRule>
    <cfRule type="expression" priority="2088" dxfId="22">
      <formula>AV288="후보"</formula>
    </cfRule>
  </conditionalFormatting>
  <conditionalFormatting sqref="AC28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8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88">
    <cfRule type="expression" priority="2079" dxfId="3">
      <formula>AND(IF(OR($Q288=1,$Q288=2),1,0),IF($X288&lt;=20,1,0))</formula>
    </cfRule>
    <cfRule type="expression" priority="2080" dxfId="2">
      <formula>AND(IF($Q288=2,1,0),IF($X288&lt;30,1,0))</formula>
    </cfRule>
    <cfRule type="expression" priority="2081" dxfId="1">
      <formula>AND(IF($Q288=3,1,0),IF($X288&lt;30,1,0))</formula>
    </cfRule>
    <cfRule type="expression" priority="2082" dxfId="0">
      <formula>AND(IF($Q288=3,1,IF($Q288=4,1,0)),IF($F288&lt;=85,1,0))</formula>
    </cfRule>
  </conditionalFormatting>
  <conditionalFormatting sqref="X288">
    <cfRule type="expression" priority="2075" dxfId="3">
      <formula>AND(IF(OR($Q288=1,$Q288=2),1,0),IF($X288&lt;=20,1,0))</formula>
    </cfRule>
    <cfRule type="expression" priority="2076" dxfId="2">
      <formula>AND(IF($Q288=2,1,0),IF($X288&lt;30,1,0))</formula>
    </cfRule>
    <cfRule type="expression" priority="2077" dxfId="1">
      <formula>AND(IF($Q288=3,1,0),IF($X288&lt;30,1,0))</formula>
    </cfRule>
    <cfRule type="expression" priority="2078" dxfId="0">
      <formula>AND(IF($Q288=3,1,IF($Q288=4,1,0)),IF($F288&lt;=85,1,0))</formula>
    </cfRule>
  </conditionalFormatting>
  <conditionalFormatting sqref="AI288">
    <cfRule type="expression" priority="2071" dxfId="3">
      <formula>AND(IF(OR($Q288=1,$Q288=2),1,0),IF($X288&lt;=20,1,0))</formula>
    </cfRule>
    <cfRule type="expression" priority="2072" dxfId="2">
      <formula>AND(IF($Q288=2,1,0),IF($X288&lt;30,1,0))</formula>
    </cfRule>
    <cfRule type="expression" priority="2073" dxfId="1">
      <formula>AND(IF($Q288=3,1,0),IF($X288&lt;30,1,0))</formula>
    </cfRule>
    <cfRule type="expression" priority="2074" dxfId="0">
      <formula>AND(IF($Q288=3,1,IF($Q288=4,1,0)),IF($F288&lt;=85,1,0))</formula>
    </cfRule>
  </conditionalFormatting>
  <conditionalFormatting sqref="AV289">
    <cfRule type="expression" priority="2069" dxfId="23">
      <formula>AV289="X"</formula>
    </cfRule>
    <cfRule type="expression" priority="2070" dxfId="22">
      <formula>AV289="후보"</formula>
    </cfRule>
  </conditionalFormatting>
  <conditionalFormatting sqref="AC28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8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89">
    <cfRule type="expression" priority="2061" dxfId="3">
      <formula>AND(IF(OR($Q289=1,$Q289=2),1,0),IF($X289&lt;=20,1,0))</formula>
    </cfRule>
    <cfRule type="expression" priority="2062" dxfId="2">
      <formula>AND(IF($Q289=2,1,0),IF($X289&lt;30,1,0))</formula>
    </cfRule>
    <cfRule type="expression" priority="2063" dxfId="1">
      <formula>AND(IF($Q289=3,1,0),IF($X289&lt;30,1,0))</formula>
    </cfRule>
    <cfRule type="expression" priority="2064" dxfId="0">
      <formula>AND(IF($Q289=3,1,IF($Q289=4,1,0)),IF($F289&lt;=85,1,0))</formula>
    </cfRule>
  </conditionalFormatting>
  <conditionalFormatting sqref="X289">
    <cfRule type="expression" priority="2057" dxfId="3">
      <formula>AND(IF(OR($Q289=1,$Q289=2),1,0),IF($X289&lt;=20,1,0))</formula>
    </cfRule>
    <cfRule type="expression" priority="2058" dxfId="2">
      <formula>AND(IF($Q289=2,1,0),IF($X289&lt;30,1,0))</formula>
    </cfRule>
    <cfRule type="expression" priority="2059" dxfId="1">
      <formula>AND(IF($Q289=3,1,0),IF($X289&lt;30,1,0))</formula>
    </cfRule>
    <cfRule type="expression" priority="2060" dxfId="0">
      <formula>AND(IF($Q289=3,1,IF($Q289=4,1,0)),IF($F289&lt;=85,1,0))</formula>
    </cfRule>
  </conditionalFormatting>
  <conditionalFormatting sqref="AI289">
    <cfRule type="expression" priority="2053" dxfId="3">
      <formula>AND(IF(OR($Q289=1,$Q289=2),1,0),IF($X289&lt;=20,1,0))</formula>
    </cfRule>
    <cfRule type="expression" priority="2054" dxfId="2">
      <formula>AND(IF($Q289=2,1,0),IF($X289&lt;30,1,0))</formula>
    </cfRule>
    <cfRule type="expression" priority="2055" dxfId="1">
      <formula>AND(IF($Q289=3,1,0),IF($X289&lt;30,1,0))</formula>
    </cfRule>
    <cfRule type="expression" priority="2056" dxfId="0">
      <formula>AND(IF($Q289=3,1,IF($Q289=4,1,0)),IF($F289&lt;=85,1,0))</formula>
    </cfRule>
  </conditionalFormatting>
  <conditionalFormatting sqref="AV290">
    <cfRule type="expression" priority="2051" dxfId="23">
      <formula>AV290="X"</formula>
    </cfRule>
    <cfRule type="expression" priority="2052" dxfId="22">
      <formula>AV290="후보"</formula>
    </cfRule>
  </conditionalFormatting>
  <conditionalFormatting sqref="AC29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0">
    <cfRule type="expression" priority="2043" dxfId="3">
      <formula>AND(IF(OR($Q290=1,$Q290=2),1,0),IF($X290&lt;=20,1,0))</formula>
    </cfRule>
    <cfRule type="expression" priority="2044" dxfId="2">
      <formula>AND(IF($Q290=2,1,0),IF($X290&lt;30,1,0))</formula>
    </cfRule>
    <cfRule type="expression" priority="2045" dxfId="1">
      <formula>AND(IF($Q290=3,1,0),IF($X290&lt;30,1,0))</formula>
    </cfRule>
    <cfRule type="expression" priority="2046" dxfId="0">
      <formula>AND(IF($Q290=3,1,IF($Q290=4,1,0)),IF($F290&lt;=85,1,0))</formula>
    </cfRule>
  </conditionalFormatting>
  <conditionalFormatting sqref="X290">
    <cfRule type="expression" priority="2039" dxfId="3">
      <formula>AND(IF(OR($Q290=1,$Q290=2),1,0),IF($X290&lt;=20,1,0))</formula>
    </cfRule>
    <cfRule type="expression" priority="2040" dxfId="2">
      <formula>AND(IF($Q290=2,1,0),IF($X290&lt;30,1,0))</formula>
    </cfRule>
    <cfRule type="expression" priority="2041" dxfId="1">
      <formula>AND(IF($Q290=3,1,0),IF($X290&lt;30,1,0))</formula>
    </cfRule>
    <cfRule type="expression" priority="2042" dxfId="0">
      <formula>AND(IF($Q290=3,1,IF($Q290=4,1,0)),IF($F290&lt;=85,1,0))</formula>
    </cfRule>
  </conditionalFormatting>
  <conditionalFormatting sqref="AI290">
    <cfRule type="expression" priority="2035" dxfId="3">
      <formula>AND(IF(OR($Q290=1,$Q290=2),1,0),IF($X290&lt;=20,1,0))</formula>
    </cfRule>
    <cfRule type="expression" priority="2036" dxfId="2">
      <formula>AND(IF($Q290=2,1,0),IF($X290&lt;30,1,0))</formula>
    </cfRule>
    <cfRule type="expression" priority="2037" dxfId="1">
      <formula>AND(IF($Q290=3,1,0),IF($X290&lt;30,1,0))</formula>
    </cfRule>
    <cfRule type="expression" priority="2038" dxfId="0">
      <formula>AND(IF($Q290=3,1,IF($Q290=4,1,0)),IF($F290&lt;=85,1,0))</formula>
    </cfRule>
  </conditionalFormatting>
  <conditionalFormatting sqref="AV291">
    <cfRule type="expression" priority="2033" dxfId="23">
      <formula>AV291="X"</formula>
    </cfRule>
    <cfRule type="expression" priority="2034" dxfId="22">
      <formula>AV291="후보"</formula>
    </cfRule>
  </conditionalFormatting>
  <conditionalFormatting sqref="AC29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1">
    <cfRule type="expression" priority="2025" dxfId="3">
      <formula>AND(IF(OR($Q291=1,$Q291=2),1,0),IF($X291&lt;=20,1,0))</formula>
    </cfRule>
    <cfRule type="expression" priority="2026" dxfId="2">
      <formula>AND(IF($Q291=2,1,0),IF($X291&lt;30,1,0))</formula>
    </cfRule>
    <cfRule type="expression" priority="2027" dxfId="1">
      <formula>AND(IF($Q291=3,1,0),IF($X291&lt;30,1,0))</formula>
    </cfRule>
    <cfRule type="expression" priority="2028" dxfId="0">
      <formula>AND(IF($Q291=3,1,IF($Q291=4,1,0)),IF($F291&lt;=85,1,0))</formula>
    </cfRule>
  </conditionalFormatting>
  <conditionalFormatting sqref="X291">
    <cfRule type="expression" priority="2021" dxfId="3">
      <formula>AND(IF(OR($Q291=1,$Q291=2),1,0),IF($X291&lt;=20,1,0))</formula>
    </cfRule>
    <cfRule type="expression" priority="2022" dxfId="2">
      <formula>AND(IF($Q291=2,1,0),IF($X291&lt;30,1,0))</formula>
    </cfRule>
    <cfRule type="expression" priority="2023" dxfId="1">
      <formula>AND(IF($Q291=3,1,0),IF($X291&lt;30,1,0))</formula>
    </cfRule>
    <cfRule type="expression" priority="2024" dxfId="0">
      <formula>AND(IF($Q291=3,1,IF($Q291=4,1,0)),IF($F291&lt;=85,1,0))</formula>
    </cfRule>
  </conditionalFormatting>
  <conditionalFormatting sqref="AI291">
    <cfRule type="expression" priority="2017" dxfId="3">
      <formula>AND(IF(OR($Q291=1,$Q291=2),1,0),IF($X291&lt;=20,1,0))</formula>
    </cfRule>
    <cfRule type="expression" priority="2018" dxfId="2">
      <formula>AND(IF($Q291=2,1,0),IF($X291&lt;30,1,0))</formula>
    </cfRule>
    <cfRule type="expression" priority="2019" dxfId="1">
      <formula>AND(IF($Q291=3,1,0),IF($X291&lt;30,1,0))</formula>
    </cfRule>
    <cfRule type="expression" priority="2020" dxfId="0">
      <formula>AND(IF($Q291=3,1,IF($Q291=4,1,0)),IF($F291&lt;=85,1,0))</formula>
    </cfRule>
  </conditionalFormatting>
  <conditionalFormatting sqref="AV292">
    <cfRule type="expression" priority="2015" dxfId="23">
      <formula>AV292="X"</formula>
    </cfRule>
    <cfRule type="expression" priority="2016" dxfId="22">
      <formula>AV292="후보"</formula>
    </cfRule>
  </conditionalFormatting>
  <conditionalFormatting sqref="AC29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2">
    <cfRule type="expression" priority="2007" dxfId="3">
      <formula>AND(IF(OR($Q292=1,$Q292=2),1,0),IF($X292&lt;=20,1,0))</formula>
    </cfRule>
    <cfRule type="expression" priority="2008" dxfId="2">
      <formula>AND(IF($Q292=2,1,0),IF($X292&lt;30,1,0))</formula>
    </cfRule>
    <cfRule type="expression" priority="2009" dxfId="1">
      <formula>AND(IF($Q292=3,1,0),IF($X292&lt;30,1,0))</formula>
    </cfRule>
    <cfRule type="expression" priority="2010" dxfId="0">
      <formula>AND(IF($Q292=3,1,IF($Q292=4,1,0)),IF($F292&lt;=85,1,0))</formula>
    </cfRule>
  </conditionalFormatting>
  <conditionalFormatting sqref="X292">
    <cfRule type="expression" priority="2003" dxfId="3">
      <formula>AND(IF(OR($Q292=1,$Q292=2),1,0),IF($X292&lt;=20,1,0))</formula>
    </cfRule>
    <cfRule type="expression" priority="2004" dxfId="2">
      <formula>AND(IF($Q292=2,1,0),IF($X292&lt;30,1,0))</formula>
    </cfRule>
    <cfRule type="expression" priority="2005" dxfId="1">
      <formula>AND(IF($Q292=3,1,0),IF($X292&lt;30,1,0))</formula>
    </cfRule>
    <cfRule type="expression" priority="2006" dxfId="0">
      <formula>AND(IF($Q292=3,1,IF($Q292=4,1,0)),IF($F292&lt;=85,1,0))</formula>
    </cfRule>
  </conditionalFormatting>
  <conditionalFormatting sqref="AI292">
    <cfRule type="expression" priority="1999" dxfId="3">
      <formula>AND(IF(OR($Q292=1,$Q292=2),1,0),IF($X292&lt;=20,1,0))</formula>
    </cfRule>
    <cfRule type="expression" priority="2000" dxfId="2">
      <formula>AND(IF($Q292=2,1,0),IF($X292&lt;30,1,0))</formula>
    </cfRule>
    <cfRule type="expression" priority="2001" dxfId="1">
      <formula>AND(IF($Q292=3,1,0),IF($X292&lt;30,1,0))</formula>
    </cfRule>
    <cfRule type="expression" priority="2002" dxfId="0">
      <formula>AND(IF($Q292=3,1,IF($Q292=4,1,0)),IF($F292&lt;=85,1,0))</formula>
    </cfRule>
  </conditionalFormatting>
  <conditionalFormatting sqref="AV293">
    <cfRule type="expression" priority="1997" dxfId="23">
      <formula>AV293="X"</formula>
    </cfRule>
    <cfRule type="expression" priority="1998" dxfId="22">
      <formula>AV293="후보"</formula>
    </cfRule>
  </conditionalFormatting>
  <conditionalFormatting sqref="AC29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3">
    <cfRule type="expression" priority="1989" dxfId="3">
      <formula>AND(IF(OR($Q293=1,$Q293=2),1,0),IF($X293&lt;=20,1,0))</formula>
    </cfRule>
    <cfRule type="expression" priority="1990" dxfId="2">
      <formula>AND(IF($Q293=2,1,0),IF($X293&lt;30,1,0))</formula>
    </cfRule>
    <cfRule type="expression" priority="1991" dxfId="1">
      <formula>AND(IF($Q293=3,1,0),IF($X293&lt;30,1,0))</formula>
    </cfRule>
    <cfRule type="expression" priority="1992" dxfId="0">
      <formula>AND(IF($Q293=3,1,IF($Q293=4,1,0)),IF($F293&lt;=85,1,0))</formula>
    </cfRule>
  </conditionalFormatting>
  <conditionalFormatting sqref="X293">
    <cfRule type="expression" priority="1985" dxfId="3">
      <formula>AND(IF(OR($Q293=1,$Q293=2),1,0),IF($X293&lt;=20,1,0))</formula>
    </cfRule>
    <cfRule type="expression" priority="1986" dxfId="2">
      <formula>AND(IF($Q293=2,1,0),IF($X293&lt;30,1,0))</formula>
    </cfRule>
    <cfRule type="expression" priority="1987" dxfId="1">
      <formula>AND(IF($Q293=3,1,0),IF($X293&lt;30,1,0))</formula>
    </cfRule>
    <cfRule type="expression" priority="1988" dxfId="0">
      <formula>AND(IF($Q293=3,1,IF($Q293=4,1,0)),IF($F293&lt;=85,1,0))</formula>
    </cfRule>
  </conditionalFormatting>
  <conditionalFormatting sqref="AI293">
    <cfRule type="expression" priority="1981" dxfId="3">
      <formula>AND(IF(OR($Q293=1,$Q293=2),1,0),IF($X293&lt;=20,1,0))</formula>
    </cfRule>
    <cfRule type="expression" priority="1982" dxfId="2">
      <formula>AND(IF($Q293=2,1,0),IF($X293&lt;30,1,0))</formula>
    </cfRule>
    <cfRule type="expression" priority="1983" dxfId="1">
      <formula>AND(IF($Q293=3,1,0),IF($X293&lt;30,1,0))</formula>
    </cfRule>
    <cfRule type="expression" priority="1984" dxfId="0">
      <formula>AND(IF($Q293=3,1,IF($Q293=4,1,0)),IF($F293&lt;=85,1,0))</formula>
    </cfRule>
  </conditionalFormatting>
  <conditionalFormatting sqref="AV294">
    <cfRule type="expression" priority="1979" dxfId="23">
      <formula>AV294="X"</formula>
    </cfRule>
    <cfRule type="expression" priority="1980" dxfId="22">
      <formula>AV294="후보"</formula>
    </cfRule>
  </conditionalFormatting>
  <conditionalFormatting sqref="AC29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9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94">
    <cfRule type="expression" priority="1971" dxfId="3">
      <formula>AND(IF(OR($Q294=1,$Q294=2),1,0),IF($X294&lt;=20,1,0))</formula>
    </cfRule>
    <cfRule type="expression" priority="1972" dxfId="2">
      <formula>AND(IF($Q294=2,1,0),IF($X294&lt;30,1,0))</formula>
    </cfRule>
    <cfRule type="expression" priority="1973" dxfId="1">
      <formula>AND(IF($Q294=3,1,0),IF($X294&lt;30,1,0))</formula>
    </cfRule>
    <cfRule type="expression" priority="1974" dxfId="0">
      <formula>AND(IF($Q294=3,1,IF($Q294=4,1,0)),IF($F294&lt;=85,1,0))</formula>
    </cfRule>
  </conditionalFormatting>
  <conditionalFormatting sqref="X294">
    <cfRule type="expression" priority="1967" dxfId="3">
      <formula>AND(IF(OR($Q294=1,$Q294=2),1,0),IF($X294&lt;=20,1,0))</formula>
    </cfRule>
    <cfRule type="expression" priority="1968" dxfId="2">
      <formula>AND(IF($Q294=2,1,0),IF($X294&lt;30,1,0))</formula>
    </cfRule>
    <cfRule type="expression" priority="1969" dxfId="1">
      <formula>AND(IF($Q294=3,1,0),IF($X294&lt;30,1,0))</formula>
    </cfRule>
    <cfRule type="expression" priority="1970" dxfId="0">
      <formula>AND(IF($Q294=3,1,IF($Q294=4,1,0)),IF($F294&lt;=85,1,0))</formula>
    </cfRule>
  </conditionalFormatting>
  <conditionalFormatting sqref="AI294">
    <cfRule type="expression" priority="1963" dxfId="3">
      <formula>AND(IF(OR($Q294=1,$Q294=2),1,0),IF($X294&lt;=20,1,0))</formula>
    </cfRule>
    <cfRule type="expression" priority="1964" dxfId="2">
      <formula>AND(IF($Q294=2,1,0),IF($X294&lt;30,1,0))</formula>
    </cfRule>
    <cfRule type="expression" priority="1965" dxfId="1">
      <formula>AND(IF($Q294=3,1,0),IF($X294&lt;30,1,0))</formula>
    </cfRule>
    <cfRule type="expression" priority="1966" dxfId="0">
      <formula>AND(IF($Q294=3,1,IF($Q294=4,1,0)),IF($F294&lt;=85,1,0))</formula>
    </cfRule>
  </conditionalFormatting>
  <conditionalFormatting sqref="AV295">
    <cfRule type="expression" priority="1961" dxfId="23">
      <formula>AV295="X"</formula>
    </cfRule>
    <cfRule type="expression" priority="1962" dxfId="22">
      <formula>AV295="후보"</formula>
    </cfRule>
  </conditionalFormatting>
  <conditionalFormatting sqref="AC29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9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95">
    <cfRule type="expression" priority="1953" dxfId="3">
      <formula>AND(IF(OR($Q295=1,$Q295=2),1,0),IF($X295&lt;=20,1,0))</formula>
    </cfRule>
    <cfRule type="expression" priority="1954" dxfId="2">
      <formula>AND(IF($Q295=2,1,0),IF($X295&lt;30,1,0))</formula>
    </cfRule>
    <cfRule type="expression" priority="1955" dxfId="1">
      <formula>AND(IF($Q295=3,1,0),IF($X295&lt;30,1,0))</formula>
    </cfRule>
    <cfRule type="expression" priority="1956" dxfId="0">
      <formula>AND(IF($Q295=3,1,IF($Q295=4,1,0)),IF($F295&lt;=85,1,0))</formula>
    </cfRule>
  </conditionalFormatting>
  <conditionalFormatting sqref="X295">
    <cfRule type="expression" priority="1949" dxfId="3">
      <formula>AND(IF(OR($Q295=1,$Q295=2),1,0),IF($X295&lt;=20,1,0))</formula>
    </cfRule>
    <cfRule type="expression" priority="1950" dxfId="2">
      <formula>AND(IF($Q295=2,1,0),IF($X295&lt;30,1,0))</formula>
    </cfRule>
    <cfRule type="expression" priority="1951" dxfId="1">
      <formula>AND(IF($Q295=3,1,0),IF($X295&lt;30,1,0))</formula>
    </cfRule>
    <cfRule type="expression" priority="1952" dxfId="0">
      <formula>AND(IF($Q295=3,1,IF($Q295=4,1,0)),IF($F295&lt;=85,1,0))</formula>
    </cfRule>
  </conditionalFormatting>
  <conditionalFormatting sqref="AI295">
    <cfRule type="expression" priority="1945" dxfId="3">
      <formula>AND(IF(OR($Q295=1,$Q295=2),1,0),IF($X295&lt;=20,1,0))</formula>
    </cfRule>
    <cfRule type="expression" priority="1946" dxfId="2">
      <formula>AND(IF($Q295=2,1,0),IF($X295&lt;30,1,0))</formula>
    </cfRule>
    <cfRule type="expression" priority="1947" dxfId="1">
      <formula>AND(IF($Q295=3,1,0),IF($X295&lt;30,1,0))</formula>
    </cfRule>
    <cfRule type="expression" priority="1948" dxfId="0">
      <formula>AND(IF($Q295=3,1,IF($Q295=4,1,0)),IF($F295&lt;=85,1,0))</formula>
    </cfRule>
  </conditionalFormatting>
  <conditionalFormatting sqref="AV296">
    <cfRule type="expression" priority="1943" dxfId="23">
      <formula>AV296="X"</formula>
    </cfRule>
    <cfRule type="expression" priority="1944" dxfId="22">
      <formula>AV296="후보"</formula>
    </cfRule>
  </conditionalFormatting>
  <conditionalFormatting sqref="AC29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9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96">
    <cfRule type="expression" priority="1935" dxfId="3">
      <formula>AND(IF(OR($Q296=1,$Q296=2),1,0),IF($X296&lt;=20,1,0))</formula>
    </cfRule>
    <cfRule type="expression" priority="1936" dxfId="2">
      <formula>AND(IF($Q296=2,1,0),IF($X296&lt;30,1,0))</formula>
    </cfRule>
    <cfRule type="expression" priority="1937" dxfId="1">
      <formula>AND(IF($Q296=3,1,0),IF($X296&lt;30,1,0))</formula>
    </cfRule>
    <cfRule type="expression" priority="1938" dxfId="0">
      <formula>AND(IF($Q296=3,1,IF($Q296=4,1,0)),IF($F296&lt;=85,1,0))</formula>
    </cfRule>
  </conditionalFormatting>
  <conditionalFormatting sqref="X296">
    <cfRule type="expression" priority="1931" dxfId="3">
      <formula>AND(IF(OR($Q296=1,$Q296=2),1,0),IF($X296&lt;=20,1,0))</formula>
    </cfRule>
    <cfRule type="expression" priority="1932" dxfId="2">
      <formula>AND(IF($Q296=2,1,0),IF($X296&lt;30,1,0))</formula>
    </cfRule>
    <cfRule type="expression" priority="1933" dxfId="1">
      <formula>AND(IF($Q296=3,1,0),IF($X296&lt;30,1,0))</formula>
    </cfRule>
    <cfRule type="expression" priority="1934" dxfId="0">
      <formula>AND(IF($Q296=3,1,IF($Q296=4,1,0)),IF($F296&lt;=85,1,0))</formula>
    </cfRule>
  </conditionalFormatting>
  <conditionalFormatting sqref="AI296">
    <cfRule type="expression" priority="1927" dxfId="3">
      <formula>AND(IF(OR($Q296=1,$Q296=2),1,0),IF($X296&lt;=20,1,0))</formula>
    </cfRule>
    <cfRule type="expression" priority="1928" dxfId="2">
      <formula>AND(IF($Q296=2,1,0),IF($X296&lt;30,1,0))</formula>
    </cfRule>
    <cfRule type="expression" priority="1929" dxfId="1">
      <formula>AND(IF($Q296=3,1,0),IF($X296&lt;30,1,0))</formula>
    </cfRule>
    <cfRule type="expression" priority="1930" dxfId="0">
      <formula>AND(IF($Q296=3,1,IF($Q296=4,1,0)),IF($F296&lt;=85,1,0))</formula>
    </cfRule>
  </conditionalFormatting>
  <conditionalFormatting sqref="AV297">
    <cfRule type="expression" priority="1925" dxfId="23">
      <formula>AV297="X"</formula>
    </cfRule>
    <cfRule type="expression" priority="1926" dxfId="22">
      <formula>AV297="후보"</formula>
    </cfRule>
  </conditionalFormatting>
  <conditionalFormatting sqref="AC29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9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97">
    <cfRule type="expression" priority="1917" dxfId="3">
      <formula>AND(IF(OR($Q297=1,$Q297=2),1,0),IF($X297&lt;=20,1,0))</formula>
    </cfRule>
    <cfRule type="expression" priority="1918" dxfId="2">
      <formula>AND(IF($Q297=2,1,0),IF($X297&lt;30,1,0))</formula>
    </cfRule>
    <cfRule type="expression" priority="1919" dxfId="1">
      <formula>AND(IF($Q297=3,1,0),IF($X297&lt;30,1,0))</formula>
    </cfRule>
    <cfRule type="expression" priority="1920" dxfId="0">
      <formula>AND(IF($Q297=3,1,IF($Q297=4,1,0)),IF($F297&lt;=85,1,0))</formula>
    </cfRule>
  </conditionalFormatting>
  <conditionalFormatting sqref="X297">
    <cfRule type="expression" priority="1913" dxfId="3">
      <formula>AND(IF(OR($Q297=1,$Q297=2),1,0),IF($X297&lt;=20,1,0))</formula>
    </cfRule>
    <cfRule type="expression" priority="1914" dxfId="2">
      <formula>AND(IF($Q297=2,1,0),IF($X297&lt;30,1,0))</formula>
    </cfRule>
    <cfRule type="expression" priority="1915" dxfId="1">
      <formula>AND(IF($Q297=3,1,0),IF($X297&lt;30,1,0))</formula>
    </cfRule>
    <cfRule type="expression" priority="1916" dxfId="0">
      <formula>AND(IF($Q297=3,1,IF($Q297=4,1,0)),IF($F297&lt;=85,1,0))</formula>
    </cfRule>
  </conditionalFormatting>
  <conditionalFormatting sqref="AI297">
    <cfRule type="expression" priority="1909" dxfId="3">
      <formula>AND(IF(OR($Q297=1,$Q297=2),1,0),IF($X297&lt;=20,1,0))</formula>
    </cfRule>
    <cfRule type="expression" priority="1910" dxfId="2">
      <formula>AND(IF($Q297=2,1,0),IF($X297&lt;30,1,0))</formula>
    </cfRule>
    <cfRule type="expression" priority="1911" dxfId="1">
      <formula>AND(IF($Q297=3,1,0),IF($X297&lt;30,1,0))</formula>
    </cfRule>
    <cfRule type="expression" priority="1912" dxfId="0">
      <formula>AND(IF($Q297=3,1,IF($Q297=4,1,0)),IF($F297&lt;=85,1,0))</formula>
    </cfRule>
  </conditionalFormatting>
  <conditionalFormatting sqref="AV298">
    <cfRule type="expression" priority="1907" dxfId="23">
      <formula>AV298="X"</formula>
    </cfRule>
    <cfRule type="expression" priority="1908" dxfId="22">
      <formula>AV298="후보"</formula>
    </cfRule>
  </conditionalFormatting>
  <conditionalFormatting sqref="AC29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9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98">
    <cfRule type="expression" priority="1899" dxfId="3">
      <formula>AND(IF(OR($Q298=1,$Q298=2),1,0),IF($X298&lt;=20,1,0))</formula>
    </cfRule>
    <cfRule type="expression" priority="1900" dxfId="2">
      <formula>AND(IF($Q298=2,1,0),IF($X298&lt;30,1,0))</formula>
    </cfRule>
    <cfRule type="expression" priority="1901" dxfId="1">
      <formula>AND(IF($Q298=3,1,0),IF($X298&lt;30,1,0))</formula>
    </cfRule>
    <cfRule type="expression" priority="1902" dxfId="0">
      <formula>AND(IF($Q298=3,1,IF($Q298=4,1,0)),IF($F298&lt;=85,1,0))</formula>
    </cfRule>
  </conditionalFormatting>
  <conditionalFormatting sqref="X298">
    <cfRule type="expression" priority="1895" dxfId="3">
      <formula>AND(IF(OR($Q298=1,$Q298=2),1,0),IF($X298&lt;=20,1,0))</formula>
    </cfRule>
    <cfRule type="expression" priority="1896" dxfId="2">
      <formula>AND(IF($Q298=2,1,0),IF($X298&lt;30,1,0))</formula>
    </cfRule>
    <cfRule type="expression" priority="1897" dxfId="1">
      <formula>AND(IF($Q298=3,1,0),IF($X298&lt;30,1,0))</formula>
    </cfRule>
    <cfRule type="expression" priority="1898" dxfId="0">
      <formula>AND(IF($Q298=3,1,IF($Q298=4,1,0)),IF($F298&lt;=85,1,0))</formula>
    </cfRule>
  </conditionalFormatting>
  <conditionalFormatting sqref="AI298">
    <cfRule type="expression" priority="1891" dxfId="3">
      <formula>AND(IF(OR($Q298=1,$Q298=2),1,0),IF($X298&lt;=20,1,0))</formula>
    </cfRule>
    <cfRule type="expression" priority="1892" dxfId="2">
      <formula>AND(IF($Q298=2,1,0),IF($X298&lt;30,1,0))</formula>
    </cfRule>
    <cfRule type="expression" priority="1893" dxfId="1">
      <formula>AND(IF($Q298=3,1,0),IF($X298&lt;30,1,0))</formula>
    </cfRule>
    <cfRule type="expression" priority="1894" dxfId="0">
      <formula>AND(IF($Q298=3,1,IF($Q298=4,1,0)),IF($F298&lt;=85,1,0))</formula>
    </cfRule>
  </conditionalFormatting>
  <conditionalFormatting sqref="AV299">
    <cfRule type="expression" priority="1889" dxfId="23">
      <formula>AV299="X"</formula>
    </cfRule>
    <cfRule type="expression" priority="1890" dxfId="22">
      <formula>AV299="후보"</formula>
    </cfRule>
  </conditionalFormatting>
  <conditionalFormatting sqref="AC29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9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99">
    <cfRule type="expression" priority="1881" dxfId="3">
      <formula>AND(IF(OR($Q299=1,$Q299=2),1,0),IF($X299&lt;=20,1,0))</formula>
    </cfRule>
    <cfRule type="expression" priority="1882" dxfId="2">
      <formula>AND(IF($Q299=2,1,0),IF($X299&lt;30,1,0))</formula>
    </cfRule>
    <cfRule type="expression" priority="1883" dxfId="1">
      <formula>AND(IF($Q299=3,1,0),IF($X299&lt;30,1,0))</formula>
    </cfRule>
    <cfRule type="expression" priority="1884" dxfId="0">
      <formula>AND(IF($Q299=3,1,IF($Q299=4,1,0)),IF($F299&lt;=85,1,0))</formula>
    </cfRule>
  </conditionalFormatting>
  <conditionalFormatting sqref="X299">
    <cfRule type="expression" priority="1877" dxfId="3">
      <formula>AND(IF(OR($Q299=1,$Q299=2),1,0),IF($X299&lt;=20,1,0))</formula>
    </cfRule>
    <cfRule type="expression" priority="1878" dxfId="2">
      <formula>AND(IF($Q299=2,1,0),IF($X299&lt;30,1,0))</formula>
    </cfRule>
    <cfRule type="expression" priority="1879" dxfId="1">
      <formula>AND(IF($Q299=3,1,0),IF($X299&lt;30,1,0))</formula>
    </cfRule>
    <cfRule type="expression" priority="1880" dxfId="0">
      <formula>AND(IF($Q299=3,1,IF($Q299=4,1,0)),IF($F299&lt;=85,1,0))</formula>
    </cfRule>
  </conditionalFormatting>
  <conditionalFormatting sqref="AI299">
    <cfRule type="expression" priority="1873" dxfId="3">
      <formula>AND(IF(OR($Q299=1,$Q299=2),1,0),IF($X299&lt;=20,1,0))</formula>
    </cfRule>
    <cfRule type="expression" priority="1874" dxfId="2">
      <formula>AND(IF($Q299=2,1,0),IF($X299&lt;30,1,0))</formula>
    </cfRule>
    <cfRule type="expression" priority="1875" dxfId="1">
      <formula>AND(IF($Q299=3,1,0),IF($X299&lt;30,1,0))</formula>
    </cfRule>
    <cfRule type="expression" priority="1876" dxfId="0">
      <formula>AND(IF($Q299=3,1,IF($Q299=4,1,0)),IF($F299&lt;=85,1,0))</formula>
    </cfRule>
  </conditionalFormatting>
  <conditionalFormatting sqref="AV300">
    <cfRule type="expression" priority="1871" dxfId="23">
      <formula>AV300="X"</formula>
    </cfRule>
    <cfRule type="expression" priority="1872" dxfId="22">
      <formula>AV300="후보"</formula>
    </cfRule>
  </conditionalFormatting>
  <conditionalFormatting sqref="AC30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0">
    <cfRule type="expression" priority="1863" dxfId="3">
      <formula>AND(IF(OR($Q300=1,$Q300=2),1,0),IF($X300&lt;=20,1,0))</formula>
    </cfRule>
    <cfRule type="expression" priority="1864" dxfId="2">
      <formula>AND(IF($Q300=2,1,0),IF($X300&lt;30,1,0))</formula>
    </cfRule>
    <cfRule type="expression" priority="1865" dxfId="1">
      <formula>AND(IF($Q300=3,1,0),IF($X300&lt;30,1,0))</formula>
    </cfRule>
    <cfRule type="expression" priority="1866" dxfId="0">
      <formula>AND(IF($Q300=3,1,IF($Q300=4,1,0)),IF($F300&lt;=85,1,0))</formula>
    </cfRule>
  </conditionalFormatting>
  <conditionalFormatting sqref="X300">
    <cfRule type="expression" priority="1859" dxfId="3">
      <formula>AND(IF(OR($Q300=1,$Q300=2),1,0),IF($X300&lt;=20,1,0))</formula>
    </cfRule>
    <cfRule type="expression" priority="1860" dxfId="2">
      <formula>AND(IF($Q300=2,1,0),IF($X300&lt;30,1,0))</formula>
    </cfRule>
    <cfRule type="expression" priority="1861" dxfId="1">
      <formula>AND(IF($Q300=3,1,0),IF($X300&lt;30,1,0))</formula>
    </cfRule>
    <cfRule type="expression" priority="1862" dxfId="0">
      <formula>AND(IF($Q300=3,1,IF($Q300=4,1,0)),IF($F300&lt;=85,1,0))</formula>
    </cfRule>
  </conditionalFormatting>
  <conditionalFormatting sqref="AI300">
    <cfRule type="expression" priority="1855" dxfId="3">
      <formula>AND(IF(OR($Q300=1,$Q300=2),1,0),IF($X300&lt;=20,1,0))</formula>
    </cfRule>
    <cfRule type="expression" priority="1856" dxfId="2">
      <formula>AND(IF($Q300=2,1,0),IF($X300&lt;30,1,0))</formula>
    </cfRule>
    <cfRule type="expression" priority="1857" dxfId="1">
      <formula>AND(IF($Q300=3,1,0),IF($X300&lt;30,1,0))</formula>
    </cfRule>
    <cfRule type="expression" priority="1858" dxfId="0">
      <formula>AND(IF($Q300=3,1,IF($Q300=4,1,0)),IF($F300&lt;=85,1,0))</formula>
    </cfRule>
  </conditionalFormatting>
  <conditionalFormatting sqref="AV301">
    <cfRule type="expression" priority="1853" dxfId="23">
      <formula>AV301="X"</formula>
    </cfRule>
    <cfRule type="expression" priority="1854" dxfId="22">
      <formula>AV301="후보"</formula>
    </cfRule>
  </conditionalFormatting>
  <conditionalFormatting sqref="AC30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1">
    <cfRule type="expression" priority="1845" dxfId="3">
      <formula>AND(IF(OR($Q301=1,$Q301=2),1,0),IF($X301&lt;=20,1,0))</formula>
    </cfRule>
    <cfRule type="expression" priority="1846" dxfId="2">
      <formula>AND(IF($Q301=2,1,0),IF($X301&lt;30,1,0))</formula>
    </cfRule>
    <cfRule type="expression" priority="1847" dxfId="1">
      <formula>AND(IF($Q301=3,1,0),IF($X301&lt;30,1,0))</formula>
    </cfRule>
    <cfRule type="expression" priority="1848" dxfId="0">
      <formula>AND(IF($Q301=3,1,IF($Q301=4,1,0)),IF($F301&lt;=85,1,0))</formula>
    </cfRule>
  </conditionalFormatting>
  <conditionalFormatting sqref="X301">
    <cfRule type="expression" priority="1841" dxfId="3">
      <formula>AND(IF(OR($Q301=1,$Q301=2),1,0),IF($X301&lt;=20,1,0))</formula>
    </cfRule>
    <cfRule type="expression" priority="1842" dxfId="2">
      <formula>AND(IF($Q301=2,1,0),IF($X301&lt;30,1,0))</formula>
    </cfRule>
    <cfRule type="expression" priority="1843" dxfId="1">
      <formula>AND(IF($Q301=3,1,0),IF($X301&lt;30,1,0))</formula>
    </cfRule>
    <cfRule type="expression" priority="1844" dxfId="0">
      <formula>AND(IF($Q301=3,1,IF($Q301=4,1,0)),IF($F301&lt;=85,1,0))</formula>
    </cfRule>
  </conditionalFormatting>
  <conditionalFormatting sqref="AI301">
    <cfRule type="expression" priority="1837" dxfId="3">
      <formula>AND(IF(OR($Q301=1,$Q301=2),1,0),IF($X301&lt;=20,1,0))</formula>
    </cfRule>
    <cfRule type="expression" priority="1838" dxfId="2">
      <formula>AND(IF($Q301=2,1,0),IF($X301&lt;30,1,0))</formula>
    </cfRule>
    <cfRule type="expression" priority="1839" dxfId="1">
      <formula>AND(IF($Q301=3,1,0),IF($X301&lt;30,1,0))</formula>
    </cfRule>
    <cfRule type="expression" priority="1840" dxfId="0">
      <formula>AND(IF($Q301=3,1,IF($Q301=4,1,0)),IF($F301&lt;=85,1,0))</formula>
    </cfRule>
  </conditionalFormatting>
  <conditionalFormatting sqref="AV302">
    <cfRule type="expression" priority="1835" dxfId="23">
      <formula>AV302="X"</formula>
    </cfRule>
    <cfRule type="expression" priority="1836" dxfId="22">
      <formula>AV302="후보"</formula>
    </cfRule>
  </conditionalFormatting>
  <conditionalFormatting sqref="AC30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2">
    <cfRule type="expression" priority="1827" dxfId="3">
      <formula>AND(IF(OR($Q302=1,$Q302=2),1,0),IF($X302&lt;=20,1,0))</formula>
    </cfRule>
    <cfRule type="expression" priority="1828" dxfId="2">
      <formula>AND(IF($Q302=2,1,0),IF($X302&lt;30,1,0))</formula>
    </cfRule>
    <cfRule type="expression" priority="1829" dxfId="1">
      <formula>AND(IF($Q302=3,1,0),IF($X302&lt;30,1,0))</formula>
    </cfRule>
    <cfRule type="expression" priority="1830" dxfId="0">
      <formula>AND(IF($Q302=3,1,IF($Q302=4,1,0)),IF($F302&lt;=85,1,0))</formula>
    </cfRule>
  </conditionalFormatting>
  <conditionalFormatting sqref="X302">
    <cfRule type="expression" priority="1823" dxfId="3">
      <formula>AND(IF(OR($Q302=1,$Q302=2),1,0),IF($X302&lt;=20,1,0))</formula>
    </cfRule>
    <cfRule type="expression" priority="1824" dxfId="2">
      <formula>AND(IF($Q302=2,1,0),IF($X302&lt;30,1,0))</formula>
    </cfRule>
    <cfRule type="expression" priority="1825" dxfId="1">
      <formula>AND(IF($Q302=3,1,0),IF($X302&lt;30,1,0))</formula>
    </cfRule>
    <cfRule type="expression" priority="1826" dxfId="0">
      <formula>AND(IF($Q302=3,1,IF($Q302=4,1,0)),IF($F302&lt;=85,1,0))</formula>
    </cfRule>
  </conditionalFormatting>
  <conditionalFormatting sqref="AI302">
    <cfRule type="expression" priority="1819" dxfId="3">
      <formula>AND(IF(OR($Q302=1,$Q302=2),1,0),IF($X302&lt;=20,1,0))</formula>
    </cfRule>
    <cfRule type="expression" priority="1820" dxfId="2">
      <formula>AND(IF($Q302=2,1,0),IF($X302&lt;30,1,0))</formula>
    </cfRule>
    <cfRule type="expression" priority="1821" dxfId="1">
      <formula>AND(IF($Q302=3,1,0),IF($X302&lt;30,1,0))</formula>
    </cfRule>
    <cfRule type="expression" priority="1822" dxfId="0">
      <formula>AND(IF($Q302=3,1,IF($Q302=4,1,0)),IF($F302&lt;=85,1,0))</formula>
    </cfRule>
  </conditionalFormatting>
  <conditionalFormatting sqref="AV303">
    <cfRule type="expression" priority="1817" dxfId="23">
      <formula>AV303="X"</formula>
    </cfRule>
    <cfRule type="expression" priority="1818" dxfId="22">
      <formula>AV303="후보"</formula>
    </cfRule>
  </conditionalFormatting>
  <conditionalFormatting sqref="AC30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3">
    <cfRule type="expression" priority="1809" dxfId="3">
      <formula>AND(IF(OR($Q303=1,$Q303=2),1,0),IF($X303&lt;=20,1,0))</formula>
    </cfRule>
    <cfRule type="expression" priority="1810" dxfId="2">
      <formula>AND(IF($Q303=2,1,0),IF($X303&lt;30,1,0))</formula>
    </cfRule>
    <cfRule type="expression" priority="1811" dxfId="1">
      <formula>AND(IF($Q303=3,1,0),IF($X303&lt;30,1,0))</formula>
    </cfRule>
    <cfRule type="expression" priority="1812" dxfId="0">
      <formula>AND(IF($Q303=3,1,IF($Q303=4,1,0)),IF($F303&lt;=85,1,0))</formula>
    </cfRule>
  </conditionalFormatting>
  <conditionalFormatting sqref="X303">
    <cfRule type="expression" priority="1805" dxfId="3">
      <formula>AND(IF(OR($Q303=1,$Q303=2),1,0),IF($X303&lt;=20,1,0))</formula>
    </cfRule>
    <cfRule type="expression" priority="1806" dxfId="2">
      <formula>AND(IF($Q303=2,1,0),IF($X303&lt;30,1,0))</formula>
    </cfRule>
    <cfRule type="expression" priority="1807" dxfId="1">
      <formula>AND(IF($Q303=3,1,0),IF($X303&lt;30,1,0))</formula>
    </cfRule>
    <cfRule type="expression" priority="1808" dxfId="0">
      <formula>AND(IF($Q303=3,1,IF($Q303=4,1,0)),IF($F303&lt;=85,1,0))</formula>
    </cfRule>
  </conditionalFormatting>
  <conditionalFormatting sqref="AI303">
    <cfRule type="expression" priority="1801" dxfId="3">
      <formula>AND(IF(OR($Q303=1,$Q303=2),1,0),IF($X303&lt;=20,1,0))</formula>
    </cfRule>
    <cfRule type="expression" priority="1802" dxfId="2">
      <formula>AND(IF($Q303=2,1,0),IF($X303&lt;30,1,0))</formula>
    </cfRule>
    <cfRule type="expression" priority="1803" dxfId="1">
      <formula>AND(IF($Q303=3,1,0),IF($X303&lt;30,1,0))</formula>
    </cfRule>
    <cfRule type="expression" priority="1804" dxfId="0">
      <formula>AND(IF($Q303=3,1,IF($Q303=4,1,0)),IF($F303&lt;=85,1,0))</formula>
    </cfRule>
  </conditionalFormatting>
  <conditionalFormatting sqref="AV304">
    <cfRule type="expression" priority="1799" dxfId="23">
      <formula>AV304="X"</formula>
    </cfRule>
    <cfRule type="expression" priority="1800" dxfId="22">
      <formula>AV304="후보"</formula>
    </cfRule>
  </conditionalFormatting>
  <conditionalFormatting sqref="AC30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0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04">
    <cfRule type="expression" priority="1791" dxfId="3">
      <formula>AND(IF(OR($Q304=1,$Q304=2),1,0),IF($X304&lt;=20,1,0))</formula>
    </cfRule>
    <cfRule type="expression" priority="1792" dxfId="2">
      <formula>AND(IF($Q304=2,1,0),IF($X304&lt;30,1,0))</formula>
    </cfRule>
    <cfRule type="expression" priority="1793" dxfId="1">
      <formula>AND(IF($Q304=3,1,0),IF($X304&lt;30,1,0))</formula>
    </cfRule>
    <cfRule type="expression" priority="1794" dxfId="0">
      <formula>AND(IF($Q304=3,1,IF($Q304=4,1,0)),IF($F304&lt;=85,1,0))</formula>
    </cfRule>
  </conditionalFormatting>
  <conditionalFormatting sqref="X304">
    <cfRule type="expression" priority="1787" dxfId="3">
      <formula>AND(IF(OR($Q304=1,$Q304=2),1,0),IF($X304&lt;=20,1,0))</formula>
    </cfRule>
    <cfRule type="expression" priority="1788" dxfId="2">
      <formula>AND(IF($Q304=2,1,0),IF($X304&lt;30,1,0))</formula>
    </cfRule>
    <cfRule type="expression" priority="1789" dxfId="1">
      <formula>AND(IF($Q304=3,1,0),IF($X304&lt;30,1,0))</formula>
    </cfRule>
    <cfRule type="expression" priority="1790" dxfId="0">
      <formula>AND(IF($Q304=3,1,IF($Q304=4,1,0)),IF($F304&lt;=85,1,0))</formula>
    </cfRule>
  </conditionalFormatting>
  <conditionalFormatting sqref="AI304">
    <cfRule type="expression" priority="1783" dxfId="3">
      <formula>AND(IF(OR($Q304=1,$Q304=2),1,0),IF($X304&lt;=20,1,0))</formula>
    </cfRule>
    <cfRule type="expression" priority="1784" dxfId="2">
      <formula>AND(IF($Q304=2,1,0),IF($X304&lt;30,1,0))</formula>
    </cfRule>
    <cfRule type="expression" priority="1785" dxfId="1">
      <formula>AND(IF($Q304=3,1,0),IF($X304&lt;30,1,0))</formula>
    </cfRule>
    <cfRule type="expression" priority="1786" dxfId="0">
      <formula>AND(IF($Q304=3,1,IF($Q304=4,1,0)),IF($F304&lt;=85,1,0))</formula>
    </cfRule>
  </conditionalFormatting>
  <conditionalFormatting sqref="AV305">
    <cfRule type="expression" priority="1781" dxfId="23">
      <formula>AV305="X"</formula>
    </cfRule>
    <cfRule type="expression" priority="1782" dxfId="22">
      <formula>AV305="후보"</formula>
    </cfRule>
  </conditionalFormatting>
  <conditionalFormatting sqref="AC30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0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05">
    <cfRule type="expression" priority="1773" dxfId="3">
      <formula>AND(IF(OR($Q305=1,$Q305=2),1,0),IF($X305&lt;=20,1,0))</formula>
    </cfRule>
    <cfRule type="expression" priority="1774" dxfId="2">
      <formula>AND(IF($Q305=2,1,0),IF($X305&lt;30,1,0))</formula>
    </cfRule>
    <cfRule type="expression" priority="1775" dxfId="1">
      <formula>AND(IF($Q305=3,1,0),IF($X305&lt;30,1,0))</formula>
    </cfRule>
    <cfRule type="expression" priority="1776" dxfId="0">
      <formula>AND(IF($Q305=3,1,IF($Q305=4,1,0)),IF($F305&lt;=85,1,0))</formula>
    </cfRule>
  </conditionalFormatting>
  <conditionalFormatting sqref="X305">
    <cfRule type="expression" priority="1769" dxfId="3">
      <formula>AND(IF(OR($Q305=1,$Q305=2),1,0),IF($X305&lt;=20,1,0))</formula>
    </cfRule>
    <cfRule type="expression" priority="1770" dxfId="2">
      <formula>AND(IF($Q305=2,1,0),IF($X305&lt;30,1,0))</formula>
    </cfRule>
    <cfRule type="expression" priority="1771" dxfId="1">
      <formula>AND(IF($Q305=3,1,0),IF($X305&lt;30,1,0))</formula>
    </cfRule>
    <cfRule type="expression" priority="1772" dxfId="0">
      <formula>AND(IF($Q305=3,1,IF($Q305=4,1,0)),IF($F305&lt;=85,1,0))</formula>
    </cfRule>
  </conditionalFormatting>
  <conditionalFormatting sqref="AI305">
    <cfRule type="expression" priority="1765" dxfId="3">
      <formula>AND(IF(OR($Q305=1,$Q305=2),1,0),IF($X305&lt;=20,1,0))</formula>
    </cfRule>
    <cfRule type="expression" priority="1766" dxfId="2">
      <formula>AND(IF($Q305=2,1,0),IF($X305&lt;30,1,0))</formula>
    </cfRule>
    <cfRule type="expression" priority="1767" dxfId="1">
      <formula>AND(IF($Q305=3,1,0),IF($X305&lt;30,1,0))</formula>
    </cfRule>
    <cfRule type="expression" priority="1768" dxfId="0">
      <formula>AND(IF($Q305=3,1,IF($Q305=4,1,0)),IF($F305&lt;=85,1,0))</formula>
    </cfRule>
  </conditionalFormatting>
  <conditionalFormatting sqref="AV306">
    <cfRule type="expression" priority="1763" dxfId="23">
      <formula>AV306="X"</formula>
    </cfRule>
    <cfRule type="expression" priority="1764" dxfId="22">
      <formula>AV306="후보"</formula>
    </cfRule>
  </conditionalFormatting>
  <conditionalFormatting sqref="AC30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0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06">
    <cfRule type="expression" priority="1755" dxfId="3">
      <formula>AND(IF(OR($Q306=1,$Q306=2),1,0),IF($X306&lt;=20,1,0))</formula>
    </cfRule>
    <cfRule type="expression" priority="1756" dxfId="2">
      <formula>AND(IF($Q306=2,1,0),IF($X306&lt;30,1,0))</formula>
    </cfRule>
    <cfRule type="expression" priority="1757" dxfId="1">
      <formula>AND(IF($Q306=3,1,0),IF($X306&lt;30,1,0))</formula>
    </cfRule>
    <cfRule type="expression" priority="1758" dxfId="0">
      <formula>AND(IF($Q306=3,1,IF($Q306=4,1,0)),IF($F306&lt;=85,1,0))</formula>
    </cfRule>
  </conditionalFormatting>
  <conditionalFormatting sqref="X306">
    <cfRule type="expression" priority="1751" dxfId="3">
      <formula>AND(IF(OR($Q306=1,$Q306=2),1,0),IF($X306&lt;=20,1,0))</formula>
    </cfRule>
    <cfRule type="expression" priority="1752" dxfId="2">
      <formula>AND(IF($Q306=2,1,0),IF($X306&lt;30,1,0))</formula>
    </cfRule>
    <cfRule type="expression" priority="1753" dxfId="1">
      <formula>AND(IF($Q306=3,1,0),IF($X306&lt;30,1,0))</formula>
    </cfRule>
    <cfRule type="expression" priority="1754" dxfId="0">
      <formula>AND(IF($Q306=3,1,IF($Q306=4,1,0)),IF($F306&lt;=85,1,0))</formula>
    </cfRule>
  </conditionalFormatting>
  <conditionalFormatting sqref="AI306">
    <cfRule type="expression" priority="1747" dxfId="3">
      <formula>AND(IF(OR($Q306=1,$Q306=2),1,0),IF($X306&lt;=20,1,0))</formula>
    </cfRule>
    <cfRule type="expression" priority="1748" dxfId="2">
      <formula>AND(IF($Q306=2,1,0),IF($X306&lt;30,1,0))</formula>
    </cfRule>
    <cfRule type="expression" priority="1749" dxfId="1">
      <formula>AND(IF($Q306=3,1,0),IF($X306&lt;30,1,0))</formula>
    </cfRule>
    <cfRule type="expression" priority="1750" dxfId="0">
      <formula>AND(IF($Q306=3,1,IF($Q306=4,1,0)),IF($F306&lt;=85,1,0))</formula>
    </cfRule>
  </conditionalFormatting>
  <conditionalFormatting sqref="AV307">
    <cfRule type="expression" priority="1745" dxfId="23">
      <formula>AV307="X"</formula>
    </cfRule>
    <cfRule type="expression" priority="1746" dxfId="22">
      <formula>AV307="후보"</formula>
    </cfRule>
  </conditionalFormatting>
  <conditionalFormatting sqref="AC30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0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07">
    <cfRule type="expression" priority="1737" dxfId="3">
      <formula>AND(IF(OR($Q307=1,$Q307=2),1,0),IF($X307&lt;=20,1,0))</formula>
    </cfRule>
    <cfRule type="expression" priority="1738" dxfId="2">
      <formula>AND(IF($Q307=2,1,0),IF($X307&lt;30,1,0))</formula>
    </cfRule>
    <cfRule type="expression" priority="1739" dxfId="1">
      <formula>AND(IF($Q307=3,1,0),IF($X307&lt;30,1,0))</formula>
    </cfRule>
    <cfRule type="expression" priority="1740" dxfId="0">
      <formula>AND(IF($Q307=3,1,IF($Q307=4,1,0)),IF($F307&lt;=85,1,0))</formula>
    </cfRule>
  </conditionalFormatting>
  <conditionalFormatting sqref="X307">
    <cfRule type="expression" priority="1733" dxfId="3">
      <formula>AND(IF(OR($Q307=1,$Q307=2),1,0),IF($X307&lt;=20,1,0))</formula>
    </cfRule>
    <cfRule type="expression" priority="1734" dxfId="2">
      <formula>AND(IF($Q307=2,1,0),IF($X307&lt;30,1,0))</formula>
    </cfRule>
    <cfRule type="expression" priority="1735" dxfId="1">
      <formula>AND(IF($Q307=3,1,0),IF($X307&lt;30,1,0))</formula>
    </cfRule>
    <cfRule type="expression" priority="1736" dxfId="0">
      <formula>AND(IF($Q307=3,1,IF($Q307=4,1,0)),IF($F307&lt;=85,1,0))</formula>
    </cfRule>
  </conditionalFormatting>
  <conditionalFormatting sqref="AI307">
    <cfRule type="expression" priority="1729" dxfId="3">
      <formula>AND(IF(OR($Q307=1,$Q307=2),1,0),IF($X307&lt;=20,1,0))</formula>
    </cfRule>
    <cfRule type="expression" priority="1730" dxfId="2">
      <formula>AND(IF($Q307=2,1,0),IF($X307&lt;30,1,0))</formula>
    </cfRule>
    <cfRule type="expression" priority="1731" dxfId="1">
      <formula>AND(IF($Q307=3,1,0),IF($X307&lt;30,1,0))</formula>
    </cfRule>
    <cfRule type="expression" priority="1732" dxfId="0">
      <formula>AND(IF($Q307=3,1,IF($Q307=4,1,0)),IF($F307&lt;=85,1,0))</formula>
    </cfRule>
  </conditionalFormatting>
  <conditionalFormatting sqref="AV308">
    <cfRule type="expression" priority="1727" dxfId="23">
      <formula>AV308="X"</formula>
    </cfRule>
    <cfRule type="expression" priority="1728" dxfId="22">
      <formula>AV308="후보"</formula>
    </cfRule>
  </conditionalFormatting>
  <conditionalFormatting sqref="AC30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0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08">
    <cfRule type="expression" priority="1719" dxfId="3">
      <formula>AND(IF(OR($Q308=1,$Q308=2),1,0),IF($X308&lt;=20,1,0))</formula>
    </cfRule>
    <cfRule type="expression" priority="1720" dxfId="2">
      <formula>AND(IF($Q308=2,1,0),IF($X308&lt;30,1,0))</formula>
    </cfRule>
    <cfRule type="expression" priority="1721" dxfId="1">
      <formula>AND(IF($Q308=3,1,0),IF($X308&lt;30,1,0))</formula>
    </cfRule>
    <cfRule type="expression" priority="1722" dxfId="0">
      <formula>AND(IF($Q308=3,1,IF($Q308=4,1,0)),IF($F308&lt;=85,1,0))</formula>
    </cfRule>
  </conditionalFormatting>
  <conditionalFormatting sqref="X308">
    <cfRule type="expression" priority="1715" dxfId="3">
      <formula>AND(IF(OR($Q308=1,$Q308=2),1,0),IF($X308&lt;=20,1,0))</formula>
    </cfRule>
    <cfRule type="expression" priority="1716" dxfId="2">
      <formula>AND(IF($Q308=2,1,0),IF($X308&lt;30,1,0))</formula>
    </cfRule>
    <cfRule type="expression" priority="1717" dxfId="1">
      <formula>AND(IF($Q308=3,1,0),IF($X308&lt;30,1,0))</formula>
    </cfRule>
    <cfRule type="expression" priority="1718" dxfId="0">
      <formula>AND(IF($Q308=3,1,IF($Q308=4,1,0)),IF($F308&lt;=85,1,0))</formula>
    </cfRule>
  </conditionalFormatting>
  <conditionalFormatting sqref="AI308">
    <cfRule type="expression" priority="1711" dxfId="3">
      <formula>AND(IF(OR($Q308=1,$Q308=2),1,0),IF($X308&lt;=20,1,0))</formula>
    </cfRule>
    <cfRule type="expression" priority="1712" dxfId="2">
      <formula>AND(IF($Q308=2,1,0),IF($X308&lt;30,1,0))</formula>
    </cfRule>
    <cfRule type="expression" priority="1713" dxfId="1">
      <formula>AND(IF($Q308=3,1,0),IF($X308&lt;30,1,0))</formula>
    </cfRule>
    <cfRule type="expression" priority="1714" dxfId="0">
      <formula>AND(IF($Q308=3,1,IF($Q308=4,1,0)),IF($F308&lt;=85,1,0))</formula>
    </cfRule>
  </conditionalFormatting>
  <conditionalFormatting sqref="AV309">
    <cfRule type="expression" priority="1709" dxfId="23">
      <formula>AV309="X"</formula>
    </cfRule>
    <cfRule type="expression" priority="1710" dxfId="22">
      <formula>AV309="후보"</formula>
    </cfRule>
  </conditionalFormatting>
  <conditionalFormatting sqref="AC30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9">
    <cfRule type="expression" priority="1701" dxfId="3">
      <formula>AND(IF(OR($Q309=1,$Q309=2),1,0),IF($X309&lt;=20,1,0))</formula>
    </cfRule>
    <cfRule type="expression" priority="1702" dxfId="2">
      <formula>AND(IF($Q309=2,1,0),IF($X309&lt;30,1,0))</formula>
    </cfRule>
    <cfRule type="expression" priority="1703" dxfId="1">
      <formula>AND(IF($Q309=3,1,0),IF($X309&lt;30,1,0))</formula>
    </cfRule>
    <cfRule type="expression" priority="1704" dxfId="0">
      <formula>AND(IF($Q309=3,1,IF($Q309=4,1,0)),IF($F309&lt;=85,1,0))</formula>
    </cfRule>
  </conditionalFormatting>
  <conditionalFormatting sqref="X309">
    <cfRule type="expression" priority="1697" dxfId="3">
      <formula>AND(IF(OR($Q309=1,$Q309=2),1,0),IF($X309&lt;=20,1,0))</formula>
    </cfRule>
    <cfRule type="expression" priority="1698" dxfId="2">
      <formula>AND(IF($Q309=2,1,0),IF($X309&lt;30,1,0))</formula>
    </cfRule>
    <cfRule type="expression" priority="1699" dxfId="1">
      <formula>AND(IF($Q309=3,1,0),IF($X309&lt;30,1,0))</formula>
    </cfRule>
    <cfRule type="expression" priority="1700" dxfId="0">
      <formula>AND(IF($Q309=3,1,IF($Q309=4,1,0)),IF($F309&lt;=85,1,0))</formula>
    </cfRule>
  </conditionalFormatting>
  <conditionalFormatting sqref="AI309">
    <cfRule type="expression" priority="1693" dxfId="3">
      <formula>AND(IF(OR($Q309=1,$Q309=2),1,0),IF($X309&lt;=20,1,0))</formula>
    </cfRule>
    <cfRule type="expression" priority="1694" dxfId="2">
      <formula>AND(IF($Q309=2,1,0),IF($X309&lt;30,1,0))</formula>
    </cfRule>
    <cfRule type="expression" priority="1695" dxfId="1">
      <formula>AND(IF($Q309=3,1,0),IF($X309&lt;30,1,0))</formula>
    </cfRule>
    <cfRule type="expression" priority="1696" dxfId="0">
      <formula>AND(IF($Q309=3,1,IF($Q309=4,1,0)),IF($F309&lt;=85,1,0))</formula>
    </cfRule>
  </conditionalFormatting>
  <conditionalFormatting sqref="AV310">
    <cfRule type="expression" priority="1691" dxfId="23">
      <formula>AV310="X"</formula>
    </cfRule>
    <cfRule type="expression" priority="1692" dxfId="22">
      <formula>AV310="후보"</formula>
    </cfRule>
  </conditionalFormatting>
  <conditionalFormatting sqref="AC31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0">
    <cfRule type="expression" priority="1683" dxfId="3">
      <formula>AND(IF(OR($Q310=1,$Q310=2),1,0),IF($X310&lt;=20,1,0))</formula>
    </cfRule>
    <cfRule type="expression" priority="1684" dxfId="2">
      <formula>AND(IF($Q310=2,1,0),IF($X310&lt;30,1,0))</formula>
    </cfRule>
    <cfRule type="expression" priority="1685" dxfId="1">
      <formula>AND(IF($Q310=3,1,0),IF($X310&lt;30,1,0))</formula>
    </cfRule>
    <cfRule type="expression" priority="1686" dxfId="0">
      <formula>AND(IF($Q310=3,1,IF($Q310=4,1,0)),IF($F310&lt;=85,1,0))</formula>
    </cfRule>
  </conditionalFormatting>
  <conditionalFormatting sqref="X310">
    <cfRule type="expression" priority="1679" dxfId="3">
      <formula>AND(IF(OR($Q310=1,$Q310=2),1,0),IF($X310&lt;=20,1,0))</formula>
    </cfRule>
    <cfRule type="expression" priority="1680" dxfId="2">
      <formula>AND(IF($Q310=2,1,0),IF($X310&lt;30,1,0))</formula>
    </cfRule>
    <cfRule type="expression" priority="1681" dxfId="1">
      <formula>AND(IF($Q310=3,1,0),IF($X310&lt;30,1,0))</formula>
    </cfRule>
    <cfRule type="expression" priority="1682" dxfId="0">
      <formula>AND(IF($Q310=3,1,IF($Q310=4,1,0)),IF($F310&lt;=85,1,0))</formula>
    </cfRule>
  </conditionalFormatting>
  <conditionalFormatting sqref="AI310">
    <cfRule type="expression" priority="1675" dxfId="3">
      <formula>AND(IF(OR($Q310=1,$Q310=2),1,0),IF($X310&lt;=20,1,0))</formula>
    </cfRule>
    <cfRule type="expression" priority="1676" dxfId="2">
      <formula>AND(IF($Q310=2,1,0),IF($X310&lt;30,1,0))</formula>
    </cfRule>
    <cfRule type="expression" priority="1677" dxfId="1">
      <formula>AND(IF($Q310=3,1,0),IF($X310&lt;30,1,0))</formula>
    </cfRule>
    <cfRule type="expression" priority="1678" dxfId="0">
      <formula>AND(IF($Q310=3,1,IF($Q310=4,1,0)),IF($F310&lt;=85,1,0))</formula>
    </cfRule>
  </conditionalFormatting>
  <conditionalFormatting sqref="AV311">
    <cfRule type="expression" priority="1673" dxfId="23">
      <formula>AV311="X"</formula>
    </cfRule>
    <cfRule type="expression" priority="1674" dxfId="22">
      <formula>AV311="후보"</formula>
    </cfRule>
  </conditionalFormatting>
  <conditionalFormatting sqref="AC31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1">
    <cfRule type="expression" priority="1665" dxfId="3">
      <formula>AND(IF(OR($Q311=1,$Q311=2),1,0),IF($X311&lt;=20,1,0))</formula>
    </cfRule>
    <cfRule type="expression" priority="1666" dxfId="2">
      <formula>AND(IF($Q311=2,1,0),IF($X311&lt;30,1,0))</formula>
    </cfRule>
    <cfRule type="expression" priority="1667" dxfId="1">
      <formula>AND(IF($Q311=3,1,0),IF($X311&lt;30,1,0))</formula>
    </cfRule>
    <cfRule type="expression" priority="1668" dxfId="0">
      <formula>AND(IF($Q311=3,1,IF($Q311=4,1,0)),IF($F311&lt;=85,1,0))</formula>
    </cfRule>
  </conditionalFormatting>
  <conditionalFormatting sqref="X311">
    <cfRule type="expression" priority="1661" dxfId="3">
      <formula>AND(IF(OR($Q311=1,$Q311=2),1,0),IF($X311&lt;=20,1,0))</formula>
    </cfRule>
    <cfRule type="expression" priority="1662" dxfId="2">
      <formula>AND(IF($Q311=2,1,0),IF($X311&lt;30,1,0))</formula>
    </cfRule>
    <cfRule type="expression" priority="1663" dxfId="1">
      <formula>AND(IF($Q311=3,1,0),IF($X311&lt;30,1,0))</formula>
    </cfRule>
    <cfRule type="expression" priority="1664" dxfId="0">
      <formula>AND(IF($Q311=3,1,IF($Q311=4,1,0)),IF($F311&lt;=85,1,0))</formula>
    </cfRule>
  </conditionalFormatting>
  <conditionalFormatting sqref="AI311">
    <cfRule type="expression" priority="1657" dxfId="3">
      <formula>AND(IF(OR($Q311=1,$Q311=2),1,0),IF($X311&lt;=20,1,0))</formula>
    </cfRule>
    <cfRule type="expression" priority="1658" dxfId="2">
      <formula>AND(IF($Q311=2,1,0),IF($X311&lt;30,1,0))</formula>
    </cfRule>
    <cfRule type="expression" priority="1659" dxfId="1">
      <formula>AND(IF($Q311=3,1,0),IF($X311&lt;30,1,0))</formula>
    </cfRule>
    <cfRule type="expression" priority="1660" dxfId="0">
      <formula>AND(IF($Q311=3,1,IF($Q311=4,1,0)),IF($F311&lt;=85,1,0))</formula>
    </cfRule>
  </conditionalFormatting>
  <conditionalFormatting sqref="AV312">
    <cfRule type="expression" priority="1655" dxfId="23">
      <formula>AV312="X"</formula>
    </cfRule>
    <cfRule type="expression" priority="1656" dxfId="22">
      <formula>AV312="후보"</formula>
    </cfRule>
  </conditionalFormatting>
  <conditionalFormatting sqref="AC31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2">
    <cfRule type="expression" priority="1647" dxfId="3">
      <formula>AND(IF(OR($Q312=1,$Q312=2),1,0),IF($X312&lt;=20,1,0))</formula>
    </cfRule>
    <cfRule type="expression" priority="1648" dxfId="2">
      <formula>AND(IF($Q312=2,1,0),IF($X312&lt;30,1,0))</formula>
    </cfRule>
    <cfRule type="expression" priority="1649" dxfId="1">
      <formula>AND(IF($Q312=3,1,0),IF($X312&lt;30,1,0))</formula>
    </cfRule>
    <cfRule type="expression" priority="1650" dxfId="0">
      <formula>AND(IF($Q312=3,1,IF($Q312=4,1,0)),IF($F312&lt;=85,1,0))</formula>
    </cfRule>
  </conditionalFormatting>
  <conditionalFormatting sqref="X312">
    <cfRule type="expression" priority="1643" dxfId="3">
      <formula>AND(IF(OR($Q312=1,$Q312=2),1,0),IF($X312&lt;=20,1,0))</formula>
    </cfRule>
    <cfRule type="expression" priority="1644" dxfId="2">
      <formula>AND(IF($Q312=2,1,0),IF($X312&lt;30,1,0))</formula>
    </cfRule>
    <cfRule type="expression" priority="1645" dxfId="1">
      <formula>AND(IF($Q312=3,1,0),IF($X312&lt;30,1,0))</formula>
    </cfRule>
    <cfRule type="expression" priority="1646" dxfId="0">
      <formula>AND(IF($Q312=3,1,IF($Q312=4,1,0)),IF($F312&lt;=85,1,0))</formula>
    </cfRule>
  </conditionalFormatting>
  <conditionalFormatting sqref="AI312">
    <cfRule type="expression" priority="1639" dxfId="3">
      <formula>AND(IF(OR($Q312=1,$Q312=2),1,0),IF($X312&lt;=20,1,0))</formula>
    </cfRule>
    <cfRule type="expression" priority="1640" dxfId="2">
      <formula>AND(IF($Q312=2,1,0),IF($X312&lt;30,1,0))</formula>
    </cfRule>
    <cfRule type="expression" priority="1641" dxfId="1">
      <formula>AND(IF($Q312=3,1,0),IF($X312&lt;30,1,0))</formula>
    </cfRule>
    <cfRule type="expression" priority="1642" dxfId="0">
      <formula>AND(IF($Q312=3,1,IF($Q312=4,1,0)),IF($F312&lt;=85,1,0))</formula>
    </cfRule>
  </conditionalFormatting>
  <conditionalFormatting sqref="AV313">
    <cfRule type="expression" priority="1637" dxfId="23">
      <formula>AV313="X"</formula>
    </cfRule>
    <cfRule type="expression" priority="1638" dxfId="22">
      <formula>AV313="후보"</formula>
    </cfRule>
  </conditionalFormatting>
  <conditionalFormatting sqref="AC31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3">
    <cfRule type="expression" priority="1629" dxfId="3">
      <formula>AND(IF(OR($Q313=1,$Q313=2),1,0),IF($X313&lt;=20,1,0))</formula>
    </cfRule>
    <cfRule type="expression" priority="1630" dxfId="2">
      <formula>AND(IF($Q313=2,1,0),IF($X313&lt;30,1,0))</formula>
    </cfRule>
    <cfRule type="expression" priority="1631" dxfId="1">
      <formula>AND(IF($Q313=3,1,0),IF($X313&lt;30,1,0))</formula>
    </cfRule>
    <cfRule type="expression" priority="1632" dxfId="0">
      <formula>AND(IF($Q313=3,1,IF($Q313=4,1,0)),IF($F313&lt;=85,1,0))</formula>
    </cfRule>
  </conditionalFormatting>
  <conditionalFormatting sqref="X313">
    <cfRule type="expression" priority="1625" dxfId="3">
      <formula>AND(IF(OR($Q313=1,$Q313=2),1,0),IF($X313&lt;=20,1,0))</formula>
    </cfRule>
    <cfRule type="expression" priority="1626" dxfId="2">
      <formula>AND(IF($Q313=2,1,0),IF($X313&lt;30,1,0))</formula>
    </cfRule>
    <cfRule type="expression" priority="1627" dxfId="1">
      <formula>AND(IF($Q313=3,1,0),IF($X313&lt;30,1,0))</formula>
    </cfRule>
    <cfRule type="expression" priority="1628" dxfId="0">
      <formula>AND(IF($Q313=3,1,IF($Q313=4,1,0)),IF($F313&lt;=85,1,0))</formula>
    </cfRule>
  </conditionalFormatting>
  <conditionalFormatting sqref="AI313">
    <cfRule type="expression" priority="1621" dxfId="3">
      <formula>AND(IF(OR($Q313=1,$Q313=2),1,0),IF($X313&lt;=20,1,0))</formula>
    </cfRule>
    <cfRule type="expression" priority="1622" dxfId="2">
      <formula>AND(IF($Q313=2,1,0),IF($X313&lt;30,1,0))</formula>
    </cfRule>
    <cfRule type="expression" priority="1623" dxfId="1">
      <formula>AND(IF($Q313=3,1,0),IF($X313&lt;30,1,0))</formula>
    </cfRule>
    <cfRule type="expression" priority="1624" dxfId="0">
      <formula>AND(IF($Q313=3,1,IF($Q313=4,1,0)),IF($F313&lt;=85,1,0))</formula>
    </cfRule>
  </conditionalFormatting>
  <conditionalFormatting sqref="AV314">
    <cfRule type="expression" priority="1619" dxfId="23">
      <formula>AV314="X"</formula>
    </cfRule>
    <cfRule type="expression" priority="1620" dxfId="22">
      <formula>AV314="후보"</formula>
    </cfRule>
  </conditionalFormatting>
  <conditionalFormatting sqref="AC31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1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14">
    <cfRule type="expression" priority="1611" dxfId="3">
      <formula>AND(IF(OR($Q314=1,$Q314=2),1,0),IF($X314&lt;=20,1,0))</formula>
    </cfRule>
    <cfRule type="expression" priority="1612" dxfId="2">
      <formula>AND(IF($Q314=2,1,0),IF($X314&lt;30,1,0))</formula>
    </cfRule>
    <cfRule type="expression" priority="1613" dxfId="1">
      <formula>AND(IF($Q314=3,1,0),IF($X314&lt;30,1,0))</formula>
    </cfRule>
    <cfRule type="expression" priority="1614" dxfId="0">
      <formula>AND(IF($Q314=3,1,IF($Q314=4,1,0)),IF($F314&lt;=85,1,0))</formula>
    </cfRule>
  </conditionalFormatting>
  <conditionalFormatting sqref="X314">
    <cfRule type="expression" priority="1607" dxfId="3">
      <formula>AND(IF(OR($Q314=1,$Q314=2),1,0),IF($X314&lt;=20,1,0))</formula>
    </cfRule>
    <cfRule type="expression" priority="1608" dxfId="2">
      <formula>AND(IF($Q314=2,1,0),IF($X314&lt;30,1,0))</formula>
    </cfRule>
    <cfRule type="expression" priority="1609" dxfId="1">
      <formula>AND(IF($Q314=3,1,0),IF($X314&lt;30,1,0))</formula>
    </cfRule>
    <cfRule type="expression" priority="1610" dxfId="0">
      <formula>AND(IF($Q314=3,1,IF($Q314=4,1,0)),IF($F314&lt;=85,1,0))</formula>
    </cfRule>
  </conditionalFormatting>
  <conditionalFormatting sqref="AI314">
    <cfRule type="expression" priority="1603" dxfId="3">
      <formula>AND(IF(OR($Q314=1,$Q314=2),1,0),IF($X314&lt;=20,1,0))</formula>
    </cfRule>
    <cfRule type="expression" priority="1604" dxfId="2">
      <formula>AND(IF($Q314=2,1,0),IF($X314&lt;30,1,0))</formula>
    </cfRule>
    <cfRule type="expression" priority="1605" dxfId="1">
      <formula>AND(IF($Q314=3,1,0),IF($X314&lt;30,1,0))</formula>
    </cfRule>
    <cfRule type="expression" priority="1606" dxfId="0">
      <formula>AND(IF($Q314=3,1,IF($Q314=4,1,0)),IF($F314&lt;=85,1,0))</formula>
    </cfRule>
  </conditionalFormatting>
  <conditionalFormatting sqref="AV315">
    <cfRule type="expression" priority="1601" dxfId="23">
      <formula>AV315="X"</formula>
    </cfRule>
    <cfRule type="expression" priority="1602" dxfId="22">
      <formula>AV315="후보"</formula>
    </cfRule>
  </conditionalFormatting>
  <conditionalFormatting sqref="AC31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1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15">
    <cfRule type="expression" priority="1593" dxfId="3">
      <formula>AND(IF(OR($Q315=1,$Q315=2),1,0),IF($X315&lt;=20,1,0))</formula>
    </cfRule>
    <cfRule type="expression" priority="1594" dxfId="2">
      <formula>AND(IF($Q315=2,1,0),IF($X315&lt;30,1,0))</formula>
    </cfRule>
    <cfRule type="expression" priority="1595" dxfId="1">
      <formula>AND(IF($Q315=3,1,0),IF($X315&lt;30,1,0))</formula>
    </cfRule>
    <cfRule type="expression" priority="1596" dxfId="0">
      <formula>AND(IF($Q315=3,1,IF($Q315=4,1,0)),IF($F315&lt;=85,1,0))</formula>
    </cfRule>
  </conditionalFormatting>
  <conditionalFormatting sqref="X315">
    <cfRule type="expression" priority="1589" dxfId="3">
      <formula>AND(IF(OR($Q315=1,$Q315=2),1,0),IF($X315&lt;=20,1,0))</formula>
    </cfRule>
    <cfRule type="expression" priority="1590" dxfId="2">
      <formula>AND(IF($Q315=2,1,0),IF($X315&lt;30,1,0))</formula>
    </cfRule>
    <cfRule type="expression" priority="1591" dxfId="1">
      <formula>AND(IF($Q315=3,1,0),IF($X315&lt;30,1,0))</formula>
    </cfRule>
    <cfRule type="expression" priority="1592" dxfId="0">
      <formula>AND(IF($Q315=3,1,IF($Q315=4,1,0)),IF($F315&lt;=85,1,0))</formula>
    </cfRule>
  </conditionalFormatting>
  <conditionalFormatting sqref="AI315">
    <cfRule type="expression" priority="1585" dxfId="3">
      <formula>AND(IF(OR($Q315=1,$Q315=2),1,0),IF($X315&lt;=20,1,0))</formula>
    </cfRule>
    <cfRule type="expression" priority="1586" dxfId="2">
      <formula>AND(IF($Q315=2,1,0),IF($X315&lt;30,1,0))</formula>
    </cfRule>
    <cfRule type="expression" priority="1587" dxfId="1">
      <formula>AND(IF($Q315=3,1,0),IF($X315&lt;30,1,0))</formula>
    </cfRule>
    <cfRule type="expression" priority="1588" dxfId="0">
      <formula>AND(IF($Q315=3,1,IF($Q315=4,1,0)),IF($F315&lt;=85,1,0))</formula>
    </cfRule>
  </conditionalFormatting>
  <conditionalFormatting sqref="AV316">
    <cfRule type="expression" priority="1583" dxfId="23">
      <formula>AV316="X"</formula>
    </cfRule>
    <cfRule type="expression" priority="1584" dxfId="22">
      <formula>AV316="후보"</formula>
    </cfRule>
  </conditionalFormatting>
  <conditionalFormatting sqref="AC31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1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16">
    <cfRule type="expression" priority="1575" dxfId="3">
      <formula>AND(IF(OR($Q316=1,$Q316=2),1,0),IF($X316&lt;=20,1,0))</formula>
    </cfRule>
    <cfRule type="expression" priority="1576" dxfId="2">
      <formula>AND(IF($Q316=2,1,0),IF($X316&lt;30,1,0))</formula>
    </cfRule>
    <cfRule type="expression" priority="1577" dxfId="1">
      <formula>AND(IF($Q316=3,1,0),IF($X316&lt;30,1,0))</formula>
    </cfRule>
    <cfRule type="expression" priority="1578" dxfId="0">
      <formula>AND(IF($Q316=3,1,IF($Q316=4,1,0)),IF($F316&lt;=85,1,0))</formula>
    </cfRule>
  </conditionalFormatting>
  <conditionalFormatting sqref="X316">
    <cfRule type="expression" priority="1571" dxfId="3">
      <formula>AND(IF(OR($Q316=1,$Q316=2),1,0),IF($X316&lt;=20,1,0))</formula>
    </cfRule>
    <cfRule type="expression" priority="1572" dxfId="2">
      <formula>AND(IF($Q316=2,1,0),IF($X316&lt;30,1,0))</formula>
    </cfRule>
    <cfRule type="expression" priority="1573" dxfId="1">
      <formula>AND(IF($Q316=3,1,0),IF($X316&lt;30,1,0))</formula>
    </cfRule>
    <cfRule type="expression" priority="1574" dxfId="0">
      <formula>AND(IF($Q316=3,1,IF($Q316=4,1,0)),IF($F316&lt;=85,1,0))</formula>
    </cfRule>
  </conditionalFormatting>
  <conditionalFormatting sqref="AI316">
    <cfRule type="expression" priority="1567" dxfId="3">
      <formula>AND(IF(OR($Q316=1,$Q316=2),1,0),IF($X316&lt;=20,1,0))</formula>
    </cfRule>
    <cfRule type="expression" priority="1568" dxfId="2">
      <formula>AND(IF($Q316=2,1,0),IF($X316&lt;30,1,0))</formula>
    </cfRule>
    <cfRule type="expression" priority="1569" dxfId="1">
      <formula>AND(IF($Q316=3,1,0),IF($X316&lt;30,1,0))</formula>
    </cfRule>
    <cfRule type="expression" priority="1570" dxfId="0">
      <formula>AND(IF($Q316=3,1,IF($Q316=4,1,0)),IF($F316&lt;=85,1,0))</formula>
    </cfRule>
  </conditionalFormatting>
  <conditionalFormatting sqref="AV317">
    <cfRule type="expression" priority="1565" dxfId="23">
      <formula>AV317="X"</formula>
    </cfRule>
    <cfRule type="expression" priority="1566" dxfId="22">
      <formula>AV317="후보"</formula>
    </cfRule>
  </conditionalFormatting>
  <conditionalFormatting sqref="AC31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1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17">
    <cfRule type="expression" priority="1557" dxfId="3">
      <formula>AND(IF(OR($Q317=1,$Q317=2),1,0),IF($X317&lt;=20,1,0))</formula>
    </cfRule>
    <cfRule type="expression" priority="1558" dxfId="2">
      <formula>AND(IF($Q317=2,1,0),IF($X317&lt;30,1,0))</formula>
    </cfRule>
    <cfRule type="expression" priority="1559" dxfId="1">
      <formula>AND(IF($Q317=3,1,0),IF($X317&lt;30,1,0))</formula>
    </cfRule>
    <cfRule type="expression" priority="1560" dxfId="0">
      <formula>AND(IF($Q317=3,1,IF($Q317=4,1,0)),IF($F317&lt;=85,1,0))</formula>
    </cfRule>
  </conditionalFormatting>
  <conditionalFormatting sqref="X317">
    <cfRule type="expression" priority="1553" dxfId="3">
      <formula>AND(IF(OR($Q317=1,$Q317=2),1,0),IF($X317&lt;=20,1,0))</formula>
    </cfRule>
    <cfRule type="expression" priority="1554" dxfId="2">
      <formula>AND(IF($Q317=2,1,0),IF($X317&lt;30,1,0))</formula>
    </cfRule>
    <cfRule type="expression" priority="1555" dxfId="1">
      <formula>AND(IF($Q317=3,1,0),IF($X317&lt;30,1,0))</formula>
    </cfRule>
    <cfRule type="expression" priority="1556" dxfId="0">
      <formula>AND(IF($Q317=3,1,IF($Q317=4,1,0)),IF($F317&lt;=85,1,0))</formula>
    </cfRule>
  </conditionalFormatting>
  <conditionalFormatting sqref="AI317">
    <cfRule type="expression" priority="1549" dxfId="3">
      <formula>AND(IF(OR($Q317=1,$Q317=2),1,0),IF($X317&lt;=20,1,0))</formula>
    </cfRule>
    <cfRule type="expression" priority="1550" dxfId="2">
      <formula>AND(IF($Q317=2,1,0),IF($X317&lt;30,1,0))</formula>
    </cfRule>
    <cfRule type="expression" priority="1551" dxfId="1">
      <formula>AND(IF($Q317=3,1,0),IF($X317&lt;30,1,0))</formula>
    </cfRule>
    <cfRule type="expression" priority="1552" dxfId="0">
      <formula>AND(IF($Q317=3,1,IF($Q317=4,1,0)),IF($F317&lt;=85,1,0))</formula>
    </cfRule>
  </conditionalFormatting>
  <conditionalFormatting sqref="AV318">
    <cfRule type="expression" priority="1547" dxfId="23">
      <formula>AV318="X"</formula>
    </cfRule>
    <cfRule type="expression" priority="1548" dxfId="22">
      <formula>AV318="후보"</formula>
    </cfRule>
  </conditionalFormatting>
  <conditionalFormatting sqref="AC31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1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18">
    <cfRule type="expression" priority="1539" dxfId="3">
      <formula>AND(IF(OR($Q318=1,$Q318=2),1,0),IF($X318&lt;=20,1,0))</formula>
    </cfRule>
    <cfRule type="expression" priority="1540" dxfId="2">
      <formula>AND(IF($Q318=2,1,0),IF($X318&lt;30,1,0))</formula>
    </cfRule>
    <cfRule type="expression" priority="1541" dxfId="1">
      <formula>AND(IF($Q318=3,1,0),IF($X318&lt;30,1,0))</formula>
    </cfRule>
    <cfRule type="expression" priority="1542" dxfId="0">
      <formula>AND(IF($Q318=3,1,IF($Q318=4,1,0)),IF($F318&lt;=85,1,0))</formula>
    </cfRule>
  </conditionalFormatting>
  <conditionalFormatting sqref="X318">
    <cfRule type="expression" priority="1535" dxfId="3">
      <formula>AND(IF(OR($Q318=1,$Q318=2),1,0),IF($X318&lt;=20,1,0))</formula>
    </cfRule>
    <cfRule type="expression" priority="1536" dxfId="2">
      <formula>AND(IF($Q318=2,1,0),IF($X318&lt;30,1,0))</formula>
    </cfRule>
    <cfRule type="expression" priority="1537" dxfId="1">
      <formula>AND(IF($Q318=3,1,0),IF($X318&lt;30,1,0))</formula>
    </cfRule>
    <cfRule type="expression" priority="1538" dxfId="0">
      <formula>AND(IF($Q318=3,1,IF($Q318=4,1,0)),IF($F318&lt;=85,1,0))</formula>
    </cfRule>
  </conditionalFormatting>
  <conditionalFormatting sqref="AI318">
    <cfRule type="expression" priority="1531" dxfId="3">
      <formula>AND(IF(OR($Q318=1,$Q318=2),1,0),IF($X318&lt;=20,1,0))</formula>
    </cfRule>
    <cfRule type="expression" priority="1532" dxfId="2">
      <formula>AND(IF($Q318=2,1,0),IF($X318&lt;30,1,0))</formula>
    </cfRule>
    <cfRule type="expression" priority="1533" dxfId="1">
      <formula>AND(IF($Q318=3,1,0),IF($X318&lt;30,1,0))</formula>
    </cfRule>
    <cfRule type="expression" priority="1534" dxfId="0">
      <formula>AND(IF($Q318=3,1,IF($Q318=4,1,0)),IF($F318&lt;=85,1,0))</formula>
    </cfRule>
  </conditionalFormatting>
  <conditionalFormatting sqref="AV319">
    <cfRule type="expression" priority="1529" dxfId="23">
      <formula>AV319="X"</formula>
    </cfRule>
    <cfRule type="expression" priority="1530" dxfId="22">
      <formula>AV319="후보"</formula>
    </cfRule>
  </conditionalFormatting>
  <conditionalFormatting sqref="AC31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1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19">
    <cfRule type="expression" priority="1521" dxfId="3">
      <formula>AND(IF(OR($Q319=1,$Q319=2),1,0),IF($X319&lt;=20,1,0))</formula>
    </cfRule>
    <cfRule type="expression" priority="1522" dxfId="2">
      <formula>AND(IF($Q319=2,1,0),IF($X319&lt;30,1,0))</formula>
    </cfRule>
    <cfRule type="expression" priority="1523" dxfId="1">
      <formula>AND(IF($Q319=3,1,0),IF($X319&lt;30,1,0))</formula>
    </cfRule>
    <cfRule type="expression" priority="1524" dxfId="0">
      <formula>AND(IF($Q319=3,1,IF($Q319=4,1,0)),IF($F319&lt;=85,1,0))</formula>
    </cfRule>
  </conditionalFormatting>
  <conditionalFormatting sqref="X319">
    <cfRule type="expression" priority="1517" dxfId="3">
      <formula>AND(IF(OR($Q319=1,$Q319=2),1,0),IF($X319&lt;=20,1,0))</formula>
    </cfRule>
    <cfRule type="expression" priority="1518" dxfId="2">
      <formula>AND(IF($Q319=2,1,0),IF($X319&lt;30,1,0))</formula>
    </cfRule>
    <cfRule type="expression" priority="1519" dxfId="1">
      <formula>AND(IF($Q319=3,1,0),IF($X319&lt;30,1,0))</formula>
    </cfRule>
    <cfRule type="expression" priority="1520" dxfId="0">
      <formula>AND(IF($Q319=3,1,IF($Q319=4,1,0)),IF($F319&lt;=85,1,0))</formula>
    </cfRule>
  </conditionalFormatting>
  <conditionalFormatting sqref="AI319">
    <cfRule type="expression" priority="1513" dxfId="3">
      <formula>AND(IF(OR($Q319=1,$Q319=2),1,0),IF($X319&lt;=20,1,0))</formula>
    </cfRule>
    <cfRule type="expression" priority="1514" dxfId="2">
      <formula>AND(IF($Q319=2,1,0),IF($X319&lt;30,1,0))</formula>
    </cfRule>
    <cfRule type="expression" priority="1515" dxfId="1">
      <formula>AND(IF($Q319=3,1,0),IF($X319&lt;30,1,0))</formula>
    </cfRule>
    <cfRule type="expression" priority="1516" dxfId="0">
      <formula>AND(IF($Q319=3,1,IF($Q319=4,1,0)),IF($F319&lt;=85,1,0))</formula>
    </cfRule>
  </conditionalFormatting>
  <conditionalFormatting sqref="AV320">
    <cfRule type="expression" priority="1511" dxfId="23">
      <formula>AV320="X"</formula>
    </cfRule>
    <cfRule type="expression" priority="1512" dxfId="22">
      <formula>AV320="후보"</formula>
    </cfRule>
  </conditionalFormatting>
  <conditionalFormatting sqref="AC32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0">
    <cfRule type="expression" priority="1503" dxfId="3">
      <formula>AND(IF(OR($Q320=1,$Q320=2),1,0),IF($X320&lt;=20,1,0))</formula>
    </cfRule>
    <cfRule type="expression" priority="1504" dxfId="2">
      <formula>AND(IF($Q320=2,1,0),IF($X320&lt;30,1,0))</formula>
    </cfRule>
    <cfRule type="expression" priority="1505" dxfId="1">
      <formula>AND(IF($Q320=3,1,0),IF($X320&lt;30,1,0))</formula>
    </cfRule>
    <cfRule type="expression" priority="1506" dxfId="0">
      <formula>AND(IF($Q320=3,1,IF($Q320=4,1,0)),IF($F320&lt;=85,1,0))</formula>
    </cfRule>
  </conditionalFormatting>
  <conditionalFormatting sqref="X320">
    <cfRule type="expression" priority="1499" dxfId="3">
      <formula>AND(IF(OR($Q320=1,$Q320=2),1,0),IF($X320&lt;=20,1,0))</formula>
    </cfRule>
    <cfRule type="expression" priority="1500" dxfId="2">
      <formula>AND(IF($Q320=2,1,0),IF($X320&lt;30,1,0))</formula>
    </cfRule>
    <cfRule type="expression" priority="1501" dxfId="1">
      <formula>AND(IF($Q320=3,1,0),IF($X320&lt;30,1,0))</formula>
    </cfRule>
    <cfRule type="expression" priority="1502" dxfId="0">
      <formula>AND(IF($Q320=3,1,IF($Q320=4,1,0)),IF($F320&lt;=85,1,0))</formula>
    </cfRule>
  </conditionalFormatting>
  <conditionalFormatting sqref="AI320">
    <cfRule type="expression" priority="1495" dxfId="3">
      <formula>AND(IF(OR($Q320=1,$Q320=2),1,0),IF($X320&lt;=20,1,0))</formula>
    </cfRule>
    <cfRule type="expression" priority="1496" dxfId="2">
      <formula>AND(IF($Q320=2,1,0),IF($X320&lt;30,1,0))</formula>
    </cfRule>
    <cfRule type="expression" priority="1497" dxfId="1">
      <formula>AND(IF($Q320=3,1,0),IF($X320&lt;30,1,0))</formula>
    </cfRule>
    <cfRule type="expression" priority="1498" dxfId="0">
      <formula>AND(IF($Q320=3,1,IF($Q320=4,1,0)),IF($F320&lt;=85,1,0))</formula>
    </cfRule>
  </conditionalFormatting>
  <conditionalFormatting sqref="AV321">
    <cfRule type="expression" priority="1493" dxfId="23">
      <formula>AV321="X"</formula>
    </cfRule>
    <cfRule type="expression" priority="1494" dxfId="22">
      <formula>AV321="후보"</formula>
    </cfRule>
  </conditionalFormatting>
  <conditionalFormatting sqref="AC32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1">
    <cfRule type="expression" priority="1485" dxfId="3">
      <formula>AND(IF(OR($Q321=1,$Q321=2),1,0),IF($X321&lt;=20,1,0))</formula>
    </cfRule>
    <cfRule type="expression" priority="1486" dxfId="2">
      <formula>AND(IF($Q321=2,1,0),IF($X321&lt;30,1,0))</formula>
    </cfRule>
    <cfRule type="expression" priority="1487" dxfId="1">
      <formula>AND(IF($Q321=3,1,0),IF($X321&lt;30,1,0))</formula>
    </cfRule>
    <cfRule type="expression" priority="1488" dxfId="0">
      <formula>AND(IF($Q321=3,1,IF($Q321=4,1,0)),IF($F321&lt;=85,1,0))</formula>
    </cfRule>
  </conditionalFormatting>
  <conditionalFormatting sqref="X321">
    <cfRule type="expression" priority="1481" dxfId="3">
      <formula>AND(IF(OR($Q321=1,$Q321=2),1,0),IF($X321&lt;=20,1,0))</formula>
    </cfRule>
    <cfRule type="expression" priority="1482" dxfId="2">
      <formula>AND(IF($Q321=2,1,0),IF($X321&lt;30,1,0))</formula>
    </cfRule>
    <cfRule type="expression" priority="1483" dxfId="1">
      <formula>AND(IF($Q321=3,1,0),IF($X321&lt;30,1,0))</formula>
    </cfRule>
    <cfRule type="expression" priority="1484" dxfId="0">
      <formula>AND(IF($Q321=3,1,IF($Q321=4,1,0)),IF($F321&lt;=85,1,0))</formula>
    </cfRule>
  </conditionalFormatting>
  <conditionalFormatting sqref="AI321">
    <cfRule type="expression" priority="1477" dxfId="3">
      <formula>AND(IF(OR($Q321=1,$Q321=2),1,0),IF($X321&lt;=20,1,0))</formula>
    </cfRule>
    <cfRule type="expression" priority="1478" dxfId="2">
      <formula>AND(IF($Q321=2,1,0),IF($X321&lt;30,1,0))</formula>
    </cfRule>
    <cfRule type="expression" priority="1479" dxfId="1">
      <formula>AND(IF($Q321=3,1,0),IF($X321&lt;30,1,0))</formula>
    </cfRule>
    <cfRule type="expression" priority="1480" dxfId="0">
      <formula>AND(IF($Q321=3,1,IF($Q321=4,1,0)),IF($F321&lt;=85,1,0))</formula>
    </cfRule>
  </conditionalFormatting>
  <conditionalFormatting sqref="AV322">
    <cfRule type="expression" priority="1475" dxfId="23">
      <formula>AV322="X"</formula>
    </cfRule>
    <cfRule type="expression" priority="1476" dxfId="22">
      <formula>AV322="후보"</formula>
    </cfRule>
  </conditionalFormatting>
  <conditionalFormatting sqref="AC32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2">
    <cfRule type="expression" priority="1467" dxfId="3">
      <formula>AND(IF(OR($Q322=1,$Q322=2),1,0),IF($X322&lt;=20,1,0))</formula>
    </cfRule>
    <cfRule type="expression" priority="1468" dxfId="2">
      <formula>AND(IF($Q322=2,1,0),IF($X322&lt;30,1,0))</formula>
    </cfRule>
    <cfRule type="expression" priority="1469" dxfId="1">
      <formula>AND(IF($Q322=3,1,0),IF($X322&lt;30,1,0))</formula>
    </cfRule>
    <cfRule type="expression" priority="1470" dxfId="0">
      <formula>AND(IF($Q322=3,1,IF($Q322=4,1,0)),IF($F322&lt;=85,1,0))</formula>
    </cfRule>
  </conditionalFormatting>
  <conditionalFormatting sqref="X322">
    <cfRule type="expression" priority="1463" dxfId="3">
      <formula>AND(IF(OR($Q322=1,$Q322=2),1,0),IF($X322&lt;=20,1,0))</formula>
    </cfRule>
    <cfRule type="expression" priority="1464" dxfId="2">
      <formula>AND(IF($Q322=2,1,0),IF($X322&lt;30,1,0))</formula>
    </cfRule>
    <cfRule type="expression" priority="1465" dxfId="1">
      <formula>AND(IF($Q322=3,1,0),IF($X322&lt;30,1,0))</formula>
    </cfRule>
    <cfRule type="expression" priority="1466" dxfId="0">
      <formula>AND(IF($Q322=3,1,IF($Q322=4,1,0)),IF($F322&lt;=85,1,0))</formula>
    </cfRule>
  </conditionalFormatting>
  <conditionalFormatting sqref="AI322">
    <cfRule type="expression" priority="1459" dxfId="3">
      <formula>AND(IF(OR($Q322=1,$Q322=2),1,0),IF($X322&lt;=20,1,0))</formula>
    </cfRule>
    <cfRule type="expression" priority="1460" dxfId="2">
      <formula>AND(IF($Q322=2,1,0),IF($X322&lt;30,1,0))</formula>
    </cfRule>
    <cfRule type="expression" priority="1461" dxfId="1">
      <formula>AND(IF($Q322=3,1,0),IF($X322&lt;30,1,0))</formula>
    </cfRule>
    <cfRule type="expression" priority="1462" dxfId="0">
      <formula>AND(IF($Q322=3,1,IF($Q322=4,1,0)),IF($F322&lt;=85,1,0))</formula>
    </cfRule>
  </conditionalFormatting>
  <conditionalFormatting sqref="AV323">
    <cfRule type="expression" priority="1457" dxfId="23">
      <formula>AV323="X"</formula>
    </cfRule>
    <cfRule type="expression" priority="1458" dxfId="22">
      <formula>AV323="후보"</formula>
    </cfRule>
  </conditionalFormatting>
  <conditionalFormatting sqref="AC32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3">
    <cfRule type="expression" priority="1449" dxfId="3">
      <formula>AND(IF(OR($Q323=1,$Q323=2),1,0),IF($X323&lt;=20,1,0))</formula>
    </cfRule>
    <cfRule type="expression" priority="1450" dxfId="2">
      <formula>AND(IF($Q323=2,1,0),IF($X323&lt;30,1,0))</formula>
    </cfRule>
    <cfRule type="expression" priority="1451" dxfId="1">
      <formula>AND(IF($Q323=3,1,0),IF($X323&lt;30,1,0))</formula>
    </cfRule>
    <cfRule type="expression" priority="1452" dxfId="0">
      <formula>AND(IF($Q323=3,1,IF($Q323=4,1,0)),IF($F323&lt;=85,1,0))</formula>
    </cfRule>
  </conditionalFormatting>
  <conditionalFormatting sqref="X323">
    <cfRule type="expression" priority="1445" dxfId="3">
      <formula>AND(IF(OR($Q323=1,$Q323=2),1,0),IF($X323&lt;=20,1,0))</formula>
    </cfRule>
    <cfRule type="expression" priority="1446" dxfId="2">
      <formula>AND(IF($Q323=2,1,0),IF($X323&lt;30,1,0))</formula>
    </cfRule>
    <cfRule type="expression" priority="1447" dxfId="1">
      <formula>AND(IF($Q323=3,1,0),IF($X323&lt;30,1,0))</formula>
    </cfRule>
    <cfRule type="expression" priority="1448" dxfId="0">
      <formula>AND(IF($Q323=3,1,IF($Q323=4,1,0)),IF($F323&lt;=85,1,0))</formula>
    </cfRule>
  </conditionalFormatting>
  <conditionalFormatting sqref="AI323">
    <cfRule type="expression" priority="1441" dxfId="3">
      <formula>AND(IF(OR($Q323=1,$Q323=2),1,0),IF($X323&lt;=20,1,0))</formula>
    </cfRule>
    <cfRule type="expression" priority="1442" dxfId="2">
      <formula>AND(IF($Q323=2,1,0),IF($X323&lt;30,1,0))</formula>
    </cfRule>
    <cfRule type="expression" priority="1443" dxfId="1">
      <formula>AND(IF($Q323=3,1,0),IF($X323&lt;30,1,0))</formula>
    </cfRule>
    <cfRule type="expression" priority="1444" dxfId="0">
      <formula>AND(IF($Q323=3,1,IF($Q323=4,1,0)),IF($F323&lt;=85,1,0))</formula>
    </cfRule>
  </conditionalFormatting>
  <conditionalFormatting sqref="AV324">
    <cfRule type="expression" priority="1439" dxfId="23">
      <formula>AV324="X"</formula>
    </cfRule>
    <cfRule type="expression" priority="1440" dxfId="22">
      <formula>AV324="후보"</formula>
    </cfRule>
  </conditionalFormatting>
  <conditionalFormatting sqref="AC32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2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24">
    <cfRule type="expression" priority="1431" dxfId="3">
      <formula>AND(IF(OR($Q324=1,$Q324=2),1,0),IF($X324&lt;=20,1,0))</formula>
    </cfRule>
    <cfRule type="expression" priority="1432" dxfId="2">
      <formula>AND(IF($Q324=2,1,0),IF($X324&lt;30,1,0))</formula>
    </cfRule>
    <cfRule type="expression" priority="1433" dxfId="1">
      <formula>AND(IF($Q324=3,1,0),IF($X324&lt;30,1,0))</formula>
    </cfRule>
    <cfRule type="expression" priority="1434" dxfId="0">
      <formula>AND(IF($Q324=3,1,IF($Q324=4,1,0)),IF($F324&lt;=85,1,0))</formula>
    </cfRule>
  </conditionalFormatting>
  <conditionalFormatting sqref="X324">
    <cfRule type="expression" priority="1427" dxfId="3">
      <formula>AND(IF(OR($Q324=1,$Q324=2),1,0),IF($X324&lt;=20,1,0))</formula>
    </cfRule>
    <cfRule type="expression" priority="1428" dxfId="2">
      <formula>AND(IF($Q324=2,1,0),IF($X324&lt;30,1,0))</formula>
    </cfRule>
    <cfRule type="expression" priority="1429" dxfId="1">
      <formula>AND(IF($Q324=3,1,0),IF($X324&lt;30,1,0))</formula>
    </cfRule>
    <cfRule type="expression" priority="1430" dxfId="0">
      <formula>AND(IF($Q324=3,1,IF($Q324=4,1,0)),IF($F324&lt;=85,1,0))</formula>
    </cfRule>
  </conditionalFormatting>
  <conditionalFormatting sqref="AI324">
    <cfRule type="expression" priority="1423" dxfId="3">
      <formula>AND(IF(OR($Q324=1,$Q324=2),1,0),IF($X324&lt;=20,1,0))</formula>
    </cfRule>
    <cfRule type="expression" priority="1424" dxfId="2">
      <formula>AND(IF($Q324=2,1,0),IF($X324&lt;30,1,0))</formula>
    </cfRule>
    <cfRule type="expression" priority="1425" dxfId="1">
      <formula>AND(IF($Q324=3,1,0),IF($X324&lt;30,1,0))</formula>
    </cfRule>
    <cfRule type="expression" priority="1426" dxfId="0">
      <formula>AND(IF($Q324=3,1,IF($Q324=4,1,0)),IF($F324&lt;=85,1,0))</formula>
    </cfRule>
  </conditionalFormatting>
  <conditionalFormatting sqref="AV325">
    <cfRule type="expression" priority="1421" dxfId="23">
      <formula>AV325="X"</formula>
    </cfRule>
    <cfRule type="expression" priority="1422" dxfId="22">
      <formula>AV325="후보"</formula>
    </cfRule>
  </conditionalFormatting>
  <conditionalFormatting sqref="AC32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2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25">
    <cfRule type="expression" priority="1413" dxfId="3">
      <formula>AND(IF(OR($Q325=1,$Q325=2),1,0),IF($X325&lt;=20,1,0))</formula>
    </cfRule>
    <cfRule type="expression" priority="1414" dxfId="2">
      <formula>AND(IF($Q325=2,1,0),IF($X325&lt;30,1,0))</formula>
    </cfRule>
    <cfRule type="expression" priority="1415" dxfId="1">
      <formula>AND(IF($Q325=3,1,0),IF($X325&lt;30,1,0))</formula>
    </cfRule>
    <cfRule type="expression" priority="1416" dxfId="0">
      <formula>AND(IF($Q325=3,1,IF($Q325=4,1,0)),IF($F325&lt;=85,1,0))</formula>
    </cfRule>
  </conditionalFormatting>
  <conditionalFormatting sqref="X325">
    <cfRule type="expression" priority="1409" dxfId="3">
      <formula>AND(IF(OR($Q325=1,$Q325=2),1,0),IF($X325&lt;=20,1,0))</formula>
    </cfRule>
    <cfRule type="expression" priority="1410" dxfId="2">
      <formula>AND(IF($Q325=2,1,0),IF($X325&lt;30,1,0))</formula>
    </cfRule>
    <cfRule type="expression" priority="1411" dxfId="1">
      <formula>AND(IF($Q325=3,1,0),IF($X325&lt;30,1,0))</formula>
    </cfRule>
    <cfRule type="expression" priority="1412" dxfId="0">
      <formula>AND(IF($Q325=3,1,IF($Q325=4,1,0)),IF($F325&lt;=85,1,0))</formula>
    </cfRule>
  </conditionalFormatting>
  <conditionalFormatting sqref="AI325">
    <cfRule type="expression" priority="1405" dxfId="3">
      <formula>AND(IF(OR($Q325=1,$Q325=2),1,0),IF($X325&lt;=20,1,0))</formula>
    </cfRule>
    <cfRule type="expression" priority="1406" dxfId="2">
      <formula>AND(IF($Q325=2,1,0),IF($X325&lt;30,1,0))</formula>
    </cfRule>
    <cfRule type="expression" priority="1407" dxfId="1">
      <formula>AND(IF($Q325=3,1,0),IF($X325&lt;30,1,0))</formula>
    </cfRule>
    <cfRule type="expression" priority="1408" dxfId="0">
      <formula>AND(IF($Q325=3,1,IF($Q325=4,1,0)),IF($F325&lt;=85,1,0))</formula>
    </cfRule>
  </conditionalFormatting>
  <conditionalFormatting sqref="AV326">
    <cfRule type="expression" priority="1403" dxfId="23">
      <formula>AV326="X"</formula>
    </cfRule>
    <cfRule type="expression" priority="1404" dxfId="22">
      <formula>AV326="후보"</formula>
    </cfRule>
  </conditionalFormatting>
  <conditionalFormatting sqref="AC32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2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26">
    <cfRule type="expression" priority="1395" dxfId="3">
      <formula>AND(IF(OR($Q326=1,$Q326=2),1,0),IF($X326&lt;=20,1,0))</formula>
    </cfRule>
    <cfRule type="expression" priority="1396" dxfId="2">
      <formula>AND(IF($Q326=2,1,0),IF($X326&lt;30,1,0))</formula>
    </cfRule>
    <cfRule type="expression" priority="1397" dxfId="1">
      <formula>AND(IF($Q326=3,1,0),IF($X326&lt;30,1,0))</formula>
    </cfRule>
    <cfRule type="expression" priority="1398" dxfId="0">
      <formula>AND(IF($Q326=3,1,IF($Q326=4,1,0)),IF($F326&lt;=85,1,0))</formula>
    </cfRule>
  </conditionalFormatting>
  <conditionalFormatting sqref="X326">
    <cfRule type="expression" priority="1391" dxfId="3">
      <formula>AND(IF(OR($Q326=1,$Q326=2),1,0),IF($X326&lt;=20,1,0))</formula>
    </cfRule>
    <cfRule type="expression" priority="1392" dxfId="2">
      <formula>AND(IF($Q326=2,1,0),IF($X326&lt;30,1,0))</formula>
    </cfRule>
    <cfRule type="expression" priority="1393" dxfId="1">
      <formula>AND(IF($Q326=3,1,0),IF($X326&lt;30,1,0))</formula>
    </cfRule>
    <cfRule type="expression" priority="1394" dxfId="0">
      <formula>AND(IF($Q326=3,1,IF($Q326=4,1,0)),IF($F326&lt;=85,1,0))</formula>
    </cfRule>
  </conditionalFormatting>
  <conditionalFormatting sqref="AI326">
    <cfRule type="expression" priority="1387" dxfId="3">
      <formula>AND(IF(OR($Q326=1,$Q326=2),1,0),IF($X326&lt;=20,1,0))</formula>
    </cfRule>
    <cfRule type="expression" priority="1388" dxfId="2">
      <formula>AND(IF($Q326=2,1,0),IF($X326&lt;30,1,0))</formula>
    </cfRule>
    <cfRule type="expression" priority="1389" dxfId="1">
      <formula>AND(IF($Q326=3,1,0),IF($X326&lt;30,1,0))</formula>
    </cfRule>
    <cfRule type="expression" priority="1390" dxfId="0">
      <formula>AND(IF($Q326=3,1,IF($Q326=4,1,0)),IF($F326&lt;=85,1,0))</formula>
    </cfRule>
  </conditionalFormatting>
  <conditionalFormatting sqref="AV327">
    <cfRule type="expression" priority="1385" dxfId="23">
      <formula>AV327="X"</formula>
    </cfRule>
    <cfRule type="expression" priority="1386" dxfId="22">
      <formula>AV327="후보"</formula>
    </cfRule>
  </conditionalFormatting>
  <conditionalFormatting sqref="AC32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2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27">
    <cfRule type="expression" priority="1377" dxfId="3">
      <formula>AND(IF(OR($Q327=1,$Q327=2),1,0),IF($X327&lt;=20,1,0))</formula>
    </cfRule>
    <cfRule type="expression" priority="1378" dxfId="2">
      <formula>AND(IF($Q327=2,1,0),IF($X327&lt;30,1,0))</formula>
    </cfRule>
    <cfRule type="expression" priority="1379" dxfId="1">
      <formula>AND(IF($Q327=3,1,0),IF($X327&lt;30,1,0))</formula>
    </cfRule>
    <cfRule type="expression" priority="1380" dxfId="0">
      <formula>AND(IF($Q327=3,1,IF($Q327=4,1,0)),IF($F327&lt;=85,1,0))</formula>
    </cfRule>
  </conditionalFormatting>
  <conditionalFormatting sqref="X327">
    <cfRule type="expression" priority="1373" dxfId="3">
      <formula>AND(IF(OR($Q327=1,$Q327=2),1,0),IF($X327&lt;=20,1,0))</formula>
    </cfRule>
    <cfRule type="expression" priority="1374" dxfId="2">
      <formula>AND(IF($Q327=2,1,0),IF($X327&lt;30,1,0))</formula>
    </cfRule>
    <cfRule type="expression" priority="1375" dxfId="1">
      <formula>AND(IF($Q327=3,1,0),IF($X327&lt;30,1,0))</formula>
    </cfRule>
    <cfRule type="expression" priority="1376" dxfId="0">
      <formula>AND(IF($Q327=3,1,IF($Q327=4,1,0)),IF($F327&lt;=85,1,0))</formula>
    </cfRule>
  </conditionalFormatting>
  <conditionalFormatting sqref="AI327">
    <cfRule type="expression" priority="1369" dxfId="3">
      <formula>AND(IF(OR($Q327=1,$Q327=2),1,0),IF($X327&lt;=20,1,0))</formula>
    </cfRule>
    <cfRule type="expression" priority="1370" dxfId="2">
      <formula>AND(IF($Q327=2,1,0),IF($X327&lt;30,1,0))</formula>
    </cfRule>
    <cfRule type="expression" priority="1371" dxfId="1">
      <formula>AND(IF($Q327=3,1,0),IF($X327&lt;30,1,0))</formula>
    </cfRule>
    <cfRule type="expression" priority="1372" dxfId="0">
      <formula>AND(IF($Q327=3,1,IF($Q327=4,1,0)),IF($F327&lt;=85,1,0))</formula>
    </cfRule>
  </conditionalFormatting>
  <conditionalFormatting sqref="AV328">
    <cfRule type="expression" priority="1367" dxfId="23">
      <formula>AV328="X"</formula>
    </cfRule>
    <cfRule type="expression" priority="1368" dxfId="22">
      <formula>AV328="후보"</formula>
    </cfRule>
  </conditionalFormatting>
  <conditionalFormatting sqref="AC32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2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28">
    <cfRule type="expression" priority="1359" dxfId="3">
      <formula>AND(IF(OR($Q328=1,$Q328=2),1,0),IF($X328&lt;=20,1,0))</formula>
    </cfRule>
    <cfRule type="expression" priority="1360" dxfId="2">
      <formula>AND(IF($Q328=2,1,0),IF($X328&lt;30,1,0))</formula>
    </cfRule>
    <cfRule type="expression" priority="1361" dxfId="1">
      <formula>AND(IF($Q328=3,1,0),IF($X328&lt;30,1,0))</formula>
    </cfRule>
    <cfRule type="expression" priority="1362" dxfId="0">
      <formula>AND(IF($Q328=3,1,IF($Q328=4,1,0)),IF($F328&lt;=85,1,0))</formula>
    </cfRule>
  </conditionalFormatting>
  <conditionalFormatting sqref="X328">
    <cfRule type="expression" priority="1355" dxfId="3">
      <formula>AND(IF(OR($Q328=1,$Q328=2),1,0),IF($X328&lt;=20,1,0))</formula>
    </cfRule>
    <cfRule type="expression" priority="1356" dxfId="2">
      <formula>AND(IF($Q328=2,1,0),IF($X328&lt;30,1,0))</formula>
    </cfRule>
    <cfRule type="expression" priority="1357" dxfId="1">
      <formula>AND(IF($Q328=3,1,0),IF($X328&lt;30,1,0))</formula>
    </cfRule>
    <cfRule type="expression" priority="1358" dxfId="0">
      <formula>AND(IF($Q328=3,1,IF($Q328=4,1,0)),IF($F328&lt;=85,1,0))</formula>
    </cfRule>
  </conditionalFormatting>
  <conditionalFormatting sqref="AI328">
    <cfRule type="expression" priority="1351" dxfId="3">
      <formula>AND(IF(OR($Q328=1,$Q328=2),1,0),IF($X328&lt;=20,1,0))</formula>
    </cfRule>
    <cfRule type="expression" priority="1352" dxfId="2">
      <formula>AND(IF($Q328=2,1,0),IF($X328&lt;30,1,0))</formula>
    </cfRule>
    <cfRule type="expression" priority="1353" dxfId="1">
      <formula>AND(IF($Q328=3,1,0),IF($X328&lt;30,1,0))</formula>
    </cfRule>
    <cfRule type="expression" priority="1354" dxfId="0">
      <formula>AND(IF($Q328=3,1,IF($Q328=4,1,0)),IF($F328&lt;=85,1,0))</formula>
    </cfRule>
  </conditionalFormatting>
  <conditionalFormatting sqref="AV329">
    <cfRule type="expression" priority="1349" dxfId="23">
      <formula>AV329="X"</formula>
    </cfRule>
    <cfRule type="expression" priority="1350" dxfId="22">
      <formula>AV329="후보"</formula>
    </cfRule>
  </conditionalFormatting>
  <conditionalFormatting sqref="AC32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2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29">
    <cfRule type="expression" priority="1341" dxfId="3">
      <formula>AND(IF(OR($Q329=1,$Q329=2),1,0),IF($X329&lt;=20,1,0))</formula>
    </cfRule>
    <cfRule type="expression" priority="1342" dxfId="2">
      <formula>AND(IF($Q329=2,1,0),IF($X329&lt;30,1,0))</formula>
    </cfRule>
    <cfRule type="expression" priority="1343" dxfId="1">
      <formula>AND(IF($Q329=3,1,0),IF($X329&lt;30,1,0))</formula>
    </cfRule>
    <cfRule type="expression" priority="1344" dxfId="0">
      <formula>AND(IF($Q329=3,1,IF($Q329=4,1,0)),IF($F329&lt;=85,1,0))</formula>
    </cfRule>
  </conditionalFormatting>
  <conditionalFormatting sqref="X329">
    <cfRule type="expression" priority="1337" dxfId="3">
      <formula>AND(IF(OR($Q329=1,$Q329=2),1,0),IF($X329&lt;=20,1,0))</formula>
    </cfRule>
    <cfRule type="expression" priority="1338" dxfId="2">
      <formula>AND(IF($Q329=2,1,0),IF($X329&lt;30,1,0))</formula>
    </cfRule>
    <cfRule type="expression" priority="1339" dxfId="1">
      <formula>AND(IF($Q329=3,1,0),IF($X329&lt;30,1,0))</formula>
    </cfRule>
    <cfRule type="expression" priority="1340" dxfId="0">
      <formula>AND(IF($Q329=3,1,IF($Q329=4,1,0)),IF($F329&lt;=85,1,0))</formula>
    </cfRule>
  </conditionalFormatting>
  <conditionalFormatting sqref="AI329">
    <cfRule type="expression" priority="1333" dxfId="3">
      <formula>AND(IF(OR($Q329=1,$Q329=2),1,0),IF($X329&lt;=20,1,0))</formula>
    </cfRule>
    <cfRule type="expression" priority="1334" dxfId="2">
      <formula>AND(IF($Q329=2,1,0),IF($X329&lt;30,1,0))</formula>
    </cfRule>
    <cfRule type="expression" priority="1335" dxfId="1">
      <formula>AND(IF($Q329=3,1,0),IF($X329&lt;30,1,0))</formula>
    </cfRule>
    <cfRule type="expression" priority="1336" dxfId="0">
      <formula>AND(IF($Q329=3,1,IF($Q329=4,1,0)),IF($F329&lt;=85,1,0))</formula>
    </cfRule>
  </conditionalFormatting>
  <conditionalFormatting sqref="AV330">
    <cfRule type="expression" priority="1331" dxfId="23">
      <formula>AV330="X"</formula>
    </cfRule>
    <cfRule type="expression" priority="1332" dxfId="22">
      <formula>AV330="후보"</formula>
    </cfRule>
  </conditionalFormatting>
  <conditionalFormatting sqref="AC33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0">
    <cfRule type="expression" priority="1323" dxfId="3">
      <formula>AND(IF(OR($Q330=1,$Q330=2),1,0),IF($X330&lt;=20,1,0))</formula>
    </cfRule>
    <cfRule type="expression" priority="1324" dxfId="2">
      <formula>AND(IF($Q330=2,1,0),IF($X330&lt;30,1,0))</formula>
    </cfRule>
    <cfRule type="expression" priority="1325" dxfId="1">
      <formula>AND(IF($Q330=3,1,0),IF($X330&lt;30,1,0))</formula>
    </cfRule>
    <cfRule type="expression" priority="1326" dxfId="0">
      <formula>AND(IF($Q330=3,1,IF($Q330=4,1,0)),IF($F330&lt;=85,1,0))</formula>
    </cfRule>
  </conditionalFormatting>
  <conditionalFormatting sqref="X330">
    <cfRule type="expression" priority="1319" dxfId="3">
      <formula>AND(IF(OR($Q330=1,$Q330=2),1,0),IF($X330&lt;=20,1,0))</formula>
    </cfRule>
    <cfRule type="expression" priority="1320" dxfId="2">
      <formula>AND(IF($Q330=2,1,0),IF($X330&lt;30,1,0))</formula>
    </cfRule>
    <cfRule type="expression" priority="1321" dxfId="1">
      <formula>AND(IF($Q330=3,1,0),IF($X330&lt;30,1,0))</formula>
    </cfRule>
    <cfRule type="expression" priority="1322" dxfId="0">
      <formula>AND(IF($Q330=3,1,IF($Q330=4,1,0)),IF($F330&lt;=85,1,0))</formula>
    </cfRule>
  </conditionalFormatting>
  <conditionalFormatting sqref="AI330">
    <cfRule type="expression" priority="1315" dxfId="3">
      <formula>AND(IF(OR($Q330=1,$Q330=2),1,0),IF($X330&lt;=20,1,0))</formula>
    </cfRule>
    <cfRule type="expression" priority="1316" dxfId="2">
      <formula>AND(IF($Q330=2,1,0),IF($X330&lt;30,1,0))</formula>
    </cfRule>
    <cfRule type="expression" priority="1317" dxfId="1">
      <formula>AND(IF($Q330=3,1,0),IF($X330&lt;30,1,0))</formula>
    </cfRule>
    <cfRule type="expression" priority="1318" dxfId="0">
      <formula>AND(IF($Q330=3,1,IF($Q330=4,1,0)),IF($F330&lt;=85,1,0))</formula>
    </cfRule>
  </conditionalFormatting>
  <conditionalFormatting sqref="AV331">
    <cfRule type="expression" priority="1313" dxfId="23">
      <formula>AV331="X"</formula>
    </cfRule>
    <cfRule type="expression" priority="1314" dxfId="22">
      <formula>AV331="후보"</formula>
    </cfRule>
  </conditionalFormatting>
  <conditionalFormatting sqref="AC33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1">
    <cfRule type="expression" priority="1305" dxfId="3">
      <formula>AND(IF(OR($Q331=1,$Q331=2),1,0),IF($X331&lt;=20,1,0))</formula>
    </cfRule>
    <cfRule type="expression" priority="1306" dxfId="2">
      <formula>AND(IF($Q331=2,1,0),IF($X331&lt;30,1,0))</formula>
    </cfRule>
    <cfRule type="expression" priority="1307" dxfId="1">
      <formula>AND(IF($Q331=3,1,0),IF($X331&lt;30,1,0))</formula>
    </cfRule>
    <cfRule type="expression" priority="1308" dxfId="0">
      <formula>AND(IF($Q331=3,1,IF($Q331=4,1,0)),IF($F331&lt;=85,1,0))</formula>
    </cfRule>
  </conditionalFormatting>
  <conditionalFormatting sqref="X331">
    <cfRule type="expression" priority="1301" dxfId="3">
      <formula>AND(IF(OR($Q331=1,$Q331=2),1,0),IF($X331&lt;=20,1,0))</formula>
    </cfRule>
    <cfRule type="expression" priority="1302" dxfId="2">
      <formula>AND(IF($Q331=2,1,0),IF($X331&lt;30,1,0))</formula>
    </cfRule>
    <cfRule type="expression" priority="1303" dxfId="1">
      <formula>AND(IF($Q331=3,1,0),IF($X331&lt;30,1,0))</formula>
    </cfRule>
    <cfRule type="expression" priority="1304" dxfId="0">
      <formula>AND(IF($Q331=3,1,IF($Q331=4,1,0)),IF($F331&lt;=85,1,0))</formula>
    </cfRule>
  </conditionalFormatting>
  <conditionalFormatting sqref="AI331">
    <cfRule type="expression" priority="1297" dxfId="3">
      <formula>AND(IF(OR($Q331=1,$Q331=2),1,0),IF($X331&lt;=20,1,0))</formula>
    </cfRule>
    <cfRule type="expression" priority="1298" dxfId="2">
      <formula>AND(IF($Q331=2,1,0),IF($X331&lt;30,1,0))</formula>
    </cfRule>
    <cfRule type="expression" priority="1299" dxfId="1">
      <formula>AND(IF($Q331=3,1,0),IF($X331&lt;30,1,0))</formula>
    </cfRule>
    <cfRule type="expression" priority="1300" dxfId="0">
      <formula>AND(IF($Q331=3,1,IF($Q331=4,1,0)),IF($F331&lt;=85,1,0))</formula>
    </cfRule>
  </conditionalFormatting>
  <conditionalFormatting sqref="AV332">
    <cfRule type="expression" priority="1295" dxfId="23">
      <formula>AV332="X"</formula>
    </cfRule>
    <cfRule type="expression" priority="1296" dxfId="22">
      <formula>AV332="후보"</formula>
    </cfRule>
  </conditionalFormatting>
  <conditionalFormatting sqref="AC33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2">
    <cfRule type="expression" priority="1287" dxfId="3">
      <formula>AND(IF(OR($Q332=1,$Q332=2),1,0),IF($X332&lt;=20,1,0))</formula>
    </cfRule>
    <cfRule type="expression" priority="1288" dxfId="2">
      <formula>AND(IF($Q332=2,1,0),IF($X332&lt;30,1,0))</formula>
    </cfRule>
    <cfRule type="expression" priority="1289" dxfId="1">
      <formula>AND(IF($Q332=3,1,0),IF($X332&lt;30,1,0))</formula>
    </cfRule>
    <cfRule type="expression" priority="1290" dxfId="0">
      <formula>AND(IF($Q332=3,1,IF($Q332=4,1,0)),IF($F332&lt;=85,1,0))</formula>
    </cfRule>
  </conditionalFormatting>
  <conditionalFormatting sqref="X332">
    <cfRule type="expression" priority="1283" dxfId="3">
      <formula>AND(IF(OR($Q332=1,$Q332=2),1,0),IF($X332&lt;=20,1,0))</formula>
    </cfRule>
    <cfRule type="expression" priority="1284" dxfId="2">
      <formula>AND(IF($Q332=2,1,0),IF($X332&lt;30,1,0))</formula>
    </cfRule>
    <cfRule type="expression" priority="1285" dxfId="1">
      <formula>AND(IF($Q332=3,1,0),IF($X332&lt;30,1,0))</formula>
    </cfRule>
    <cfRule type="expression" priority="1286" dxfId="0">
      <formula>AND(IF($Q332=3,1,IF($Q332=4,1,0)),IF($F332&lt;=85,1,0))</formula>
    </cfRule>
  </conditionalFormatting>
  <conditionalFormatting sqref="AI332">
    <cfRule type="expression" priority="1279" dxfId="3">
      <formula>AND(IF(OR($Q332=1,$Q332=2),1,0),IF($X332&lt;=20,1,0))</formula>
    </cfRule>
    <cfRule type="expression" priority="1280" dxfId="2">
      <formula>AND(IF($Q332=2,1,0),IF($X332&lt;30,1,0))</formula>
    </cfRule>
    <cfRule type="expression" priority="1281" dxfId="1">
      <formula>AND(IF($Q332=3,1,0),IF($X332&lt;30,1,0))</formula>
    </cfRule>
    <cfRule type="expression" priority="1282" dxfId="0">
      <formula>AND(IF($Q332=3,1,IF($Q332=4,1,0)),IF($F332&lt;=85,1,0))</formula>
    </cfRule>
  </conditionalFormatting>
  <conditionalFormatting sqref="AV333">
    <cfRule type="expression" priority="1277" dxfId="23">
      <formula>AV333="X"</formula>
    </cfRule>
    <cfRule type="expression" priority="1278" dxfId="22">
      <formula>AV333="후보"</formula>
    </cfRule>
  </conditionalFormatting>
  <conditionalFormatting sqref="AC33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3">
    <cfRule type="expression" priority="1269" dxfId="3">
      <formula>AND(IF(OR($Q333=1,$Q333=2),1,0),IF($X333&lt;=20,1,0))</formula>
    </cfRule>
    <cfRule type="expression" priority="1270" dxfId="2">
      <formula>AND(IF($Q333=2,1,0),IF($X333&lt;30,1,0))</formula>
    </cfRule>
    <cfRule type="expression" priority="1271" dxfId="1">
      <formula>AND(IF($Q333=3,1,0),IF($X333&lt;30,1,0))</formula>
    </cfRule>
    <cfRule type="expression" priority="1272" dxfId="0">
      <formula>AND(IF($Q333=3,1,IF($Q333=4,1,0)),IF($F333&lt;=85,1,0))</formula>
    </cfRule>
  </conditionalFormatting>
  <conditionalFormatting sqref="X333">
    <cfRule type="expression" priority="1265" dxfId="3">
      <formula>AND(IF(OR($Q333=1,$Q333=2),1,0),IF($X333&lt;=20,1,0))</formula>
    </cfRule>
    <cfRule type="expression" priority="1266" dxfId="2">
      <formula>AND(IF($Q333=2,1,0),IF($X333&lt;30,1,0))</formula>
    </cfRule>
    <cfRule type="expression" priority="1267" dxfId="1">
      <formula>AND(IF($Q333=3,1,0),IF($X333&lt;30,1,0))</formula>
    </cfRule>
    <cfRule type="expression" priority="1268" dxfId="0">
      <formula>AND(IF($Q333=3,1,IF($Q333=4,1,0)),IF($F333&lt;=85,1,0))</formula>
    </cfRule>
  </conditionalFormatting>
  <conditionalFormatting sqref="AI333">
    <cfRule type="expression" priority="1261" dxfId="3">
      <formula>AND(IF(OR($Q333=1,$Q333=2),1,0),IF($X333&lt;=20,1,0))</formula>
    </cfRule>
    <cfRule type="expression" priority="1262" dxfId="2">
      <formula>AND(IF($Q333=2,1,0),IF($X333&lt;30,1,0))</formula>
    </cfRule>
    <cfRule type="expression" priority="1263" dxfId="1">
      <formula>AND(IF($Q333=3,1,0),IF($X333&lt;30,1,0))</formula>
    </cfRule>
    <cfRule type="expression" priority="1264" dxfId="0">
      <formula>AND(IF($Q333=3,1,IF($Q333=4,1,0)),IF($F333&lt;=85,1,0))</formula>
    </cfRule>
  </conditionalFormatting>
  <conditionalFormatting sqref="AV334">
    <cfRule type="expression" priority="1259" dxfId="23">
      <formula>AV334="X"</formula>
    </cfRule>
    <cfRule type="expression" priority="1260" dxfId="22">
      <formula>AV334="후보"</formula>
    </cfRule>
  </conditionalFormatting>
  <conditionalFormatting sqref="AC33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34">
    <cfRule type="expression" priority="1251" dxfId="3">
      <formula>AND(IF(OR($Q334=1,$Q334=2),1,0),IF($X334&lt;=20,1,0))</formula>
    </cfRule>
    <cfRule type="expression" priority="1252" dxfId="2">
      <formula>AND(IF($Q334=2,1,0),IF($X334&lt;30,1,0))</formula>
    </cfRule>
    <cfRule type="expression" priority="1253" dxfId="1">
      <formula>AND(IF($Q334=3,1,0),IF($X334&lt;30,1,0))</formula>
    </cfRule>
    <cfRule type="expression" priority="1254" dxfId="0">
      <formula>AND(IF($Q334=3,1,IF($Q334=4,1,0)),IF($F334&lt;=85,1,0))</formula>
    </cfRule>
  </conditionalFormatting>
  <conditionalFormatting sqref="X334">
    <cfRule type="expression" priority="1247" dxfId="3">
      <formula>AND(IF(OR($Q334=1,$Q334=2),1,0),IF($X334&lt;=20,1,0))</formula>
    </cfRule>
    <cfRule type="expression" priority="1248" dxfId="2">
      <formula>AND(IF($Q334=2,1,0),IF($X334&lt;30,1,0))</formula>
    </cfRule>
    <cfRule type="expression" priority="1249" dxfId="1">
      <formula>AND(IF($Q334=3,1,0),IF($X334&lt;30,1,0))</formula>
    </cfRule>
    <cfRule type="expression" priority="1250" dxfId="0">
      <formula>AND(IF($Q334=3,1,IF($Q334=4,1,0)),IF($F334&lt;=85,1,0))</formula>
    </cfRule>
  </conditionalFormatting>
  <conditionalFormatting sqref="AI334">
    <cfRule type="expression" priority="1243" dxfId="3">
      <formula>AND(IF(OR($Q334=1,$Q334=2),1,0),IF($X334&lt;=20,1,0))</formula>
    </cfRule>
    <cfRule type="expression" priority="1244" dxfId="2">
      <formula>AND(IF($Q334=2,1,0),IF($X334&lt;30,1,0))</formula>
    </cfRule>
    <cfRule type="expression" priority="1245" dxfId="1">
      <formula>AND(IF($Q334=3,1,0),IF($X334&lt;30,1,0))</formula>
    </cfRule>
    <cfRule type="expression" priority="1246" dxfId="0">
      <formula>AND(IF($Q334=3,1,IF($Q334=4,1,0)),IF($F334&lt;=85,1,0))</formula>
    </cfRule>
  </conditionalFormatting>
  <conditionalFormatting sqref="AV335">
    <cfRule type="expression" priority="1241" dxfId="23">
      <formula>AV335="X"</formula>
    </cfRule>
    <cfRule type="expression" priority="1242" dxfId="22">
      <formula>AV335="후보"</formula>
    </cfRule>
  </conditionalFormatting>
  <conditionalFormatting sqref="AC33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35">
    <cfRule type="expression" priority="1233" dxfId="3">
      <formula>AND(IF(OR($Q335=1,$Q335=2),1,0),IF($X335&lt;=20,1,0))</formula>
    </cfRule>
    <cfRule type="expression" priority="1234" dxfId="2">
      <formula>AND(IF($Q335=2,1,0),IF($X335&lt;30,1,0))</formula>
    </cfRule>
    <cfRule type="expression" priority="1235" dxfId="1">
      <formula>AND(IF($Q335=3,1,0),IF($X335&lt;30,1,0))</formula>
    </cfRule>
    <cfRule type="expression" priority="1236" dxfId="0">
      <formula>AND(IF($Q335=3,1,IF($Q335=4,1,0)),IF($F335&lt;=85,1,0))</formula>
    </cfRule>
  </conditionalFormatting>
  <conditionalFormatting sqref="X335">
    <cfRule type="expression" priority="1229" dxfId="3">
      <formula>AND(IF(OR($Q335=1,$Q335=2),1,0),IF($X335&lt;=20,1,0))</formula>
    </cfRule>
    <cfRule type="expression" priority="1230" dxfId="2">
      <formula>AND(IF($Q335=2,1,0),IF($X335&lt;30,1,0))</formula>
    </cfRule>
    <cfRule type="expression" priority="1231" dxfId="1">
      <formula>AND(IF($Q335=3,1,0),IF($X335&lt;30,1,0))</formula>
    </cfRule>
    <cfRule type="expression" priority="1232" dxfId="0">
      <formula>AND(IF($Q335=3,1,IF($Q335=4,1,0)),IF($F335&lt;=85,1,0))</formula>
    </cfRule>
  </conditionalFormatting>
  <conditionalFormatting sqref="AI335">
    <cfRule type="expression" priority="1225" dxfId="3">
      <formula>AND(IF(OR($Q335=1,$Q335=2),1,0),IF($X335&lt;=20,1,0))</formula>
    </cfRule>
    <cfRule type="expression" priority="1226" dxfId="2">
      <formula>AND(IF($Q335=2,1,0),IF($X335&lt;30,1,0))</formula>
    </cfRule>
    <cfRule type="expression" priority="1227" dxfId="1">
      <formula>AND(IF($Q335=3,1,0),IF($X335&lt;30,1,0))</formula>
    </cfRule>
    <cfRule type="expression" priority="1228" dxfId="0">
      <formula>AND(IF($Q335=3,1,IF($Q335=4,1,0)),IF($F335&lt;=85,1,0))</formula>
    </cfRule>
  </conditionalFormatting>
  <conditionalFormatting sqref="AV336">
    <cfRule type="expression" priority="1223" dxfId="23">
      <formula>AV336="X"</formula>
    </cfRule>
    <cfRule type="expression" priority="1224" dxfId="22">
      <formula>AV336="후보"</formula>
    </cfRule>
  </conditionalFormatting>
  <conditionalFormatting sqref="AC33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36">
    <cfRule type="expression" priority="1215" dxfId="3">
      <formula>AND(IF(OR($Q336=1,$Q336=2),1,0),IF($X336&lt;=20,1,0))</formula>
    </cfRule>
    <cfRule type="expression" priority="1216" dxfId="2">
      <formula>AND(IF($Q336=2,1,0),IF($X336&lt;30,1,0))</formula>
    </cfRule>
    <cfRule type="expression" priority="1217" dxfId="1">
      <formula>AND(IF($Q336=3,1,0),IF($X336&lt;30,1,0))</formula>
    </cfRule>
    <cfRule type="expression" priority="1218" dxfId="0">
      <formula>AND(IF($Q336=3,1,IF($Q336=4,1,0)),IF($F336&lt;=85,1,0))</formula>
    </cfRule>
  </conditionalFormatting>
  <conditionalFormatting sqref="X336">
    <cfRule type="expression" priority="1211" dxfId="3">
      <formula>AND(IF(OR($Q336=1,$Q336=2),1,0),IF($X336&lt;=20,1,0))</formula>
    </cfRule>
    <cfRule type="expression" priority="1212" dxfId="2">
      <formula>AND(IF($Q336=2,1,0),IF($X336&lt;30,1,0))</formula>
    </cfRule>
    <cfRule type="expression" priority="1213" dxfId="1">
      <formula>AND(IF($Q336=3,1,0),IF($X336&lt;30,1,0))</formula>
    </cfRule>
    <cfRule type="expression" priority="1214" dxfId="0">
      <formula>AND(IF($Q336=3,1,IF($Q336=4,1,0)),IF($F336&lt;=85,1,0))</formula>
    </cfRule>
  </conditionalFormatting>
  <conditionalFormatting sqref="AI336">
    <cfRule type="expression" priority="1207" dxfId="3">
      <formula>AND(IF(OR($Q336=1,$Q336=2),1,0),IF($X336&lt;=20,1,0))</formula>
    </cfRule>
    <cfRule type="expression" priority="1208" dxfId="2">
      <formula>AND(IF($Q336=2,1,0),IF($X336&lt;30,1,0))</formula>
    </cfRule>
    <cfRule type="expression" priority="1209" dxfId="1">
      <formula>AND(IF($Q336=3,1,0),IF($X336&lt;30,1,0))</formula>
    </cfRule>
    <cfRule type="expression" priority="1210" dxfId="0">
      <formula>AND(IF($Q336=3,1,IF($Q336=4,1,0)),IF($F336&lt;=85,1,0))</formula>
    </cfRule>
  </conditionalFormatting>
  <conditionalFormatting sqref="AV337">
    <cfRule type="expression" priority="1205" dxfId="23">
      <formula>AV337="X"</formula>
    </cfRule>
    <cfRule type="expression" priority="1206" dxfId="22">
      <formula>AV337="후보"</formula>
    </cfRule>
  </conditionalFormatting>
  <conditionalFormatting sqref="AC33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37">
    <cfRule type="expression" priority="1197" dxfId="3">
      <formula>AND(IF(OR($Q337=1,$Q337=2),1,0),IF($X337&lt;=20,1,0))</formula>
    </cfRule>
    <cfRule type="expression" priority="1198" dxfId="2">
      <formula>AND(IF($Q337=2,1,0),IF($X337&lt;30,1,0))</formula>
    </cfRule>
    <cfRule type="expression" priority="1199" dxfId="1">
      <formula>AND(IF($Q337=3,1,0),IF($X337&lt;30,1,0))</formula>
    </cfRule>
    <cfRule type="expression" priority="1200" dxfId="0">
      <formula>AND(IF($Q337=3,1,IF($Q337=4,1,0)),IF($F337&lt;=85,1,0))</formula>
    </cfRule>
  </conditionalFormatting>
  <conditionalFormatting sqref="X337">
    <cfRule type="expression" priority="1193" dxfId="3">
      <formula>AND(IF(OR($Q337=1,$Q337=2),1,0),IF($X337&lt;=20,1,0))</formula>
    </cfRule>
    <cfRule type="expression" priority="1194" dxfId="2">
      <formula>AND(IF($Q337=2,1,0),IF($X337&lt;30,1,0))</formula>
    </cfRule>
    <cfRule type="expression" priority="1195" dxfId="1">
      <formula>AND(IF($Q337=3,1,0),IF($X337&lt;30,1,0))</formula>
    </cfRule>
    <cfRule type="expression" priority="1196" dxfId="0">
      <formula>AND(IF($Q337=3,1,IF($Q337=4,1,0)),IF($F337&lt;=85,1,0))</formula>
    </cfRule>
  </conditionalFormatting>
  <conditionalFormatting sqref="AI337">
    <cfRule type="expression" priority="1189" dxfId="3">
      <formula>AND(IF(OR($Q337=1,$Q337=2),1,0),IF($X337&lt;=20,1,0))</formula>
    </cfRule>
    <cfRule type="expression" priority="1190" dxfId="2">
      <formula>AND(IF($Q337=2,1,0),IF($X337&lt;30,1,0))</formula>
    </cfRule>
    <cfRule type="expression" priority="1191" dxfId="1">
      <formula>AND(IF($Q337=3,1,0),IF($X337&lt;30,1,0))</formula>
    </cfRule>
    <cfRule type="expression" priority="1192" dxfId="0">
      <formula>AND(IF($Q337=3,1,IF($Q337=4,1,0)),IF($F337&lt;=85,1,0))</formula>
    </cfRule>
  </conditionalFormatting>
  <conditionalFormatting sqref="AV338">
    <cfRule type="expression" priority="1187" dxfId="23">
      <formula>AV338="X"</formula>
    </cfRule>
    <cfRule type="expression" priority="1188" dxfId="22">
      <formula>AV338="후보"</formula>
    </cfRule>
  </conditionalFormatting>
  <conditionalFormatting sqref="AC33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38">
    <cfRule type="expression" priority="1179" dxfId="3">
      <formula>AND(IF(OR($Q338=1,$Q338=2),1,0),IF($X338&lt;=20,1,0))</formula>
    </cfRule>
    <cfRule type="expression" priority="1180" dxfId="2">
      <formula>AND(IF($Q338=2,1,0),IF($X338&lt;30,1,0))</formula>
    </cfRule>
    <cfRule type="expression" priority="1181" dxfId="1">
      <formula>AND(IF($Q338=3,1,0),IF($X338&lt;30,1,0))</formula>
    </cfRule>
    <cfRule type="expression" priority="1182" dxfId="0">
      <formula>AND(IF($Q338=3,1,IF($Q338=4,1,0)),IF($F338&lt;=85,1,0))</formula>
    </cfRule>
  </conditionalFormatting>
  <conditionalFormatting sqref="X338">
    <cfRule type="expression" priority="1175" dxfId="3">
      <formula>AND(IF(OR($Q338=1,$Q338=2),1,0),IF($X338&lt;=20,1,0))</formula>
    </cfRule>
    <cfRule type="expression" priority="1176" dxfId="2">
      <formula>AND(IF($Q338=2,1,0),IF($X338&lt;30,1,0))</formula>
    </cfRule>
    <cfRule type="expression" priority="1177" dxfId="1">
      <formula>AND(IF($Q338=3,1,0),IF($X338&lt;30,1,0))</formula>
    </cfRule>
    <cfRule type="expression" priority="1178" dxfId="0">
      <formula>AND(IF($Q338=3,1,IF($Q338=4,1,0)),IF($F338&lt;=85,1,0))</formula>
    </cfRule>
  </conditionalFormatting>
  <conditionalFormatting sqref="AI338">
    <cfRule type="expression" priority="1171" dxfId="3">
      <formula>AND(IF(OR($Q338=1,$Q338=2),1,0),IF($X338&lt;=20,1,0))</formula>
    </cfRule>
    <cfRule type="expression" priority="1172" dxfId="2">
      <formula>AND(IF($Q338=2,1,0),IF($X338&lt;30,1,0))</formula>
    </cfRule>
    <cfRule type="expression" priority="1173" dxfId="1">
      <formula>AND(IF($Q338=3,1,0),IF($X338&lt;30,1,0))</formula>
    </cfRule>
    <cfRule type="expression" priority="1174" dxfId="0">
      <formula>AND(IF($Q338=3,1,IF($Q338=4,1,0)),IF($F338&lt;=85,1,0))</formula>
    </cfRule>
  </conditionalFormatting>
  <conditionalFormatting sqref="AV339">
    <cfRule type="expression" priority="1169" dxfId="23">
      <formula>AV339="X"</formula>
    </cfRule>
    <cfRule type="expression" priority="1170" dxfId="22">
      <formula>AV339="후보"</formula>
    </cfRule>
  </conditionalFormatting>
  <conditionalFormatting sqref="AC33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39">
    <cfRule type="expression" priority="1161" dxfId="3">
      <formula>AND(IF(OR($Q339=1,$Q339=2),1,0),IF($X339&lt;=20,1,0))</formula>
    </cfRule>
    <cfRule type="expression" priority="1162" dxfId="2">
      <formula>AND(IF($Q339=2,1,0),IF($X339&lt;30,1,0))</formula>
    </cfRule>
    <cfRule type="expression" priority="1163" dxfId="1">
      <formula>AND(IF($Q339=3,1,0),IF($X339&lt;30,1,0))</formula>
    </cfRule>
    <cfRule type="expression" priority="1164" dxfId="0">
      <formula>AND(IF($Q339=3,1,IF($Q339=4,1,0)),IF($F339&lt;=85,1,0))</formula>
    </cfRule>
  </conditionalFormatting>
  <conditionalFormatting sqref="X339">
    <cfRule type="expression" priority="1157" dxfId="3">
      <formula>AND(IF(OR($Q339=1,$Q339=2),1,0),IF($X339&lt;=20,1,0))</formula>
    </cfRule>
    <cfRule type="expression" priority="1158" dxfId="2">
      <formula>AND(IF($Q339=2,1,0),IF($X339&lt;30,1,0))</formula>
    </cfRule>
    <cfRule type="expression" priority="1159" dxfId="1">
      <formula>AND(IF($Q339=3,1,0),IF($X339&lt;30,1,0))</formula>
    </cfRule>
    <cfRule type="expression" priority="1160" dxfId="0">
      <formula>AND(IF($Q339=3,1,IF($Q339=4,1,0)),IF($F339&lt;=85,1,0))</formula>
    </cfRule>
  </conditionalFormatting>
  <conditionalFormatting sqref="AI339">
    <cfRule type="expression" priority="1153" dxfId="3">
      <formula>AND(IF(OR($Q339=1,$Q339=2),1,0),IF($X339&lt;=20,1,0))</formula>
    </cfRule>
    <cfRule type="expression" priority="1154" dxfId="2">
      <formula>AND(IF($Q339=2,1,0),IF($X339&lt;30,1,0))</formula>
    </cfRule>
    <cfRule type="expression" priority="1155" dxfId="1">
      <formula>AND(IF($Q339=3,1,0),IF($X339&lt;30,1,0))</formula>
    </cfRule>
    <cfRule type="expression" priority="1156" dxfId="0">
      <formula>AND(IF($Q339=3,1,IF($Q339=4,1,0)),IF($F339&lt;=85,1,0))</formula>
    </cfRule>
  </conditionalFormatting>
  <conditionalFormatting sqref="AV340">
    <cfRule type="expression" priority="1151" dxfId="23">
      <formula>AV340="X"</formula>
    </cfRule>
    <cfRule type="expression" priority="1152" dxfId="22">
      <formula>AV340="후보"</formula>
    </cfRule>
  </conditionalFormatting>
  <conditionalFormatting sqref="AC34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0">
    <cfRule type="expression" priority="1143" dxfId="3">
      <formula>AND(IF(OR($Q340=1,$Q340=2),1,0),IF($X340&lt;=20,1,0))</formula>
    </cfRule>
    <cfRule type="expression" priority="1144" dxfId="2">
      <formula>AND(IF($Q340=2,1,0),IF($X340&lt;30,1,0))</formula>
    </cfRule>
    <cfRule type="expression" priority="1145" dxfId="1">
      <formula>AND(IF($Q340=3,1,0),IF($X340&lt;30,1,0))</formula>
    </cfRule>
    <cfRule type="expression" priority="1146" dxfId="0">
      <formula>AND(IF($Q340=3,1,IF($Q340=4,1,0)),IF($F340&lt;=85,1,0))</formula>
    </cfRule>
  </conditionalFormatting>
  <conditionalFormatting sqref="X340">
    <cfRule type="expression" priority="1139" dxfId="3">
      <formula>AND(IF(OR($Q340=1,$Q340=2),1,0),IF($X340&lt;=20,1,0))</formula>
    </cfRule>
    <cfRule type="expression" priority="1140" dxfId="2">
      <formula>AND(IF($Q340=2,1,0),IF($X340&lt;30,1,0))</formula>
    </cfRule>
    <cfRule type="expression" priority="1141" dxfId="1">
      <formula>AND(IF($Q340=3,1,0),IF($X340&lt;30,1,0))</formula>
    </cfRule>
    <cfRule type="expression" priority="1142" dxfId="0">
      <formula>AND(IF($Q340=3,1,IF($Q340=4,1,0)),IF($F340&lt;=85,1,0))</formula>
    </cfRule>
  </conditionalFormatting>
  <conditionalFormatting sqref="AI340">
    <cfRule type="expression" priority="1135" dxfId="3">
      <formula>AND(IF(OR($Q340=1,$Q340=2),1,0),IF($X340&lt;=20,1,0))</formula>
    </cfRule>
    <cfRule type="expression" priority="1136" dxfId="2">
      <formula>AND(IF($Q340=2,1,0),IF($X340&lt;30,1,0))</formula>
    </cfRule>
    <cfRule type="expression" priority="1137" dxfId="1">
      <formula>AND(IF($Q340=3,1,0),IF($X340&lt;30,1,0))</formula>
    </cfRule>
    <cfRule type="expression" priority="1138" dxfId="0">
      <formula>AND(IF($Q340=3,1,IF($Q340=4,1,0)),IF($F340&lt;=85,1,0))</formula>
    </cfRule>
  </conditionalFormatting>
  <conditionalFormatting sqref="AV341">
    <cfRule type="expression" priority="1133" dxfId="23">
      <formula>AV341="X"</formula>
    </cfRule>
    <cfRule type="expression" priority="1134" dxfId="22">
      <formula>AV341="후보"</formula>
    </cfRule>
  </conditionalFormatting>
  <conditionalFormatting sqref="AC34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1">
    <cfRule type="expression" priority="1125" dxfId="3">
      <formula>AND(IF(OR($Q341=1,$Q341=2),1,0),IF($X341&lt;=20,1,0))</formula>
    </cfRule>
    <cfRule type="expression" priority="1126" dxfId="2">
      <formula>AND(IF($Q341=2,1,0),IF($X341&lt;30,1,0))</formula>
    </cfRule>
    <cfRule type="expression" priority="1127" dxfId="1">
      <formula>AND(IF($Q341=3,1,0),IF($X341&lt;30,1,0))</formula>
    </cfRule>
    <cfRule type="expression" priority="1128" dxfId="0">
      <formula>AND(IF($Q341=3,1,IF($Q341=4,1,0)),IF($F341&lt;=85,1,0))</formula>
    </cfRule>
  </conditionalFormatting>
  <conditionalFormatting sqref="X341">
    <cfRule type="expression" priority="1121" dxfId="3">
      <formula>AND(IF(OR($Q341=1,$Q341=2),1,0),IF($X341&lt;=20,1,0))</formula>
    </cfRule>
    <cfRule type="expression" priority="1122" dxfId="2">
      <formula>AND(IF($Q341=2,1,0),IF($X341&lt;30,1,0))</formula>
    </cfRule>
    <cfRule type="expression" priority="1123" dxfId="1">
      <formula>AND(IF($Q341=3,1,0),IF($X341&lt;30,1,0))</formula>
    </cfRule>
    <cfRule type="expression" priority="1124" dxfId="0">
      <formula>AND(IF($Q341=3,1,IF($Q341=4,1,0)),IF($F341&lt;=85,1,0))</formula>
    </cfRule>
  </conditionalFormatting>
  <conditionalFormatting sqref="AI341">
    <cfRule type="expression" priority="1117" dxfId="3">
      <formula>AND(IF(OR($Q341=1,$Q341=2),1,0),IF($X341&lt;=20,1,0))</formula>
    </cfRule>
    <cfRule type="expression" priority="1118" dxfId="2">
      <formula>AND(IF($Q341=2,1,0),IF($X341&lt;30,1,0))</formula>
    </cfRule>
    <cfRule type="expression" priority="1119" dxfId="1">
      <formula>AND(IF($Q341=3,1,0),IF($X341&lt;30,1,0))</formula>
    </cfRule>
    <cfRule type="expression" priority="1120" dxfId="0">
      <formula>AND(IF($Q341=3,1,IF($Q341=4,1,0)),IF($F341&lt;=85,1,0))</formula>
    </cfRule>
  </conditionalFormatting>
  <conditionalFormatting sqref="AV342">
    <cfRule type="expression" priority="1115" dxfId="23">
      <formula>AV342="X"</formula>
    </cfRule>
    <cfRule type="expression" priority="1116" dxfId="22">
      <formula>AV342="후보"</formula>
    </cfRule>
  </conditionalFormatting>
  <conditionalFormatting sqref="AC34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2">
    <cfRule type="expression" priority="1107" dxfId="3">
      <formula>AND(IF(OR($Q342=1,$Q342=2),1,0),IF($X342&lt;=20,1,0))</formula>
    </cfRule>
    <cfRule type="expression" priority="1108" dxfId="2">
      <formula>AND(IF($Q342=2,1,0),IF($X342&lt;30,1,0))</formula>
    </cfRule>
    <cfRule type="expression" priority="1109" dxfId="1">
      <formula>AND(IF($Q342=3,1,0),IF($X342&lt;30,1,0))</formula>
    </cfRule>
    <cfRule type="expression" priority="1110" dxfId="0">
      <formula>AND(IF($Q342=3,1,IF($Q342=4,1,0)),IF($F342&lt;=85,1,0))</formula>
    </cfRule>
  </conditionalFormatting>
  <conditionalFormatting sqref="X342">
    <cfRule type="expression" priority="1103" dxfId="3">
      <formula>AND(IF(OR($Q342=1,$Q342=2),1,0),IF($X342&lt;=20,1,0))</formula>
    </cfRule>
    <cfRule type="expression" priority="1104" dxfId="2">
      <formula>AND(IF($Q342=2,1,0),IF($X342&lt;30,1,0))</formula>
    </cfRule>
    <cfRule type="expression" priority="1105" dxfId="1">
      <formula>AND(IF($Q342=3,1,0),IF($X342&lt;30,1,0))</formula>
    </cfRule>
    <cfRule type="expression" priority="1106" dxfId="0">
      <formula>AND(IF($Q342=3,1,IF($Q342=4,1,0)),IF($F342&lt;=85,1,0))</formula>
    </cfRule>
  </conditionalFormatting>
  <conditionalFormatting sqref="AI342">
    <cfRule type="expression" priority="1099" dxfId="3">
      <formula>AND(IF(OR($Q342=1,$Q342=2),1,0),IF($X342&lt;=20,1,0))</formula>
    </cfRule>
    <cfRule type="expression" priority="1100" dxfId="2">
      <formula>AND(IF($Q342=2,1,0),IF($X342&lt;30,1,0))</formula>
    </cfRule>
    <cfRule type="expression" priority="1101" dxfId="1">
      <formula>AND(IF($Q342=3,1,0),IF($X342&lt;30,1,0))</formula>
    </cfRule>
    <cfRule type="expression" priority="1102" dxfId="0">
      <formula>AND(IF($Q342=3,1,IF($Q342=4,1,0)),IF($F342&lt;=85,1,0))</formula>
    </cfRule>
  </conditionalFormatting>
  <conditionalFormatting sqref="AV343">
    <cfRule type="expression" priority="1097" dxfId="23">
      <formula>AV343="X"</formula>
    </cfRule>
    <cfRule type="expression" priority="1098" dxfId="22">
      <formula>AV343="후보"</formula>
    </cfRule>
  </conditionalFormatting>
  <conditionalFormatting sqref="AC34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3">
    <cfRule type="expression" priority="1089" dxfId="3">
      <formula>AND(IF(OR($Q343=1,$Q343=2),1,0),IF($X343&lt;=20,1,0))</formula>
    </cfRule>
    <cfRule type="expression" priority="1090" dxfId="2">
      <formula>AND(IF($Q343=2,1,0),IF($X343&lt;30,1,0))</formula>
    </cfRule>
    <cfRule type="expression" priority="1091" dxfId="1">
      <formula>AND(IF($Q343=3,1,0),IF($X343&lt;30,1,0))</formula>
    </cfRule>
    <cfRule type="expression" priority="1092" dxfId="0">
      <formula>AND(IF($Q343=3,1,IF($Q343=4,1,0)),IF($F343&lt;=85,1,0))</formula>
    </cfRule>
  </conditionalFormatting>
  <conditionalFormatting sqref="X343">
    <cfRule type="expression" priority="1085" dxfId="3">
      <formula>AND(IF(OR($Q343=1,$Q343=2),1,0),IF($X343&lt;=20,1,0))</formula>
    </cfRule>
    <cfRule type="expression" priority="1086" dxfId="2">
      <formula>AND(IF($Q343=2,1,0),IF($X343&lt;30,1,0))</formula>
    </cfRule>
    <cfRule type="expression" priority="1087" dxfId="1">
      <formula>AND(IF($Q343=3,1,0),IF($X343&lt;30,1,0))</formula>
    </cfRule>
    <cfRule type="expression" priority="1088" dxfId="0">
      <formula>AND(IF($Q343=3,1,IF($Q343=4,1,0)),IF($F343&lt;=85,1,0))</formula>
    </cfRule>
  </conditionalFormatting>
  <conditionalFormatting sqref="AI343">
    <cfRule type="expression" priority="1081" dxfId="3">
      <formula>AND(IF(OR($Q343=1,$Q343=2),1,0),IF($X343&lt;=20,1,0))</formula>
    </cfRule>
    <cfRule type="expression" priority="1082" dxfId="2">
      <formula>AND(IF($Q343=2,1,0),IF($X343&lt;30,1,0))</formula>
    </cfRule>
    <cfRule type="expression" priority="1083" dxfId="1">
      <formula>AND(IF($Q343=3,1,0),IF($X343&lt;30,1,0))</formula>
    </cfRule>
    <cfRule type="expression" priority="1084" dxfId="0">
      <formula>AND(IF($Q343=3,1,IF($Q343=4,1,0)),IF($F343&lt;=85,1,0))</formula>
    </cfRule>
  </conditionalFormatting>
  <conditionalFormatting sqref="AV344">
    <cfRule type="expression" priority="1079" dxfId="23">
      <formula>AV344="X"</formula>
    </cfRule>
    <cfRule type="expression" priority="1080" dxfId="22">
      <formula>AV344="후보"</formula>
    </cfRule>
  </conditionalFormatting>
  <conditionalFormatting sqref="AC3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44">
    <cfRule type="expression" priority="1071" dxfId="3">
      <formula>AND(IF(OR($Q344=1,$Q344=2),1,0),IF($X344&lt;=20,1,0))</formula>
    </cfRule>
    <cfRule type="expression" priority="1072" dxfId="2">
      <formula>AND(IF($Q344=2,1,0),IF($X344&lt;30,1,0))</formula>
    </cfRule>
    <cfRule type="expression" priority="1073" dxfId="1">
      <formula>AND(IF($Q344=3,1,0),IF($X344&lt;30,1,0))</formula>
    </cfRule>
    <cfRule type="expression" priority="1074" dxfId="0">
      <formula>AND(IF($Q344=3,1,IF($Q344=4,1,0)),IF($F344&lt;=85,1,0))</formula>
    </cfRule>
  </conditionalFormatting>
  <conditionalFormatting sqref="X344">
    <cfRule type="expression" priority="1067" dxfId="3">
      <formula>AND(IF(OR($Q344=1,$Q344=2),1,0),IF($X344&lt;=20,1,0))</formula>
    </cfRule>
    <cfRule type="expression" priority="1068" dxfId="2">
      <formula>AND(IF($Q344=2,1,0),IF($X344&lt;30,1,0))</formula>
    </cfRule>
    <cfRule type="expression" priority="1069" dxfId="1">
      <formula>AND(IF($Q344=3,1,0),IF($X344&lt;30,1,0))</formula>
    </cfRule>
    <cfRule type="expression" priority="1070" dxfId="0">
      <formula>AND(IF($Q344=3,1,IF($Q344=4,1,0)),IF($F344&lt;=85,1,0))</formula>
    </cfRule>
  </conditionalFormatting>
  <conditionalFormatting sqref="AI344">
    <cfRule type="expression" priority="1063" dxfId="3">
      <formula>AND(IF(OR($Q344=1,$Q344=2),1,0),IF($X344&lt;=20,1,0))</formula>
    </cfRule>
    <cfRule type="expression" priority="1064" dxfId="2">
      <formula>AND(IF($Q344=2,1,0),IF($X344&lt;30,1,0))</formula>
    </cfRule>
    <cfRule type="expression" priority="1065" dxfId="1">
      <formula>AND(IF($Q344=3,1,0),IF($X344&lt;30,1,0))</formula>
    </cfRule>
    <cfRule type="expression" priority="1066" dxfId="0">
      <formula>AND(IF($Q344=3,1,IF($Q344=4,1,0)),IF($F344&lt;=85,1,0))</formula>
    </cfRule>
  </conditionalFormatting>
  <conditionalFormatting sqref="AV345">
    <cfRule type="expression" priority="1061" dxfId="23">
      <formula>AV345="X"</formula>
    </cfRule>
    <cfRule type="expression" priority="1062" dxfId="22">
      <formula>AV345="후보"</formula>
    </cfRule>
  </conditionalFormatting>
  <conditionalFormatting sqref="AC34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4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45">
    <cfRule type="expression" priority="1053" dxfId="3">
      <formula>AND(IF(OR($Q345=1,$Q345=2),1,0),IF($X345&lt;=20,1,0))</formula>
    </cfRule>
    <cfRule type="expression" priority="1054" dxfId="2">
      <formula>AND(IF($Q345=2,1,0),IF($X345&lt;30,1,0))</formula>
    </cfRule>
    <cfRule type="expression" priority="1055" dxfId="1">
      <formula>AND(IF($Q345=3,1,0),IF($X345&lt;30,1,0))</formula>
    </cfRule>
    <cfRule type="expression" priority="1056" dxfId="0">
      <formula>AND(IF($Q345=3,1,IF($Q345=4,1,0)),IF($F345&lt;=85,1,0))</formula>
    </cfRule>
  </conditionalFormatting>
  <conditionalFormatting sqref="X345">
    <cfRule type="expression" priority="1049" dxfId="3">
      <formula>AND(IF(OR($Q345=1,$Q345=2),1,0),IF($X345&lt;=20,1,0))</formula>
    </cfRule>
    <cfRule type="expression" priority="1050" dxfId="2">
      <formula>AND(IF($Q345=2,1,0),IF($X345&lt;30,1,0))</formula>
    </cfRule>
    <cfRule type="expression" priority="1051" dxfId="1">
      <formula>AND(IF($Q345=3,1,0),IF($X345&lt;30,1,0))</formula>
    </cfRule>
    <cfRule type="expression" priority="1052" dxfId="0">
      <formula>AND(IF($Q345=3,1,IF($Q345=4,1,0)),IF($F345&lt;=85,1,0))</formula>
    </cfRule>
  </conditionalFormatting>
  <conditionalFormatting sqref="AI345">
    <cfRule type="expression" priority="1045" dxfId="3">
      <formula>AND(IF(OR($Q345=1,$Q345=2),1,0),IF($X345&lt;=20,1,0))</formula>
    </cfRule>
    <cfRule type="expression" priority="1046" dxfId="2">
      <formula>AND(IF($Q345=2,1,0),IF($X345&lt;30,1,0))</formula>
    </cfRule>
    <cfRule type="expression" priority="1047" dxfId="1">
      <formula>AND(IF($Q345=3,1,0),IF($X345&lt;30,1,0))</formula>
    </cfRule>
    <cfRule type="expression" priority="1048" dxfId="0">
      <formula>AND(IF($Q345=3,1,IF($Q345=4,1,0)),IF($F345&lt;=85,1,0))</formula>
    </cfRule>
  </conditionalFormatting>
  <conditionalFormatting sqref="AV346">
    <cfRule type="expression" priority="1043" dxfId="23">
      <formula>AV346="X"</formula>
    </cfRule>
    <cfRule type="expression" priority="1044" dxfId="22">
      <formula>AV346="후보"</formula>
    </cfRule>
  </conditionalFormatting>
  <conditionalFormatting sqref="AC34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46">
    <cfRule type="expression" priority="1035" dxfId="3">
      <formula>AND(IF(OR($Q346=1,$Q346=2),1,0),IF($X346&lt;=20,1,0))</formula>
    </cfRule>
    <cfRule type="expression" priority="1036" dxfId="2">
      <formula>AND(IF($Q346=2,1,0),IF($X346&lt;30,1,0))</formula>
    </cfRule>
    <cfRule type="expression" priority="1037" dxfId="1">
      <formula>AND(IF($Q346=3,1,0),IF($X346&lt;30,1,0))</formula>
    </cfRule>
    <cfRule type="expression" priority="1038" dxfId="0">
      <formula>AND(IF($Q346=3,1,IF($Q346=4,1,0)),IF($F346&lt;=85,1,0))</formula>
    </cfRule>
  </conditionalFormatting>
  <conditionalFormatting sqref="X346">
    <cfRule type="expression" priority="1031" dxfId="3">
      <formula>AND(IF(OR($Q346=1,$Q346=2),1,0),IF($X346&lt;=20,1,0))</formula>
    </cfRule>
    <cfRule type="expression" priority="1032" dxfId="2">
      <formula>AND(IF($Q346=2,1,0),IF($X346&lt;30,1,0))</formula>
    </cfRule>
    <cfRule type="expression" priority="1033" dxfId="1">
      <formula>AND(IF($Q346=3,1,0),IF($X346&lt;30,1,0))</formula>
    </cfRule>
    <cfRule type="expression" priority="1034" dxfId="0">
      <formula>AND(IF($Q346=3,1,IF($Q346=4,1,0)),IF($F346&lt;=85,1,0))</formula>
    </cfRule>
  </conditionalFormatting>
  <conditionalFormatting sqref="AI346">
    <cfRule type="expression" priority="1027" dxfId="3">
      <formula>AND(IF(OR($Q346=1,$Q346=2),1,0),IF($X346&lt;=20,1,0))</formula>
    </cfRule>
    <cfRule type="expression" priority="1028" dxfId="2">
      <formula>AND(IF($Q346=2,1,0),IF($X346&lt;30,1,0))</formula>
    </cfRule>
    <cfRule type="expression" priority="1029" dxfId="1">
      <formula>AND(IF($Q346=3,1,0),IF($X346&lt;30,1,0))</formula>
    </cfRule>
    <cfRule type="expression" priority="1030" dxfId="0">
      <formula>AND(IF($Q346=3,1,IF($Q346=4,1,0)),IF($F346&lt;=85,1,0))</formula>
    </cfRule>
  </conditionalFormatting>
  <conditionalFormatting sqref="AV347">
    <cfRule type="expression" priority="1025" dxfId="23">
      <formula>AV347="X"</formula>
    </cfRule>
    <cfRule type="expression" priority="1026" dxfId="22">
      <formula>AV347="후보"</formula>
    </cfRule>
  </conditionalFormatting>
  <conditionalFormatting sqref="AC34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4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47">
    <cfRule type="expression" priority="1017" dxfId="3">
      <formula>AND(IF(OR($Q347=1,$Q347=2),1,0),IF($X347&lt;=20,1,0))</formula>
    </cfRule>
    <cfRule type="expression" priority="1018" dxfId="2">
      <formula>AND(IF($Q347=2,1,0),IF($X347&lt;30,1,0))</formula>
    </cfRule>
    <cfRule type="expression" priority="1019" dxfId="1">
      <formula>AND(IF($Q347=3,1,0),IF($X347&lt;30,1,0))</formula>
    </cfRule>
    <cfRule type="expression" priority="1020" dxfId="0">
      <formula>AND(IF($Q347=3,1,IF($Q347=4,1,0)),IF($F347&lt;=85,1,0))</formula>
    </cfRule>
  </conditionalFormatting>
  <conditionalFormatting sqref="X347">
    <cfRule type="expression" priority="1013" dxfId="3">
      <formula>AND(IF(OR($Q347=1,$Q347=2),1,0),IF($X347&lt;=20,1,0))</formula>
    </cfRule>
    <cfRule type="expression" priority="1014" dxfId="2">
      <formula>AND(IF($Q347=2,1,0),IF($X347&lt;30,1,0))</formula>
    </cfRule>
    <cfRule type="expression" priority="1015" dxfId="1">
      <formula>AND(IF($Q347=3,1,0),IF($X347&lt;30,1,0))</formula>
    </cfRule>
    <cfRule type="expression" priority="1016" dxfId="0">
      <formula>AND(IF($Q347=3,1,IF($Q347=4,1,0)),IF($F347&lt;=85,1,0))</formula>
    </cfRule>
  </conditionalFormatting>
  <conditionalFormatting sqref="AI347">
    <cfRule type="expression" priority="1009" dxfId="3">
      <formula>AND(IF(OR($Q347=1,$Q347=2),1,0),IF($X347&lt;=20,1,0))</formula>
    </cfRule>
    <cfRule type="expression" priority="1010" dxfId="2">
      <formula>AND(IF($Q347=2,1,0),IF($X347&lt;30,1,0))</formula>
    </cfRule>
    <cfRule type="expression" priority="1011" dxfId="1">
      <formula>AND(IF($Q347=3,1,0),IF($X347&lt;30,1,0))</formula>
    </cfRule>
    <cfRule type="expression" priority="1012" dxfId="0">
      <formula>AND(IF($Q347=3,1,IF($Q347=4,1,0)),IF($F347&lt;=85,1,0))</formula>
    </cfRule>
  </conditionalFormatting>
  <conditionalFormatting sqref="AV348">
    <cfRule type="expression" priority="1007" dxfId="23">
      <formula>AV348="X"</formula>
    </cfRule>
    <cfRule type="expression" priority="1008" dxfId="22">
      <formula>AV348="후보"</formula>
    </cfRule>
  </conditionalFormatting>
  <conditionalFormatting sqref="AC34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4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48">
    <cfRule type="expression" priority="999" dxfId="3">
      <formula>AND(IF(OR($Q348=1,$Q348=2),1,0),IF($X348&lt;=20,1,0))</formula>
    </cfRule>
    <cfRule type="expression" priority="1000" dxfId="2">
      <formula>AND(IF($Q348=2,1,0),IF($X348&lt;30,1,0))</formula>
    </cfRule>
    <cfRule type="expression" priority="1001" dxfId="1">
      <formula>AND(IF($Q348=3,1,0),IF($X348&lt;30,1,0))</formula>
    </cfRule>
    <cfRule type="expression" priority="1002" dxfId="0">
      <formula>AND(IF($Q348=3,1,IF($Q348=4,1,0)),IF($F348&lt;=85,1,0))</formula>
    </cfRule>
  </conditionalFormatting>
  <conditionalFormatting sqref="X348">
    <cfRule type="expression" priority="995" dxfId="3">
      <formula>AND(IF(OR($Q348=1,$Q348=2),1,0),IF($X348&lt;=20,1,0))</formula>
    </cfRule>
    <cfRule type="expression" priority="996" dxfId="2">
      <formula>AND(IF($Q348=2,1,0),IF($X348&lt;30,1,0))</formula>
    </cfRule>
    <cfRule type="expression" priority="997" dxfId="1">
      <formula>AND(IF($Q348=3,1,0),IF($X348&lt;30,1,0))</formula>
    </cfRule>
    <cfRule type="expression" priority="998" dxfId="0">
      <formula>AND(IF($Q348=3,1,IF($Q348=4,1,0)),IF($F348&lt;=85,1,0))</formula>
    </cfRule>
  </conditionalFormatting>
  <conditionalFormatting sqref="AI348">
    <cfRule type="expression" priority="991" dxfId="3">
      <formula>AND(IF(OR($Q348=1,$Q348=2),1,0),IF($X348&lt;=20,1,0))</formula>
    </cfRule>
    <cfRule type="expression" priority="992" dxfId="2">
      <formula>AND(IF($Q348=2,1,0),IF($X348&lt;30,1,0))</formula>
    </cfRule>
    <cfRule type="expression" priority="993" dxfId="1">
      <formula>AND(IF($Q348=3,1,0),IF($X348&lt;30,1,0))</formula>
    </cfRule>
    <cfRule type="expression" priority="994" dxfId="0">
      <formula>AND(IF($Q348=3,1,IF($Q348=4,1,0)),IF($F348&lt;=85,1,0))</formula>
    </cfRule>
  </conditionalFormatting>
  <conditionalFormatting sqref="AV349">
    <cfRule type="expression" priority="989" dxfId="23">
      <formula>AV349="X"</formula>
    </cfRule>
    <cfRule type="expression" priority="990" dxfId="22">
      <formula>AV349="후보"</formula>
    </cfRule>
  </conditionalFormatting>
  <conditionalFormatting sqref="AC34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4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49">
    <cfRule type="expression" priority="981" dxfId="3">
      <formula>AND(IF(OR($Q349=1,$Q349=2),1,0),IF($X349&lt;=20,1,0))</formula>
    </cfRule>
    <cfRule type="expression" priority="982" dxfId="2">
      <formula>AND(IF($Q349=2,1,0),IF($X349&lt;30,1,0))</formula>
    </cfRule>
    <cfRule type="expression" priority="983" dxfId="1">
      <formula>AND(IF($Q349=3,1,0),IF($X349&lt;30,1,0))</formula>
    </cfRule>
    <cfRule type="expression" priority="984" dxfId="0">
      <formula>AND(IF($Q349=3,1,IF($Q349=4,1,0)),IF($F349&lt;=85,1,0))</formula>
    </cfRule>
  </conditionalFormatting>
  <conditionalFormatting sqref="X349">
    <cfRule type="expression" priority="977" dxfId="3">
      <formula>AND(IF(OR($Q349=1,$Q349=2),1,0),IF($X349&lt;=20,1,0))</formula>
    </cfRule>
    <cfRule type="expression" priority="978" dxfId="2">
      <formula>AND(IF($Q349=2,1,0),IF($X349&lt;30,1,0))</formula>
    </cfRule>
    <cfRule type="expression" priority="979" dxfId="1">
      <formula>AND(IF($Q349=3,1,0),IF($X349&lt;30,1,0))</formula>
    </cfRule>
    <cfRule type="expression" priority="980" dxfId="0">
      <formula>AND(IF($Q349=3,1,IF($Q349=4,1,0)),IF($F349&lt;=85,1,0))</formula>
    </cfRule>
  </conditionalFormatting>
  <conditionalFormatting sqref="AI349">
    <cfRule type="expression" priority="973" dxfId="3">
      <formula>AND(IF(OR($Q349=1,$Q349=2),1,0),IF($X349&lt;=20,1,0))</formula>
    </cfRule>
    <cfRule type="expression" priority="974" dxfId="2">
      <formula>AND(IF($Q349=2,1,0),IF($X349&lt;30,1,0))</formula>
    </cfRule>
    <cfRule type="expression" priority="975" dxfId="1">
      <formula>AND(IF($Q349=3,1,0),IF($X349&lt;30,1,0))</formula>
    </cfRule>
    <cfRule type="expression" priority="976" dxfId="0">
      <formula>AND(IF($Q349=3,1,IF($Q349=4,1,0)),IF($F349&lt;=85,1,0))</formula>
    </cfRule>
  </conditionalFormatting>
  <conditionalFormatting sqref="AV350">
    <cfRule type="expression" priority="971" dxfId="23">
      <formula>AV350="X"</formula>
    </cfRule>
    <cfRule type="expression" priority="972" dxfId="22">
      <formula>AV350="후보"</formula>
    </cfRule>
  </conditionalFormatting>
  <conditionalFormatting sqref="AC35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0">
    <cfRule type="expression" priority="963" dxfId="3">
      <formula>AND(IF(OR($Q350=1,$Q350=2),1,0),IF($X350&lt;=20,1,0))</formula>
    </cfRule>
    <cfRule type="expression" priority="964" dxfId="2">
      <formula>AND(IF($Q350=2,1,0),IF($X350&lt;30,1,0))</formula>
    </cfRule>
    <cfRule type="expression" priority="965" dxfId="1">
      <formula>AND(IF($Q350=3,1,0),IF($X350&lt;30,1,0))</formula>
    </cfRule>
    <cfRule type="expression" priority="966" dxfId="0">
      <formula>AND(IF($Q350=3,1,IF($Q350=4,1,0)),IF($F350&lt;=85,1,0))</formula>
    </cfRule>
  </conditionalFormatting>
  <conditionalFormatting sqref="X350">
    <cfRule type="expression" priority="959" dxfId="3">
      <formula>AND(IF(OR($Q350=1,$Q350=2),1,0),IF($X350&lt;=20,1,0))</formula>
    </cfRule>
    <cfRule type="expression" priority="960" dxfId="2">
      <formula>AND(IF($Q350=2,1,0),IF($X350&lt;30,1,0))</formula>
    </cfRule>
    <cfRule type="expression" priority="961" dxfId="1">
      <formula>AND(IF($Q350=3,1,0),IF($X350&lt;30,1,0))</formula>
    </cfRule>
    <cfRule type="expression" priority="962" dxfId="0">
      <formula>AND(IF($Q350=3,1,IF($Q350=4,1,0)),IF($F350&lt;=85,1,0))</formula>
    </cfRule>
  </conditionalFormatting>
  <conditionalFormatting sqref="AI350">
    <cfRule type="expression" priority="955" dxfId="3">
      <formula>AND(IF(OR($Q350=1,$Q350=2),1,0),IF($X350&lt;=20,1,0))</formula>
    </cfRule>
    <cfRule type="expression" priority="956" dxfId="2">
      <formula>AND(IF($Q350=2,1,0),IF($X350&lt;30,1,0))</formula>
    </cfRule>
    <cfRule type="expression" priority="957" dxfId="1">
      <formula>AND(IF($Q350=3,1,0),IF($X350&lt;30,1,0))</formula>
    </cfRule>
    <cfRule type="expression" priority="958" dxfId="0">
      <formula>AND(IF($Q350=3,1,IF($Q350=4,1,0)),IF($F350&lt;=85,1,0))</formula>
    </cfRule>
  </conditionalFormatting>
  <conditionalFormatting sqref="AV351">
    <cfRule type="expression" priority="953" dxfId="23">
      <formula>AV351="X"</formula>
    </cfRule>
    <cfRule type="expression" priority="954" dxfId="22">
      <formula>AV351="후보"</formula>
    </cfRule>
  </conditionalFormatting>
  <conditionalFormatting sqref="AC35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1">
    <cfRule type="expression" priority="945" dxfId="3">
      <formula>AND(IF(OR($Q351=1,$Q351=2),1,0),IF($X351&lt;=20,1,0))</formula>
    </cfRule>
    <cfRule type="expression" priority="946" dxfId="2">
      <formula>AND(IF($Q351=2,1,0),IF($X351&lt;30,1,0))</formula>
    </cfRule>
    <cfRule type="expression" priority="947" dxfId="1">
      <formula>AND(IF($Q351=3,1,0),IF($X351&lt;30,1,0))</formula>
    </cfRule>
    <cfRule type="expression" priority="948" dxfId="0">
      <formula>AND(IF($Q351=3,1,IF($Q351=4,1,0)),IF($F351&lt;=85,1,0))</formula>
    </cfRule>
  </conditionalFormatting>
  <conditionalFormatting sqref="X351">
    <cfRule type="expression" priority="941" dxfId="3">
      <formula>AND(IF(OR($Q351=1,$Q351=2),1,0),IF($X351&lt;=20,1,0))</formula>
    </cfRule>
    <cfRule type="expression" priority="942" dxfId="2">
      <formula>AND(IF($Q351=2,1,0),IF($X351&lt;30,1,0))</formula>
    </cfRule>
    <cfRule type="expression" priority="943" dxfId="1">
      <formula>AND(IF($Q351=3,1,0),IF($X351&lt;30,1,0))</formula>
    </cfRule>
    <cfRule type="expression" priority="944" dxfId="0">
      <formula>AND(IF($Q351=3,1,IF($Q351=4,1,0)),IF($F351&lt;=85,1,0))</formula>
    </cfRule>
  </conditionalFormatting>
  <conditionalFormatting sqref="AI351">
    <cfRule type="expression" priority="937" dxfId="3">
      <formula>AND(IF(OR($Q351=1,$Q351=2),1,0),IF($X351&lt;=20,1,0))</formula>
    </cfRule>
    <cfRule type="expression" priority="938" dxfId="2">
      <formula>AND(IF($Q351=2,1,0),IF($X351&lt;30,1,0))</formula>
    </cfRule>
    <cfRule type="expression" priority="939" dxfId="1">
      <formula>AND(IF($Q351=3,1,0),IF($X351&lt;30,1,0))</formula>
    </cfRule>
    <cfRule type="expression" priority="940" dxfId="0">
      <formula>AND(IF($Q351=3,1,IF($Q351=4,1,0)),IF($F351&lt;=85,1,0))</formula>
    </cfRule>
  </conditionalFormatting>
  <conditionalFormatting sqref="AV352">
    <cfRule type="expression" priority="935" dxfId="23">
      <formula>AV352="X"</formula>
    </cfRule>
    <cfRule type="expression" priority="936" dxfId="22">
      <formula>AV352="후보"</formula>
    </cfRule>
  </conditionalFormatting>
  <conditionalFormatting sqref="AC35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2">
    <cfRule type="expression" priority="927" dxfId="3">
      <formula>AND(IF(OR($Q352=1,$Q352=2),1,0),IF($X352&lt;=20,1,0))</formula>
    </cfRule>
    <cfRule type="expression" priority="928" dxfId="2">
      <formula>AND(IF($Q352=2,1,0),IF($X352&lt;30,1,0))</formula>
    </cfRule>
    <cfRule type="expression" priority="929" dxfId="1">
      <formula>AND(IF($Q352=3,1,0),IF($X352&lt;30,1,0))</formula>
    </cfRule>
    <cfRule type="expression" priority="930" dxfId="0">
      <formula>AND(IF($Q352=3,1,IF($Q352=4,1,0)),IF($F352&lt;=85,1,0))</formula>
    </cfRule>
  </conditionalFormatting>
  <conditionalFormatting sqref="X352">
    <cfRule type="expression" priority="923" dxfId="3">
      <formula>AND(IF(OR($Q352=1,$Q352=2),1,0),IF($X352&lt;=20,1,0))</formula>
    </cfRule>
    <cfRule type="expression" priority="924" dxfId="2">
      <formula>AND(IF($Q352=2,1,0),IF($X352&lt;30,1,0))</formula>
    </cfRule>
    <cfRule type="expression" priority="925" dxfId="1">
      <formula>AND(IF($Q352=3,1,0),IF($X352&lt;30,1,0))</formula>
    </cfRule>
    <cfRule type="expression" priority="926" dxfId="0">
      <formula>AND(IF($Q352=3,1,IF($Q352=4,1,0)),IF($F352&lt;=85,1,0))</formula>
    </cfRule>
  </conditionalFormatting>
  <conditionalFormatting sqref="AI352">
    <cfRule type="expression" priority="919" dxfId="3">
      <formula>AND(IF(OR($Q352=1,$Q352=2),1,0),IF($X352&lt;=20,1,0))</formula>
    </cfRule>
    <cfRule type="expression" priority="920" dxfId="2">
      <formula>AND(IF($Q352=2,1,0),IF($X352&lt;30,1,0))</formula>
    </cfRule>
    <cfRule type="expression" priority="921" dxfId="1">
      <formula>AND(IF($Q352=3,1,0),IF($X352&lt;30,1,0))</formula>
    </cfRule>
    <cfRule type="expression" priority="922" dxfId="0">
      <formula>AND(IF($Q352=3,1,IF($Q352=4,1,0)),IF($F352&lt;=85,1,0))</formula>
    </cfRule>
  </conditionalFormatting>
  <conditionalFormatting sqref="AV353">
    <cfRule type="expression" priority="917" dxfId="23">
      <formula>AV353="X"</formula>
    </cfRule>
    <cfRule type="expression" priority="918" dxfId="22">
      <formula>AV353="후보"</formula>
    </cfRule>
  </conditionalFormatting>
  <conditionalFormatting sqref="AC35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3">
    <cfRule type="expression" priority="909" dxfId="3">
      <formula>AND(IF(OR($Q353=1,$Q353=2),1,0),IF($X353&lt;=20,1,0))</formula>
    </cfRule>
    <cfRule type="expression" priority="910" dxfId="2">
      <formula>AND(IF($Q353=2,1,0),IF($X353&lt;30,1,0))</formula>
    </cfRule>
    <cfRule type="expression" priority="911" dxfId="1">
      <formula>AND(IF($Q353=3,1,0),IF($X353&lt;30,1,0))</formula>
    </cfRule>
    <cfRule type="expression" priority="912" dxfId="0">
      <formula>AND(IF($Q353=3,1,IF($Q353=4,1,0)),IF($F353&lt;=85,1,0))</formula>
    </cfRule>
  </conditionalFormatting>
  <conditionalFormatting sqref="X353">
    <cfRule type="expression" priority="905" dxfId="3">
      <formula>AND(IF(OR($Q353=1,$Q353=2),1,0),IF($X353&lt;=20,1,0))</formula>
    </cfRule>
    <cfRule type="expression" priority="906" dxfId="2">
      <formula>AND(IF($Q353=2,1,0),IF($X353&lt;30,1,0))</formula>
    </cfRule>
    <cfRule type="expression" priority="907" dxfId="1">
      <formula>AND(IF($Q353=3,1,0),IF($X353&lt;30,1,0))</formula>
    </cfRule>
    <cfRule type="expression" priority="908" dxfId="0">
      <formula>AND(IF($Q353=3,1,IF($Q353=4,1,0)),IF($F353&lt;=85,1,0))</formula>
    </cfRule>
  </conditionalFormatting>
  <conditionalFormatting sqref="AI353">
    <cfRule type="expression" priority="901" dxfId="3">
      <formula>AND(IF(OR($Q353=1,$Q353=2),1,0),IF($X353&lt;=20,1,0))</formula>
    </cfRule>
    <cfRule type="expression" priority="902" dxfId="2">
      <formula>AND(IF($Q353=2,1,0),IF($X353&lt;30,1,0))</formula>
    </cfRule>
    <cfRule type="expression" priority="903" dxfId="1">
      <formula>AND(IF($Q353=3,1,0),IF($X353&lt;30,1,0))</formula>
    </cfRule>
    <cfRule type="expression" priority="904" dxfId="0">
      <formula>AND(IF($Q353=3,1,IF($Q353=4,1,0)),IF($F353&lt;=85,1,0))</formula>
    </cfRule>
  </conditionalFormatting>
  <conditionalFormatting sqref="AV354">
    <cfRule type="expression" priority="899" dxfId="23">
      <formula>AV354="X"</formula>
    </cfRule>
    <cfRule type="expression" priority="900" dxfId="22">
      <formula>AV354="후보"</formula>
    </cfRule>
  </conditionalFormatting>
  <conditionalFormatting sqref="AC35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5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54">
    <cfRule type="expression" priority="891" dxfId="3">
      <formula>AND(IF(OR($Q354=1,$Q354=2),1,0),IF($X354&lt;=20,1,0))</formula>
    </cfRule>
    <cfRule type="expression" priority="892" dxfId="2">
      <formula>AND(IF($Q354=2,1,0),IF($X354&lt;30,1,0))</formula>
    </cfRule>
    <cfRule type="expression" priority="893" dxfId="1">
      <formula>AND(IF($Q354=3,1,0),IF($X354&lt;30,1,0))</formula>
    </cfRule>
    <cfRule type="expression" priority="894" dxfId="0">
      <formula>AND(IF($Q354=3,1,IF($Q354=4,1,0)),IF($F354&lt;=85,1,0))</formula>
    </cfRule>
  </conditionalFormatting>
  <conditionalFormatting sqref="X354">
    <cfRule type="expression" priority="887" dxfId="3">
      <formula>AND(IF(OR($Q354=1,$Q354=2),1,0),IF($X354&lt;=20,1,0))</formula>
    </cfRule>
    <cfRule type="expression" priority="888" dxfId="2">
      <formula>AND(IF($Q354=2,1,0),IF($X354&lt;30,1,0))</formula>
    </cfRule>
    <cfRule type="expression" priority="889" dxfId="1">
      <formula>AND(IF($Q354=3,1,0),IF($X354&lt;30,1,0))</formula>
    </cfRule>
    <cfRule type="expression" priority="890" dxfId="0">
      <formula>AND(IF($Q354=3,1,IF($Q354=4,1,0)),IF($F354&lt;=85,1,0))</formula>
    </cfRule>
  </conditionalFormatting>
  <conditionalFormatting sqref="AI354">
    <cfRule type="expression" priority="883" dxfId="3">
      <formula>AND(IF(OR($Q354=1,$Q354=2),1,0),IF($X354&lt;=20,1,0))</formula>
    </cfRule>
    <cfRule type="expression" priority="884" dxfId="2">
      <formula>AND(IF($Q354=2,1,0),IF($X354&lt;30,1,0))</formula>
    </cfRule>
    <cfRule type="expression" priority="885" dxfId="1">
      <formula>AND(IF($Q354=3,1,0),IF($X354&lt;30,1,0))</formula>
    </cfRule>
    <cfRule type="expression" priority="886" dxfId="0">
      <formula>AND(IF($Q354=3,1,IF($Q354=4,1,0)),IF($F354&lt;=85,1,0))</formula>
    </cfRule>
  </conditionalFormatting>
  <conditionalFormatting sqref="AV355">
    <cfRule type="expression" priority="881" dxfId="23">
      <formula>AV355="X"</formula>
    </cfRule>
    <cfRule type="expression" priority="882" dxfId="22">
      <formula>AV355="후보"</formula>
    </cfRule>
  </conditionalFormatting>
  <conditionalFormatting sqref="AC35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5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55">
    <cfRule type="expression" priority="873" dxfId="3">
      <formula>AND(IF(OR($Q355=1,$Q355=2),1,0),IF($X355&lt;=20,1,0))</formula>
    </cfRule>
    <cfRule type="expression" priority="874" dxfId="2">
      <formula>AND(IF($Q355=2,1,0),IF($X355&lt;30,1,0))</formula>
    </cfRule>
    <cfRule type="expression" priority="875" dxfId="1">
      <formula>AND(IF($Q355=3,1,0),IF($X355&lt;30,1,0))</formula>
    </cfRule>
    <cfRule type="expression" priority="876" dxfId="0">
      <formula>AND(IF($Q355=3,1,IF($Q355=4,1,0)),IF($F355&lt;=85,1,0))</formula>
    </cfRule>
  </conditionalFormatting>
  <conditionalFormatting sqref="X355">
    <cfRule type="expression" priority="869" dxfId="3">
      <formula>AND(IF(OR($Q355=1,$Q355=2),1,0),IF($X355&lt;=20,1,0))</formula>
    </cfRule>
    <cfRule type="expression" priority="870" dxfId="2">
      <formula>AND(IF($Q355=2,1,0),IF($X355&lt;30,1,0))</formula>
    </cfRule>
    <cfRule type="expression" priority="871" dxfId="1">
      <formula>AND(IF($Q355=3,1,0),IF($X355&lt;30,1,0))</formula>
    </cfRule>
    <cfRule type="expression" priority="872" dxfId="0">
      <formula>AND(IF($Q355=3,1,IF($Q355=4,1,0)),IF($F355&lt;=85,1,0))</formula>
    </cfRule>
  </conditionalFormatting>
  <conditionalFormatting sqref="AI355">
    <cfRule type="expression" priority="865" dxfId="3">
      <formula>AND(IF(OR($Q355=1,$Q355=2),1,0),IF($X355&lt;=20,1,0))</formula>
    </cfRule>
    <cfRule type="expression" priority="866" dxfId="2">
      <formula>AND(IF($Q355=2,1,0),IF($X355&lt;30,1,0))</formula>
    </cfRule>
    <cfRule type="expression" priority="867" dxfId="1">
      <formula>AND(IF($Q355=3,1,0),IF($X355&lt;30,1,0))</formula>
    </cfRule>
    <cfRule type="expression" priority="868" dxfId="0">
      <formula>AND(IF($Q355=3,1,IF($Q355=4,1,0)),IF($F355&lt;=85,1,0))</formula>
    </cfRule>
  </conditionalFormatting>
  <conditionalFormatting sqref="AV356">
    <cfRule type="expression" priority="863" dxfId="23">
      <formula>AV356="X"</formula>
    </cfRule>
    <cfRule type="expression" priority="864" dxfId="22">
      <formula>AV356="후보"</formula>
    </cfRule>
  </conditionalFormatting>
  <conditionalFormatting sqref="AC3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5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56">
    <cfRule type="expression" priority="855" dxfId="3">
      <formula>AND(IF(OR($Q356=1,$Q356=2),1,0),IF($X356&lt;=20,1,0))</formula>
    </cfRule>
    <cfRule type="expression" priority="856" dxfId="2">
      <formula>AND(IF($Q356=2,1,0),IF($X356&lt;30,1,0))</formula>
    </cfRule>
    <cfRule type="expression" priority="857" dxfId="1">
      <formula>AND(IF($Q356=3,1,0),IF($X356&lt;30,1,0))</formula>
    </cfRule>
    <cfRule type="expression" priority="858" dxfId="0">
      <formula>AND(IF($Q356=3,1,IF($Q356=4,1,0)),IF($F356&lt;=85,1,0))</formula>
    </cfRule>
  </conditionalFormatting>
  <conditionalFormatting sqref="X356">
    <cfRule type="expression" priority="851" dxfId="3">
      <formula>AND(IF(OR($Q356=1,$Q356=2),1,0),IF($X356&lt;=20,1,0))</formula>
    </cfRule>
    <cfRule type="expression" priority="852" dxfId="2">
      <formula>AND(IF($Q356=2,1,0),IF($X356&lt;30,1,0))</formula>
    </cfRule>
    <cfRule type="expression" priority="853" dxfId="1">
      <formula>AND(IF($Q356=3,1,0),IF($X356&lt;30,1,0))</formula>
    </cfRule>
    <cfRule type="expression" priority="854" dxfId="0">
      <formula>AND(IF($Q356=3,1,IF($Q356=4,1,0)),IF($F356&lt;=85,1,0))</formula>
    </cfRule>
  </conditionalFormatting>
  <conditionalFormatting sqref="AI356">
    <cfRule type="expression" priority="847" dxfId="3">
      <formula>AND(IF(OR($Q356=1,$Q356=2),1,0),IF($X356&lt;=20,1,0))</formula>
    </cfRule>
    <cfRule type="expression" priority="848" dxfId="2">
      <formula>AND(IF($Q356=2,1,0),IF($X356&lt;30,1,0))</formula>
    </cfRule>
    <cfRule type="expression" priority="849" dxfId="1">
      <formula>AND(IF($Q356=3,1,0),IF($X356&lt;30,1,0))</formula>
    </cfRule>
    <cfRule type="expression" priority="850" dxfId="0">
      <formula>AND(IF($Q356=3,1,IF($Q356=4,1,0)),IF($F356&lt;=85,1,0))</formula>
    </cfRule>
  </conditionalFormatting>
  <conditionalFormatting sqref="AV357">
    <cfRule type="expression" priority="845" dxfId="23">
      <formula>AV357="X"</formula>
    </cfRule>
    <cfRule type="expression" priority="846" dxfId="22">
      <formula>AV357="후보"</formula>
    </cfRule>
  </conditionalFormatting>
  <conditionalFormatting sqref="AC35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5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57">
    <cfRule type="expression" priority="837" dxfId="3">
      <formula>AND(IF(OR($Q357=1,$Q357=2),1,0),IF($X357&lt;=20,1,0))</formula>
    </cfRule>
    <cfRule type="expression" priority="838" dxfId="2">
      <formula>AND(IF($Q357=2,1,0),IF($X357&lt;30,1,0))</formula>
    </cfRule>
    <cfRule type="expression" priority="839" dxfId="1">
      <formula>AND(IF($Q357=3,1,0),IF($X357&lt;30,1,0))</formula>
    </cfRule>
    <cfRule type="expression" priority="840" dxfId="0">
      <formula>AND(IF($Q357=3,1,IF($Q357=4,1,0)),IF($F357&lt;=85,1,0))</formula>
    </cfRule>
  </conditionalFormatting>
  <conditionalFormatting sqref="X357">
    <cfRule type="expression" priority="833" dxfId="3">
      <formula>AND(IF(OR($Q357=1,$Q357=2),1,0),IF($X357&lt;=20,1,0))</formula>
    </cfRule>
    <cfRule type="expression" priority="834" dxfId="2">
      <formula>AND(IF($Q357=2,1,0),IF($X357&lt;30,1,0))</formula>
    </cfRule>
    <cfRule type="expression" priority="835" dxfId="1">
      <formula>AND(IF($Q357=3,1,0),IF($X357&lt;30,1,0))</formula>
    </cfRule>
    <cfRule type="expression" priority="836" dxfId="0">
      <formula>AND(IF($Q357=3,1,IF($Q357=4,1,0)),IF($F357&lt;=85,1,0))</formula>
    </cfRule>
  </conditionalFormatting>
  <conditionalFormatting sqref="AI357">
    <cfRule type="expression" priority="829" dxfId="3">
      <formula>AND(IF(OR($Q357=1,$Q357=2),1,0),IF($X357&lt;=20,1,0))</formula>
    </cfRule>
    <cfRule type="expression" priority="830" dxfId="2">
      <formula>AND(IF($Q357=2,1,0),IF($X357&lt;30,1,0))</formula>
    </cfRule>
    <cfRule type="expression" priority="831" dxfId="1">
      <formula>AND(IF($Q357=3,1,0),IF($X357&lt;30,1,0))</formula>
    </cfRule>
    <cfRule type="expression" priority="832" dxfId="0">
      <formula>AND(IF($Q357=3,1,IF($Q357=4,1,0)),IF($F357&lt;=85,1,0))</formula>
    </cfRule>
  </conditionalFormatting>
  <conditionalFormatting sqref="AV358">
    <cfRule type="expression" priority="827" dxfId="23">
      <formula>AV358="X"</formula>
    </cfRule>
    <cfRule type="expression" priority="828" dxfId="22">
      <formula>AV358="후보"</formula>
    </cfRule>
  </conditionalFormatting>
  <conditionalFormatting sqref="AC3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5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58">
    <cfRule type="expression" priority="819" dxfId="3">
      <formula>AND(IF(OR($Q358=1,$Q358=2),1,0),IF($X358&lt;=20,1,0))</formula>
    </cfRule>
    <cfRule type="expression" priority="820" dxfId="2">
      <formula>AND(IF($Q358=2,1,0),IF($X358&lt;30,1,0))</formula>
    </cfRule>
    <cfRule type="expression" priority="821" dxfId="1">
      <formula>AND(IF($Q358=3,1,0),IF($X358&lt;30,1,0))</formula>
    </cfRule>
    <cfRule type="expression" priority="822" dxfId="0">
      <formula>AND(IF($Q358=3,1,IF($Q358=4,1,0)),IF($F358&lt;=85,1,0))</formula>
    </cfRule>
  </conditionalFormatting>
  <conditionalFormatting sqref="X358">
    <cfRule type="expression" priority="815" dxfId="3">
      <formula>AND(IF(OR($Q358=1,$Q358=2),1,0),IF($X358&lt;=20,1,0))</formula>
    </cfRule>
    <cfRule type="expression" priority="816" dxfId="2">
      <formula>AND(IF($Q358=2,1,0),IF($X358&lt;30,1,0))</formula>
    </cfRule>
    <cfRule type="expression" priority="817" dxfId="1">
      <formula>AND(IF($Q358=3,1,0),IF($X358&lt;30,1,0))</formula>
    </cfRule>
    <cfRule type="expression" priority="818" dxfId="0">
      <formula>AND(IF($Q358=3,1,IF($Q358=4,1,0)),IF($F358&lt;=85,1,0))</formula>
    </cfRule>
  </conditionalFormatting>
  <conditionalFormatting sqref="AI358">
    <cfRule type="expression" priority="811" dxfId="3">
      <formula>AND(IF(OR($Q358=1,$Q358=2),1,0),IF($X358&lt;=20,1,0))</formula>
    </cfRule>
    <cfRule type="expression" priority="812" dxfId="2">
      <formula>AND(IF($Q358=2,1,0),IF($X358&lt;30,1,0))</formula>
    </cfRule>
    <cfRule type="expression" priority="813" dxfId="1">
      <formula>AND(IF($Q358=3,1,0),IF($X358&lt;30,1,0))</formula>
    </cfRule>
    <cfRule type="expression" priority="814" dxfId="0">
      <formula>AND(IF($Q358=3,1,IF($Q358=4,1,0)),IF($F358&lt;=85,1,0))</formula>
    </cfRule>
  </conditionalFormatting>
  <conditionalFormatting sqref="AV359">
    <cfRule type="expression" priority="809" dxfId="23">
      <formula>AV359="X"</formula>
    </cfRule>
    <cfRule type="expression" priority="810" dxfId="22">
      <formula>AV359="후보"</formula>
    </cfRule>
  </conditionalFormatting>
  <conditionalFormatting sqref="AC35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5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59">
    <cfRule type="expression" priority="801" dxfId="3">
      <formula>AND(IF(OR($Q359=1,$Q359=2),1,0),IF($X359&lt;=20,1,0))</formula>
    </cfRule>
    <cfRule type="expression" priority="802" dxfId="2">
      <formula>AND(IF($Q359=2,1,0),IF($X359&lt;30,1,0))</formula>
    </cfRule>
    <cfRule type="expression" priority="803" dxfId="1">
      <formula>AND(IF($Q359=3,1,0),IF($X359&lt;30,1,0))</formula>
    </cfRule>
    <cfRule type="expression" priority="804" dxfId="0">
      <formula>AND(IF($Q359=3,1,IF($Q359=4,1,0)),IF($F359&lt;=85,1,0))</formula>
    </cfRule>
  </conditionalFormatting>
  <conditionalFormatting sqref="X359">
    <cfRule type="expression" priority="797" dxfId="3">
      <formula>AND(IF(OR($Q359=1,$Q359=2),1,0),IF($X359&lt;=20,1,0))</formula>
    </cfRule>
    <cfRule type="expression" priority="798" dxfId="2">
      <formula>AND(IF($Q359=2,1,0),IF($X359&lt;30,1,0))</formula>
    </cfRule>
    <cfRule type="expression" priority="799" dxfId="1">
      <formula>AND(IF($Q359=3,1,0),IF($X359&lt;30,1,0))</formula>
    </cfRule>
    <cfRule type="expression" priority="800" dxfId="0">
      <formula>AND(IF($Q359=3,1,IF($Q359=4,1,0)),IF($F359&lt;=85,1,0))</formula>
    </cfRule>
  </conditionalFormatting>
  <conditionalFormatting sqref="AI359">
    <cfRule type="expression" priority="793" dxfId="3">
      <formula>AND(IF(OR($Q359=1,$Q359=2),1,0),IF($X359&lt;=20,1,0))</formula>
    </cfRule>
    <cfRule type="expression" priority="794" dxfId="2">
      <formula>AND(IF($Q359=2,1,0),IF($X359&lt;30,1,0))</formula>
    </cfRule>
    <cfRule type="expression" priority="795" dxfId="1">
      <formula>AND(IF($Q359=3,1,0),IF($X359&lt;30,1,0))</formula>
    </cfRule>
    <cfRule type="expression" priority="796" dxfId="0">
      <formula>AND(IF($Q359=3,1,IF($Q359=4,1,0)),IF($F359&lt;=85,1,0))</formula>
    </cfRule>
  </conditionalFormatting>
  <conditionalFormatting sqref="AV360">
    <cfRule type="expression" priority="791" dxfId="23">
      <formula>AV360="X"</formula>
    </cfRule>
    <cfRule type="expression" priority="792" dxfId="22">
      <formula>AV360="후보"</formula>
    </cfRule>
  </conditionalFormatting>
  <conditionalFormatting sqref="AC36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0">
    <cfRule type="expression" priority="783" dxfId="3">
      <formula>AND(IF(OR($Q360=1,$Q360=2),1,0),IF($X360&lt;=20,1,0))</formula>
    </cfRule>
    <cfRule type="expression" priority="784" dxfId="2">
      <formula>AND(IF($Q360=2,1,0),IF($X360&lt;30,1,0))</formula>
    </cfRule>
    <cfRule type="expression" priority="785" dxfId="1">
      <formula>AND(IF($Q360=3,1,0),IF($X360&lt;30,1,0))</formula>
    </cfRule>
    <cfRule type="expression" priority="786" dxfId="0">
      <formula>AND(IF($Q360=3,1,IF($Q360=4,1,0)),IF($F360&lt;=85,1,0))</formula>
    </cfRule>
  </conditionalFormatting>
  <conditionalFormatting sqref="X360">
    <cfRule type="expression" priority="779" dxfId="3">
      <formula>AND(IF(OR($Q360=1,$Q360=2),1,0),IF($X360&lt;=20,1,0))</formula>
    </cfRule>
    <cfRule type="expression" priority="780" dxfId="2">
      <formula>AND(IF($Q360=2,1,0),IF($X360&lt;30,1,0))</formula>
    </cfRule>
    <cfRule type="expression" priority="781" dxfId="1">
      <formula>AND(IF($Q360=3,1,0),IF($X360&lt;30,1,0))</formula>
    </cfRule>
    <cfRule type="expression" priority="782" dxfId="0">
      <formula>AND(IF($Q360=3,1,IF($Q360=4,1,0)),IF($F360&lt;=85,1,0))</formula>
    </cfRule>
  </conditionalFormatting>
  <conditionalFormatting sqref="AI360">
    <cfRule type="expression" priority="775" dxfId="3">
      <formula>AND(IF(OR($Q360=1,$Q360=2),1,0),IF($X360&lt;=20,1,0))</formula>
    </cfRule>
    <cfRule type="expression" priority="776" dxfId="2">
      <formula>AND(IF($Q360=2,1,0),IF($X360&lt;30,1,0))</formula>
    </cfRule>
    <cfRule type="expression" priority="777" dxfId="1">
      <formula>AND(IF($Q360=3,1,0),IF($X360&lt;30,1,0))</formula>
    </cfRule>
    <cfRule type="expression" priority="778" dxfId="0">
      <formula>AND(IF($Q360=3,1,IF($Q360=4,1,0)),IF($F360&lt;=85,1,0))</formula>
    </cfRule>
  </conditionalFormatting>
  <conditionalFormatting sqref="AV361">
    <cfRule type="expression" priority="773" dxfId="23">
      <formula>AV361="X"</formula>
    </cfRule>
    <cfRule type="expression" priority="774" dxfId="22">
      <formula>AV361="후보"</formula>
    </cfRule>
  </conditionalFormatting>
  <conditionalFormatting sqref="AC36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1">
    <cfRule type="expression" priority="765" dxfId="3">
      <formula>AND(IF(OR($Q361=1,$Q361=2),1,0),IF($X361&lt;=20,1,0))</formula>
    </cfRule>
    <cfRule type="expression" priority="766" dxfId="2">
      <formula>AND(IF($Q361=2,1,0),IF($X361&lt;30,1,0))</formula>
    </cfRule>
    <cfRule type="expression" priority="767" dxfId="1">
      <formula>AND(IF($Q361=3,1,0),IF($X361&lt;30,1,0))</formula>
    </cfRule>
    <cfRule type="expression" priority="768" dxfId="0">
      <formula>AND(IF($Q361=3,1,IF($Q361=4,1,0)),IF($F361&lt;=85,1,0))</formula>
    </cfRule>
  </conditionalFormatting>
  <conditionalFormatting sqref="X361">
    <cfRule type="expression" priority="761" dxfId="3">
      <formula>AND(IF(OR($Q361=1,$Q361=2),1,0),IF($X361&lt;=20,1,0))</formula>
    </cfRule>
    <cfRule type="expression" priority="762" dxfId="2">
      <formula>AND(IF($Q361=2,1,0),IF($X361&lt;30,1,0))</formula>
    </cfRule>
    <cfRule type="expression" priority="763" dxfId="1">
      <formula>AND(IF($Q361=3,1,0),IF($X361&lt;30,1,0))</formula>
    </cfRule>
    <cfRule type="expression" priority="764" dxfId="0">
      <formula>AND(IF($Q361=3,1,IF($Q361=4,1,0)),IF($F361&lt;=85,1,0))</formula>
    </cfRule>
  </conditionalFormatting>
  <conditionalFormatting sqref="AI361">
    <cfRule type="expression" priority="757" dxfId="3">
      <formula>AND(IF(OR($Q361=1,$Q361=2),1,0),IF($X361&lt;=20,1,0))</formula>
    </cfRule>
    <cfRule type="expression" priority="758" dxfId="2">
      <formula>AND(IF($Q361=2,1,0),IF($X361&lt;30,1,0))</formula>
    </cfRule>
    <cfRule type="expression" priority="759" dxfId="1">
      <formula>AND(IF($Q361=3,1,0),IF($X361&lt;30,1,0))</formula>
    </cfRule>
    <cfRule type="expression" priority="760" dxfId="0">
      <formula>AND(IF($Q361=3,1,IF($Q361=4,1,0)),IF($F361&lt;=85,1,0))</formula>
    </cfRule>
  </conditionalFormatting>
  <conditionalFormatting sqref="AV362">
    <cfRule type="expression" priority="755" dxfId="23">
      <formula>AV362="X"</formula>
    </cfRule>
    <cfRule type="expression" priority="756" dxfId="22">
      <formula>AV362="후보"</formula>
    </cfRule>
  </conditionalFormatting>
  <conditionalFormatting sqref="AC36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2">
    <cfRule type="expression" priority="747" dxfId="3">
      <formula>AND(IF(OR($Q362=1,$Q362=2),1,0),IF($X362&lt;=20,1,0))</formula>
    </cfRule>
    <cfRule type="expression" priority="748" dxfId="2">
      <formula>AND(IF($Q362=2,1,0),IF($X362&lt;30,1,0))</formula>
    </cfRule>
    <cfRule type="expression" priority="749" dxfId="1">
      <formula>AND(IF($Q362=3,1,0),IF($X362&lt;30,1,0))</formula>
    </cfRule>
    <cfRule type="expression" priority="750" dxfId="0">
      <formula>AND(IF($Q362=3,1,IF($Q362=4,1,0)),IF($F362&lt;=85,1,0))</formula>
    </cfRule>
  </conditionalFormatting>
  <conditionalFormatting sqref="X362">
    <cfRule type="expression" priority="743" dxfId="3">
      <formula>AND(IF(OR($Q362=1,$Q362=2),1,0),IF($X362&lt;=20,1,0))</formula>
    </cfRule>
    <cfRule type="expression" priority="744" dxfId="2">
      <formula>AND(IF($Q362=2,1,0),IF($X362&lt;30,1,0))</formula>
    </cfRule>
    <cfRule type="expression" priority="745" dxfId="1">
      <formula>AND(IF($Q362=3,1,0),IF($X362&lt;30,1,0))</formula>
    </cfRule>
    <cfRule type="expression" priority="746" dxfId="0">
      <formula>AND(IF($Q362=3,1,IF($Q362=4,1,0)),IF($F362&lt;=85,1,0))</formula>
    </cfRule>
  </conditionalFormatting>
  <conditionalFormatting sqref="AI362">
    <cfRule type="expression" priority="739" dxfId="3">
      <formula>AND(IF(OR($Q362=1,$Q362=2),1,0),IF($X362&lt;=20,1,0))</formula>
    </cfRule>
    <cfRule type="expression" priority="740" dxfId="2">
      <formula>AND(IF($Q362=2,1,0),IF($X362&lt;30,1,0))</formula>
    </cfRule>
    <cfRule type="expression" priority="741" dxfId="1">
      <formula>AND(IF($Q362=3,1,0),IF($X362&lt;30,1,0))</formula>
    </cfRule>
    <cfRule type="expression" priority="742" dxfId="0">
      <formula>AND(IF($Q362=3,1,IF($Q362=4,1,0)),IF($F362&lt;=85,1,0))</formula>
    </cfRule>
  </conditionalFormatting>
  <conditionalFormatting sqref="AV363">
    <cfRule type="expression" priority="737" dxfId="23">
      <formula>AV363="X"</formula>
    </cfRule>
    <cfRule type="expression" priority="738" dxfId="22">
      <formula>AV363="후보"</formula>
    </cfRule>
  </conditionalFormatting>
  <conditionalFormatting sqref="AC36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3">
    <cfRule type="expression" priority="729" dxfId="3">
      <formula>AND(IF(OR($Q363=1,$Q363=2),1,0),IF($X363&lt;=20,1,0))</formula>
    </cfRule>
    <cfRule type="expression" priority="730" dxfId="2">
      <formula>AND(IF($Q363=2,1,0),IF($X363&lt;30,1,0))</formula>
    </cfRule>
    <cfRule type="expression" priority="731" dxfId="1">
      <formula>AND(IF($Q363=3,1,0),IF($X363&lt;30,1,0))</formula>
    </cfRule>
    <cfRule type="expression" priority="732" dxfId="0">
      <formula>AND(IF($Q363=3,1,IF($Q363=4,1,0)),IF($F363&lt;=85,1,0))</formula>
    </cfRule>
  </conditionalFormatting>
  <conditionalFormatting sqref="X363">
    <cfRule type="expression" priority="725" dxfId="3">
      <formula>AND(IF(OR($Q363=1,$Q363=2),1,0),IF($X363&lt;=20,1,0))</formula>
    </cfRule>
    <cfRule type="expression" priority="726" dxfId="2">
      <formula>AND(IF($Q363=2,1,0),IF($X363&lt;30,1,0))</formula>
    </cfRule>
    <cfRule type="expression" priority="727" dxfId="1">
      <formula>AND(IF($Q363=3,1,0),IF($X363&lt;30,1,0))</formula>
    </cfRule>
    <cfRule type="expression" priority="728" dxfId="0">
      <formula>AND(IF($Q363=3,1,IF($Q363=4,1,0)),IF($F363&lt;=85,1,0))</formula>
    </cfRule>
  </conditionalFormatting>
  <conditionalFormatting sqref="AI363">
    <cfRule type="expression" priority="721" dxfId="3">
      <formula>AND(IF(OR($Q363=1,$Q363=2),1,0),IF($X363&lt;=20,1,0))</formula>
    </cfRule>
    <cfRule type="expression" priority="722" dxfId="2">
      <formula>AND(IF($Q363=2,1,0),IF($X363&lt;30,1,0))</formula>
    </cfRule>
    <cfRule type="expression" priority="723" dxfId="1">
      <formula>AND(IF($Q363=3,1,0),IF($X363&lt;30,1,0))</formula>
    </cfRule>
    <cfRule type="expression" priority="724" dxfId="0">
      <formula>AND(IF($Q363=3,1,IF($Q363=4,1,0)),IF($F363&lt;=85,1,0))</formula>
    </cfRule>
  </conditionalFormatting>
  <conditionalFormatting sqref="AV364">
    <cfRule type="expression" priority="719" dxfId="23">
      <formula>AV364="X"</formula>
    </cfRule>
    <cfRule type="expression" priority="720" dxfId="22">
      <formula>AV364="후보"</formula>
    </cfRule>
  </conditionalFormatting>
  <conditionalFormatting sqref="AC3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64">
    <cfRule type="expression" priority="711" dxfId="3">
      <formula>AND(IF(OR($Q364=1,$Q364=2),1,0),IF($X364&lt;=20,1,0))</formula>
    </cfRule>
    <cfRule type="expression" priority="712" dxfId="2">
      <formula>AND(IF($Q364=2,1,0),IF($X364&lt;30,1,0))</formula>
    </cfRule>
    <cfRule type="expression" priority="713" dxfId="1">
      <formula>AND(IF($Q364=3,1,0),IF($X364&lt;30,1,0))</formula>
    </cfRule>
    <cfRule type="expression" priority="714" dxfId="0">
      <formula>AND(IF($Q364=3,1,IF($Q364=4,1,0)),IF($F364&lt;=85,1,0))</formula>
    </cfRule>
  </conditionalFormatting>
  <conditionalFormatting sqref="X364">
    <cfRule type="expression" priority="707" dxfId="3">
      <formula>AND(IF(OR($Q364=1,$Q364=2),1,0),IF($X364&lt;=20,1,0))</formula>
    </cfRule>
    <cfRule type="expression" priority="708" dxfId="2">
      <formula>AND(IF($Q364=2,1,0),IF($X364&lt;30,1,0))</formula>
    </cfRule>
    <cfRule type="expression" priority="709" dxfId="1">
      <formula>AND(IF($Q364=3,1,0),IF($X364&lt;30,1,0))</formula>
    </cfRule>
    <cfRule type="expression" priority="710" dxfId="0">
      <formula>AND(IF($Q364=3,1,IF($Q364=4,1,0)),IF($F364&lt;=85,1,0))</formula>
    </cfRule>
  </conditionalFormatting>
  <conditionalFormatting sqref="AI364">
    <cfRule type="expression" priority="703" dxfId="3">
      <formula>AND(IF(OR($Q364=1,$Q364=2),1,0),IF($X364&lt;=20,1,0))</formula>
    </cfRule>
    <cfRule type="expression" priority="704" dxfId="2">
      <formula>AND(IF($Q364=2,1,0),IF($X364&lt;30,1,0))</formula>
    </cfRule>
    <cfRule type="expression" priority="705" dxfId="1">
      <formula>AND(IF($Q364=3,1,0),IF($X364&lt;30,1,0))</formula>
    </cfRule>
    <cfRule type="expression" priority="706" dxfId="0">
      <formula>AND(IF($Q364=3,1,IF($Q364=4,1,0)),IF($F364&lt;=85,1,0))</formula>
    </cfRule>
  </conditionalFormatting>
  <conditionalFormatting sqref="AV365">
    <cfRule type="expression" priority="701" dxfId="23">
      <formula>AV365="X"</formula>
    </cfRule>
    <cfRule type="expression" priority="702" dxfId="22">
      <formula>AV365="후보"</formula>
    </cfRule>
  </conditionalFormatting>
  <conditionalFormatting sqref="AC36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65">
    <cfRule type="expression" priority="693" dxfId="3">
      <formula>AND(IF(OR($Q365=1,$Q365=2),1,0),IF($X365&lt;=20,1,0))</formula>
    </cfRule>
    <cfRule type="expression" priority="694" dxfId="2">
      <formula>AND(IF($Q365=2,1,0),IF($X365&lt;30,1,0))</formula>
    </cfRule>
    <cfRule type="expression" priority="695" dxfId="1">
      <formula>AND(IF($Q365=3,1,0),IF($X365&lt;30,1,0))</formula>
    </cfRule>
    <cfRule type="expression" priority="696" dxfId="0">
      <formula>AND(IF($Q365=3,1,IF($Q365=4,1,0)),IF($F365&lt;=85,1,0))</formula>
    </cfRule>
  </conditionalFormatting>
  <conditionalFormatting sqref="X365">
    <cfRule type="expression" priority="689" dxfId="3">
      <formula>AND(IF(OR($Q365=1,$Q365=2),1,0),IF($X365&lt;=20,1,0))</formula>
    </cfRule>
    <cfRule type="expression" priority="690" dxfId="2">
      <formula>AND(IF($Q365=2,1,0),IF($X365&lt;30,1,0))</formula>
    </cfRule>
    <cfRule type="expression" priority="691" dxfId="1">
      <formula>AND(IF($Q365=3,1,0),IF($X365&lt;30,1,0))</formula>
    </cfRule>
    <cfRule type="expression" priority="692" dxfId="0">
      <formula>AND(IF($Q365=3,1,IF($Q365=4,1,0)),IF($F365&lt;=85,1,0))</formula>
    </cfRule>
  </conditionalFormatting>
  <conditionalFormatting sqref="AI365">
    <cfRule type="expression" priority="685" dxfId="3">
      <formula>AND(IF(OR($Q365=1,$Q365=2),1,0),IF($X365&lt;=20,1,0))</formula>
    </cfRule>
    <cfRule type="expression" priority="686" dxfId="2">
      <formula>AND(IF($Q365=2,1,0),IF($X365&lt;30,1,0))</formula>
    </cfRule>
    <cfRule type="expression" priority="687" dxfId="1">
      <formula>AND(IF($Q365=3,1,0),IF($X365&lt;30,1,0))</formula>
    </cfRule>
    <cfRule type="expression" priority="688" dxfId="0">
      <formula>AND(IF($Q365=3,1,IF($Q365=4,1,0)),IF($F365&lt;=85,1,0))</formula>
    </cfRule>
  </conditionalFormatting>
  <conditionalFormatting sqref="AV366">
    <cfRule type="expression" priority="683" dxfId="23">
      <formula>AV366="X"</formula>
    </cfRule>
    <cfRule type="expression" priority="684" dxfId="22">
      <formula>AV366="후보"</formula>
    </cfRule>
  </conditionalFormatting>
  <conditionalFormatting sqref="AC36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66">
    <cfRule type="expression" priority="675" dxfId="3">
      <formula>AND(IF(OR($Q366=1,$Q366=2),1,0),IF($X366&lt;=20,1,0))</formula>
    </cfRule>
    <cfRule type="expression" priority="676" dxfId="2">
      <formula>AND(IF($Q366=2,1,0),IF($X366&lt;30,1,0))</formula>
    </cfRule>
    <cfRule type="expression" priority="677" dxfId="1">
      <formula>AND(IF($Q366=3,1,0),IF($X366&lt;30,1,0))</formula>
    </cfRule>
    <cfRule type="expression" priority="678" dxfId="0">
      <formula>AND(IF($Q366=3,1,IF($Q366=4,1,0)),IF($F366&lt;=85,1,0))</formula>
    </cfRule>
  </conditionalFormatting>
  <conditionalFormatting sqref="X366">
    <cfRule type="expression" priority="671" dxfId="3">
      <formula>AND(IF(OR($Q366=1,$Q366=2),1,0),IF($X366&lt;=20,1,0))</formula>
    </cfRule>
    <cfRule type="expression" priority="672" dxfId="2">
      <formula>AND(IF($Q366=2,1,0),IF($X366&lt;30,1,0))</formula>
    </cfRule>
    <cfRule type="expression" priority="673" dxfId="1">
      <formula>AND(IF($Q366=3,1,0),IF($X366&lt;30,1,0))</formula>
    </cfRule>
    <cfRule type="expression" priority="674" dxfId="0">
      <formula>AND(IF($Q366=3,1,IF($Q366=4,1,0)),IF($F366&lt;=85,1,0))</formula>
    </cfRule>
  </conditionalFormatting>
  <conditionalFormatting sqref="AI366">
    <cfRule type="expression" priority="667" dxfId="3">
      <formula>AND(IF(OR($Q366=1,$Q366=2),1,0),IF($X366&lt;=20,1,0))</formula>
    </cfRule>
    <cfRule type="expression" priority="668" dxfId="2">
      <formula>AND(IF($Q366=2,1,0),IF($X366&lt;30,1,0))</formula>
    </cfRule>
    <cfRule type="expression" priority="669" dxfId="1">
      <formula>AND(IF($Q366=3,1,0),IF($X366&lt;30,1,0))</formula>
    </cfRule>
    <cfRule type="expression" priority="670" dxfId="0">
      <formula>AND(IF($Q366=3,1,IF($Q366=4,1,0)),IF($F366&lt;=85,1,0))</formula>
    </cfRule>
  </conditionalFormatting>
  <conditionalFormatting sqref="AV367">
    <cfRule type="expression" priority="665" dxfId="23">
      <formula>AV367="X"</formula>
    </cfRule>
    <cfRule type="expression" priority="666" dxfId="22">
      <formula>AV367="후보"</formula>
    </cfRule>
  </conditionalFormatting>
  <conditionalFormatting sqref="AC36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67">
    <cfRule type="expression" priority="657" dxfId="3">
      <formula>AND(IF(OR($Q367=1,$Q367=2),1,0),IF($X367&lt;=20,1,0))</formula>
    </cfRule>
    <cfRule type="expression" priority="658" dxfId="2">
      <formula>AND(IF($Q367=2,1,0),IF($X367&lt;30,1,0))</formula>
    </cfRule>
    <cfRule type="expression" priority="659" dxfId="1">
      <formula>AND(IF($Q367=3,1,0),IF($X367&lt;30,1,0))</formula>
    </cfRule>
    <cfRule type="expression" priority="660" dxfId="0">
      <formula>AND(IF($Q367=3,1,IF($Q367=4,1,0)),IF($F367&lt;=85,1,0))</formula>
    </cfRule>
  </conditionalFormatting>
  <conditionalFormatting sqref="X367">
    <cfRule type="expression" priority="653" dxfId="3">
      <formula>AND(IF(OR($Q367=1,$Q367=2),1,0),IF($X367&lt;=20,1,0))</formula>
    </cfRule>
    <cfRule type="expression" priority="654" dxfId="2">
      <formula>AND(IF($Q367=2,1,0),IF($X367&lt;30,1,0))</formula>
    </cfRule>
    <cfRule type="expression" priority="655" dxfId="1">
      <formula>AND(IF($Q367=3,1,0),IF($X367&lt;30,1,0))</formula>
    </cfRule>
    <cfRule type="expression" priority="656" dxfId="0">
      <formula>AND(IF($Q367=3,1,IF($Q367=4,1,0)),IF($F367&lt;=85,1,0))</formula>
    </cfRule>
  </conditionalFormatting>
  <conditionalFormatting sqref="AI367">
    <cfRule type="expression" priority="649" dxfId="3">
      <formula>AND(IF(OR($Q367=1,$Q367=2),1,0),IF($X367&lt;=20,1,0))</formula>
    </cfRule>
    <cfRule type="expression" priority="650" dxfId="2">
      <formula>AND(IF($Q367=2,1,0),IF($X367&lt;30,1,0))</formula>
    </cfRule>
    <cfRule type="expression" priority="651" dxfId="1">
      <formula>AND(IF($Q367=3,1,0),IF($X367&lt;30,1,0))</formula>
    </cfRule>
    <cfRule type="expression" priority="652" dxfId="0">
      <formula>AND(IF($Q367=3,1,IF($Q367=4,1,0)),IF($F367&lt;=85,1,0))</formula>
    </cfRule>
  </conditionalFormatting>
  <conditionalFormatting sqref="AV368">
    <cfRule type="expression" priority="647" dxfId="23">
      <formula>AV368="X"</formula>
    </cfRule>
    <cfRule type="expression" priority="648" dxfId="22">
      <formula>AV368="후보"</formula>
    </cfRule>
  </conditionalFormatting>
  <conditionalFormatting sqref="AC36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68">
    <cfRule type="expression" priority="639" dxfId="3">
      <formula>AND(IF(OR($Q368=1,$Q368=2),1,0),IF($X368&lt;=20,1,0))</formula>
    </cfRule>
    <cfRule type="expression" priority="640" dxfId="2">
      <formula>AND(IF($Q368=2,1,0),IF($X368&lt;30,1,0))</formula>
    </cfRule>
    <cfRule type="expression" priority="641" dxfId="1">
      <formula>AND(IF($Q368=3,1,0),IF($X368&lt;30,1,0))</formula>
    </cfRule>
    <cfRule type="expression" priority="642" dxfId="0">
      <formula>AND(IF($Q368=3,1,IF($Q368=4,1,0)),IF($F368&lt;=85,1,0))</formula>
    </cfRule>
  </conditionalFormatting>
  <conditionalFormatting sqref="X368">
    <cfRule type="expression" priority="635" dxfId="3">
      <formula>AND(IF(OR($Q368=1,$Q368=2),1,0),IF($X368&lt;=20,1,0))</formula>
    </cfRule>
    <cfRule type="expression" priority="636" dxfId="2">
      <formula>AND(IF($Q368=2,1,0),IF($X368&lt;30,1,0))</formula>
    </cfRule>
    <cfRule type="expression" priority="637" dxfId="1">
      <formula>AND(IF($Q368=3,1,0),IF($X368&lt;30,1,0))</formula>
    </cfRule>
    <cfRule type="expression" priority="638" dxfId="0">
      <formula>AND(IF($Q368=3,1,IF($Q368=4,1,0)),IF($F368&lt;=85,1,0))</formula>
    </cfRule>
  </conditionalFormatting>
  <conditionalFormatting sqref="AI368">
    <cfRule type="expression" priority="631" dxfId="3">
      <formula>AND(IF(OR($Q368=1,$Q368=2),1,0),IF($X368&lt;=20,1,0))</formula>
    </cfRule>
    <cfRule type="expression" priority="632" dxfId="2">
      <formula>AND(IF($Q368=2,1,0),IF($X368&lt;30,1,0))</formula>
    </cfRule>
    <cfRule type="expression" priority="633" dxfId="1">
      <formula>AND(IF($Q368=3,1,0),IF($X368&lt;30,1,0))</formula>
    </cfRule>
    <cfRule type="expression" priority="634" dxfId="0">
      <formula>AND(IF($Q368=3,1,IF($Q368=4,1,0)),IF($F368&lt;=85,1,0))</formula>
    </cfRule>
  </conditionalFormatting>
  <conditionalFormatting sqref="AV369">
    <cfRule type="expression" priority="629" dxfId="23">
      <formula>AV369="X"</formula>
    </cfRule>
    <cfRule type="expression" priority="630" dxfId="22">
      <formula>AV369="후보"</formula>
    </cfRule>
  </conditionalFormatting>
  <conditionalFormatting sqref="AC36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69">
    <cfRule type="expression" priority="621" dxfId="3">
      <formula>AND(IF(OR($Q369=1,$Q369=2),1,0),IF($X369&lt;=20,1,0))</formula>
    </cfRule>
    <cfRule type="expression" priority="622" dxfId="2">
      <formula>AND(IF($Q369=2,1,0),IF($X369&lt;30,1,0))</formula>
    </cfRule>
    <cfRule type="expression" priority="623" dxfId="1">
      <formula>AND(IF($Q369=3,1,0),IF($X369&lt;30,1,0))</formula>
    </cfRule>
    <cfRule type="expression" priority="624" dxfId="0">
      <formula>AND(IF($Q369=3,1,IF($Q369=4,1,0)),IF($F369&lt;=85,1,0))</formula>
    </cfRule>
  </conditionalFormatting>
  <conditionalFormatting sqref="X369">
    <cfRule type="expression" priority="617" dxfId="3">
      <formula>AND(IF(OR($Q369=1,$Q369=2),1,0),IF($X369&lt;=20,1,0))</formula>
    </cfRule>
    <cfRule type="expression" priority="618" dxfId="2">
      <formula>AND(IF($Q369=2,1,0),IF($X369&lt;30,1,0))</formula>
    </cfRule>
    <cfRule type="expression" priority="619" dxfId="1">
      <formula>AND(IF($Q369=3,1,0),IF($X369&lt;30,1,0))</formula>
    </cfRule>
    <cfRule type="expression" priority="620" dxfId="0">
      <formula>AND(IF($Q369=3,1,IF($Q369=4,1,0)),IF($F369&lt;=85,1,0))</formula>
    </cfRule>
  </conditionalFormatting>
  <conditionalFormatting sqref="AI369">
    <cfRule type="expression" priority="613" dxfId="3">
      <formula>AND(IF(OR($Q369=1,$Q369=2),1,0),IF($X369&lt;=20,1,0))</formula>
    </cfRule>
    <cfRule type="expression" priority="614" dxfId="2">
      <formula>AND(IF($Q369=2,1,0),IF($X369&lt;30,1,0))</formula>
    </cfRule>
    <cfRule type="expression" priority="615" dxfId="1">
      <formula>AND(IF($Q369=3,1,0),IF($X369&lt;30,1,0))</formula>
    </cfRule>
    <cfRule type="expression" priority="616" dxfId="0">
      <formula>AND(IF($Q369=3,1,IF($Q369=4,1,0)),IF($F369&lt;=85,1,0))</formula>
    </cfRule>
  </conditionalFormatting>
  <conditionalFormatting sqref="AV370">
    <cfRule type="expression" priority="611" dxfId="23">
      <formula>AV370="X"</formula>
    </cfRule>
    <cfRule type="expression" priority="612" dxfId="22">
      <formula>AV370="후보"</formula>
    </cfRule>
  </conditionalFormatting>
  <conditionalFormatting sqref="AC37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0">
    <cfRule type="expression" priority="603" dxfId="3">
      <formula>AND(IF(OR($Q370=1,$Q370=2),1,0),IF($X370&lt;=20,1,0))</formula>
    </cfRule>
    <cfRule type="expression" priority="604" dxfId="2">
      <formula>AND(IF($Q370=2,1,0),IF($X370&lt;30,1,0))</formula>
    </cfRule>
    <cfRule type="expression" priority="605" dxfId="1">
      <formula>AND(IF($Q370=3,1,0),IF($X370&lt;30,1,0))</formula>
    </cfRule>
    <cfRule type="expression" priority="606" dxfId="0">
      <formula>AND(IF($Q370=3,1,IF($Q370=4,1,0)),IF($F370&lt;=85,1,0))</formula>
    </cfRule>
  </conditionalFormatting>
  <conditionalFormatting sqref="X370">
    <cfRule type="expression" priority="599" dxfId="3">
      <formula>AND(IF(OR($Q370=1,$Q370=2),1,0),IF($X370&lt;=20,1,0))</formula>
    </cfRule>
    <cfRule type="expression" priority="600" dxfId="2">
      <formula>AND(IF($Q370=2,1,0),IF($X370&lt;30,1,0))</formula>
    </cfRule>
    <cfRule type="expression" priority="601" dxfId="1">
      <formula>AND(IF($Q370=3,1,0),IF($X370&lt;30,1,0))</formula>
    </cfRule>
    <cfRule type="expression" priority="602" dxfId="0">
      <formula>AND(IF($Q370=3,1,IF($Q370=4,1,0)),IF($F370&lt;=85,1,0))</formula>
    </cfRule>
  </conditionalFormatting>
  <conditionalFormatting sqref="AI370">
    <cfRule type="expression" priority="595" dxfId="3">
      <formula>AND(IF(OR($Q370=1,$Q370=2),1,0),IF($X370&lt;=20,1,0))</formula>
    </cfRule>
    <cfRule type="expression" priority="596" dxfId="2">
      <formula>AND(IF($Q370=2,1,0),IF($X370&lt;30,1,0))</formula>
    </cfRule>
    <cfRule type="expression" priority="597" dxfId="1">
      <formula>AND(IF($Q370=3,1,0),IF($X370&lt;30,1,0))</formula>
    </cfRule>
    <cfRule type="expression" priority="598" dxfId="0">
      <formula>AND(IF($Q370=3,1,IF($Q370=4,1,0)),IF($F370&lt;=85,1,0))</formula>
    </cfRule>
  </conditionalFormatting>
  <conditionalFormatting sqref="AV371">
    <cfRule type="expression" priority="593" dxfId="23">
      <formula>AV371="X"</formula>
    </cfRule>
    <cfRule type="expression" priority="594" dxfId="22">
      <formula>AV371="후보"</formula>
    </cfRule>
  </conditionalFormatting>
  <conditionalFormatting sqref="AC37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1">
    <cfRule type="expression" priority="585" dxfId="3">
      <formula>AND(IF(OR($Q371=1,$Q371=2),1,0),IF($X371&lt;=20,1,0))</formula>
    </cfRule>
    <cfRule type="expression" priority="586" dxfId="2">
      <formula>AND(IF($Q371=2,1,0),IF($X371&lt;30,1,0))</formula>
    </cfRule>
    <cfRule type="expression" priority="587" dxfId="1">
      <formula>AND(IF($Q371=3,1,0),IF($X371&lt;30,1,0))</formula>
    </cfRule>
    <cfRule type="expression" priority="588" dxfId="0">
      <formula>AND(IF($Q371=3,1,IF($Q371=4,1,0)),IF($F371&lt;=85,1,0))</formula>
    </cfRule>
  </conditionalFormatting>
  <conditionalFormatting sqref="X371">
    <cfRule type="expression" priority="581" dxfId="3">
      <formula>AND(IF(OR($Q371=1,$Q371=2),1,0),IF($X371&lt;=20,1,0))</formula>
    </cfRule>
    <cfRule type="expression" priority="582" dxfId="2">
      <formula>AND(IF($Q371=2,1,0),IF($X371&lt;30,1,0))</formula>
    </cfRule>
    <cfRule type="expression" priority="583" dxfId="1">
      <formula>AND(IF($Q371=3,1,0),IF($X371&lt;30,1,0))</formula>
    </cfRule>
    <cfRule type="expression" priority="584" dxfId="0">
      <formula>AND(IF($Q371=3,1,IF($Q371=4,1,0)),IF($F371&lt;=85,1,0))</formula>
    </cfRule>
  </conditionalFormatting>
  <conditionalFormatting sqref="AI371">
    <cfRule type="expression" priority="577" dxfId="3">
      <formula>AND(IF(OR($Q371=1,$Q371=2),1,0),IF($X371&lt;=20,1,0))</formula>
    </cfRule>
    <cfRule type="expression" priority="578" dxfId="2">
      <formula>AND(IF($Q371=2,1,0),IF($X371&lt;30,1,0))</formula>
    </cfRule>
    <cfRule type="expression" priority="579" dxfId="1">
      <formula>AND(IF($Q371=3,1,0),IF($X371&lt;30,1,0))</formula>
    </cfRule>
    <cfRule type="expression" priority="580" dxfId="0">
      <formula>AND(IF($Q371=3,1,IF($Q371=4,1,0)),IF($F371&lt;=85,1,0))</formula>
    </cfRule>
  </conditionalFormatting>
  <conditionalFormatting sqref="AV372">
    <cfRule type="expression" priority="575" dxfId="23">
      <formula>AV372="X"</formula>
    </cfRule>
    <cfRule type="expression" priority="576" dxfId="22">
      <formula>AV372="후보"</formula>
    </cfRule>
  </conditionalFormatting>
  <conditionalFormatting sqref="AC37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2">
    <cfRule type="expression" priority="567" dxfId="3">
      <formula>AND(IF(OR($Q372=1,$Q372=2),1,0),IF($X372&lt;=20,1,0))</formula>
    </cfRule>
    <cfRule type="expression" priority="568" dxfId="2">
      <formula>AND(IF($Q372=2,1,0),IF($X372&lt;30,1,0))</formula>
    </cfRule>
    <cfRule type="expression" priority="569" dxfId="1">
      <formula>AND(IF($Q372=3,1,0),IF($X372&lt;30,1,0))</formula>
    </cfRule>
    <cfRule type="expression" priority="570" dxfId="0">
      <formula>AND(IF($Q372=3,1,IF($Q372=4,1,0)),IF($F372&lt;=85,1,0))</formula>
    </cfRule>
  </conditionalFormatting>
  <conditionalFormatting sqref="X372">
    <cfRule type="expression" priority="563" dxfId="3">
      <formula>AND(IF(OR($Q372=1,$Q372=2),1,0),IF($X372&lt;=20,1,0))</formula>
    </cfRule>
    <cfRule type="expression" priority="564" dxfId="2">
      <formula>AND(IF($Q372=2,1,0),IF($X372&lt;30,1,0))</formula>
    </cfRule>
    <cfRule type="expression" priority="565" dxfId="1">
      <formula>AND(IF($Q372=3,1,0),IF($X372&lt;30,1,0))</formula>
    </cfRule>
    <cfRule type="expression" priority="566" dxfId="0">
      <formula>AND(IF($Q372=3,1,IF($Q372=4,1,0)),IF($F372&lt;=85,1,0))</formula>
    </cfRule>
  </conditionalFormatting>
  <conditionalFormatting sqref="AI372">
    <cfRule type="expression" priority="559" dxfId="3">
      <formula>AND(IF(OR($Q372=1,$Q372=2),1,0),IF($X372&lt;=20,1,0))</formula>
    </cfRule>
    <cfRule type="expression" priority="560" dxfId="2">
      <formula>AND(IF($Q372=2,1,0),IF($X372&lt;30,1,0))</formula>
    </cfRule>
    <cfRule type="expression" priority="561" dxfId="1">
      <formula>AND(IF($Q372=3,1,0),IF($X372&lt;30,1,0))</formula>
    </cfRule>
    <cfRule type="expression" priority="562" dxfId="0">
      <formula>AND(IF($Q372=3,1,IF($Q372=4,1,0)),IF($F372&lt;=85,1,0))</formula>
    </cfRule>
  </conditionalFormatting>
  <conditionalFormatting sqref="AV373">
    <cfRule type="expression" priority="557" dxfId="23">
      <formula>AV373="X"</formula>
    </cfRule>
    <cfRule type="expression" priority="558" dxfId="22">
      <formula>AV373="후보"</formula>
    </cfRule>
  </conditionalFormatting>
  <conditionalFormatting sqref="AC37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3">
    <cfRule type="expression" priority="549" dxfId="3">
      <formula>AND(IF(OR($Q373=1,$Q373=2),1,0),IF($X373&lt;=20,1,0))</formula>
    </cfRule>
    <cfRule type="expression" priority="550" dxfId="2">
      <formula>AND(IF($Q373=2,1,0),IF($X373&lt;30,1,0))</formula>
    </cfRule>
    <cfRule type="expression" priority="551" dxfId="1">
      <formula>AND(IF($Q373=3,1,0),IF($X373&lt;30,1,0))</formula>
    </cfRule>
    <cfRule type="expression" priority="552" dxfId="0">
      <formula>AND(IF($Q373=3,1,IF($Q373=4,1,0)),IF($F373&lt;=85,1,0))</formula>
    </cfRule>
  </conditionalFormatting>
  <conditionalFormatting sqref="X373">
    <cfRule type="expression" priority="545" dxfId="3">
      <formula>AND(IF(OR($Q373=1,$Q373=2),1,0),IF($X373&lt;=20,1,0))</formula>
    </cfRule>
    <cfRule type="expression" priority="546" dxfId="2">
      <formula>AND(IF($Q373=2,1,0),IF($X373&lt;30,1,0))</formula>
    </cfRule>
    <cfRule type="expression" priority="547" dxfId="1">
      <formula>AND(IF($Q373=3,1,0),IF($X373&lt;30,1,0))</formula>
    </cfRule>
    <cfRule type="expression" priority="548" dxfId="0">
      <formula>AND(IF($Q373=3,1,IF($Q373=4,1,0)),IF($F373&lt;=85,1,0))</formula>
    </cfRule>
  </conditionalFormatting>
  <conditionalFormatting sqref="AI373">
    <cfRule type="expression" priority="541" dxfId="3">
      <formula>AND(IF(OR($Q373=1,$Q373=2),1,0),IF($X373&lt;=20,1,0))</formula>
    </cfRule>
    <cfRule type="expression" priority="542" dxfId="2">
      <formula>AND(IF($Q373=2,1,0),IF($X373&lt;30,1,0))</formula>
    </cfRule>
    <cfRule type="expression" priority="543" dxfId="1">
      <formula>AND(IF($Q373=3,1,0),IF($X373&lt;30,1,0))</formula>
    </cfRule>
    <cfRule type="expression" priority="544" dxfId="0">
      <formula>AND(IF($Q373=3,1,IF($Q373=4,1,0)),IF($F373&lt;=85,1,0))</formula>
    </cfRule>
  </conditionalFormatting>
  <conditionalFormatting sqref="AV374">
    <cfRule type="expression" priority="539" dxfId="23">
      <formula>AV374="X"</formula>
    </cfRule>
    <cfRule type="expression" priority="540" dxfId="22">
      <formula>AV374="후보"</formula>
    </cfRule>
  </conditionalFormatting>
  <conditionalFormatting sqref="AC37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7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74">
    <cfRule type="expression" priority="531" dxfId="3">
      <formula>AND(IF(OR($Q374=1,$Q374=2),1,0),IF($X374&lt;=20,1,0))</formula>
    </cfRule>
    <cfRule type="expression" priority="532" dxfId="2">
      <formula>AND(IF($Q374=2,1,0),IF($X374&lt;30,1,0))</formula>
    </cfRule>
    <cfRule type="expression" priority="533" dxfId="1">
      <formula>AND(IF($Q374=3,1,0),IF($X374&lt;30,1,0))</formula>
    </cfRule>
    <cfRule type="expression" priority="534" dxfId="0">
      <formula>AND(IF($Q374=3,1,IF($Q374=4,1,0)),IF($F374&lt;=85,1,0))</formula>
    </cfRule>
  </conditionalFormatting>
  <conditionalFormatting sqref="X374">
    <cfRule type="expression" priority="527" dxfId="3">
      <formula>AND(IF(OR($Q374=1,$Q374=2),1,0),IF($X374&lt;=20,1,0))</formula>
    </cfRule>
    <cfRule type="expression" priority="528" dxfId="2">
      <formula>AND(IF($Q374=2,1,0),IF($X374&lt;30,1,0))</formula>
    </cfRule>
    <cfRule type="expression" priority="529" dxfId="1">
      <formula>AND(IF($Q374=3,1,0),IF($X374&lt;30,1,0))</formula>
    </cfRule>
    <cfRule type="expression" priority="530" dxfId="0">
      <formula>AND(IF($Q374=3,1,IF($Q374=4,1,0)),IF($F374&lt;=85,1,0))</formula>
    </cfRule>
  </conditionalFormatting>
  <conditionalFormatting sqref="AI374">
    <cfRule type="expression" priority="523" dxfId="3">
      <formula>AND(IF(OR($Q374=1,$Q374=2),1,0),IF($X374&lt;=20,1,0))</formula>
    </cfRule>
    <cfRule type="expression" priority="524" dxfId="2">
      <formula>AND(IF($Q374=2,1,0),IF($X374&lt;30,1,0))</formula>
    </cfRule>
    <cfRule type="expression" priority="525" dxfId="1">
      <formula>AND(IF($Q374=3,1,0),IF($X374&lt;30,1,0))</formula>
    </cfRule>
    <cfRule type="expression" priority="526" dxfId="0">
      <formula>AND(IF($Q374=3,1,IF($Q374=4,1,0)),IF($F374&lt;=85,1,0))</formula>
    </cfRule>
  </conditionalFormatting>
  <conditionalFormatting sqref="AV375">
    <cfRule type="expression" priority="521" dxfId="23">
      <formula>AV375="X"</formula>
    </cfRule>
    <cfRule type="expression" priority="522" dxfId="22">
      <formula>AV375="후보"</formula>
    </cfRule>
  </conditionalFormatting>
  <conditionalFormatting sqref="AC37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7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75">
    <cfRule type="expression" priority="513" dxfId="3">
      <formula>AND(IF(OR($Q375=1,$Q375=2),1,0),IF($X375&lt;=20,1,0))</formula>
    </cfRule>
    <cfRule type="expression" priority="514" dxfId="2">
      <formula>AND(IF($Q375=2,1,0),IF($X375&lt;30,1,0))</formula>
    </cfRule>
    <cfRule type="expression" priority="515" dxfId="1">
      <formula>AND(IF($Q375=3,1,0),IF($X375&lt;30,1,0))</formula>
    </cfRule>
    <cfRule type="expression" priority="516" dxfId="0">
      <formula>AND(IF($Q375=3,1,IF($Q375=4,1,0)),IF($F375&lt;=85,1,0))</formula>
    </cfRule>
  </conditionalFormatting>
  <conditionalFormatting sqref="X375">
    <cfRule type="expression" priority="509" dxfId="3">
      <formula>AND(IF(OR($Q375=1,$Q375=2),1,0),IF($X375&lt;=20,1,0))</formula>
    </cfRule>
    <cfRule type="expression" priority="510" dxfId="2">
      <formula>AND(IF($Q375=2,1,0),IF($X375&lt;30,1,0))</formula>
    </cfRule>
    <cfRule type="expression" priority="511" dxfId="1">
      <formula>AND(IF($Q375=3,1,0),IF($X375&lt;30,1,0))</formula>
    </cfRule>
    <cfRule type="expression" priority="512" dxfId="0">
      <formula>AND(IF($Q375=3,1,IF($Q375=4,1,0)),IF($F375&lt;=85,1,0))</formula>
    </cfRule>
  </conditionalFormatting>
  <conditionalFormatting sqref="AI375">
    <cfRule type="expression" priority="505" dxfId="3">
      <formula>AND(IF(OR($Q375=1,$Q375=2),1,0),IF($X375&lt;=20,1,0))</formula>
    </cfRule>
    <cfRule type="expression" priority="506" dxfId="2">
      <formula>AND(IF($Q375=2,1,0),IF($X375&lt;30,1,0))</formula>
    </cfRule>
    <cfRule type="expression" priority="507" dxfId="1">
      <formula>AND(IF($Q375=3,1,0),IF($X375&lt;30,1,0))</formula>
    </cfRule>
    <cfRule type="expression" priority="508" dxfId="0">
      <formula>AND(IF($Q375=3,1,IF($Q375=4,1,0)),IF($F375&lt;=85,1,0))</formula>
    </cfRule>
  </conditionalFormatting>
  <conditionalFormatting sqref="AV376">
    <cfRule type="expression" priority="503" dxfId="23">
      <formula>AV376="X"</formula>
    </cfRule>
    <cfRule type="expression" priority="504" dxfId="22">
      <formula>AV376="후보"</formula>
    </cfRule>
  </conditionalFormatting>
  <conditionalFormatting sqref="AC37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6">
    <cfRule type="expression" priority="495" dxfId="3">
      <formula>AND(IF(OR($Q376=1,$Q376=2),1,0),IF($X376&lt;=20,1,0))</formula>
    </cfRule>
    <cfRule type="expression" priority="496" dxfId="2">
      <formula>AND(IF($Q376=2,1,0),IF($X376&lt;30,1,0))</formula>
    </cfRule>
    <cfRule type="expression" priority="497" dxfId="1">
      <formula>AND(IF($Q376=3,1,0),IF($X376&lt;30,1,0))</formula>
    </cfRule>
    <cfRule type="expression" priority="498" dxfId="0">
      <formula>AND(IF($Q376=3,1,IF($Q376=4,1,0)),IF($F376&lt;=85,1,0))</formula>
    </cfRule>
  </conditionalFormatting>
  <conditionalFormatting sqref="X376">
    <cfRule type="expression" priority="491" dxfId="3">
      <formula>AND(IF(OR($Q376=1,$Q376=2),1,0),IF($X376&lt;=20,1,0))</formula>
    </cfRule>
    <cfRule type="expression" priority="492" dxfId="2">
      <formula>AND(IF($Q376=2,1,0),IF($X376&lt;30,1,0))</formula>
    </cfRule>
    <cfRule type="expression" priority="493" dxfId="1">
      <formula>AND(IF($Q376=3,1,0),IF($X376&lt;30,1,0))</formula>
    </cfRule>
    <cfRule type="expression" priority="494" dxfId="0">
      <formula>AND(IF($Q376=3,1,IF($Q376=4,1,0)),IF($F376&lt;=85,1,0))</formula>
    </cfRule>
  </conditionalFormatting>
  <conditionalFormatting sqref="AI376">
    <cfRule type="expression" priority="487" dxfId="3">
      <formula>AND(IF(OR($Q376=1,$Q376=2),1,0),IF($X376&lt;=20,1,0))</formula>
    </cfRule>
    <cfRule type="expression" priority="488" dxfId="2">
      <formula>AND(IF($Q376=2,1,0),IF($X376&lt;30,1,0))</formula>
    </cfRule>
    <cfRule type="expression" priority="489" dxfId="1">
      <formula>AND(IF($Q376=3,1,0),IF($X376&lt;30,1,0))</formula>
    </cfRule>
    <cfRule type="expression" priority="490" dxfId="0">
      <formula>AND(IF($Q376=3,1,IF($Q376=4,1,0)),IF($F376&lt;=85,1,0))</formula>
    </cfRule>
  </conditionalFormatting>
  <conditionalFormatting sqref="AV377">
    <cfRule type="expression" priority="485" dxfId="23">
      <formula>AV377="X"</formula>
    </cfRule>
    <cfRule type="expression" priority="486" dxfId="22">
      <formula>AV377="후보"</formula>
    </cfRule>
  </conditionalFormatting>
  <conditionalFormatting sqref="AC37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77">
    <cfRule type="expression" priority="477" dxfId="3">
      <formula>AND(IF(OR($Q377=1,$Q377=2),1,0),IF($X377&lt;=20,1,0))</formula>
    </cfRule>
    <cfRule type="expression" priority="478" dxfId="2">
      <formula>AND(IF($Q377=2,1,0),IF($X377&lt;30,1,0))</formula>
    </cfRule>
    <cfRule type="expression" priority="479" dxfId="1">
      <formula>AND(IF($Q377=3,1,0),IF($X377&lt;30,1,0))</formula>
    </cfRule>
    <cfRule type="expression" priority="480" dxfId="0">
      <formula>AND(IF($Q377=3,1,IF($Q377=4,1,0)),IF($F377&lt;=85,1,0))</formula>
    </cfRule>
  </conditionalFormatting>
  <conditionalFormatting sqref="X377">
    <cfRule type="expression" priority="473" dxfId="3">
      <formula>AND(IF(OR($Q377=1,$Q377=2),1,0),IF($X377&lt;=20,1,0))</formula>
    </cfRule>
    <cfRule type="expression" priority="474" dxfId="2">
      <formula>AND(IF($Q377=2,1,0),IF($X377&lt;30,1,0))</formula>
    </cfRule>
    <cfRule type="expression" priority="475" dxfId="1">
      <formula>AND(IF($Q377=3,1,0),IF($X377&lt;30,1,0))</formula>
    </cfRule>
    <cfRule type="expression" priority="476" dxfId="0">
      <formula>AND(IF($Q377=3,1,IF($Q377=4,1,0)),IF($F377&lt;=85,1,0))</formula>
    </cfRule>
  </conditionalFormatting>
  <conditionalFormatting sqref="AI377">
    <cfRule type="expression" priority="469" dxfId="3">
      <formula>AND(IF(OR($Q377=1,$Q377=2),1,0),IF($X377&lt;=20,1,0))</formula>
    </cfRule>
    <cfRule type="expression" priority="470" dxfId="2">
      <formula>AND(IF($Q377=2,1,0),IF($X377&lt;30,1,0))</formula>
    </cfRule>
    <cfRule type="expression" priority="471" dxfId="1">
      <formula>AND(IF($Q377=3,1,0),IF($X377&lt;30,1,0))</formula>
    </cfRule>
    <cfRule type="expression" priority="472" dxfId="0">
      <formula>AND(IF($Q377=3,1,IF($Q377=4,1,0)),IF($F377&lt;=85,1,0))</formula>
    </cfRule>
  </conditionalFormatting>
  <conditionalFormatting sqref="AV378">
    <cfRule type="expression" priority="467" dxfId="23">
      <formula>AV378="X"</formula>
    </cfRule>
    <cfRule type="expression" priority="468" dxfId="22">
      <formula>AV378="후보"</formula>
    </cfRule>
  </conditionalFormatting>
  <conditionalFormatting sqref="AC37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78">
    <cfRule type="expression" priority="459" dxfId="3">
      <formula>AND(IF(OR($Q378=1,$Q378=2),1,0),IF($X378&lt;=20,1,0))</formula>
    </cfRule>
    <cfRule type="expression" priority="460" dxfId="2">
      <formula>AND(IF($Q378=2,1,0),IF($X378&lt;30,1,0))</formula>
    </cfRule>
    <cfRule type="expression" priority="461" dxfId="1">
      <formula>AND(IF($Q378=3,1,0),IF($X378&lt;30,1,0))</formula>
    </cfRule>
    <cfRule type="expression" priority="462" dxfId="0">
      <formula>AND(IF($Q378=3,1,IF($Q378=4,1,0)),IF($F378&lt;=85,1,0))</formula>
    </cfRule>
  </conditionalFormatting>
  <conditionalFormatting sqref="X378">
    <cfRule type="expression" priority="455" dxfId="3">
      <formula>AND(IF(OR($Q378=1,$Q378=2),1,0),IF($X378&lt;=20,1,0))</formula>
    </cfRule>
    <cfRule type="expression" priority="456" dxfId="2">
      <formula>AND(IF($Q378=2,1,0),IF($X378&lt;30,1,0))</formula>
    </cfRule>
    <cfRule type="expression" priority="457" dxfId="1">
      <formula>AND(IF($Q378=3,1,0),IF($X378&lt;30,1,0))</formula>
    </cfRule>
    <cfRule type="expression" priority="458" dxfId="0">
      <formula>AND(IF($Q378=3,1,IF($Q378=4,1,0)),IF($F378&lt;=85,1,0))</formula>
    </cfRule>
  </conditionalFormatting>
  <conditionalFormatting sqref="AI378">
    <cfRule type="expression" priority="451" dxfId="3">
      <formula>AND(IF(OR($Q378=1,$Q378=2),1,0),IF($X378&lt;=20,1,0))</formula>
    </cfRule>
    <cfRule type="expression" priority="452" dxfId="2">
      <formula>AND(IF($Q378=2,1,0),IF($X378&lt;30,1,0))</formula>
    </cfRule>
    <cfRule type="expression" priority="453" dxfId="1">
      <formula>AND(IF($Q378=3,1,0),IF($X378&lt;30,1,0))</formula>
    </cfRule>
    <cfRule type="expression" priority="454" dxfId="0">
      <formula>AND(IF($Q378=3,1,IF($Q378=4,1,0)),IF($F378&lt;=85,1,0))</formula>
    </cfRule>
  </conditionalFormatting>
  <conditionalFormatting sqref="AV379">
    <cfRule type="expression" priority="449" dxfId="23">
      <formula>AV379="X"</formula>
    </cfRule>
    <cfRule type="expression" priority="450" dxfId="22">
      <formula>AV379="후보"</formula>
    </cfRule>
  </conditionalFormatting>
  <conditionalFormatting sqref="AC37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79">
    <cfRule type="expression" priority="441" dxfId="3">
      <formula>AND(IF(OR($Q379=1,$Q379=2),1,0),IF($X379&lt;=20,1,0))</formula>
    </cfRule>
    <cfRule type="expression" priority="442" dxfId="2">
      <formula>AND(IF($Q379=2,1,0),IF($X379&lt;30,1,0))</formula>
    </cfRule>
    <cfRule type="expression" priority="443" dxfId="1">
      <formula>AND(IF($Q379=3,1,0),IF($X379&lt;30,1,0))</formula>
    </cfRule>
    <cfRule type="expression" priority="444" dxfId="0">
      <formula>AND(IF($Q379=3,1,IF($Q379=4,1,0)),IF($F379&lt;=85,1,0))</formula>
    </cfRule>
  </conditionalFormatting>
  <conditionalFormatting sqref="X379">
    <cfRule type="expression" priority="437" dxfId="3">
      <formula>AND(IF(OR($Q379=1,$Q379=2),1,0),IF($X379&lt;=20,1,0))</formula>
    </cfRule>
    <cfRule type="expression" priority="438" dxfId="2">
      <formula>AND(IF($Q379=2,1,0),IF($X379&lt;30,1,0))</formula>
    </cfRule>
    <cfRule type="expression" priority="439" dxfId="1">
      <formula>AND(IF($Q379=3,1,0),IF($X379&lt;30,1,0))</formula>
    </cfRule>
    <cfRule type="expression" priority="440" dxfId="0">
      <formula>AND(IF($Q379=3,1,IF($Q379=4,1,0)),IF($F379&lt;=85,1,0))</formula>
    </cfRule>
  </conditionalFormatting>
  <conditionalFormatting sqref="AI379">
    <cfRule type="expression" priority="433" dxfId="3">
      <formula>AND(IF(OR($Q379=1,$Q379=2),1,0),IF($X379&lt;=20,1,0))</formula>
    </cfRule>
    <cfRule type="expression" priority="434" dxfId="2">
      <formula>AND(IF($Q379=2,1,0),IF($X379&lt;30,1,0))</formula>
    </cfRule>
    <cfRule type="expression" priority="435" dxfId="1">
      <formula>AND(IF($Q379=3,1,0),IF($X379&lt;30,1,0))</formula>
    </cfRule>
    <cfRule type="expression" priority="436" dxfId="0">
      <formula>AND(IF($Q379=3,1,IF($Q379=4,1,0)),IF($F379&lt;=85,1,0))</formula>
    </cfRule>
  </conditionalFormatting>
  <conditionalFormatting sqref="AV380">
    <cfRule type="expression" priority="431" dxfId="23">
      <formula>AV380="X"</formula>
    </cfRule>
    <cfRule type="expression" priority="432" dxfId="22">
      <formula>AV380="후보"</formula>
    </cfRule>
  </conditionalFormatting>
  <conditionalFormatting sqref="AC38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0">
    <cfRule type="expression" priority="423" dxfId="3">
      <formula>AND(IF(OR($Q380=1,$Q380=2),1,0),IF($X380&lt;=20,1,0))</formula>
    </cfRule>
    <cfRule type="expression" priority="424" dxfId="2">
      <formula>AND(IF($Q380=2,1,0),IF($X380&lt;30,1,0))</formula>
    </cfRule>
    <cfRule type="expression" priority="425" dxfId="1">
      <formula>AND(IF($Q380=3,1,0),IF($X380&lt;30,1,0))</formula>
    </cfRule>
    <cfRule type="expression" priority="426" dxfId="0">
      <formula>AND(IF($Q380=3,1,IF($Q380=4,1,0)),IF($F380&lt;=85,1,0))</formula>
    </cfRule>
  </conditionalFormatting>
  <conditionalFormatting sqref="X380">
    <cfRule type="expression" priority="419" dxfId="3">
      <formula>AND(IF(OR($Q380=1,$Q380=2),1,0),IF($X380&lt;=20,1,0))</formula>
    </cfRule>
    <cfRule type="expression" priority="420" dxfId="2">
      <formula>AND(IF($Q380=2,1,0),IF($X380&lt;30,1,0))</formula>
    </cfRule>
    <cfRule type="expression" priority="421" dxfId="1">
      <formula>AND(IF($Q380=3,1,0),IF($X380&lt;30,1,0))</formula>
    </cfRule>
    <cfRule type="expression" priority="422" dxfId="0">
      <formula>AND(IF($Q380=3,1,IF($Q380=4,1,0)),IF($F380&lt;=85,1,0))</formula>
    </cfRule>
  </conditionalFormatting>
  <conditionalFormatting sqref="AI380">
    <cfRule type="expression" priority="415" dxfId="3">
      <formula>AND(IF(OR($Q380=1,$Q380=2),1,0),IF($X380&lt;=20,1,0))</formula>
    </cfRule>
    <cfRule type="expression" priority="416" dxfId="2">
      <formula>AND(IF($Q380=2,1,0),IF($X380&lt;30,1,0))</formula>
    </cfRule>
    <cfRule type="expression" priority="417" dxfId="1">
      <formula>AND(IF($Q380=3,1,0),IF($X380&lt;30,1,0))</formula>
    </cfRule>
    <cfRule type="expression" priority="418" dxfId="0">
      <formula>AND(IF($Q380=3,1,IF($Q380=4,1,0)),IF($F380&lt;=85,1,0))</formula>
    </cfRule>
  </conditionalFormatting>
  <conditionalFormatting sqref="AV381">
    <cfRule type="expression" priority="413" dxfId="23">
      <formula>AV381="X"</formula>
    </cfRule>
    <cfRule type="expression" priority="414" dxfId="22">
      <formula>AV381="후보"</formula>
    </cfRule>
  </conditionalFormatting>
  <conditionalFormatting sqref="AC38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1">
    <cfRule type="expression" priority="405" dxfId="3">
      <formula>AND(IF(OR($Q381=1,$Q381=2),1,0),IF($X381&lt;=20,1,0))</formula>
    </cfRule>
    <cfRule type="expression" priority="406" dxfId="2">
      <formula>AND(IF($Q381=2,1,0),IF($X381&lt;30,1,0))</formula>
    </cfRule>
    <cfRule type="expression" priority="407" dxfId="1">
      <formula>AND(IF($Q381=3,1,0),IF($X381&lt;30,1,0))</formula>
    </cfRule>
    <cfRule type="expression" priority="408" dxfId="0">
      <formula>AND(IF($Q381=3,1,IF($Q381=4,1,0)),IF($F381&lt;=85,1,0))</formula>
    </cfRule>
  </conditionalFormatting>
  <conditionalFormatting sqref="X381">
    <cfRule type="expression" priority="401" dxfId="3">
      <formula>AND(IF(OR($Q381=1,$Q381=2),1,0),IF($X381&lt;=20,1,0))</formula>
    </cfRule>
    <cfRule type="expression" priority="402" dxfId="2">
      <formula>AND(IF($Q381=2,1,0),IF($X381&lt;30,1,0))</formula>
    </cfRule>
    <cfRule type="expression" priority="403" dxfId="1">
      <formula>AND(IF($Q381=3,1,0),IF($X381&lt;30,1,0))</formula>
    </cfRule>
    <cfRule type="expression" priority="404" dxfId="0">
      <formula>AND(IF($Q381=3,1,IF($Q381=4,1,0)),IF($F381&lt;=85,1,0))</formula>
    </cfRule>
  </conditionalFormatting>
  <conditionalFormatting sqref="AI381">
    <cfRule type="expression" priority="397" dxfId="3">
      <formula>AND(IF(OR($Q381=1,$Q381=2),1,0),IF($X381&lt;=20,1,0))</formula>
    </cfRule>
    <cfRule type="expression" priority="398" dxfId="2">
      <formula>AND(IF($Q381=2,1,0),IF($X381&lt;30,1,0))</formula>
    </cfRule>
    <cfRule type="expression" priority="399" dxfId="1">
      <formula>AND(IF($Q381=3,1,0),IF($X381&lt;30,1,0))</formula>
    </cfRule>
    <cfRule type="expression" priority="400" dxfId="0">
      <formula>AND(IF($Q381=3,1,IF($Q381=4,1,0)),IF($F381&lt;=85,1,0))</formula>
    </cfRule>
  </conditionalFormatting>
  <conditionalFormatting sqref="AV382">
    <cfRule type="expression" priority="395" dxfId="23">
      <formula>AV382="X"</formula>
    </cfRule>
    <cfRule type="expression" priority="396" dxfId="22">
      <formula>AV382="후보"</formula>
    </cfRule>
  </conditionalFormatting>
  <conditionalFormatting sqref="AC38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2">
    <cfRule type="expression" priority="387" dxfId="3">
      <formula>AND(IF(OR($Q382=1,$Q382=2),1,0),IF($X382&lt;=20,1,0))</formula>
    </cfRule>
    <cfRule type="expression" priority="388" dxfId="2">
      <formula>AND(IF($Q382=2,1,0),IF($X382&lt;30,1,0))</formula>
    </cfRule>
    <cfRule type="expression" priority="389" dxfId="1">
      <formula>AND(IF($Q382=3,1,0),IF($X382&lt;30,1,0))</formula>
    </cfRule>
    <cfRule type="expression" priority="390" dxfId="0">
      <formula>AND(IF($Q382=3,1,IF($Q382=4,1,0)),IF($F382&lt;=85,1,0))</formula>
    </cfRule>
  </conditionalFormatting>
  <conditionalFormatting sqref="X382">
    <cfRule type="expression" priority="383" dxfId="3">
      <formula>AND(IF(OR($Q382=1,$Q382=2),1,0),IF($X382&lt;=20,1,0))</formula>
    </cfRule>
    <cfRule type="expression" priority="384" dxfId="2">
      <formula>AND(IF($Q382=2,1,0),IF($X382&lt;30,1,0))</formula>
    </cfRule>
    <cfRule type="expression" priority="385" dxfId="1">
      <formula>AND(IF($Q382=3,1,0),IF($X382&lt;30,1,0))</formula>
    </cfRule>
    <cfRule type="expression" priority="386" dxfId="0">
      <formula>AND(IF($Q382=3,1,IF($Q382=4,1,0)),IF($F382&lt;=85,1,0))</formula>
    </cfRule>
  </conditionalFormatting>
  <conditionalFormatting sqref="AI382">
    <cfRule type="expression" priority="379" dxfId="3">
      <formula>AND(IF(OR($Q382=1,$Q382=2),1,0),IF($X382&lt;=20,1,0))</formula>
    </cfRule>
    <cfRule type="expression" priority="380" dxfId="2">
      <formula>AND(IF($Q382=2,1,0),IF($X382&lt;30,1,0))</formula>
    </cfRule>
    <cfRule type="expression" priority="381" dxfId="1">
      <formula>AND(IF($Q382=3,1,0),IF($X382&lt;30,1,0))</formula>
    </cfRule>
    <cfRule type="expression" priority="382" dxfId="0">
      <formula>AND(IF($Q382=3,1,IF($Q382=4,1,0)),IF($F382&lt;=85,1,0))</formula>
    </cfRule>
  </conditionalFormatting>
  <conditionalFormatting sqref="AV383">
    <cfRule type="expression" priority="377" dxfId="23">
      <formula>AV383="X"</formula>
    </cfRule>
    <cfRule type="expression" priority="378" dxfId="22">
      <formula>AV383="후보"</formula>
    </cfRule>
  </conditionalFormatting>
  <conditionalFormatting sqref="AC38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3">
    <cfRule type="expression" priority="369" dxfId="3">
      <formula>AND(IF(OR($Q383=1,$Q383=2),1,0),IF($X383&lt;=20,1,0))</formula>
    </cfRule>
    <cfRule type="expression" priority="370" dxfId="2">
      <formula>AND(IF($Q383=2,1,0),IF($X383&lt;30,1,0))</formula>
    </cfRule>
    <cfRule type="expression" priority="371" dxfId="1">
      <formula>AND(IF($Q383=3,1,0),IF($X383&lt;30,1,0))</formula>
    </cfRule>
    <cfRule type="expression" priority="372" dxfId="0">
      <formula>AND(IF($Q383=3,1,IF($Q383=4,1,0)),IF($F383&lt;=85,1,0))</formula>
    </cfRule>
  </conditionalFormatting>
  <conditionalFormatting sqref="X383">
    <cfRule type="expression" priority="365" dxfId="3">
      <formula>AND(IF(OR($Q383=1,$Q383=2),1,0),IF($X383&lt;=20,1,0))</formula>
    </cfRule>
    <cfRule type="expression" priority="366" dxfId="2">
      <formula>AND(IF($Q383=2,1,0),IF($X383&lt;30,1,0))</formula>
    </cfRule>
    <cfRule type="expression" priority="367" dxfId="1">
      <formula>AND(IF($Q383=3,1,0),IF($X383&lt;30,1,0))</formula>
    </cfRule>
    <cfRule type="expression" priority="368" dxfId="0">
      <formula>AND(IF($Q383=3,1,IF($Q383=4,1,0)),IF($F383&lt;=85,1,0))</formula>
    </cfRule>
  </conditionalFormatting>
  <conditionalFormatting sqref="AI383">
    <cfRule type="expression" priority="361" dxfId="3">
      <formula>AND(IF(OR($Q383=1,$Q383=2),1,0),IF($X383&lt;=20,1,0))</formula>
    </cfRule>
    <cfRule type="expression" priority="362" dxfId="2">
      <formula>AND(IF($Q383=2,1,0),IF($X383&lt;30,1,0))</formula>
    </cfRule>
    <cfRule type="expression" priority="363" dxfId="1">
      <formula>AND(IF($Q383=3,1,0),IF($X383&lt;30,1,0))</formula>
    </cfRule>
    <cfRule type="expression" priority="364" dxfId="0">
      <formula>AND(IF($Q383=3,1,IF($Q383=4,1,0)),IF($F383&lt;=85,1,0))</formula>
    </cfRule>
  </conditionalFormatting>
  <conditionalFormatting sqref="AV384">
    <cfRule type="expression" priority="359" dxfId="23">
      <formula>AV384="X"</formula>
    </cfRule>
    <cfRule type="expression" priority="360" dxfId="22">
      <formula>AV384="후보"</formula>
    </cfRule>
  </conditionalFormatting>
  <conditionalFormatting sqref="AC38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84">
    <cfRule type="expression" priority="351" dxfId="3">
      <formula>AND(IF(OR($Q384=1,$Q384=2),1,0),IF($X384&lt;=20,1,0))</formula>
    </cfRule>
    <cfRule type="expression" priority="352" dxfId="2">
      <formula>AND(IF($Q384=2,1,0),IF($X384&lt;30,1,0))</formula>
    </cfRule>
    <cfRule type="expression" priority="353" dxfId="1">
      <formula>AND(IF($Q384=3,1,0),IF($X384&lt;30,1,0))</formula>
    </cfRule>
    <cfRule type="expression" priority="354" dxfId="0">
      <formula>AND(IF($Q384=3,1,IF($Q384=4,1,0)),IF($F384&lt;=85,1,0))</formula>
    </cfRule>
  </conditionalFormatting>
  <conditionalFormatting sqref="X384">
    <cfRule type="expression" priority="347" dxfId="3">
      <formula>AND(IF(OR($Q384=1,$Q384=2),1,0),IF($X384&lt;=20,1,0))</formula>
    </cfRule>
    <cfRule type="expression" priority="348" dxfId="2">
      <formula>AND(IF($Q384=2,1,0),IF($X384&lt;30,1,0))</formula>
    </cfRule>
    <cfRule type="expression" priority="349" dxfId="1">
      <formula>AND(IF($Q384=3,1,0),IF($X384&lt;30,1,0))</formula>
    </cfRule>
    <cfRule type="expression" priority="350" dxfId="0">
      <formula>AND(IF($Q384=3,1,IF($Q384=4,1,0)),IF($F384&lt;=85,1,0))</formula>
    </cfRule>
  </conditionalFormatting>
  <conditionalFormatting sqref="AI384">
    <cfRule type="expression" priority="343" dxfId="3">
      <formula>AND(IF(OR($Q384=1,$Q384=2),1,0),IF($X384&lt;=20,1,0))</formula>
    </cfRule>
    <cfRule type="expression" priority="344" dxfId="2">
      <formula>AND(IF($Q384=2,1,0),IF($X384&lt;30,1,0))</formula>
    </cfRule>
    <cfRule type="expression" priority="345" dxfId="1">
      <formula>AND(IF($Q384=3,1,0),IF($X384&lt;30,1,0))</formula>
    </cfRule>
    <cfRule type="expression" priority="346" dxfId="0">
      <formula>AND(IF($Q384=3,1,IF($Q384=4,1,0)),IF($F384&lt;=85,1,0))</formula>
    </cfRule>
  </conditionalFormatting>
  <conditionalFormatting sqref="AV385">
    <cfRule type="expression" priority="341" dxfId="23">
      <formula>AV385="X"</formula>
    </cfRule>
    <cfRule type="expression" priority="342" dxfId="22">
      <formula>AV385="후보"</formula>
    </cfRule>
  </conditionalFormatting>
  <conditionalFormatting sqref="AC38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5">
    <cfRule type="expression" priority="333" dxfId="3">
      <formula>AND(IF(OR($Q385=1,$Q385=2),1,0),IF($X385&lt;=20,1,0))</formula>
    </cfRule>
    <cfRule type="expression" priority="334" dxfId="2">
      <formula>AND(IF($Q385=2,1,0),IF($X385&lt;30,1,0))</formula>
    </cfRule>
    <cfRule type="expression" priority="335" dxfId="1">
      <formula>AND(IF($Q385=3,1,0),IF($X385&lt;30,1,0))</formula>
    </cfRule>
    <cfRule type="expression" priority="336" dxfId="0">
      <formula>AND(IF($Q385=3,1,IF($Q385=4,1,0)),IF($F385&lt;=85,1,0))</formula>
    </cfRule>
  </conditionalFormatting>
  <conditionalFormatting sqref="X385">
    <cfRule type="expression" priority="329" dxfId="3">
      <formula>AND(IF(OR($Q385=1,$Q385=2),1,0),IF($X385&lt;=20,1,0))</formula>
    </cfRule>
    <cfRule type="expression" priority="330" dxfId="2">
      <formula>AND(IF($Q385=2,1,0),IF($X385&lt;30,1,0))</formula>
    </cfRule>
    <cfRule type="expression" priority="331" dxfId="1">
      <formula>AND(IF($Q385=3,1,0),IF($X385&lt;30,1,0))</formula>
    </cfRule>
    <cfRule type="expression" priority="332" dxfId="0">
      <formula>AND(IF($Q385=3,1,IF($Q385=4,1,0)),IF($F385&lt;=85,1,0))</formula>
    </cfRule>
  </conditionalFormatting>
  <conditionalFormatting sqref="AI385">
    <cfRule type="expression" priority="325" dxfId="3">
      <formula>AND(IF(OR($Q385=1,$Q385=2),1,0),IF($X385&lt;=20,1,0))</formula>
    </cfRule>
    <cfRule type="expression" priority="326" dxfId="2">
      <formula>AND(IF($Q385=2,1,0),IF($X385&lt;30,1,0))</formula>
    </cfRule>
    <cfRule type="expression" priority="327" dxfId="1">
      <formula>AND(IF($Q385=3,1,0),IF($X385&lt;30,1,0))</formula>
    </cfRule>
    <cfRule type="expression" priority="328" dxfId="0">
      <formula>AND(IF($Q385=3,1,IF($Q385=4,1,0)),IF($F385&lt;=85,1,0))</formula>
    </cfRule>
  </conditionalFormatting>
  <conditionalFormatting sqref="AV386">
    <cfRule type="expression" priority="323" dxfId="23">
      <formula>AV386="X"</formula>
    </cfRule>
    <cfRule type="expression" priority="324" dxfId="22">
      <formula>AV386="후보"</formula>
    </cfRule>
  </conditionalFormatting>
  <conditionalFormatting sqref="AC38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8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86">
    <cfRule type="expression" priority="315" dxfId="3">
      <formula>AND(IF(OR($Q386=1,$Q386=2),1,0),IF($X386&lt;=20,1,0))</formula>
    </cfRule>
    <cfRule type="expression" priority="316" dxfId="2">
      <formula>AND(IF($Q386=2,1,0),IF($X386&lt;30,1,0))</formula>
    </cfRule>
    <cfRule type="expression" priority="317" dxfId="1">
      <formula>AND(IF($Q386=3,1,0),IF($X386&lt;30,1,0))</formula>
    </cfRule>
    <cfRule type="expression" priority="318" dxfId="0">
      <formula>AND(IF($Q386=3,1,IF($Q386=4,1,0)),IF($F386&lt;=85,1,0))</formula>
    </cfRule>
  </conditionalFormatting>
  <conditionalFormatting sqref="X386">
    <cfRule type="expression" priority="311" dxfId="3">
      <formula>AND(IF(OR($Q386=1,$Q386=2),1,0),IF($X386&lt;=20,1,0))</formula>
    </cfRule>
    <cfRule type="expression" priority="312" dxfId="2">
      <formula>AND(IF($Q386=2,1,0),IF($X386&lt;30,1,0))</formula>
    </cfRule>
    <cfRule type="expression" priority="313" dxfId="1">
      <formula>AND(IF($Q386=3,1,0),IF($X386&lt;30,1,0))</formula>
    </cfRule>
    <cfRule type="expression" priority="314" dxfId="0">
      <formula>AND(IF($Q386=3,1,IF($Q386=4,1,0)),IF($F386&lt;=85,1,0))</formula>
    </cfRule>
  </conditionalFormatting>
  <conditionalFormatting sqref="AI386">
    <cfRule type="expression" priority="307" dxfId="3">
      <formula>AND(IF(OR($Q386=1,$Q386=2),1,0),IF($X386&lt;=20,1,0))</formula>
    </cfRule>
    <cfRule type="expression" priority="308" dxfId="2">
      <formula>AND(IF($Q386=2,1,0),IF($X386&lt;30,1,0))</formula>
    </cfRule>
    <cfRule type="expression" priority="309" dxfId="1">
      <formula>AND(IF($Q386=3,1,0),IF($X386&lt;30,1,0))</formula>
    </cfRule>
    <cfRule type="expression" priority="310" dxfId="0">
      <formula>AND(IF($Q386=3,1,IF($Q386=4,1,0)),IF($F386&lt;=85,1,0))</formula>
    </cfRule>
  </conditionalFormatting>
  <conditionalFormatting sqref="AV387">
    <cfRule type="expression" priority="305" dxfId="23">
      <formula>AV387="X"</formula>
    </cfRule>
    <cfRule type="expression" priority="306" dxfId="22">
      <formula>AV387="후보"</formula>
    </cfRule>
  </conditionalFormatting>
  <conditionalFormatting sqref="AC38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8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87">
    <cfRule type="expression" priority="297" dxfId="3">
      <formula>AND(IF(OR($Q387=1,$Q387=2),1,0),IF($X387&lt;=20,1,0))</formula>
    </cfRule>
    <cfRule type="expression" priority="298" dxfId="2">
      <formula>AND(IF($Q387=2,1,0),IF($X387&lt;30,1,0))</formula>
    </cfRule>
    <cfRule type="expression" priority="299" dxfId="1">
      <formula>AND(IF($Q387=3,1,0),IF($X387&lt;30,1,0))</formula>
    </cfRule>
    <cfRule type="expression" priority="300" dxfId="0">
      <formula>AND(IF($Q387=3,1,IF($Q387=4,1,0)),IF($F387&lt;=85,1,0))</formula>
    </cfRule>
  </conditionalFormatting>
  <conditionalFormatting sqref="X387">
    <cfRule type="expression" priority="293" dxfId="3">
      <formula>AND(IF(OR($Q387=1,$Q387=2),1,0),IF($X387&lt;=20,1,0))</formula>
    </cfRule>
    <cfRule type="expression" priority="294" dxfId="2">
      <formula>AND(IF($Q387=2,1,0),IF($X387&lt;30,1,0))</formula>
    </cfRule>
    <cfRule type="expression" priority="295" dxfId="1">
      <formula>AND(IF($Q387=3,1,0),IF($X387&lt;30,1,0))</formula>
    </cfRule>
    <cfRule type="expression" priority="296" dxfId="0">
      <formula>AND(IF($Q387=3,1,IF($Q387=4,1,0)),IF($F387&lt;=85,1,0))</formula>
    </cfRule>
  </conditionalFormatting>
  <conditionalFormatting sqref="AI387">
    <cfRule type="expression" priority="289" dxfId="3">
      <formula>AND(IF(OR($Q387=1,$Q387=2),1,0),IF($X387&lt;=20,1,0))</formula>
    </cfRule>
    <cfRule type="expression" priority="290" dxfId="2">
      <formula>AND(IF($Q387=2,1,0),IF($X387&lt;30,1,0))</formula>
    </cfRule>
    <cfRule type="expression" priority="291" dxfId="1">
      <formula>AND(IF($Q387=3,1,0),IF($X387&lt;30,1,0))</formula>
    </cfRule>
    <cfRule type="expression" priority="292" dxfId="0">
      <formula>AND(IF($Q387=3,1,IF($Q387=4,1,0)),IF($F387&lt;=85,1,0))</formula>
    </cfRule>
  </conditionalFormatting>
  <conditionalFormatting sqref="AV388">
    <cfRule type="expression" priority="287" dxfId="23">
      <formula>AV388="X"</formula>
    </cfRule>
    <cfRule type="expression" priority="288" dxfId="22">
      <formula>AV388="후보"</formula>
    </cfRule>
  </conditionalFormatting>
  <conditionalFormatting sqref="AC38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8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88">
    <cfRule type="expression" priority="279" dxfId="3">
      <formula>AND(IF(OR($Q388=1,$Q388=2),1,0),IF($X388&lt;=20,1,0))</formula>
    </cfRule>
    <cfRule type="expression" priority="280" dxfId="2">
      <formula>AND(IF($Q388=2,1,0),IF($X388&lt;30,1,0))</formula>
    </cfRule>
    <cfRule type="expression" priority="281" dxfId="1">
      <formula>AND(IF($Q388=3,1,0),IF($X388&lt;30,1,0))</formula>
    </cfRule>
    <cfRule type="expression" priority="282" dxfId="0">
      <formula>AND(IF($Q388=3,1,IF($Q388=4,1,0)),IF($F388&lt;=85,1,0))</formula>
    </cfRule>
  </conditionalFormatting>
  <conditionalFormatting sqref="X388">
    <cfRule type="expression" priority="275" dxfId="3">
      <formula>AND(IF(OR($Q388=1,$Q388=2),1,0),IF($X388&lt;=20,1,0))</formula>
    </cfRule>
    <cfRule type="expression" priority="276" dxfId="2">
      <formula>AND(IF($Q388=2,1,0),IF($X388&lt;30,1,0))</formula>
    </cfRule>
    <cfRule type="expression" priority="277" dxfId="1">
      <formula>AND(IF($Q388=3,1,0),IF($X388&lt;30,1,0))</formula>
    </cfRule>
    <cfRule type="expression" priority="278" dxfId="0">
      <formula>AND(IF($Q388=3,1,IF($Q388=4,1,0)),IF($F388&lt;=85,1,0))</formula>
    </cfRule>
  </conditionalFormatting>
  <conditionalFormatting sqref="AI388">
    <cfRule type="expression" priority="271" dxfId="3">
      <formula>AND(IF(OR($Q388=1,$Q388=2),1,0),IF($X388&lt;=20,1,0))</formula>
    </cfRule>
    <cfRule type="expression" priority="272" dxfId="2">
      <formula>AND(IF($Q388=2,1,0),IF($X388&lt;30,1,0))</formula>
    </cfRule>
    <cfRule type="expression" priority="273" dxfId="1">
      <formula>AND(IF($Q388=3,1,0),IF($X388&lt;30,1,0))</formula>
    </cfRule>
    <cfRule type="expression" priority="274" dxfId="0">
      <formula>AND(IF($Q388=3,1,IF($Q388=4,1,0)),IF($F388&lt;=85,1,0))</formula>
    </cfRule>
  </conditionalFormatting>
  <conditionalFormatting sqref="AV389">
    <cfRule type="expression" priority="269" dxfId="23">
      <formula>AV389="X"</formula>
    </cfRule>
    <cfRule type="expression" priority="270" dxfId="22">
      <formula>AV389="후보"</formula>
    </cfRule>
  </conditionalFormatting>
  <conditionalFormatting sqref="AC38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8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89">
    <cfRule type="expression" priority="261" dxfId="3">
      <formula>AND(IF(OR($Q389=1,$Q389=2),1,0),IF($X389&lt;=20,1,0))</formula>
    </cfRule>
    <cfRule type="expression" priority="262" dxfId="2">
      <formula>AND(IF($Q389=2,1,0),IF($X389&lt;30,1,0))</formula>
    </cfRule>
    <cfRule type="expression" priority="263" dxfId="1">
      <formula>AND(IF($Q389=3,1,0),IF($X389&lt;30,1,0))</formula>
    </cfRule>
    <cfRule type="expression" priority="264" dxfId="0">
      <formula>AND(IF($Q389=3,1,IF($Q389=4,1,0)),IF($F389&lt;=85,1,0))</formula>
    </cfRule>
  </conditionalFormatting>
  <conditionalFormatting sqref="X389">
    <cfRule type="expression" priority="257" dxfId="3">
      <formula>AND(IF(OR($Q389=1,$Q389=2),1,0),IF($X389&lt;=20,1,0))</formula>
    </cfRule>
    <cfRule type="expression" priority="258" dxfId="2">
      <formula>AND(IF($Q389=2,1,0),IF($X389&lt;30,1,0))</formula>
    </cfRule>
    <cfRule type="expression" priority="259" dxfId="1">
      <formula>AND(IF($Q389=3,1,0),IF($X389&lt;30,1,0))</formula>
    </cfRule>
    <cfRule type="expression" priority="260" dxfId="0">
      <formula>AND(IF($Q389=3,1,IF($Q389=4,1,0)),IF($F389&lt;=85,1,0))</formula>
    </cfRule>
  </conditionalFormatting>
  <conditionalFormatting sqref="AI389">
    <cfRule type="expression" priority="253" dxfId="3">
      <formula>AND(IF(OR($Q389=1,$Q389=2),1,0),IF($X389&lt;=20,1,0))</formula>
    </cfRule>
    <cfRule type="expression" priority="254" dxfId="2">
      <formula>AND(IF($Q389=2,1,0),IF($X389&lt;30,1,0))</formula>
    </cfRule>
    <cfRule type="expression" priority="255" dxfId="1">
      <formula>AND(IF($Q389=3,1,0),IF($X389&lt;30,1,0))</formula>
    </cfRule>
    <cfRule type="expression" priority="256" dxfId="0">
      <formula>AND(IF($Q389=3,1,IF($Q389=4,1,0)),IF($F389&lt;=85,1,0))</formula>
    </cfRule>
  </conditionalFormatting>
  <conditionalFormatting sqref="AV390">
    <cfRule type="expression" priority="251" dxfId="23">
      <formula>AV390="X"</formula>
    </cfRule>
    <cfRule type="expression" priority="252" dxfId="22">
      <formula>AV390="후보"</formula>
    </cfRule>
  </conditionalFormatting>
  <conditionalFormatting sqref="AC39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0">
    <cfRule type="expression" priority="243" dxfId="3">
      <formula>AND(IF(OR($Q390=1,$Q390=2),1,0),IF($X390&lt;=20,1,0))</formula>
    </cfRule>
    <cfRule type="expression" priority="244" dxfId="2">
      <formula>AND(IF($Q390=2,1,0),IF($X390&lt;30,1,0))</formula>
    </cfRule>
    <cfRule type="expression" priority="245" dxfId="1">
      <formula>AND(IF($Q390=3,1,0),IF($X390&lt;30,1,0))</formula>
    </cfRule>
    <cfRule type="expression" priority="246" dxfId="0">
      <formula>AND(IF($Q390=3,1,IF($Q390=4,1,0)),IF($F390&lt;=85,1,0))</formula>
    </cfRule>
  </conditionalFormatting>
  <conditionalFormatting sqref="X390">
    <cfRule type="expression" priority="239" dxfId="3">
      <formula>AND(IF(OR($Q390=1,$Q390=2),1,0),IF($X390&lt;=20,1,0))</formula>
    </cfRule>
    <cfRule type="expression" priority="240" dxfId="2">
      <formula>AND(IF($Q390=2,1,0),IF($X390&lt;30,1,0))</formula>
    </cfRule>
    <cfRule type="expression" priority="241" dxfId="1">
      <formula>AND(IF($Q390=3,1,0),IF($X390&lt;30,1,0))</formula>
    </cfRule>
    <cfRule type="expression" priority="242" dxfId="0">
      <formula>AND(IF($Q390=3,1,IF($Q390=4,1,0)),IF($F390&lt;=85,1,0))</formula>
    </cfRule>
  </conditionalFormatting>
  <conditionalFormatting sqref="AI390">
    <cfRule type="expression" priority="235" dxfId="3">
      <formula>AND(IF(OR($Q390=1,$Q390=2),1,0),IF($X390&lt;=20,1,0))</formula>
    </cfRule>
    <cfRule type="expression" priority="236" dxfId="2">
      <formula>AND(IF($Q390=2,1,0),IF($X390&lt;30,1,0))</formula>
    </cfRule>
    <cfRule type="expression" priority="237" dxfId="1">
      <formula>AND(IF($Q390=3,1,0),IF($X390&lt;30,1,0))</formula>
    </cfRule>
    <cfRule type="expression" priority="238" dxfId="0">
      <formula>AND(IF($Q390=3,1,IF($Q390=4,1,0)),IF($F390&lt;=85,1,0))</formula>
    </cfRule>
  </conditionalFormatting>
  <conditionalFormatting sqref="AV391">
    <cfRule type="expression" priority="233" dxfId="23">
      <formula>AV391="X"</formula>
    </cfRule>
    <cfRule type="expression" priority="234" dxfId="22">
      <formula>AV391="후보"</formula>
    </cfRule>
  </conditionalFormatting>
  <conditionalFormatting sqref="AC39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1">
    <cfRule type="expression" priority="225" dxfId="3">
      <formula>AND(IF(OR($Q391=1,$Q391=2),1,0),IF($X391&lt;=20,1,0))</formula>
    </cfRule>
    <cfRule type="expression" priority="226" dxfId="2">
      <formula>AND(IF($Q391=2,1,0),IF($X391&lt;30,1,0))</formula>
    </cfRule>
    <cfRule type="expression" priority="227" dxfId="1">
      <formula>AND(IF($Q391=3,1,0),IF($X391&lt;30,1,0))</formula>
    </cfRule>
    <cfRule type="expression" priority="228" dxfId="0">
      <formula>AND(IF($Q391=3,1,IF($Q391=4,1,0)),IF($F391&lt;=85,1,0))</formula>
    </cfRule>
  </conditionalFormatting>
  <conditionalFormatting sqref="X391">
    <cfRule type="expression" priority="221" dxfId="3">
      <formula>AND(IF(OR($Q391=1,$Q391=2),1,0),IF($X391&lt;=20,1,0))</formula>
    </cfRule>
    <cfRule type="expression" priority="222" dxfId="2">
      <formula>AND(IF($Q391=2,1,0),IF($X391&lt;30,1,0))</formula>
    </cfRule>
    <cfRule type="expression" priority="223" dxfId="1">
      <formula>AND(IF($Q391=3,1,0),IF($X391&lt;30,1,0))</formula>
    </cfRule>
    <cfRule type="expression" priority="224" dxfId="0">
      <formula>AND(IF($Q391=3,1,IF($Q391=4,1,0)),IF($F391&lt;=85,1,0))</formula>
    </cfRule>
  </conditionalFormatting>
  <conditionalFormatting sqref="AI391">
    <cfRule type="expression" priority="217" dxfId="3">
      <formula>AND(IF(OR($Q391=1,$Q391=2),1,0),IF($X391&lt;=20,1,0))</formula>
    </cfRule>
    <cfRule type="expression" priority="218" dxfId="2">
      <formula>AND(IF($Q391=2,1,0),IF($X391&lt;30,1,0))</formula>
    </cfRule>
    <cfRule type="expression" priority="219" dxfId="1">
      <formula>AND(IF($Q391=3,1,0),IF($X391&lt;30,1,0))</formula>
    </cfRule>
    <cfRule type="expression" priority="220" dxfId="0">
      <formula>AND(IF($Q391=3,1,IF($Q391=4,1,0)),IF($F391&lt;=85,1,0))</formula>
    </cfRule>
  </conditionalFormatting>
  <conditionalFormatting sqref="AV392">
    <cfRule type="expression" priority="215" dxfId="23">
      <formula>AV392="X"</formula>
    </cfRule>
    <cfRule type="expression" priority="216" dxfId="22">
      <formula>AV392="후보"</formula>
    </cfRule>
  </conditionalFormatting>
  <conditionalFormatting sqref="AC39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2">
    <cfRule type="expression" priority="207" dxfId="3">
      <formula>AND(IF(OR($Q392=1,$Q392=2),1,0),IF($X392&lt;=20,1,0))</formula>
    </cfRule>
    <cfRule type="expression" priority="208" dxfId="2">
      <formula>AND(IF($Q392=2,1,0),IF($X392&lt;30,1,0))</formula>
    </cfRule>
    <cfRule type="expression" priority="209" dxfId="1">
      <formula>AND(IF($Q392=3,1,0),IF($X392&lt;30,1,0))</formula>
    </cfRule>
    <cfRule type="expression" priority="210" dxfId="0">
      <formula>AND(IF($Q392=3,1,IF($Q392=4,1,0)),IF($F392&lt;=85,1,0))</formula>
    </cfRule>
  </conditionalFormatting>
  <conditionalFormatting sqref="X392">
    <cfRule type="expression" priority="203" dxfId="3">
      <formula>AND(IF(OR($Q392=1,$Q392=2),1,0),IF($X392&lt;=20,1,0))</formula>
    </cfRule>
    <cfRule type="expression" priority="204" dxfId="2">
      <formula>AND(IF($Q392=2,1,0),IF($X392&lt;30,1,0))</formula>
    </cfRule>
    <cfRule type="expression" priority="205" dxfId="1">
      <formula>AND(IF($Q392=3,1,0),IF($X392&lt;30,1,0))</formula>
    </cfRule>
    <cfRule type="expression" priority="206" dxfId="0">
      <formula>AND(IF($Q392=3,1,IF($Q392=4,1,0)),IF($F392&lt;=85,1,0))</formula>
    </cfRule>
  </conditionalFormatting>
  <conditionalFormatting sqref="AI392">
    <cfRule type="expression" priority="199" dxfId="3">
      <formula>AND(IF(OR($Q392=1,$Q392=2),1,0),IF($X392&lt;=20,1,0))</formula>
    </cfRule>
    <cfRule type="expression" priority="200" dxfId="2">
      <formula>AND(IF($Q392=2,1,0),IF($X392&lt;30,1,0))</formula>
    </cfRule>
    <cfRule type="expression" priority="201" dxfId="1">
      <formula>AND(IF($Q392=3,1,0),IF($X392&lt;30,1,0))</formula>
    </cfRule>
    <cfRule type="expression" priority="202" dxfId="0">
      <formula>AND(IF($Q392=3,1,IF($Q392=4,1,0)),IF($F392&lt;=85,1,0))</formula>
    </cfRule>
  </conditionalFormatting>
  <conditionalFormatting sqref="AV393">
    <cfRule type="expression" priority="197" dxfId="23">
      <formula>AV393="X"</formula>
    </cfRule>
    <cfRule type="expression" priority="198" dxfId="22">
      <formula>AV393="후보"</formula>
    </cfRule>
  </conditionalFormatting>
  <conditionalFormatting sqref="AC39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3">
    <cfRule type="expression" priority="189" dxfId="3">
      <formula>AND(IF(OR($Q393=1,$Q393=2),1,0),IF($X393&lt;=20,1,0))</formula>
    </cfRule>
    <cfRule type="expression" priority="190" dxfId="2">
      <formula>AND(IF($Q393=2,1,0),IF($X393&lt;30,1,0))</formula>
    </cfRule>
    <cfRule type="expression" priority="191" dxfId="1">
      <formula>AND(IF($Q393=3,1,0),IF($X393&lt;30,1,0))</formula>
    </cfRule>
    <cfRule type="expression" priority="192" dxfId="0">
      <formula>AND(IF($Q393=3,1,IF($Q393=4,1,0)),IF($F393&lt;=85,1,0))</formula>
    </cfRule>
  </conditionalFormatting>
  <conditionalFormatting sqref="X393">
    <cfRule type="expression" priority="185" dxfId="3">
      <formula>AND(IF(OR($Q393=1,$Q393=2),1,0),IF($X393&lt;=20,1,0))</formula>
    </cfRule>
    <cfRule type="expression" priority="186" dxfId="2">
      <formula>AND(IF($Q393=2,1,0),IF($X393&lt;30,1,0))</formula>
    </cfRule>
    <cfRule type="expression" priority="187" dxfId="1">
      <formula>AND(IF($Q393=3,1,0),IF($X393&lt;30,1,0))</formula>
    </cfRule>
    <cfRule type="expression" priority="188" dxfId="0">
      <formula>AND(IF($Q393=3,1,IF($Q393=4,1,0)),IF($F393&lt;=85,1,0))</formula>
    </cfRule>
  </conditionalFormatting>
  <conditionalFormatting sqref="AI393">
    <cfRule type="expression" priority="181" dxfId="3">
      <formula>AND(IF(OR($Q393=1,$Q393=2),1,0),IF($X393&lt;=20,1,0))</formula>
    </cfRule>
    <cfRule type="expression" priority="182" dxfId="2">
      <formula>AND(IF($Q393=2,1,0),IF($X393&lt;30,1,0))</formula>
    </cfRule>
    <cfRule type="expression" priority="183" dxfId="1">
      <formula>AND(IF($Q393=3,1,0),IF($X393&lt;30,1,0))</formula>
    </cfRule>
    <cfRule type="expression" priority="184" dxfId="0">
      <formula>AND(IF($Q393=3,1,IF($Q393=4,1,0)),IF($F393&lt;=85,1,0))</formula>
    </cfRule>
  </conditionalFormatting>
  <conditionalFormatting sqref="AV394">
    <cfRule type="expression" priority="179" dxfId="23">
      <formula>AV394="X"</formula>
    </cfRule>
    <cfRule type="expression" priority="180" dxfId="22">
      <formula>AV394="후보"</formula>
    </cfRule>
  </conditionalFormatting>
  <conditionalFormatting sqref="AC39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4">
    <cfRule type="expression" priority="171" dxfId="3">
      <formula>AND(IF(OR($Q394=1,$Q394=2),1,0),IF($X394&lt;=20,1,0))</formula>
    </cfRule>
    <cfRule type="expression" priority="172" dxfId="2">
      <formula>AND(IF($Q394=2,1,0),IF($X394&lt;30,1,0))</formula>
    </cfRule>
    <cfRule type="expression" priority="173" dxfId="1">
      <formula>AND(IF($Q394=3,1,0),IF($X394&lt;30,1,0))</formula>
    </cfRule>
    <cfRule type="expression" priority="174" dxfId="0">
      <formula>AND(IF($Q394=3,1,IF($Q394=4,1,0)),IF($F394&lt;=85,1,0))</formula>
    </cfRule>
  </conditionalFormatting>
  <conditionalFormatting sqref="X394">
    <cfRule type="expression" priority="167" dxfId="3">
      <formula>AND(IF(OR($Q394=1,$Q394=2),1,0),IF($X394&lt;=20,1,0))</formula>
    </cfRule>
    <cfRule type="expression" priority="168" dxfId="2">
      <formula>AND(IF($Q394=2,1,0),IF($X394&lt;30,1,0))</formula>
    </cfRule>
    <cfRule type="expression" priority="169" dxfId="1">
      <formula>AND(IF($Q394=3,1,0),IF($X394&lt;30,1,0))</formula>
    </cfRule>
    <cfRule type="expression" priority="170" dxfId="0">
      <formula>AND(IF($Q394=3,1,IF($Q394=4,1,0)),IF($F394&lt;=85,1,0))</formula>
    </cfRule>
  </conditionalFormatting>
  <conditionalFormatting sqref="AI394">
    <cfRule type="expression" priority="163" dxfId="3">
      <formula>AND(IF(OR($Q394=1,$Q394=2),1,0),IF($X394&lt;=20,1,0))</formula>
    </cfRule>
    <cfRule type="expression" priority="164" dxfId="2">
      <formula>AND(IF($Q394=2,1,0),IF($X394&lt;30,1,0))</formula>
    </cfRule>
    <cfRule type="expression" priority="165" dxfId="1">
      <formula>AND(IF($Q394=3,1,0),IF($X394&lt;30,1,0))</formula>
    </cfRule>
    <cfRule type="expression" priority="166" dxfId="0">
      <formula>AND(IF($Q394=3,1,IF($Q394=4,1,0)),IF($F394&lt;=85,1,0))</formula>
    </cfRule>
  </conditionalFormatting>
  <conditionalFormatting sqref="AV395">
    <cfRule type="expression" priority="161" dxfId="23">
      <formula>AV395="X"</formula>
    </cfRule>
    <cfRule type="expression" priority="162" dxfId="22">
      <formula>AV395="후보"</formula>
    </cfRule>
  </conditionalFormatting>
  <conditionalFormatting sqref="AC39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9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95">
    <cfRule type="expression" priority="153" dxfId="3">
      <formula>AND(IF(OR($Q395=1,$Q395=2),1,0),IF($X395&lt;=20,1,0))</formula>
    </cfRule>
    <cfRule type="expression" priority="154" dxfId="2">
      <formula>AND(IF($Q395=2,1,0),IF($X395&lt;30,1,0))</formula>
    </cfRule>
    <cfRule type="expression" priority="155" dxfId="1">
      <formula>AND(IF($Q395=3,1,0),IF($X395&lt;30,1,0))</formula>
    </cfRule>
    <cfRule type="expression" priority="156" dxfId="0">
      <formula>AND(IF($Q395=3,1,IF($Q395=4,1,0)),IF($F395&lt;=85,1,0))</formula>
    </cfRule>
  </conditionalFormatting>
  <conditionalFormatting sqref="X395">
    <cfRule type="expression" priority="149" dxfId="3">
      <formula>AND(IF(OR($Q395=1,$Q395=2),1,0),IF($X395&lt;=20,1,0))</formula>
    </cfRule>
    <cfRule type="expression" priority="150" dxfId="2">
      <formula>AND(IF($Q395=2,1,0),IF($X395&lt;30,1,0))</formula>
    </cfRule>
    <cfRule type="expression" priority="151" dxfId="1">
      <formula>AND(IF($Q395=3,1,0),IF($X395&lt;30,1,0))</formula>
    </cfRule>
    <cfRule type="expression" priority="152" dxfId="0">
      <formula>AND(IF($Q395=3,1,IF($Q395=4,1,0)),IF($F395&lt;=85,1,0))</formula>
    </cfRule>
  </conditionalFormatting>
  <conditionalFormatting sqref="AI395">
    <cfRule type="expression" priority="145" dxfId="3">
      <formula>AND(IF(OR($Q395=1,$Q395=2),1,0),IF($X395&lt;=20,1,0))</formula>
    </cfRule>
    <cfRule type="expression" priority="146" dxfId="2">
      <formula>AND(IF($Q395=2,1,0),IF($X395&lt;30,1,0))</formula>
    </cfRule>
    <cfRule type="expression" priority="147" dxfId="1">
      <formula>AND(IF($Q395=3,1,0),IF($X395&lt;30,1,0))</formula>
    </cfRule>
    <cfRule type="expression" priority="148" dxfId="0">
      <formula>AND(IF($Q395=3,1,IF($Q395=4,1,0)),IF($F395&lt;=85,1,0))</formula>
    </cfRule>
  </conditionalFormatting>
  <conditionalFormatting sqref="AV396">
    <cfRule type="expression" priority="143" dxfId="23">
      <formula>AV396="X"</formula>
    </cfRule>
    <cfRule type="expression" priority="144" dxfId="22">
      <formula>AV396="후보"</formula>
    </cfRule>
  </conditionalFormatting>
  <conditionalFormatting sqref="AC39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96">
    <cfRule type="expression" priority="135" dxfId="3">
      <formula>AND(IF(OR($Q396=1,$Q396=2),1,0),IF($X396&lt;=20,1,0))</formula>
    </cfRule>
    <cfRule type="expression" priority="136" dxfId="2">
      <formula>AND(IF($Q396=2,1,0),IF($X396&lt;30,1,0))</formula>
    </cfRule>
    <cfRule type="expression" priority="137" dxfId="1">
      <formula>AND(IF($Q396=3,1,0),IF($X396&lt;30,1,0))</formula>
    </cfRule>
    <cfRule type="expression" priority="138" dxfId="0">
      <formula>AND(IF($Q396=3,1,IF($Q396=4,1,0)),IF($F396&lt;=85,1,0))</formula>
    </cfRule>
  </conditionalFormatting>
  <conditionalFormatting sqref="X396">
    <cfRule type="expression" priority="131" dxfId="3">
      <formula>AND(IF(OR($Q396=1,$Q396=2),1,0),IF($X396&lt;=20,1,0))</formula>
    </cfRule>
    <cfRule type="expression" priority="132" dxfId="2">
      <formula>AND(IF($Q396=2,1,0),IF($X396&lt;30,1,0))</formula>
    </cfRule>
    <cfRule type="expression" priority="133" dxfId="1">
      <formula>AND(IF($Q396=3,1,0),IF($X396&lt;30,1,0))</formula>
    </cfRule>
    <cfRule type="expression" priority="134" dxfId="0">
      <formula>AND(IF($Q396=3,1,IF($Q396=4,1,0)),IF($F396&lt;=85,1,0))</formula>
    </cfRule>
  </conditionalFormatting>
  <conditionalFormatting sqref="AI396">
    <cfRule type="expression" priority="127" dxfId="3">
      <formula>AND(IF(OR($Q396=1,$Q396=2),1,0),IF($X396&lt;=20,1,0))</formula>
    </cfRule>
    <cfRule type="expression" priority="128" dxfId="2">
      <formula>AND(IF($Q396=2,1,0),IF($X396&lt;30,1,0))</formula>
    </cfRule>
    <cfRule type="expression" priority="129" dxfId="1">
      <formula>AND(IF($Q396=3,1,0),IF($X396&lt;30,1,0))</formula>
    </cfRule>
    <cfRule type="expression" priority="130" dxfId="0">
      <formula>AND(IF($Q396=3,1,IF($Q396=4,1,0)),IF($F396&lt;=85,1,0))</formula>
    </cfRule>
  </conditionalFormatting>
  <conditionalFormatting sqref="AV397">
    <cfRule type="expression" priority="125" dxfId="23">
      <formula>AV397="X"</formula>
    </cfRule>
    <cfRule type="expression" priority="126" dxfId="22">
      <formula>AV397="후보"</formula>
    </cfRule>
  </conditionalFormatting>
  <conditionalFormatting sqref="AC39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97">
    <cfRule type="expression" priority="117" dxfId="3">
      <formula>AND(IF(OR($Q397=1,$Q397=2),1,0),IF($X397&lt;=20,1,0))</formula>
    </cfRule>
    <cfRule type="expression" priority="118" dxfId="2">
      <formula>AND(IF($Q397=2,1,0),IF($X397&lt;30,1,0))</formula>
    </cfRule>
    <cfRule type="expression" priority="119" dxfId="1">
      <formula>AND(IF($Q397=3,1,0),IF($X397&lt;30,1,0))</formula>
    </cfRule>
    <cfRule type="expression" priority="120" dxfId="0">
      <formula>AND(IF($Q397=3,1,IF($Q397=4,1,0)),IF($F397&lt;=85,1,0))</formula>
    </cfRule>
  </conditionalFormatting>
  <conditionalFormatting sqref="X397">
    <cfRule type="expression" priority="113" dxfId="3">
      <formula>AND(IF(OR($Q397=1,$Q397=2),1,0),IF($X397&lt;=20,1,0))</formula>
    </cfRule>
    <cfRule type="expression" priority="114" dxfId="2">
      <formula>AND(IF($Q397=2,1,0),IF($X397&lt;30,1,0))</formula>
    </cfRule>
    <cfRule type="expression" priority="115" dxfId="1">
      <formula>AND(IF($Q397=3,1,0),IF($X397&lt;30,1,0))</formula>
    </cfRule>
    <cfRule type="expression" priority="116" dxfId="0">
      <formula>AND(IF($Q397=3,1,IF($Q397=4,1,0)),IF($F397&lt;=85,1,0))</formula>
    </cfRule>
  </conditionalFormatting>
  <conditionalFormatting sqref="AI397">
    <cfRule type="expression" priority="109" dxfId="3">
      <formula>AND(IF(OR($Q397=1,$Q397=2),1,0),IF($X397&lt;=20,1,0))</formula>
    </cfRule>
    <cfRule type="expression" priority="110" dxfId="2">
      <formula>AND(IF($Q397=2,1,0),IF($X397&lt;30,1,0))</formula>
    </cfRule>
    <cfRule type="expression" priority="111" dxfId="1">
      <formula>AND(IF($Q397=3,1,0),IF($X397&lt;30,1,0))</formula>
    </cfRule>
    <cfRule type="expression" priority="112" dxfId="0">
      <formula>AND(IF($Q397=3,1,IF($Q397=4,1,0)),IF($F397&lt;=85,1,0))</formula>
    </cfRule>
  </conditionalFormatting>
  <conditionalFormatting sqref="AV398">
    <cfRule type="expression" priority="107" dxfId="23">
      <formula>AV398="X"</formula>
    </cfRule>
    <cfRule type="expression" priority="108" dxfId="22">
      <formula>AV398="후보"</formula>
    </cfRule>
  </conditionalFormatting>
  <conditionalFormatting sqref="AC39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98">
    <cfRule type="expression" priority="99" dxfId="3">
      <formula>AND(IF(OR($Q398=1,$Q398=2),1,0),IF($X398&lt;=20,1,0))</formula>
    </cfRule>
    <cfRule type="expression" priority="100" dxfId="2">
      <formula>AND(IF($Q398=2,1,0),IF($X398&lt;30,1,0))</formula>
    </cfRule>
    <cfRule type="expression" priority="101" dxfId="1">
      <formula>AND(IF($Q398=3,1,0),IF($X398&lt;30,1,0))</formula>
    </cfRule>
    <cfRule type="expression" priority="102" dxfId="0">
      <formula>AND(IF($Q398=3,1,IF($Q398=4,1,0)),IF($F398&lt;=85,1,0))</formula>
    </cfRule>
  </conditionalFormatting>
  <conditionalFormatting sqref="X398">
    <cfRule type="expression" priority="95" dxfId="3">
      <formula>AND(IF(OR($Q398=1,$Q398=2),1,0),IF($X398&lt;=20,1,0))</formula>
    </cfRule>
    <cfRule type="expression" priority="96" dxfId="2">
      <formula>AND(IF($Q398=2,1,0),IF($X398&lt;30,1,0))</formula>
    </cfRule>
    <cfRule type="expression" priority="97" dxfId="1">
      <formula>AND(IF($Q398=3,1,0),IF($X398&lt;30,1,0))</formula>
    </cfRule>
    <cfRule type="expression" priority="98" dxfId="0">
      <formula>AND(IF($Q398=3,1,IF($Q398=4,1,0)),IF($F398&lt;=85,1,0))</formula>
    </cfRule>
  </conditionalFormatting>
  <conditionalFormatting sqref="AI398">
    <cfRule type="expression" priority="91" dxfId="3">
      <formula>AND(IF(OR($Q398=1,$Q398=2),1,0),IF($X398&lt;=20,1,0))</formula>
    </cfRule>
    <cfRule type="expression" priority="92" dxfId="2">
      <formula>AND(IF($Q398=2,1,0),IF($X398&lt;30,1,0))</formula>
    </cfRule>
    <cfRule type="expression" priority="93" dxfId="1">
      <formula>AND(IF($Q398=3,1,0),IF($X398&lt;30,1,0))</formula>
    </cfRule>
    <cfRule type="expression" priority="94" dxfId="0">
      <formula>AND(IF($Q398=3,1,IF($Q398=4,1,0)),IF($F398&lt;=85,1,0))</formula>
    </cfRule>
  </conditionalFormatting>
  <conditionalFormatting sqref="AV399">
    <cfRule type="expression" priority="89" dxfId="23">
      <formula>AV399="X"</formula>
    </cfRule>
    <cfRule type="expression" priority="90" dxfId="22">
      <formula>AV399="후보"</formula>
    </cfRule>
  </conditionalFormatting>
  <conditionalFormatting sqref="AC39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99">
    <cfRule type="expression" priority="81" dxfId="3">
      <formula>AND(IF(OR($Q399=1,$Q399=2),1,0),IF($X399&lt;=20,1,0))</formula>
    </cfRule>
    <cfRule type="expression" priority="82" dxfId="2">
      <formula>AND(IF($Q399=2,1,0),IF($X399&lt;30,1,0))</formula>
    </cfRule>
    <cfRule type="expression" priority="83" dxfId="1">
      <formula>AND(IF($Q399=3,1,0),IF($X399&lt;30,1,0))</formula>
    </cfRule>
    <cfRule type="expression" priority="84" dxfId="0">
      <formula>AND(IF($Q399=3,1,IF($Q399=4,1,0)),IF($F399&lt;=85,1,0))</formula>
    </cfRule>
  </conditionalFormatting>
  <conditionalFormatting sqref="X399">
    <cfRule type="expression" priority="77" dxfId="3">
      <formula>AND(IF(OR($Q399=1,$Q399=2),1,0),IF($X399&lt;=20,1,0))</formula>
    </cfRule>
    <cfRule type="expression" priority="78" dxfId="2">
      <formula>AND(IF($Q399=2,1,0),IF($X399&lt;30,1,0))</formula>
    </cfRule>
    <cfRule type="expression" priority="79" dxfId="1">
      <formula>AND(IF($Q399=3,1,0),IF($X399&lt;30,1,0))</formula>
    </cfRule>
    <cfRule type="expression" priority="80" dxfId="0">
      <formula>AND(IF($Q399=3,1,IF($Q399=4,1,0)),IF($F399&lt;=85,1,0))</formula>
    </cfRule>
  </conditionalFormatting>
  <conditionalFormatting sqref="AI399">
    <cfRule type="expression" priority="73" dxfId="3">
      <formula>AND(IF(OR($Q399=1,$Q399=2),1,0),IF($X399&lt;=20,1,0))</formula>
    </cfRule>
    <cfRule type="expression" priority="74" dxfId="2">
      <formula>AND(IF($Q399=2,1,0),IF($X399&lt;30,1,0))</formula>
    </cfRule>
    <cfRule type="expression" priority="75" dxfId="1">
      <formula>AND(IF($Q399=3,1,0),IF($X399&lt;30,1,0))</formula>
    </cfRule>
    <cfRule type="expression" priority="76" dxfId="0">
      <formula>AND(IF($Q399=3,1,IF($Q399=4,1,0)),IF($F399&lt;=85,1,0))</formula>
    </cfRule>
  </conditionalFormatting>
  <conditionalFormatting sqref="AV400">
    <cfRule type="expression" priority="71" dxfId="23">
      <formula>AV400="X"</formula>
    </cfRule>
    <cfRule type="expression" priority="72" dxfId="22">
      <formula>AV400="후보"</formula>
    </cfRule>
  </conditionalFormatting>
  <conditionalFormatting sqref="AC40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0">
    <cfRule type="expression" priority="63" dxfId="3">
      <formula>AND(IF(OR($Q400=1,$Q400=2),1,0),IF($X400&lt;=20,1,0))</formula>
    </cfRule>
    <cfRule type="expression" priority="64" dxfId="2">
      <formula>AND(IF($Q400=2,1,0),IF($X400&lt;30,1,0))</formula>
    </cfRule>
    <cfRule type="expression" priority="65" dxfId="1">
      <formula>AND(IF($Q400=3,1,0),IF($X400&lt;30,1,0))</formula>
    </cfRule>
    <cfRule type="expression" priority="66" dxfId="0">
      <formula>AND(IF($Q400=3,1,IF($Q400=4,1,0)),IF($F400&lt;=85,1,0))</formula>
    </cfRule>
  </conditionalFormatting>
  <conditionalFormatting sqref="X400">
    <cfRule type="expression" priority="59" dxfId="3">
      <formula>AND(IF(OR($Q400=1,$Q400=2),1,0),IF($X400&lt;=20,1,0))</formula>
    </cfRule>
    <cfRule type="expression" priority="60" dxfId="2">
      <formula>AND(IF($Q400=2,1,0),IF($X400&lt;30,1,0))</formula>
    </cfRule>
    <cfRule type="expression" priority="61" dxfId="1">
      <formula>AND(IF($Q400=3,1,0),IF($X400&lt;30,1,0))</formula>
    </cfRule>
    <cfRule type="expression" priority="62" dxfId="0">
      <formula>AND(IF($Q400=3,1,IF($Q400=4,1,0)),IF($F400&lt;=85,1,0))</formula>
    </cfRule>
  </conditionalFormatting>
  <conditionalFormatting sqref="AI400">
    <cfRule type="expression" priority="55" dxfId="3">
      <formula>AND(IF(OR($Q400=1,$Q400=2),1,0),IF($X400&lt;=20,1,0))</formula>
    </cfRule>
    <cfRule type="expression" priority="56" dxfId="2">
      <formula>AND(IF($Q400=2,1,0),IF($X400&lt;30,1,0))</formula>
    </cfRule>
    <cfRule type="expression" priority="57" dxfId="1">
      <formula>AND(IF($Q400=3,1,0),IF($X400&lt;30,1,0))</formula>
    </cfRule>
    <cfRule type="expression" priority="58" dxfId="0">
      <formula>AND(IF($Q400=3,1,IF($Q400=4,1,0)),IF($F400&lt;=85,1,0))</formula>
    </cfRule>
  </conditionalFormatting>
  <conditionalFormatting sqref="AV401">
    <cfRule type="expression" priority="53" dxfId="23">
      <formula>AV401="X"</formula>
    </cfRule>
    <cfRule type="expression" priority="54" dxfId="22">
      <formula>AV401="후보"</formula>
    </cfRule>
  </conditionalFormatting>
  <conditionalFormatting sqref="AC4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1">
    <cfRule type="expression" priority="45" dxfId="3">
      <formula>AND(IF(OR($Q401=1,$Q401=2),1,0),IF($X401&lt;=20,1,0))</formula>
    </cfRule>
    <cfRule type="expression" priority="46" dxfId="2">
      <formula>AND(IF($Q401=2,1,0),IF($X401&lt;30,1,0))</formula>
    </cfRule>
    <cfRule type="expression" priority="47" dxfId="1">
      <formula>AND(IF($Q401=3,1,0),IF($X401&lt;30,1,0))</formula>
    </cfRule>
    <cfRule type="expression" priority="48" dxfId="0">
      <formula>AND(IF($Q401=3,1,IF($Q401=4,1,0)),IF($F401&lt;=85,1,0))</formula>
    </cfRule>
  </conditionalFormatting>
  <conditionalFormatting sqref="X401">
    <cfRule type="expression" priority="41" dxfId="3">
      <formula>AND(IF(OR($Q401=1,$Q401=2),1,0),IF($X401&lt;=20,1,0))</formula>
    </cfRule>
    <cfRule type="expression" priority="42" dxfId="2">
      <formula>AND(IF($Q401=2,1,0),IF($X401&lt;30,1,0))</formula>
    </cfRule>
    <cfRule type="expression" priority="43" dxfId="1">
      <formula>AND(IF($Q401=3,1,0),IF($X401&lt;30,1,0))</formula>
    </cfRule>
    <cfRule type="expression" priority="44" dxfId="0">
      <formula>AND(IF($Q401=3,1,IF($Q401=4,1,0)),IF($F401&lt;=85,1,0))</formula>
    </cfRule>
  </conditionalFormatting>
  <conditionalFormatting sqref="AI401">
    <cfRule type="expression" priority="37" dxfId="3">
      <formula>AND(IF(OR($Q401=1,$Q401=2),1,0),IF($X401&lt;=20,1,0))</formula>
    </cfRule>
    <cfRule type="expression" priority="38" dxfId="2">
      <formula>AND(IF($Q401=2,1,0),IF($X401&lt;30,1,0))</formula>
    </cfRule>
    <cfRule type="expression" priority="39" dxfId="1">
      <formula>AND(IF($Q401=3,1,0),IF($X401&lt;30,1,0))</formula>
    </cfRule>
    <cfRule type="expression" priority="40" dxfId="0">
      <formula>AND(IF($Q401=3,1,IF($Q401=4,1,0)),IF($F401&lt;=85,1,0))</formula>
    </cfRule>
  </conditionalFormatting>
  <conditionalFormatting sqref="AV402">
    <cfRule type="expression" priority="35" dxfId="23">
      <formula>AV402="X"</formula>
    </cfRule>
    <cfRule type="expression" priority="36" dxfId="22">
      <formula>AV402="후보"</formula>
    </cfRule>
  </conditionalFormatting>
  <conditionalFormatting sqref="AC40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2">
    <cfRule type="expression" priority="27" dxfId="3">
      <formula>AND(IF(OR($Q402=1,$Q402=2),1,0),IF($X402&lt;=20,1,0))</formula>
    </cfRule>
    <cfRule type="expression" priority="28" dxfId="2">
      <formula>AND(IF($Q402=2,1,0),IF($X402&lt;30,1,0))</formula>
    </cfRule>
    <cfRule type="expression" priority="29" dxfId="1">
      <formula>AND(IF($Q402=3,1,0),IF($X402&lt;30,1,0))</formula>
    </cfRule>
    <cfRule type="expression" priority="30" dxfId="0">
      <formula>AND(IF($Q402=3,1,IF($Q402=4,1,0)),IF($F402&lt;=85,1,0))</formula>
    </cfRule>
  </conditionalFormatting>
  <conditionalFormatting sqref="X402">
    <cfRule type="expression" priority="23" dxfId="3">
      <formula>AND(IF(OR($Q402=1,$Q402=2),1,0),IF($X402&lt;=20,1,0))</formula>
    </cfRule>
    <cfRule type="expression" priority="24" dxfId="2">
      <formula>AND(IF($Q402=2,1,0),IF($X402&lt;30,1,0))</formula>
    </cfRule>
    <cfRule type="expression" priority="25" dxfId="1">
      <formula>AND(IF($Q402=3,1,0),IF($X402&lt;30,1,0))</formula>
    </cfRule>
    <cfRule type="expression" priority="26" dxfId="0">
      <formula>AND(IF($Q402=3,1,IF($Q402=4,1,0)),IF($F402&lt;=85,1,0))</formula>
    </cfRule>
  </conditionalFormatting>
  <conditionalFormatting sqref="AI402">
    <cfRule type="expression" priority="19" dxfId="3">
      <formula>AND(IF(OR($Q402=1,$Q402=2),1,0),IF($X402&lt;=20,1,0))</formula>
    </cfRule>
    <cfRule type="expression" priority="20" dxfId="2">
      <formula>AND(IF($Q402=2,1,0),IF($X402&lt;30,1,0))</formula>
    </cfRule>
    <cfRule type="expression" priority="21" dxfId="1">
      <formula>AND(IF($Q402=3,1,0),IF($X402&lt;30,1,0))</formula>
    </cfRule>
    <cfRule type="expression" priority="22" dxfId="0">
      <formula>AND(IF($Q402=3,1,IF($Q402=4,1,0)),IF($F402&lt;=85,1,0))</formula>
    </cfRule>
  </conditionalFormatting>
  <conditionalFormatting sqref="AV403">
    <cfRule type="expression" priority="17" dxfId="23">
      <formula>AV403="X"</formula>
    </cfRule>
    <cfRule type="expression" priority="18" dxfId="22">
      <formula>AV403="후보"</formula>
    </cfRule>
  </conditionalFormatting>
  <conditionalFormatting sqref="AC4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3">
    <cfRule type="expression" priority="9" dxfId="3">
      <formula>AND(IF(OR($Q403=1,$Q403=2),1,0),IF($X403&lt;=20,1,0))</formula>
    </cfRule>
    <cfRule type="expression" priority="10" dxfId="2">
      <formula>AND(IF($Q403=2,1,0),IF($X403&lt;30,1,0))</formula>
    </cfRule>
    <cfRule type="expression" priority="11" dxfId="1">
      <formula>AND(IF($Q403=3,1,0),IF($X403&lt;30,1,0))</formula>
    </cfRule>
    <cfRule type="expression" priority="12" dxfId="0">
      <formula>AND(IF($Q403=3,1,IF($Q403=4,1,0)),IF($F403&lt;=85,1,0))</formula>
    </cfRule>
  </conditionalFormatting>
  <conditionalFormatting sqref="X403">
    <cfRule type="expression" priority="5" dxfId="3">
      <formula>AND(IF(OR($Q403=1,$Q403=2),1,0),IF($X403&lt;=20,1,0))</formula>
    </cfRule>
    <cfRule type="expression" priority="6" dxfId="2">
      <formula>AND(IF($Q403=2,1,0),IF($X403&lt;30,1,0))</formula>
    </cfRule>
    <cfRule type="expression" priority="7" dxfId="1">
      <formula>AND(IF($Q403=3,1,0),IF($X403&lt;30,1,0))</formula>
    </cfRule>
    <cfRule type="expression" priority="8" dxfId="0">
      <formula>AND(IF($Q403=3,1,IF($Q403=4,1,0)),IF($F403&lt;=85,1,0))</formula>
    </cfRule>
  </conditionalFormatting>
  <conditionalFormatting sqref="AI403">
    <cfRule type="expression" priority="1" dxfId="3">
      <formula>AND(IF(OR($Q403=1,$Q403=2),1,0),IF($X403&lt;=20,1,0))</formula>
    </cfRule>
    <cfRule type="expression" priority="2" dxfId="2">
      <formula>AND(IF($Q403=2,1,0),IF($X403&lt;30,1,0))</formula>
    </cfRule>
    <cfRule type="expression" priority="3" dxfId="1">
      <formula>AND(IF($Q403=3,1,0),IF($X403&lt;30,1,0))</formula>
    </cfRule>
    <cfRule type="expression" priority="4" dxfId="0">
      <formula>AND(IF($Q403=3,1,IF($Q403=4,1,0)),IF($F403&lt;=85,1,0))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U41" sqref="U41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9" customWidth="1" style="76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O</t>
        </is>
      </c>
      <c r="M1" s="0" t="n"/>
      <c r="N1" s="111" t="inlineStr">
        <is>
          <t>추출기준세대수</t>
        </is>
      </c>
      <c r="O1" s="110" t="n"/>
      <c r="P1" s="124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8">
      <c r="A4" s="120" t="inlineStr">
        <is>
          <t>귤현동 계양센트레빌1단지</t>
        </is>
      </c>
      <c r="B4" s="121" t="inlineStr">
        <is>
          <t>13.02.</t>
        </is>
      </c>
      <c r="C4" s="129" t="n">
        <v>715</v>
      </c>
      <c r="D4" s="130" t="n">
        <v>150.4</v>
      </c>
      <c r="E4" s="131" t="n">
        <v>45</v>
      </c>
      <c r="F4" s="130" t="n">
        <v>121.7</v>
      </c>
      <c r="G4" s="17" t="n">
        <v>37</v>
      </c>
      <c r="H4" s="132" t="n">
        <v>58</v>
      </c>
      <c r="I4" s="133" t="n">
        <v>95000</v>
      </c>
      <c r="J4" s="133" t="inlineStr">
        <is>
          <t>중</t>
        </is>
      </c>
      <c r="K4" s="133" t="n">
        <v>60000</v>
      </c>
      <c r="L4" s="133" t="inlineStr">
        <is>
          <t>5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150A</t>
        </is>
      </c>
      <c r="U4" s="9" t="n"/>
    </row>
    <row r="5" ht="12" customFormat="1" customHeight="1" s="38">
      <c r="A5" s="120" t="inlineStr">
        <is>
          <t>귤현동 계양센트레빌3단지</t>
        </is>
      </c>
      <c r="B5" s="121" t="inlineStr">
        <is>
          <t>13.06.</t>
        </is>
      </c>
      <c r="C5" s="129" t="n">
        <v>454</v>
      </c>
      <c r="D5" s="130" t="n">
        <v>153.1</v>
      </c>
      <c r="E5" s="131" t="n">
        <v>46</v>
      </c>
      <c r="F5" s="130" t="n">
        <v>121.7</v>
      </c>
      <c r="G5" s="17" t="n">
        <v>37</v>
      </c>
      <c r="H5" s="132" t="n">
        <v>62</v>
      </c>
      <c r="I5" s="133" t="n">
        <v>83000</v>
      </c>
      <c r="J5" s="133" t="inlineStr">
        <is>
          <t>7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inlineStr">
        <is>
          <t>153A</t>
        </is>
      </c>
      <c r="U5" s="9" t="n"/>
    </row>
    <row r="6" ht="12" customFormat="1" customHeight="1" s="38">
      <c r="A6" s="120" t="inlineStr">
        <is>
          <t>귤현동 계양센트레빌3단지</t>
        </is>
      </c>
      <c r="B6" s="121" t="inlineStr">
        <is>
          <t>13.06.</t>
        </is>
      </c>
      <c r="C6" s="129" t="n">
        <v>454</v>
      </c>
      <c r="D6" s="130" t="n">
        <v>177.3</v>
      </c>
      <c r="E6" s="131" t="n">
        <v>54</v>
      </c>
      <c r="F6" s="130" t="n">
        <v>145.9</v>
      </c>
      <c r="G6" s="17" t="n">
        <v>44</v>
      </c>
      <c r="H6" s="132" t="n">
        <v>50</v>
      </c>
      <c r="I6" s="133" t="n">
        <v>80000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177A</t>
        </is>
      </c>
      <c r="U6" s="9" t="n"/>
    </row>
    <row r="7" ht="12" customFormat="1" customHeight="1" s="38">
      <c r="A7" s="120" t="inlineStr">
        <is>
          <t>박촌동 계양한양수자인</t>
        </is>
      </c>
      <c r="B7" s="121" t="inlineStr">
        <is>
          <t>11.12.</t>
        </is>
      </c>
      <c r="C7" s="129" t="n">
        <v>376</v>
      </c>
      <c r="D7" s="130" t="n">
        <v>113.7</v>
      </c>
      <c r="E7" s="131" t="n">
        <v>34</v>
      </c>
      <c r="F7" s="130" t="n">
        <v>85</v>
      </c>
      <c r="G7" s="17" t="n">
        <v>26</v>
      </c>
      <c r="H7" s="132" t="n">
        <v>133</v>
      </c>
      <c r="I7" s="133" t="n">
        <v>80000</v>
      </c>
      <c r="J7" s="133" t="inlineStr">
        <is>
          <t>중</t>
        </is>
      </c>
      <c r="K7" s="133" t="n">
        <v>55000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113A</t>
        </is>
      </c>
      <c r="U7" s="9" t="n"/>
    </row>
    <row r="8" ht="12" customFormat="1" customHeight="1" s="38">
      <c r="A8" s="120" t="inlineStr">
        <is>
          <t>귤현동 계양센트레빌3단지</t>
        </is>
      </c>
      <c r="B8" s="121" t="inlineStr">
        <is>
          <t>13.06.</t>
        </is>
      </c>
      <c r="C8" s="129" t="n">
        <v>454</v>
      </c>
      <c r="D8" s="130" t="n">
        <v>132.1</v>
      </c>
      <c r="E8" s="131" t="n">
        <v>40</v>
      </c>
      <c r="F8" s="130" t="n">
        <v>101.9</v>
      </c>
      <c r="G8" s="17" t="n">
        <v>31</v>
      </c>
      <c r="H8" s="132" t="n">
        <v>109</v>
      </c>
      <c r="I8" s="133" t="n">
        <v>76000</v>
      </c>
      <c r="J8" s="133" t="inlineStr">
        <is>
          <t>중</t>
        </is>
      </c>
      <c r="K8" s="133" t="n">
        <v>45000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</row>
    <row r="9" ht="12" customFormat="1" customHeight="1" s="38">
      <c r="A9" s="120" t="inlineStr">
        <is>
          <t>용종동 인천계양코아루센트럴파크</t>
        </is>
      </c>
      <c r="B9" s="121" t="inlineStr">
        <is>
          <t>17.06.</t>
        </is>
      </c>
      <c r="C9" s="129" t="n">
        <v>724</v>
      </c>
      <c r="D9" s="130" t="n">
        <v>117.5</v>
      </c>
      <c r="E9" s="131" t="n">
        <v>36</v>
      </c>
      <c r="F9" s="130" t="n">
        <v>84.8</v>
      </c>
      <c r="G9" s="17" t="n">
        <v>26</v>
      </c>
      <c r="H9" s="132" t="n">
        <v>198</v>
      </c>
      <c r="I9" s="133" t="n">
        <v>75000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117B</t>
        </is>
      </c>
      <c r="U9" s="9" t="n"/>
    </row>
    <row r="10" ht="12" customFormat="1" customHeight="1" s="38">
      <c r="A10" s="120" t="inlineStr">
        <is>
          <t>귤현동 계양센트레빌1단지</t>
        </is>
      </c>
      <c r="B10" s="121" t="inlineStr">
        <is>
          <t>13.02.</t>
        </is>
      </c>
      <c r="C10" s="129" t="n">
        <v>715</v>
      </c>
      <c r="D10" s="130" t="n">
        <v>131.6</v>
      </c>
      <c r="E10" s="131" t="n">
        <v>40</v>
      </c>
      <c r="F10" s="130" t="n">
        <v>101.9</v>
      </c>
      <c r="G10" s="17" t="n">
        <v>31</v>
      </c>
      <c r="H10" s="132" t="n">
        <v>87</v>
      </c>
      <c r="I10" s="133" t="n">
        <v>72000</v>
      </c>
      <c r="J10" s="133" t="inlineStr">
        <is>
          <t>고</t>
        </is>
      </c>
      <c r="K10" s="133" t="n">
        <v>42000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131</v>
      </c>
      <c r="U10" s="9" t="n"/>
    </row>
    <row r="11" ht="12" customFormat="1" customHeight="1" s="38">
      <c r="A11" s="120" t="inlineStr">
        <is>
          <t>계산동 은행마을삼보</t>
        </is>
      </c>
      <c r="B11" s="121" t="inlineStr">
        <is>
          <t>97.07.</t>
        </is>
      </c>
      <c r="C11" s="129" t="n">
        <v>436</v>
      </c>
      <c r="D11" s="130" t="n">
        <v>142.2</v>
      </c>
      <c r="E11" s="131" t="n">
        <v>43</v>
      </c>
      <c r="F11" s="130" t="n">
        <v>114.6</v>
      </c>
      <c r="G11" s="17" t="n">
        <v>35</v>
      </c>
      <c r="H11" s="132" t="n">
        <v>88</v>
      </c>
      <c r="I11" s="133" t="n">
        <v>70000</v>
      </c>
      <c r="J11" s="133" t="inlineStr">
        <is>
          <t>17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142</v>
      </c>
      <c r="U11" s="9" t="n"/>
    </row>
    <row r="12" ht="12" customFormat="1" customHeight="1" s="38">
      <c r="A12" s="120" t="inlineStr">
        <is>
          <t>동양동 동양휴먼빌</t>
        </is>
      </c>
      <c r="B12" s="121" t="inlineStr">
        <is>
          <t>07.10.</t>
        </is>
      </c>
      <c r="C12" s="129" t="n">
        <v>466</v>
      </c>
      <c r="D12" s="130" t="n">
        <v>142.9</v>
      </c>
      <c r="E12" s="131" t="n">
        <v>43</v>
      </c>
      <c r="F12" s="130" t="n">
        <v>114.8</v>
      </c>
      <c r="G12" s="17" t="n">
        <v>35</v>
      </c>
      <c r="H12" s="132" t="n">
        <v>149</v>
      </c>
      <c r="I12" s="133" t="n">
        <v>70000</v>
      </c>
      <c r="J12" s="133" t="inlineStr">
        <is>
          <t>11</t>
        </is>
      </c>
      <c r="K12" s="133" t="n">
        <v>47000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8">
      <c r="A13" s="120" t="inlineStr">
        <is>
          <t>서운동 계양임광그대가</t>
        </is>
      </c>
      <c r="B13" s="121" t="inlineStr">
        <is>
          <t>09.10.</t>
        </is>
      </c>
      <c r="C13" s="129" t="n">
        <v>373</v>
      </c>
      <c r="D13" s="130" t="n">
        <v>144.8</v>
      </c>
      <c r="E13" s="131" t="n">
        <v>44</v>
      </c>
      <c r="F13" s="130" t="n">
        <v>116.5</v>
      </c>
      <c r="G13" s="17" t="n">
        <v>35</v>
      </c>
      <c r="H13" s="132" t="n">
        <v>97</v>
      </c>
      <c r="I13" s="133" t="n">
        <v>70000</v>
      </c>
      <c r="J13" s="133" t="inlineStr">
        <is>
          <t>8</t>
        </is>
      </c>
      <c r="K13" s="133" t="n">
        <v>44000</v>
      </c>
      <c r="L13" s="133" t="inlineStr">
        <is>
          <t>11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144A</t>
        </is>
      </c>
      <c r="U13" s="9" t="n"/>
    </row>
    <row r="14" ht="12" customFormat="1" customHeight="1" s="38">
      <c r="A14" s="120" t="inlineStr">
        <is>
          <t>효성동 현대4차</t>
        </is>
      </c>
      <c r="B14" s="121" t="inlineStr">
        <is>
          <t>95.12.</t>
        </is>
      </c>
      <c r="C14" s="129" t="n">
        <v>919</v>
      </c>
      <c r="D14" s="130" t="n">
        <v>167.3</v>
      </c>
      <c r="E14" s="131" t="n">
        <v>51</v>
      </c>
      <c r="F14" s="130" t="n">
        <v>132.9</v>
      </c>
      <c r="G14" s="17" t="n">
        <v>40</v>
      </c>
      <c r="H14" s="132" t="n">
        <v>100</v>
      </c>
      <c r="I14" s="133" t="n">
        <v>70000</v>
      </c>
      <c r="J14" s="133" t="inlineStr">
        <is>
          <t>15</t>
        </is>
      </c>
      <c r="K14" s="133" t="n">
        <v>45000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167</v>
      </c>
      <c r="U14" s="9" t="n"/>
    </row>
    <row r="15" ht="12" customFormat="1" customHeight="1" s="38">
      <c r="A15" s="120" t="inlineStr">
        <is>
          <t>효성동 e편한세상계양더프리미어</t>
        </is>
      </c>
      <c r="B15" s="121" t="inlineStr">
        <is>
          <t>21.10.</t>
        </is>
      </c>
      <c r="C15" s="129" t="n">
        <v>1646</v>
      </c>
      <c r="D15" s="130" t="n">
        <v>107.2</v>
      </c>
      <c r="E15" s="131" t="n">
        <v>32</v>
      </c>
      <c r="F15" s="130" t="n">
        <v>84.90000000000001</v>
      </c>
      <c r="G15" s="17" t="n">
        <v>26</v>
      </c>
      <c r="H15" s="132" t="n">
        <v>305</v>
      </c>
      <c r="I15" s="133" t="n">
        <v>70000</v>
      </c>
      <c r="J15" s="133" t="inlineStr">
        <is>
          <t>15</t>
        </is>
      </c>
      <c r="K15" s="133" t="n">
        <v>45000</v>
      </c>
      <c r="L15" s="133" t="inlineStr">
        <is>
          <t>28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107</v>
      </c>
      <c r="U15" s="9" t="n"/>
    </row>
    <row r="16" ht="12" customFormat="1" customHeight="1" s="38">
      <c r="A16" s="120" t="inlineStr">
        <is>
          <t>용종동 초정마을두산쌍용</t>
        </is>
      </c>
      <c r="B16" s="121" t="inlineStr">
        <is>
          <t>97.10.</t>
        </is>
      </c>
      <c r="C16" s="129" t="n">
        <v>798</v>
      </c>
      <c r="D16" s="130" t="n">
        <v>149.8</v>
      </c>
      <c r="E16" s="131" t="n">
        <v>45</v>
      </c>
      <c r="F16" s="130" t="n">
        <v>122</v>
      </c>
      <c r="G16" s="17" t="n">
        <v>37</v>
      </c>
      <c r="H16" s="132" t="n">
        <v>156</v>
      </c>
      <c r="I16" s="133" t="n">
        <v>69000</v>
      </c>
      <c r="J16" s="133" t="inlineStr">
        <is>
          <t>15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149(쌍용)</t>
        </is>
      </c>
      <c r="U16" s="9" t="n"/>
    </row>
    <row r="17" ht="12" customFormat="1" customHeight="1" s="38">
      <c r="A17" s="120" t="inlineStr">
        <is>
          <t>작전동 작전현대2-2차</t>
        </is>
      </c>
      <c r="B17" s="121" t="inlineStr">
        <is>
          <t>93.12.</t>
        </is>
      </c>
      <c r="C17" s="129" t="n">
        <v>904</v>
      </c>
      <c r="D17" s="130" t="n">
        <v>183.3</v>
      </c>
      <c r="E17" s="131" t="n">
        <v>55</v>
      </c>
      <c r="F17" s="130" t="n">
        <v>149</v>
      </c>
      <c r="G17" s="17" t="n">
        <v>45</v>
      </c>
      <c r="H17" s="132" t="n">
        <v>128</v>
      </c>
      <c r="I17" s="133" t="n">
        <v>68000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183</v>
      </c>
      <c r="U17" s="9" t="n"/>
    </row>
    <row r="18" ht="12" customFormat="1" customHeight="1" s="38">
      <c r="A18" s="120" t="inlineStr">
        <is>
          <t>효성동 e편한세상계양더프리미어</t>
        </is>
      </c>
      <c r="B18" s="121" t="inlineStr">
        <is>
          <t>21.10.</t>
        </is>
      </c>
      <c r="C18" s="129" t="n">
        <v>1646</v>
      </c>
      <c r="D18" s="130" t="n">
        <v>98</v>
      </c>
      <c r="E18" s="131" t="n">
        <v>30</v>
      </c>
      <c r="F18" s="130" t="n">
        <v>74.90000000000001</v>
      </c>
      <c r="G18" s="17" t="n">
        <v>23</v>
      </c>
      <c r="H18" s="132" t="n">
        <v>253</v>
      </c>
      <c r="I18" s="133" t="n">
        <v>68000</v>
      </c>
      <c r="J18" s="133" t="inlineStr">
        <is>
          <t>5</t>
        </is>
      </c>
      <c r="K18" s="133" t="n">
        <v>42000</v>
      </c>
      <c r="L18" s="133" t="inlineStr">
        <is>
          <t>12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</row>
    <row r="19" ht="12" customFormat="1" customHeight="1" s="38">
      <c r="A19" s="120" t="inlineStr">
        <is>
          <t>귤현동 계양센트레빌3단지</t>
        </is>
      </c>
      <c r="B19" s="121" t="inlineStr">
        <is>
          <t>13.06.</t>
        </is>
      </c>
      <c r="C19" s="129" t="n">
        <v>454</v>
      </c>
      <c r="D19" s="130" t="n">
        <v>112.1</v>
      </c>
      <c r="E19" s="131" t="n">
        <v>34</v>
      </c>
      <c r="F19" s="130" t="n">
        <v>85</v>
      </c>
      <c r="G19" s="17" t="n">
        <v>26</v>
      </c>
      <c r="H19" s="132" t="n">
        <v>79</v>
      </c>
      <c r="I19" s="133" t="n">
        <v>67000</v>
      </c>
      <c r="J19" s="133" t="inlineStr">
        <is>
          <t>고</t>
        </is>
      </c>
      <c r="K19" s="133" t="n">
        <v>40000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112B</t>
        </is>
      </c>
      <c r="U19" s="9" t="n"/>
    </row>
    <row r="20" ht="12" customFormat="1" customHeight="1" s="38">
      <c r="A20" s="120" t="inlineStr">
        <is>
          <t>효성동 금호어울림</t>
        </is>
      </c>
      <c r="B20" s="121" t="inlineStr">
        <is>
          <t>05.08.</t>
        </is>
      </c>
      <c r="C20" s="129" t="n">
        <v>410</v>
      </c>
      <c r="D20" s="130" t="n">
        <v>161.7</v>
      </c>
      <c r="E20" s="131" t="n">
        <v>49</v>
      </c>
      <c r="F20" s="130" t="n">
        <v>122</v>
      </c>
      <c r="G20" s="17" t="n">
        <v>37</v>
      </c>
      <c r="H20" s="132" t="n">
        <v>60</v>
      </c>
      <c r="I20" s="133" t="n">
        <v>67000</v>
      </c>
      <c r="J20" s="133" t="inlineStr">
        <is>
          <t>10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161</v>
      </c>
      <c r="U20" s="9" t="n"/>
    </row>
    <row r="21" ht="12" customFormat="1" customHeight="1" s="38">
      <c r="A21" s="120" t="inlineStr">
        <is>
          <t>계산동 현대</t>
        </is>
      </c>
      <c r="B21" s="121" t="inlineStr">
        <is>
          <t>92.01.</t>
        </is>
      </c>
      <c r="C21" s="129" t="n">
        <v>1248</v>
      </c>
      <c r="D21" s="130" t="n">
        <v>159.5</v>
      </c>
      <c r="E21" s="131" t="n">
        <v>48</v>
      </c>
      <c r="F21" s="130" t="n">
        <v>129.7</v>
      </c>
      <c r="G21" s="17" t="n">
        <v>39</v>
      </c>
      <c r="H21" s="132" t="n">
        <v>136</v>
      </c>
      <c r="I21" s="133" t="n">
        <v>63000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159</v>
      </c>
      <c r="U21" s="9" t="n"/>
    </row>
    <row r="22" ht="12" customFormat="1" customHeight="1" s="38">
      <c r="A22" s="120" t="inlineStr">
        <is>
          <t>작전동 작전현대2-2차</t>
        </is>
      </c>
      <c r="B22" s="121" t="inlineStr">
        <is>
          <t>93.12.</t>
        </is>
      </c>
      <c r="C22" s="129" t="n">
        <v>904</v>
      </c>
      <c r="D22" s="130" t="n">
        <v>168.2</v>
      </c>
      <c r="E22" s="131" t="n">
        <v>51</v>
      </c>
      <c r="F22" s="130" t="n">
        <v>136.8</v>
      </c>
      <c r="G22" s="17" t="n">
        <v>41</v>
      </c>
      <c r="H22" s="132" t="n">
        <v>128</v>
      </c>
      <c r="I22" s="133" t="n">
        <v>63000</v>
      </c>
      <c r="J22" s="133" t="inlineStr">
        <is>
          <t>16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168</v>
      </c>
      <c r="U22" s="9" t="n"/>
    </row>
    <row r="23" ht="12" customFormat="1" customHeight="1" s="38">
      <c r="A23" s="120" t="inlineStr">
        <is>
          <t>계산동 은행마을삼보</t>
        </is>
      </c>
      <c r="B23" s="121" t="inlineStr">
        <is>
          <t>97.07.</t>
        </is>
      </c>
      <c r="C23" s="129" t="n">
        <v>436</v>
      </c>
      <c r="D23" s="130" t="n">
        <v>128.1</v>
      </c>
      <c r="E23" s="131" t="n">
        <v>39</v>
      </c>
      <c r="F23" s="130" t="n">
        <v>101.9</v>
      </c>
      <c r="G23" s="17" t="n">
        <v>31</v>
      </c>
      <c r="H23" s="132" t="n">
        <v>88</v>
      </c>
      <c r="I23" s="133" t="n">
        <v>61000</v>
      </c>
      <c r="J23" s="133" t="inlineStr">
        <is>
          <t>22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8">
      <c r="A24" s="120" t="inlineStr">
        <is>
          <t>서운동 계양임광그대가</t>
        </is>
      </c>
      <c r="B24" s="121" t="inlineStr">
        <is>
          <t>09.10.</t>
        </is>
      </c>
      <c r="C24" s="129" t="n">
        <v>373</v>
      </c>
      <c r="D24" s="130" t="n">
        <v>112.6</v>
      </c>
      <c r="E24" s="131" t="n">
        <v>34</v>
      </c>
      <c r="F24" s="130" t="n">
        <v>84.90000000000001</v>
      </c>
      <c r="G24" s="17" t="n">
        <v>26</v>
      </c>
      <c r="H24" s="132" t="n">
        <v>93</v>
      </c>
      <c r="I24" s="133" t="n">
        <v>61000</v>
      </c>
      <c r="J24" s="133" t="inlineStr">
        <is>
          <t>17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112B</t>
        </is>
      </c>
      <c r="U24" s="9" t="n"/>
    </row>
    <row r="25" ht="12" customFormat="1" customHeight="1" s="38">
      <c r="A25" s="120" t="inlineStr">
        <is>
          <t>귤현동 계양센트레빌1단지</t>
        </is>
      </c>
      <c r="B25" s="121" t="inlineStr">
        <is>
          <t>13.02.</t>
        </is>
      </c>
      <c r="C25" s="129" t="n">
        <v>715</v>
      </c>
      <c r="D25" s="130" t="n">
        <v>111.4</v>
      </c>
      <c r="E25" s="131" t="n">
        <v>34</v>
      </c>
      <c r="F25" s="130" t="n">
        <v>84.90000000000001</v>
      </c>
      <c r="G25" s="17" t="n">
        <v>26</v>
      </c>
      <c r="H25" s="132" t="n">
        <v>221</v>
      </c>
      <c r="I25" s="133" t="n">
        <v>60000</v>
      </c>
      <c r="J25" s="133" t="inlineStr">
        <is>
          <t>중</t>
        </is>
      </c>
      <c r="K25" s="133" t="n">
        <v>40000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8">
      <c r="A26" s="120" t="inlineStr">
        <is>
          <t>서운동 계양효성해링턴플레이스</t>
        </is>
      </c>
      <c r="B26" s="121" t="inlineStr">
        <is>
          <t>21.02.</t>
        </is>
      </c>
      <c r="C26" s="129" t="n">
        <v>1669</v>
      </c>
      <c r="D26" s="130" t="n">
        <v>82.3</v>
      </c>
      <c r="E26" s="131" t="n">
        <v>25</v>
      </c>
      <c r="F26" s="130" t="n">
        <v>60</v>
      </c>
      <c r="G26" s="17" t="n">
        <v>18</v>
      </c>
      <c r="H26" s="132" t="n">
        <v>405</v>
      </c>
      <c r="I26" s="133" t="n">
        <v>60000</v>
      </c>
      <c r="J26" s="133" t="inlineStr">
        <is>
          <t>중</t>
        </is>
      </c>
      <c r="K26" s="133" t="n">
        <v>39000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82A</t>
        </is>
      </c>
      <c r="U26" s="9" t="n"/>
    </row>
    <row r="27" ht="12" customFormat="1" customHeight="1" s="38">
      <c r="A27" s="120" t="inlineStr">
        <is>
          <t>이화동 이화신동아파밀리에</t>
        </is>
      </c>
      <c r="B27" s="121" t="inlineStr">
        <is>
          <t>07.07.</t>
        </is>
      </c>
      <c r="C27" s="129" t="n">
        <v>399</v>
      </c>
      <c r="D27" s="130" t="n">
        <v>136.1</v>
      </c>
      <c r="E27" s="131" t="n">
        <v>41</v>
      </c>
      <c r="F27" s="130" t="n">
        <v>108.4</v>
      </c>
      <c r="G27" s="17" t="n">
        <v>33</v>
      </c>
      <c r="H27" s="132" t="n">
        <v>52</v>
      </c>
      <c r="I27" s="133" t="n">
        <v>60000</v>
      </c>
      <c r="J27" s="133" t="inlineStr">
        <is>
          <t>8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136A</t>
        </is>
      </c>
      <c r="U27" s="9" t="n"/>
    </row>
    <row r="28" ht="12" customFormat="1" customHeight="1" s="38">
      <c r="A28" s="120" t="inlineStr">
        <is>
          <t>효성동 풍림</t>
        </is>
      </c>
      <c r="B28" s="121" t="inlineStr">
        <is>
          <t>97.07.</t>
        </is>
      </c>
      <c r="C28" s="129" t="n">
        <v>342</v>
      </c>
      <c r="D28" s="130" t="n">
        <v>144.7</v>
      </c>
      <c r="E28" s="131" t="n">
        <v>44</v>
      </c>
      <c r="F28" s="130" t="n">
        <v>117.7</v>
      </c>
      <c r="G28" s="17" t="n">
        <v>36</v>
      </c>
      <c r="H28" s="132" t="n">
        <v>40</v>
      </c>
      <c r="I28" s="133" t="n">
        <v>60000</v>
      </c>
      <c r="J28" s="133" t="inlineStr">
        <is>
          <t>15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8">
      <c r="A29" s="120" t="inlineStr">
        <is>
          <t>박촌동 계양한양수자인</t>
        </is>
      </c>
      <c r="B29" s="121" t="inlineStr">
        <is>
          <t>11.12.</t>
        </is>
      </c>
      <c r="C29" s="129" t="n">
        <v>376</v>
      </c>
      <c r="D29" s="130" t="n">
        <v>80.09999999999999</v>
      </c>
      <c r="E29" s="131" t="n">
        <v>24</v>
      </c>
      <c r="F29" s="130" t="n">
        <v>60</v>
      </c>
      <c r="G29" s="17" t="n">
        <v>18</v>
      </c>
      <c r="H29" s="132" t="n">
        <v>85</v>
      </c>
      <c r="I29" s="133" t="n">
        <v>58000</v>
      </c>
      <c r="J29" s="133" t="inlineStr">
        <is>
          <t>고</t>
        </is>
      </c>
      <c r="K29" s="133" t="n">
        <v>35000</v>
      </c>
      <c r="L29" s="133" t="inlineStr">
        <is>
          <t>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80</v>
      </c>
      <c r="U29" s="9" t="n"/>
    </row>
    <row r="30" ht="12" customFormat="1" customHeight="1" s="38">
      <c r="A30" s="120" t="inlineStr">
        <is>
          <t>용종동 초정마을두산쌍용</t>
        </is>
      </c>
      <c r="B30" s="121" t="inlineStr">
        <is>
          <t>97.10.</t>
        </is>
      </c>
      <c r="C30" s="129" t="n">
        <v>798</v>
      </c>
      <c r="D30" s="130" t="n">
        <v>120.5</v>
      </c>
      <c r="E30" s="131" t="n">
        <v>36</v>
      </c>
      <c r="F30" s="130" t="n">
        <v>96.2</v>
      </c>
      <c r="G30" s="17" t="n">
        <v>29</v>
      </c>
      <c r="H30" s="132" t="n">
        <v>288</v>
      </c>
      <c r="I30" s="133" t="n">
        <v>58000</v>
      </c>
      <c r="J30" s="133" t="inlineStr">
        <is>
          <t>19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120(두산)</t>
        </is>
      </c>
      <c r="U30" s="9" t="n"/>
    </row>
    <row r="31" ht="12" customFormat="1" customHeight="1" s="38">
      <c r="A31" s="120" t="inlineStr">
        <is>
          <t>효성동 현대1차</t>
        </is>
      </c>
      <c r="B31" s="121" t="inlineStr">
        <is>
          <t>91.11.</t>
        </is>
      </c>
      <c r="C31" s="129" t="n">
        <v>874</v>
      </c>
      <c r="D31" s="130" t="n">
        <v>158.3</v>
      </c>
      <c r="E31" s="131" t="n">
        <v>48</v>
      </c>
      <c r="F31" s="130" t="n">
        <v>129.7</v>
      </c>
      <c r="G31" s="17" t="n">
        <v>39</v>
      </c>
      <c r="H31" s="132" t="n">
        <v>120</v>
      </c>
      <c r="I31" s="133" t="n">
        <v>58000</v>
      </c>
      <c r="J31" s="133" t="inlineStr">
        <is>
          <t>6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158</v>
      </c>
      <c r="U31" s="9" t="n"/>
    </row>
    <row r="32" ht="12" customFormat="1" customHeight="1" s="38">
      <c r="A32" s="120" t="inlineStr">
        <is>
          <t>효성동 e편한세상계양더프리미어</t>
        </is>
      </c>
      <c r="B32" s="121" t="inlineStr">
        <is>
          <t>21.10.</t>
        </is>
      </c>
      <c r="C32" s="129" t="n">
        <v>1646</v>
      </c>
      <c r="D32" s="130" t="n">
        <v>79.8</v>
      </c>
      <c r="E32" s="131" t="n">
        <v>24</v>
      </c>
      <c r="F32" s="130" t="n">
        <v>59.9</v>
      </c>
      <c r="G32" s="17" t="n">
        <v>18</v>
      </c>
      <c r="H32" s="132" t="n">
        <v>723</v>
      </c>
      <c r="I32" s="133" t="n">
        <v>58000</v>
      </c>
      <c r="J32" s="133" t="inlineStr">
        <is>
          <t>6</t>
        </is>
      </c>
      <c r="K32" s="133" t="n">
        <v>39000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79A</t>
        </is>
      </c>
      <c r="U32" s="9" t="n"/>
    </row>
    <row r="33" ht="12" customFormat="1" customHeight="1" s="38">
      <c r="A33" s="120" t="inlineStr">
        <is>
          <t>용종동 초정마을동아</t>
        </is>
      </c>
      <c r="B33" s="121" t="inlineStr">
        <is>
          <t>98.01.</t>
        </is>
      </c>
      <c r="C33" s="129" t="n">
        <v>616</v>
      </c>
      <c r="D33" s="130" t="n">
        <v>120.4</v>
      </c>
      <c r="E33" s="131" t="n">
        <v>36</v>
      </c>
      <c r="F33" s="130" t="n">
        <v>95.5</v>
      </c>
      <c r="G33" s="17" t="n">
        <v>29</v>
      </c>
      <c r="H33" s="132" t="n">
        <v>440</v>
      </c>
      <c r="I33" s="133" t="n">
        <v>57000</v>
      </c>
      <c r="J33" s="133" t="inlineStr">
        <is>
          <t>12</t>
        </is>
      </c>
      <c r="K33" s="133" t="n">
        <v>31500</v>
      </c>
      <c r="L33" s="133" t="inlineStr">
        <is>
          <t>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120</v>
      </c>
      <c r="U33" s="9" t="n"/>
    </row>
    <row r="34" ht="12" customFormat="1" customHeight="1" s="38">
      <c r="A34" s="120" t="inlineStr">
        <is>
          <t>용종동 인천계양코아루센트럴파크</t>
        </is>
      </c>
      <c r="B34" s="121" t="inlineStr">
        <is>
          <t>17.06.</t>
        </is>
      </c>
      <c r="C34" s="129" t="n">
        <v>724</v>
      </c>
      <c r="D34" s="130" t="n">
        <v>84.2</v>
      </c>
      <c r="E34" s="131" t="n">
        <v>25</v>
      </c>
      <c r="F34" s="130" t="n">
        <v>60</v>
      </c>
      <c r="G34" s="17" t="n">
        <v>18</v>
      </c>
      <c r="H34" s="132" t="n">
        <v>57</v>
      </c>
      <c r="I34" s="133" t="n">
        <v>56000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84A</t>
        </is>
      </c>
      <c r="U34" s="9" t="n"/>
    </row>
    <row r="35" ht="12" customFormat="1" customHeight="1" s="38">
      <c r="A35" s="120" t="inlineStr">
        <is>
          <t>계산동 은행마을태평</t>
        </is>
      </c>
      <c r="B35" s="121" t="inlineStr">
        <is>
          <t>97.06.</t>
        </is>
      </c>
      <c r="C35" s="129" t="n">
        <v>574</v>
      </c>
      <c r="D35" s="130" t="n">
        <v>104</v>
      </c>
      <c r="E35" s="131" t="n">
        <v>31</v>
      </c>
      <c r="F35" s="130" t="n">
        <v>84.2</v>
      </c>
      <c r="G35" s="17" t="n">
        <v>25</v>
      </c>
      <c r="H35" s="132" t="n">
        <v>114</v>
      </c>
      <c r="I35" s="133" t="n">
        <v>55000</v>
      </c>
      <c r="J35" s="133" t="inlineStr">
        <is>
          <t>16</t>
        </is>
      </c>
      <c r="K35" s="133" t="n">
        <v>40000</v>
      </c>
      <c r="L35" s="133" t="inlineStr">
        <is>
          <t>16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103</v>
      </c>
      <c r="U35" s="9" t="n"/>
    </row>
    <row r="36" ht="12" customFormat="1" customHeight="1" s="38">
      <c r="A36" s="120" t="inlineStr">
        <is>
          <t>계산동 은행마을삼보</t>
        </is>
      </c>
      <c r="B36" s="121" t="inlineStr">
        <is>
          <t>97.07.</t>
        </is>
      </c>
      <c r="C36" s="129" t="n">
        <v>436</v>
      </c>
      <c r="D36" s="130" t="n">
        <v>115.1</v>
      </c>
      <c r="E36" s="131" t="n">
        <v>35</v>
      </c>
      <c r="F36" s="130" t="n">
        <v>90.2</v>
      </c>
      <c r="G36" s="17" t="n">
        <v>27</v>
      </c>
      <c r="H36" s="132" t="n">
        <v>260</v>
      </c>
      <c r="I36" s="133" t="n">
        <v>55000</v>
      </c>
      <c r="J36" s="133" t="inlineStr">
        <is>
          <t>12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115</v>
      </c>
      <c r="U36" s="9" t="n"/>
    </row>
    <row r="37" ht="12" customFormat="1" customHeight="1" s="38">
      <c r="A37" s="120" t="inlineStr">
        <is>
          <t>계산동 은행마을태산</t>
        </is>
      </c>
      <c r="B37" s="121" t="inlineStr">
        <is>
          <t>97.08.</t>
        </is>
      </c>
      <c r="C37" s="129" t="n">
        <v>544</v>
      </c>
      <c r="D37" s="130" t="n">
        <v>125.5</v>
      </c>
      <c r="E37" s="131" t="n">
        <v>38</v>
      </c>
      <c r="F37" s="130" t="n">
        <v>100.6</v>
      </c>
      <c r="G37" s="17" t="n">
        <v>30</v>
      </c>
      <c r="H37" s="132" t="n">
        <v>544</v>
      </c>
      <c r="I37" s="133" t="n">
        <v>55000</v>
      </c>
      <c r="J37" s="133" t="inlineStr">
        <is>
          <t>10</t>
        </is>
      </c>
      <c r="K37" s="133" t="n">
        <v>35000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125</v>
      </c>
      <c r="U37" s="9" t="n"/>
    </row>
    <row r="38" ht="12" customFormat="1" customHeight="1" s="38">
      <c r="A38" s="120" t="inlineStr">
        <is>
          <t>작전동 동보1차</t>
        </is>
      </c>
      <c r="B38" s="121" t="inlineStr">
        <is>
          <t>95.04.</t>
        </is>
      </c>
      <c r="C38" s="129" t="n">
        <v>1187</v>
      </c>
      <c r="D38" s="130" t="n">
        <v>137.7</v>
      </c>
      <c r="E38" s="131" t="n">
        <v>42</v>
      </c>
      <c r="F38" s="130" t="n">
        <v>118.4</v>
      </c>
      <c r="G38" s="17" t="n">
        <v>36</v>
      </c>
      <c r="H38" s="132" t="n">
        <v>80</v>
      </c>
      <c r="I38" s="133" t="n">
        <v>55000</v>
      </c>
      <c r="J38" s="133" t="inlineStr">
        <is>
          <t>10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137</v>
      </c>
      <c r="U38" s="9" t="n"/>
    </row>
    <row r="39" ht="12" customFormat="1" customHeight="1" s="38">
      <c r="A39" s="120" t="inlineStr">
        <is>
          <t>동양동 동양휴먼빌</t>
        </is>
      </c>
      <c r="B39" s="121" t="inlineStr">
        <is>
          <t>07.10.</t>
        </is>
      </c>
      <c r="C39" s="129" t="n">
        <v>466</v>
      </c>
      <c r="D39" s="130" t="n">
        <v>110.6</v>
      </c>
      <c r="E39" s="131" t="n">
        <v>33</v>
      </c>
      <c r="F39" s="130" t="n">
        <v>84.8</v>
      </c>
      <c r="G39" s="17" t="n">
        <v>26</v>
      </c>
      <c r="H39" s="132" t="n">
        <v>317</v>
      </c>
      <c r="I39" s="133" t="n">
        <v>53000</v>
      </c>
      <c r="J39" s="133" t="inlineStr">
        <is>
          <t>7</t>
        </is>
      </c>
      <c r="K39" s="133" t="n">
        <v>40000</v>
      </c>
      <c r="L39" s="133" t="inlineStr">
        <is>
          <t>7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110</v>
      </c>
      <c r="U39" s="9" t="n"/>
    </row>
    <row r="40" ht="12" customFormat="1" customHeight="1" s="38">
      <c r="A40" s="120" t="inlineStr">
        <is>
          <t>효성동 두산</t>
        </is>
      </c>
      <c r="B40" s="121" t="inlineStr">
        <is>
          <t>97.09.</t>
        </is>
      </c>
      <c r="C40" s="129" t="n">
        <v>957</v>
      </c>
      <c r="D40" s="130" t="n">
        <v>138.2</v>
      </c>
      <c r="E40" s="131" t="n">
        <v>42</v>
      </c>
      <c r="F40" s="130" t="n">
        <v>114.2</v>
      </c>
      <c r="G40" s="17" t="n">
        <v>35</v>
      </c>
      <c r="H40" s="132" t="n">
        <v>96</v>
      </c>
      <c r="I40" s="133" t="n">
        <v>53000</v>
      </c>
      <c r="J40" s="133" t="inlineStr">
        <is>
          <t>14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138</v>
      </c>
      <c r="U40" s="9" t="n"/>
    </row>
    <row r="41" ht="12" customFormat="1" customHeight="1" s="38">
      <c r="A41" s="120" t="inlineStr">
        <is>
          <t>효성동 현대2차</t>
        </is>
      </c>
      <c r="B41" s="121" t="inlineStr">
        <is>
          <t>92.11.</t>
        </is>
      </c>
      <c r="C41" s="129" t="n">
        <v>340</v>
      </c>
      <c r="D41" s="130" t="n">
        <v>155</v>
      </c>
      <c r="E41" s="131" t="n">
        <v>47</v>
      </c>
      <c r="F41" s="130" t="n">
        <v>129</v>
      </c>
      <c r="G41" s="17" t="n">
        <v>39</v>
      </c>
      <c r="H41" s="132" t="n">
        <v>100</v>
      </c>
      <c r="I41" s="133" t="n">
        <v>51000</v>
      </c>
      <c r="J41" s="133" t="inlineStr">
        <is>
          <t>13</t>
        </is>
      </c>
      <c r="K41" s="133" t="n">
        <v>43000</v>
      </c>
      <c r="L41" s="133" t="inlineStr">
        <is>
          <t>10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155</v>
      </c>
      <c r="U41" s="9" t="n"/>
    </row>
    <row r="42" ht="12" customFormat="1" customHeight="1" s="38">
      <c r="A42" s="120" t="inlineStr">
        <is>
          <t>계산동 계양산파크트루엘</t>
        </is>
      </c>
      <c r="B42" s="121" t="inlineStr">
        <is>
          <t>20.02.</t>
        </is>
      </c>
      <c r="C42" s="129" t="n">
        <v>369</v>
      </c>
      <c r="D42" s="130" t="n">
        <v>83.2</v>
      </c>
      <c r="E42" s="131" t="n">
        <v>25</v>
      </c>
      <c r="F42" s="130" t="n">
        <v>60</v>
      </c>
      <c r="G42" s="17" t="n">
        <v>18</v>
      </c>
      <c r="H42" s="132" t="n">
        <v>156</v>
      </c>
      <c r="I42" s="133" t="n">
        <v>50000</v>
      </c>
      <c r="J42" s="133" t="inlineStr">
        <is>
          <t>12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83A</t>
        </is>
      </c>
      <c r="U42" s="9" t="n"/>
    </row>
    <row r="43" ht="12" customFormat="1" customHeight="1" s="38">
      <c r="A43" s="120" t="inlineStr">
        <is>
          <t>귤현동 귤현IPARK</t>
        </is>
      </c>
      <c r="B43" s="121" t="inlineStr">
        <is>
          <t>04.10.</t>
        </is>
      </c>
      <c r="C43" s="129" t="n">
        <v>394</v>
      </c>
      <c r="D43" s="130" t="n">
        <v>105.8</v>
      </c>
      <c r="E43" s="131" t="n">
        <v>32</v>
      </c>
      <c r="F43" s="130" t="n">
        <v>85</v>
      </c>
      <c r="G43" s="17" t="n">
        <v>26</v>
      </c>
      <c r="H43" s="132" t="n">
        <v>394</v>
      </c>
      <c r="I43" s="133" t="n">
        <v>50000</v>
      </c>
      <c r="J43" s="133" t="inlineStr">
        <is>
          <t>10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105</v>
      </c>
      <c r="U43" s="9" t="n"/>
    </row>
    <row r="44" ht="12" customFormat="1" customHeight="1" s="38">
      <c r="A44" s="120" t="inlineStr">
        <is>
          <t>계산동 신도브래뉴</t>
        </is>
      </c>
      <c r="B44" s="121" t="inlineStr">
        <is>
          <t>05.05.</t>
        </is>
      </c>
      <c r="C44" s="129" t="n">
        <v>481</v>
      </c>
      <c r="D44" s="130" t="n">
        <v>105.5</v>
      </c>
      <c r="E44" s="131" t="n">
        <v>32</v>
      </c>
      <c r="F44" s="130" t="n">
        <v>84.90000000000001</v>
      </c>
      <c r="G44" s="17" t="n">
        <v>26</v>
      </c>
      <c r="H44" s="132" t="n">
        <v>207</v>
      </c>
      <c r="I44" s="133" t="n">
        <v>49000</v>
      </c>
      <c r="J44" s="133" t="inlineStr">
        <is>
          <t>중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105</v>
      </c>
      <c r="U44" s="9" t="n"/>
    </row>
    <row r="45" ht="12" customFormat="1" customHeight="1" s="38">
      <c r="A45" s="120" t="inlineStr">
        <is>
          <t>용종동 용종마을신대진</t>
        </is>
      </c>
      <c r="B45" s="121" t="inlineStr">
        <is>
          <t>97.08.</t>
        </is>
      </c>
      <c r="C45" s="129" t="n">
        <v>562</v>
      </c>
      <c r="D45" s="130" t="n">
        <v>105.5</v>
      </c>
      <c r="E45" s="131" t="n">
        <v>32</v>
      </c>
      <c r="F45" s="130" t="n">
        <v>85</v>
      </c>
      <c r="G45" s="17" t="n">
        <v>26</v>
      </c>
      <c r="H45" s="132" t="n">
        <v>402</v>
      </c>
      <c r="I45" s="133" t="n">
        <v>49000</v>
      </c>
      <c r="J45" s="133" t="inlineStr">
        <is>
          <t>17</t>
        </is>
      </c>
      <c r="K45" s="133" t="n">
        <v>36000</v>
      </c>
      <c r="L45" s="133" t="inlineStr">
        <is>
          <t>14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105</v>
      </c>
      <c r="U45" s="9" t="n"/>
    </row>
    <row r="46" ht="12" customFormat="1" customHeight="1" s="38">
      <c r="A46" s="120" t="inlineStr">
        <is>
          <t>작전동 작전풍림아이원</t>
        </is>
      </c>
      <c r="B46" s="121" t="inlineStr">
        <is>
          <t>03.01.</t>
        </is>
      </c>
      <c r="C46" s="129" t="n">
        <v>468</v>
      </c>
      <c r="D46" s="130" t="n">
        <v>109.6</v>
      </c>
      <c r="E46" s="131" t="n">
        <v>33</v>
      </c>
      <c r="F46" s="130" t="n">
        <v>84.90000000000001</v>
      </c>
      <c r="G46" s="17" t="n">
        <v>26</v>
      </c>
      <c r="H46" s="132" t="n">
        <v>304</v>
      </c>
      <c r="I46" s="133" t="n">
        <v>49000</v>
      </c>
      <c r="J46" s="133" t="inlineStr">
        <is>
          <t>6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n">
        <v>109</v>
      </c>
      <c r="U46" s="9" t="n"/>
    </row>
    <row r="47" ht="12" customFormat="1" customHeight="1" s="38">
      <c r="A47" s="120" t="inlineStr">
        <is>
          <t>용종동 용종마을중앙</t>
        </is>
      </c>
      <c r="B47" s="121" t="inlineStr">
        <is>
          <t>97.10.</t>
        </is>
      </c>
      <c r="C47" s="129" t="n">
        <v>428</v>
      </c>
      <c r="D47" s="130" t="n">
        <v>105.7</v>
      </c>
      <c r="E47" s="131" t="n">
        <v>32</v>
      </c>
      <c r="F47" s="130" t="n">
        <v>84.8</v>
      </c>
      <c r="G47" s="17" t="n">
        <v>26</v>
      </c>
      <c r="H47" s="132" t="n">
        <v>300</v>
      </c>
      <c r="I47" s="133" t="n">
        <v>48000</v>
      </c>
      <c r="J47" s="133" t="inlineStr">
        <is>
          <t>17</t>
        </is>
      </c>
      <c r="K47" s="133" t="n">
        <v>39000</v>
      </c>
      <c r="L47" s="133" t="inlineStr">
        <is>
          <t>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105</v>
      </c>
      <c r="U47" s="9" t="n"/>
    </row>
    <row r="48" ht="12" customFormat="1" customHeight="1" s="38">
      <c r="A48" s="120" t="inlineStr">
        <is>
          <t>작전동 현대3차</t>
        </is>
      </c>
      <c r="B48" s="121" t="inlineStr">
        <is>
          <t>92.11.</t>
        </is>
      </c>
      <c r="C48" s="129" t="n">
        <v>390</v>
      </c>
      <c r="D48" s="130" t="n">
        <v>106.8</v>
      </c>
      <c r="E48" s="131" t="n">
        <v>32</v>
      </c>
      <c r="F48" s="130" t="n">
        <v>84.8</v>
      </c>
      <c r="G48" s="17" t="n">
        <v>26</v>
      </c>
      <c r="H48" s="132" t="n">
        <v>166</v>
      </c>
      <c r="I48" s="133" t="n">
        <v>48000</v>
      </c>
      <c r="J48" s="133" t="inlineStr">
        <is>
          <t>16</t>
        </is>
      </c>
      <c r="K48" s="133" t="n">
        <v>27000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106</v>
      </c>
      <c r="U48" s="9" t="n"/>
    </row>
    <row r="49" ht="12" customFormat="1" customHeight="1" s="38">
      <c r="A49" s="120" t="inlineStr">
        <is>
          <t>효성동 뉴서울6차</t>
        </is>
      </c>
      <c r="B49" s="121" t="inlineStr">
        <is>
          <t>95.05.</t>
        </is>
      </c>
      <c r="C49" s="129" t="n">
        <v>370</v>
      </c>
      <c r="D49" s="130" t="n">
        <v>103.8</v>
      </c>
      <c r="E49" s="131" t="n">
        <v>31</v>
      </c>
      <c r="F49" s="130" t="n">
        <v>85</v>
      </c>
      <c r="G49" s="17" t="n">
        <v>26</v>
      </c>
      <c r="H49" s="132" t="n">
        <v>126</v>
      </c>
      <c r="I49" s="133" t="n">
        <v>48000</v>
      </c>
      <c r="J49" s="133" t="inlineStr">
        <is>
          <t>10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103</v>
      </c>
      <c r="U49" s="9" t="n"/>
    </row>
    <row r="50" ht="12" customFormat="1" customHeight="1" s="38">
      <c r="A50" s="120" t="inlineStr">
        <is>
          <t>효성동 e편한세상계양더프리미어</t>
        </is>
      </c>
      <c r="B50" s="121" t="inlineStr">
        <is>
          <t>21.10.</t>
        </is>
      </c>
      <c r="C50" s="129" t="n">
        <v>1646</v>
      </c>
      <c r="D50" s="130" t="n">
        <v>65.8</v>
      </c>
      <c r="E50" s="131" t="n">
        <v>20</v>
      </c>
      <c r="F50" s="130" t="n">
        <v>46.5</v>
      </c>
      <c r="G50" s="17" t="n">
        <v>14</v>
      </c>
      <c r="H50" s="132" t="n">
        <v>87</v>
      </c>
      <c r="I50" s="133" t="n">
        <v>48000</v>
      </c>
      <c r="J50" s="133" t="inlineStr">
        <is>
          <t>12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65</v>
      </c>
      <c r="U50" s="9" t="n"/>
    </row>
    <row r="51" ht="12" customFormat="1" customHeight="1" s="38">
      <c r="A51" s="120" t="inlineStr">
        <is>
          <t>효성동 하나</t>
        </is>
      </c>
      <c r="B51" s="121" t="inlineStr">
        <is>
          <t>96.09.</t>
        </is>
      </c>
      <c r="C51" s="129" t="n">
        <v>498</v>
      </c>
      <c r="D51" s="130" t="n">
        <v>130.2</v>
      </c>
      <c r="E51" s="131" t="n">
        <v>39</v>
      </c>
      <c r="F51" s="130" t="n">
        <v>104.5</v>
      </c>
      <c r="G51" s="17" t="n">
        <v>32</v>
      </c>
      <c r="H51" s="132" t="n">
        <v>72</v>
      </c>
      <c r="I51" s="133" t="n">
        <v>47000</v>
      </c>
      <c r="J51" s="133" t="inlineStr">
        <is>
          <t>14</t>
        </is>
      </c>
      <c r="K51" s="133" t="n">
        <v>30000</v>
      </c>
      <c r="L51" s="133" t="inlineStr">
        <is>
          <t>14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130</v>
      </c>
      <c r="U51" s="9" t="n"/>
    </row>
    <row r="52" ht="12" customFormat="1" customHeight="1" s="38">
      <c r="A52" s="120" t="inlineStr">
        <is>
          <t>효성동 현대4차</t>
        </is>
      </c>
      <c r="B52" s="121" t="inlineStr">
        <is>
          <t>95.12.</t>
        </is>
      </c>
      <c r="C52" s="129" t="n">
        <v>919</v>
      </c>
      <c r="D52" s="130" t="n">
        <v>106.5</v>
      </c>
      <c r="E52" s="131" t="n">
        <v>32</v>
      </c>
      <c r="F52" s="130" t="n">
        <v>84.59999999999999</v>
      </c>
      <c r="G52" s="17" t="n">
        <v>26</v>
      </c>
      <c r="H52" s="132" t="n">
        <v>394</v>
      </c>
      <c r="I52" s="133" t="n">
        <v>47000</v>
      </c>
      <c r="J52" s="133" t="inlineStr">
        <is>
          <t>25</t>
        </is>
      </c>
      <c r="K52" s="133" t="n">
        <v>34000</v>
      </c>
      <c r="L52" s="133" t="inlineStr">
        <is>
          <t>22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106</v>
      </c>
      <c r="U52" s="9" t="n"/>
    </row>
    <row r="53" ht="12" customFormat="1" customHeight="1" s="38">
      <c r="A53" s="120" t="inlineStr">
        <is>
          <t>효성동 금호어울림</t>
        </is>
      </c>
      <c r="B53" s="121" t="inlineStr">
        <is>
          <t>05.08.</t>
        </is>
      </c>
      <c r="C53" s="129" t="n">
        <v>410</v>
      </c>
      <c r="D53" s="130" t="n">
        <v>108.3</v>
      </c>
      <c r="E53" s="131" t="n">
        <v>33</v>
      </c>
      <c r="F53" s="130" t="n">
        <v>85</v>
      </c>
      <c r="G53" s="17" t="n">
        <v>26</v>
      </c>
      <c r="H53" s="132" t="n">
        <v>183</v>
      </c>
      <c r="I53" s="133" t="n">
        <v>47000</v>
      </c>
      <c r="J53" s="133" t="inlineStr">
        <is>
          <t>7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108</v>
      </c>
      <c r="U53" s="9" t="n"/>
    </row>
    <row r="54" ht="12" customFormat="1" customHeight="1" s="38">
      <c r="A54" s="120" t="inlineStr">
        <is>
          <t>효성동 신한</t>
        </is>
      </c>
      <c r="B54" s="121" t="inlineStr">
        <is>
          <t>96.12.</t>
        </is>
      </c>
      <c r="C54" s="129" t="n">
        <v>324</v>
      </c>
      <c r="D54" s="130" t="n">
        <v>105.9</v>
      </c>
      <c r="E54" s="131" t="n">
        <v>32</v>
      </c>
      <c r="F54" s="130" t="n">
        <v>85</v>
      </c>
      <c r="G54" s="17" t="n">
        <v>26</v>
      </c>
      <c r="H54" s="132" t="n">
        <v>164</v>
      </c>
      <c r="I54" s="133" t="n">
        <v>47000</v>
      </c>
      <c r="J54" s="133" t="inlineStr">
        <is>
          <t>16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105</v>
      </c>
      <c r="U54" s="9" t="n"/>
    </row>
    <row r="55" ht="12" customFormat="1" customHeight="1" s="38">
      <c r="A55" s="120" t="inlineStr">
        <is>
          <t>용종동 초정마을하나</t>
        </is>
      </c>
      <c r="B55" s="121" t="inlineStr">
        <is>
          <t>97.08.</t>
        </is>
      </c>
      <c r="C55" s="129" t="n">
        <v>972</v>
      </c>
      <c r="D55" s="130" t="n">
        <v>107.5</v>
      </c>
      <c r="E55" s="131" t="n">
        <v>33</v>
      </c>
      <c r="F55" s="130" t="n">
        <v>85</v>
      </c>
      <c r="G55" s="17" t="n">
        <v>26</v>
      </c>
      <c r="H55" s="132" t="n">
        <v>804</v>
      </c>
      <c r="I55" s="133" t="n">
        <v>45500</v>
      </c>
      <c r="J55" s="133" t="inlineStr">
        <is>
          <t>18</t>
        </is>
      </c>
      <c r="K55" s="133" t="n">
        <v>33000</v>
      </c>
      <c r="L55" s="133" t="inlineStr">
        <is>
          <t>15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107</v>
      </c>
      <c r="U55" s="9" t="n"/>
    </row>
    <row r="56" ht="12" customFormat="1" customHeight="1" s="38">
      <c r="A56" s="120" t="inlineStr">
        <is>
          <t>계산동 은행마을아주</t>
        </is>
      </c>
      <c r="B56" s="121" t="inlineStr">
        <is>
          <t>97.07.</t>
        </is>
      </c>
      <c r="C56" s="129" t="n">
        <v>612</v>
      </c>
      <c r="D56" s="130" t="n">
        <v>93.2</v>
      </c>
      <c r="E56" s="131" t="n">
        <v>28</v>
      </c>
      <c r="F56" s="130" t="n">
        <v>73.2</v>
      </c>
      <c r="G56" s="17" t="n">
        <v>22</v>
      </c>
      <c r="H56" s="132" t="n">
        <v>446</v>
      </c>
      <c r="I56" s="133" t="n">
        <v>45000</v>
      </c>
      <c r="J56" s="133" t="inlineStr">
        <is>
          <t>12</t>
        </is>
      </c>
      <c r="K56" s="133" t="n">
        <v>31000</v>
      </c>
      <c r="L56" s="133" t="inlineStr">
        <is>
          <t>15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93</v>
      </c>
      <c r="U56" s="9" t="n"/>
    </row>
    <row r="57" ht="12" customFormat="1" customHeight="1" s="38">
      <c r="A57" s="120" t="inlineStr">
        <is>
          <t>이화동 이화신동아파밀리에</t>
        </is>
      </c>
      <c r="B57" s="121" t="inlineStr">
        <is>
          <t>07.07.</t>
        </is>
      </c>
      <c r="C57" s="129" t="n">
        <v>399</v>
      </c>
      <c r="D57" s="130" t="n">
        <v>112.5</v>
      </c>
      <c r="E57" s="131" t="n">
        <v>34</v>
      </c>
      <c r="F57" s="130" t="n">
        <v>84.90000000000001</v>
      </c>
      <c r="G57" s="17" t="n">
        <v>26</v>
      </c>
      <c r="H57" s="132" t="n">
        <v>146</v>
      </c>
      <c r="I57" s="133" t="n">
        <v>45000</v>
      </c>
      <c r="J57" s="133" t="inlineStr">
        <is>
          <t>6</t>
        </is>
      </c>
      <c r="K57" s="133" t="n">
        <v>27000</v>
      </c>
      <c r="L57" s="133" t="inlineStr">
        <is>
          <t>7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112A</t>
        </is>
      </c>
      <c r="U57" s="9" t="n"/>
    </row>
    <row r="58" ht="12" customFormat="1" customHeight="1" s="38">
      <c r="A58" s="120" t="inlineStr">
        <is>
          <t>효성동 풍림</t>
        </is>
      </c>
      <c r="B58" s="121" t="inlineStr">
        <is>
          <t>97.07.</t>
        </is>
      </c>
      <c r="C58" s="129" t="n">
        <v>342</v>
      </c>
      <c r="D58" s="130" t="n">
        <v>108.6</v>
      </c>
      <c r="E58" s="131" t="n">
        <v>33</v>
      </c>
      <c r="F58" s="130" t="n">
        <v>84.90000000000001</v>
      </c>
      <c r="G58" s="17" t="n">
        <v>26</v>
      </c>
      <c r="H58" s="132" t="n">
        <v>156</v>
      </c>
      <c r="I58" s="133" t="n">
        <v>45000</v>
      </c>
      <c r="J58" s="133" t="inlineStr">
        <is>
          <t>9</t>
        </is>
      </c>
      <c r="K58" s="133" t="n">
        <v>34000</v>
      </c>
      <c r="L58" s="133" t="inlineStr">
        <is>
          <t>7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108</v>
      </c>
      <c r="U58" s="9" t="n"/>
    </row>
    <row r="59" ht="12" customFormat="1" customHeight="1" s="38">
      <c r="A59" s="120" t="inlineStr">
        <is>
          <t>작전동 작전풍림아이원</t>
        </is>
      </c>
      <c r="B59" s="121" t="inlineStr">
        <is>
          <t>03.01.</t>
        </is>
      </c>
      <c r="C59" s="129" t="n">
        <v>468</v>
      </c>
      <c r="D59" s="130" t="n">
        <v>89.59999999999999</v>
      </c>
      <c r="E59" s="131" t="n">
        <v>27</v>
      </c>
      <c r="F59" s="130" t="n">
        <v>68.3</v>
      </c>
      <c r="G59" s="17" t="n">
        <v>21</v>
      </c>
      <c r="H59" s="132" t="n">
        <v>164</v>
      </c>
      <c r="I59" s="133" t="n">
        <v>44500</v>
      </c>
      <c r="J59" s="133" t="inlineStr">
        <is>
          <t>9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89</v>
      </c>
      <c r="U59" s="9" t="n"/>
    </row>
    <row r="60" ht="12" customFormat="1" customHeight="1" s="38">
      <c r="A60" s="120" t="inlineStr">
        <is>
          <t>작전동 작전동보2차</t>
        </is>
      </c>
      <c r="B60" s="121" t="inlineStr">
        <is>
          <t>00.05.</t>
        </is>
      </c>
      <c r="C60" s="129" t="n">
        <v>502</v>
      </c>
      <c r="D60" s="130" t="n">
        <v>112.3</v>
      </c>
      <c r="E60" s="131" t="n">
        <v>34</v>
      </c>
      <c r="F60" s="130" t="n">
        <v>84.90000000000001</v>
      </c>
      <c r="G60" s="17" t="n">
        <v>26</v>
      </c>
      <c r="H60" s="132" t="n">
        <v>468</v>
      </c>
      <c r="I60" s="133" t="n">
        <v>44000</v>
      </c>
      <c r="J60" s="133" t="inlineStr">
        <is>
          <t>13</t>
        </is>
      </c>
      <c r="K60" s="133" t="n">
        <v>35000</v>
      </c>
      <c r="L60" s="133" t="inlineStr">
        <is>
          <t>18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112</v>
      </c>
      <c r="U60" s="9" t="n"/>
    </row>
    <row r="61" ht="12" customFormat="1" customHeight="1" s="38">
      <c r="A61" s="120" t="inlineStr">
        <is>
          <t>계산동 현대</t>
        </is>
      </c>
      <c r="B61" s="121" t="inlineStr">
        <is>
          <t>92.01.</t>
        </is>
      </c>
      <c r="C61" s="129" t="n">
        <v>1248</v>
      </c>
      <c r="D61" s="130" t="n">
        <v>104.5</v>
      </c>
      <c r="E61" s="131" t="n">
        <v>32</v>
      </c>
      <c r="F61" s="130" t="n">
        <v>84.90000000000001</v>
      </c>
      <c r="G61" s="17" t="n">
        <v>26</v>
      </c>
      <c r="H61" s="132" t="n">
        <v>806</v>
      </c>
      <c r="I61" s="133" t="n">
        <v>43000</v>
      </c>
      <c r="J61" s="133" t="inlineStr">
        <is>
          <t>13</t>
        </is>
      </c>
      <c r="K61" s="133" t="n">
        <v>32000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104</v>
      </c>
      <c r="U61" s="9" t="n"/>
    </row>
    <row r="62" ht="12" customFormat="1" customHeight="1" s="38">
      <c r="A62" s="120" t="inlineStr">
        <is>
          <t>동양동 한진해모로</t>
        </is>
      </c>
      <c r="B62" s="121" t="inlineStr">
        <is>
          <t>06.06.</t>
        </is>
      </c>
      <c r="C62" s="129" t="n">
        <v>478</v>
      </c>
      <c r="D62" s="130" t="n">
        <v>79</v>
      </c>
      <c r="E62" s="131" t="n">
        <v>24</v>
      </c>
      <c r="F62" s="130" t="n">
        <v>59.6</v>
      </c>
      <c r="G62" s="17" t="n">
        <v>18</v>
      </c>
      <c r="H62" s="132" t="n">
        <v>478</v>
      </c>
      <c r="I62" s="133" t="n">
        <v>43000</v>
      </c>
      <c r="J62" s="133" t="inlineStr">
        <is>
          <t>6</t>
        </is>
      </c>
      <c r="K62" s="133" t="n">
        <v>30000</v>
      </c>
      <c r="L62" s="133" t="inlineStr">
        <is>
          <t>14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79</v>
      </c>
      <c r="U62" s="9" t="n"/>
    </row>
    <row r="63" ht="12" customFormat="1" customHeight="1" s="38">
      <c r="A63" s="120" t="inlineStr">
        <is>
          <t>작전동 현대1차</t>
        </is>
      </c>
      <c r="B63" s="121" t="inlineStr">
        <is>
          <t>90.09.</t>
        </is>
      </c>
      <c r="C63" s="129" t="n">
        <v>570</v>
      </c>
      <c r="D63" s="130" t="n">
        <v>103.1</v>
      </c>
      <c r="E63" s="131" t="n">
        <v>31</v>
      </c>
      <c r="F63" s="130" t="n">
        <v>84.90000000000001</v>
      </c>
      <c r="G63" s="17" t="n">
        <v>26</v>
      </c>
      <c r="H63" s="132" t="n">
        <v>420</v>
      </c>
      <c r="I63" s="133" t="n">
        <v>43000</v>
      </c>
      <c r="J63" s="133" t="inlineStr">
        <is>
          <t>9</t>
        </is>
      </c>
      <c r="K63" s="133" t="n">
        <v>33000</v>
      </c>
      <c r="L63" s="133" t="inlineStr">
        <is>
          <t>13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103</v>
      </c>
      <c r="U63" s="9" t="n"/>
    </row>
    <row r="64" ht="12" customFormat="1" customHeight="1" s="38">
      <c r="A64" s="120" t="inlineStr">
        <is>
          <t>작전동 현대3차</t>
        </is>
      </c>
      <c r="B64" s="121" t="inlineStr">
        <is>
          <t>92.11.</t>
        </is>
      </c>
      <c r="C64" s="129" t="n">
        <v>390</v>
      </c>
      <c r="D64" s="130" t="n">
        <v>95.90000000000001</v>
      </c>
      <c r="E64" s="131" t="n">
        <v>29</v>
      </c>
      <c r="F64" s="130" t="n">
        <v>76.09999999999999</v>
      </c>
      <c r="G64" s="17" t="n">
        <v>23</v>
      </c>
      <c r="H64" s="132" t="n">
        <v>54</v>
      </c>
      <c r="I64" s="133" t="n">
        <v>42000</v>
      </c>
      <c r="J64" s="133" t="inlineStr">
        <is>
          <t>13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1</v>
      </c>
      <c r="S64" s="117" t="inlineStr">
        <is>
          <t>계</t>
        </is>
      </c>
      <c r="T64" s="5" t="inlineStr">
        <is>
          <t>95A</t>
        </is>
      </c>
      <c r="U64" s="9" t="n"/>
    </row>
    <row r="65" ht="12" customFormat="1" customHeight="1" s="38">
      <c r="A65" s="120" t="inlineStr">
        <is>
          <t>작전동 작전현대2-2차</t>
        </is>
      </c>
      <c r="B65" s="121" t="inlineStr">
        <is>
          <t>93.12.</t>
        </is>
      </c>
      <c r="C65" s="129" t="n">
        <v>904</v>
      </c>
      <c r="D65" s="130" t="n">
        <v>104.5</v>
      </c>
      <c r="E65" s="131" t="n">
        <v>32</v>
      </c>
      <c r="F65" s="130" t="n">
        <v>84.90000000000001</v>
      </c>
      <c r="G65" s="17" t="n">
        <v>26</v>
      </c>
      <c r="H65" s="132" t="n">
        <v>648</v>
      </c>
      <c r="I65" s="133" t="n">
        <v>42000</v>
      </c>
      <c r="J65" s="133" t="inlineStr">
        <is>
          <t>6</t>
        </is>
      </c>
      <c r="K65" s="133" t="n">
        <v>32500</v>
      </c>
      <c r="L65" s="133" t="inlineStr">
        <is>
          <t>12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104</v>
      </c>
      <c r="U65" s="9" t="n"/>
    </row>
    <row r="66" ht="12" customFormat="1" customHeight="1" s="38">
      <c r="A66" s="120" t="inlineStr">
        <is>
          <t>효성동 현대2차</t>
        </is>
      </c>
      <c r="B66" s="121" t="inlineStr">
        <is>
          <t>92.11.</t>
        </is>
      </c>
      <c r="C66" s="129" t="n">
        <v>340</v>
      </c>
      <c r="D66" s="130" t="n">
        <v>102.1</v>
      </c>
      <c r="E66" s="131" t="n">
        <v>31</v>
      </c>
      <c r="F66" s="130" t="n">
        <v>84.90000000000001</v>
      </c>
      <c r="G66" s="17" t="n">
        <v>26</v>
      </c>
      <c r="H66" s="132" t="n">
        <v>240</v>
      </c>
      <c r="I66" s="133" t="n">
        <v>42000</v>
      </c>
      <c r="J66" s="133" t="inlineStr">
        <is>
          <t>17</t>
        </is>
      </c>
      <c r="K66" s="133" t="n">
        <v>33000</v>
      </c>
      <c r="L66" s="133" t="inlineStr">
        <is>
          <t>16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n">
        <v>102</v>
      </c>
      <c r="U66" s="9" t="n"/>
    </row>
    <row r="67" ht="12" customFormat="1" customHeight="1" s="38">
      <c r="A67" s="120" t="inlineStr">
        <is>
          <t>효성동 뉴서울5차</t>
        </is>
      </c>
      <c r="B67" s="121" t="inlineStr">
        <is>
          <t>94.12.</t>
        </is>
      </c>
      <c r="C67" s="129" t="n">
        <v>648</v>
      </c>
      <c r="D67" s="130" t="n">
        <v>105.5</v>
      </c>
      <c r="E67" s="131" t="n">
        <v>32</v>
      </c>
      <c r="F67" s="130" t="n">
        <v>84.40000000000001</v>
      </c>
      <c r="G67" s="17" t="n">
        <v>26</v>
      </c>
      <c r="H67" s="132" t="n">
        <v>388</v>
      </c>
      <c r="I67" s="133" t="n">
        <v>42000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105</v>
      </c>
      <c r="U67" s="9" t="n"/>
    </row>
    <row r="68" ht="12" customFormat="1" customHeight="1" s="38">
      <c r="A68" s="120" t="inlineStr">
        <is>
          <t>작전동 동보1차</t>
        </is>
      </c>
      <c r="B68" s="121" t="inlineStr">
        <is>
          <t>95.04.</t>
        </is>
      </c>
      <c r="C68" s="129" t="n">
        <v>1187</v>
      </c>
      <c r="D68" s="130" t="n">
        <v>102.3</v>
      </c>
      <c r="E68" s="131" t="n">
        <v>31</v>
      </c>
      <c r="F68" s="130" t="n">
        <v>84.59999999999999</v>
      </c>
      <c r="G68" s="17" t="n">
        <v>26</v>
      </c>
      <c r="H68" s="132" t="n">
        <v>632</v>
      </c>
      <c r="I68" s="133" t="n">
        <v>41500</v>
      </c>
      <c r="J68" s="133" t="inlineStr">
        <is>
          <t>7</t>
        </is>
      </c>
      <c r="K68" s="133" t="n">
        <v>35000</v>
      </c>
      <c r="L68" s="133" t="inlineStr">
        <is>
          <t>13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102</v>
      </c>
      <c r="U68" s="9" t="n"/>
    </row>
    <row r="69" ht="12" customFormat="1" customHeight="1" s="38">
      <c r="A69" s="120" t="inlineStr">
        <is>
          <t>병방동 학마을서해</t>
        </is>
      </c>
      <c r="B69" s="121" t="inlineStr">
        <is>
          <t>97.10.</t>
        </is>
      </c>
      <c r="C69" s="129" t="n">
        <v>1261</v>
      </c>
      <c r="D69" s="130" t="n">
        <v>81.2</v>
      </c>
      <c r="E69" s="131" t="n">
        <v>25</v>
      </c>
      <c r="F69" s="130" t="n">
        <v>59.8</v>
      </c>
      <c r="G69" s="17" t="n">
        <v>18</v>
      </c>
      <c r="H69" s="132" t="n">
        <v>742</v>
      </c>
      <c r="I69" s="133" t="n">
        <v>41000</v>
      </c>
      <c r="J69" s="133" t="inlineStr">
        <is>
          <t>16</t>
        </is>
      </c>
      <c r="K69" s="133" t="n">
        <v>30000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2</v>
      </c>
      <c r="S69" s="117" t="inlineStr">
        <is>
          <t>계</t>
        </is>
      </c>
      <c r="T69" s="5" t="n">
        <v>81</v>
      </c>
      <c r="U69" s="9" t="n"/>
    </row>
    <row r="70" ht="12" customFormat="1" customHeight="1" s="38">
      <c r="A70" s="120" t="inlineStr">
        <is>
          <t>병방동 학마을영남</t>
        </is>
      </c>
      <c r="B70" s="121" t="inlineStr">
        <is>
          <t>97.10.</t>
        </is>
      </c>
      <c r="C70" s="129" t="n">
        <v>1047</v>
      </c>
      <c r="D70" s="130" t="n">
        <v>81.40000000000001</v>
      </c>
      <c r="E70" s="131" t="n">
        <v>25</v>
      </c>
      <c r="F70" s="130" t="n">
        <v>59.9</v>
      </c>
      <c r="G70" s="17" t="n">
        <v>18</v>
      </c>
      <c r="H70" s="132" t="n">
        <v>700</v>
      </c>
      <c r="I70" s="133" t="n">
        <v>40000</v>
      </c>
      <c r="J70" s="133" t="inlineStr">
        <is>
          <t>9</t>
        </is>
      </c>
      <c r="K70" s="133" t="n">
        <v>32000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81</v>
      </c>
      <c r="U70" s="9" t="n"/>
    </row>
    <row r="71" ht="12" customFormat="1" customHeight="1" s="38">
      <c r="A71" s="120" t="inlineStr">
        <is>
          <t>작전동 미도</t>
        </is>
      </c>
      <c r="B71" s="121" t="inlineStr">
        <is>
          <t>90.11.</t>
        </is>
      </c>
      <c r="C71" s="129" t="n">
        <v>480</v>
      </c>
      <c r="D71" s="130" t="n">
        <v>97.90000000000001</v>
      </c>
      <c r="E71" s="131" t="n">
        <v>30</v>
      </c>
      <c r="F71" s="130" t="n">
        <v>81.5</v>
      </c>
      <c r="G71" s="17" t="n">
        <v>25</v>
      </c>
      <c r="H71" s="132" t="n">
        <v>180</v>
      </c>
      <c r="I71" s="133" t="n">
        <v>40000</v>
      </c>
      <c r="J71" s="133" t="inlineStr">
        <is>
          <t>8</t>
        </is>
      </c>
      <c r="K71" s="133" t="n">
        <v>29000</v>
      </c>
      <c r="L71" s="133" t="inlineStr">
        <is>
          <t>10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97</v>
      </c>
      <c r="U71" s="9" t="n"/>
    </row>
    <row r="72" ht="12" customFormat="1" customHeight="1" s="38">
      <c r="A72" s="120" t="inlineStr">
        <is>
          <t>작전동 현대2-1차</t>
        </is>
      </c>
      <c r="B72" s="121" t="inlineStr">
        <is>
          <t>91.10.</t>
        </is>
      </c>
      <c r="C72" s="129" t="n">
        <v>840</v>
      </c>
      <c r="D72" s="130" t="n">
        <v>102.2</v>
      </c>
      <c r="E72" s="131" t="n">
        <v>31</v>
      </c>
      <c r="F72" s="130" t="n">
        <v>85</v>
      </c>
      <c r="G72" s="17" t="n">
        <v>26</v>
      </c>
      <c r="H72" s="132" t="n">
        <v>480</v>
      </c>
      <c r="I72" s="133" t="n">
        <v>40000</v>
      </c>
      <c r="J72" s="133" t="inlineStr">
        <is>
          <t>10</t>
        </is>
      </c>
      <c r="K72" s="133" t="n">
        <v>31000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102B</t>
        </is>
      </c>
      <c r="U72" s="9" t="n"/>
    </row>
    <row r="73" ht="12" customFormat="1" customHeight="1" s="38">
      <c r="A73" s="120" t="inlineStr">
        <is>
          <t>계산동 은행마을아주</t>
        </is>
      </c>
      <c r="B73" s="121" t="inlineStr">
        <is>
          <t>97.07.</t>
        </is>
      </c>
      <c r="C73" s="129" t="n">
        <v>612</v>
      </c>
      <c r="D73" s="130" t="n">
        <v>76.8</v>
      </c>
      <c r="E73" s="131" t="n">
        <v>23</v>
      </c>
      <c r="F73" s="130" t="n">
        <v>60.3</v>
      </c>
      <c r="G73" s="17" t="n">
        <v>18</v>
      </c>
      <c r="H73" s="132" t="n">
        <v>144</v>
      </c>
      <c r="I73" s="133" t="n">
        <v>39500</v>
      </c>
      <c r="J73" s="133" t="inlineStr">
        <is>
          <t>22</t>
        </is>
      </c>
      <c r="K73" s="133" t="n">
        <v>28000</v>
      </c>
      <c r="L73" s="133" t="inlineStr">
        <is>
          <t>8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</row>
    <row r="74" ht="12" customFormat="1" customHeight="1" s="38">
      <c r="A74" s="120" t="inlineStr">
        <is>
          <t>효성동 두산</t>
        </is>
      </c>
      <c r="B74" s="121" t="inlineStr">
        <is>
          <t>97.09.</t>
        </is>
      </c>
      <c r="C74" s="129" t="n">
        <v>957</v>
      </c>
      <c r="D74" s="130" t="n">
        <v>107.7</v>
      </c>
      <c r="E74" s="131" t="n">
        <v>33</v>
      </c>
      <c r="F74" s="130" t="n">
        <v>84.90000000000001</v>
      </c>
      <c r="G74" s="17" t="n">
        <v>26</v>
      </c>
      <c r="H74" s="132" t="n">
        <v>406</v>
      </c>
      <c r="I74" s="133" t="n">
        <v>39500</v>
      </c>
      <c r="J74" s="133" t="inlineStr">
        <is>
          <t>10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</row>
    <row r="75" ht="12" customFormat="1" customHeight="1" s="38">
      <c r="A75" s="120" t="inlineStr">
        <is>
          <t>작전동 현대2-1차</t>
        </is>
      </c>
      <c r="B75" s="121" t="inlineStr">
        <is>
          <t>91.10.</t>
        </is>
      </c>
      <c r="C75" s="129" t="n">
        <v>840</v>
      </c>
      <c r="D75" s="130" t="n">
        <v>94.3</v>
      </c>
      <c r="E75" s="131" t="n">
        <v>29</v>
      </c>
      <c r="F75" s="130" t="n">
        <v>78</v>
      </c>
      <c r="G75" s="17" t="n">
        <v>24</v>
      </c>
      <c r="H75" s="132" t="n">
        <v>240</v>
      </c>
      <c r="I75" s="133" t="n">
        <v>39000</v>
      </c>
      <c r="J75" s="133" t="inlineStr">
        <is>
          <t>7</t>
        </is>
      </c>
      <c r="K75" s="133" t="n">
        <v>28000</v>
      </c>
      <c r="L75" s="133" t="inlineStr">
        <is>
          <t>11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94</v>
      </c>
      <c r="U75" s="9" t="n"/>
    </row>
    <row r="76" ht="12" customFormat="1" customHeight="1" s="38">
      <c r="A76" s="120" t="inlineStr">
        <is>
          <t>효성동 현대3차</t>
        </is>
      </c>
      <c r="B76" s="121" t="inlineStr">
        <is>
          <t>92.11.</t>
        </is>
      </c>
      <c r="C76" s="129" t="n">
        <v>374</v>
      </c>
      <c r="D76" s="130" t="n">
        <v>102.4</v>
      </c>
      <c r="E76" s="131" t="n">
        <v>31</v>
      </c>
      <c r="F76" s="130" t="n">
        <v>85</v>
      </c>
      <c r="G76" s="17" t="n">
        <v>26</v>
      </c>
      <c r="H76" s="132" t="n">
        <v>266</v>
      </c>
      <c r="I76" s="133" t="n">
        <v>39000</v>
      </c>
      <c r="J76" s="133" t="inlineStr">
        <is>
          <t>23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</row>
    <row r="77" ht="12" customFormat="1" customHeight="1" s="38">
      <c r="A77" s="120" t="inlineStr">
        <is>
          <t>효성동 하나</t>
        </is>
      </c>
      <c r="B77" s="121" t="inlineStr">
        <is>
          <t>96.09.</t>
        </is>
      </c>
      <c r="C77" s="129" t="n">
        <v>498</v>
      </c>
      <c r="D77" s="130" t="n">
        <v>107</v>
      </c>
      <c r="E77" s="131" t="n">
        <v>32</v>
      </c>
      <c r="F77" s="130" t="n">
        <v>84.90000000000001</v>
      </c>
      <c r="G77" s="17" t="n">
        <v>26</v>
      </c>
      <c r="H77" s="132" t="n">
        <v>176</v>
      </c>
      <c r="I77" s="133" t="n">
        <v>39000</v>
      </c>
      <c r="J77" s="133" t="inlineStr">
        <is>
          <t>12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107</v>
      </c>
      <c r="U77" s="9" t="n"/>
    </row>
    <row r="78" ht="12" customFormat="1" customHeight="1" s="38">
      <c r="A78" s="120" t="inlineStr">
        <is>
          <t>작전동 현대1차</t>
        </is>
      </c>
      <c r="B78" s="121" t="inlineStr">
        <is>
          <t>90.09.</t>
        </is>
      </c>
      <c r="C78" s="129" t="n">
        <v>570</v>
      </c>
      <c r="D78" s="130" t="n">
        <v>86.40000000000001</v>
      </c>
      <c r="E78" s="131" t="n">
        <v>26</v>
      </c>
      <c r="F78" s="130" t="n">
        <v>71.2</v>
      </c>
      <c r="G78" s="17" t="n">
        <v>22</v>
      </c>
      <c r="H78" s="132" t="n">
        <v>150</v>
      </c>
      <c r="I78" s="133" t="n">
        <v>38500</v>
      </c>
      <c r="J78" s="133" t="inlineStr">
        <is>
          <t>8</t>
        </is>
      </c>
      <c r="K78" s="133" t="n">
        <v>29000</v>
      </c>
      <c r="L78" s="133" t="inlineStr">
        <is>
          <t>8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86</v>
      </c>
      <c r="U78" s="9" t="n"/>
    </row>
    <row r="79" ht="12" customFormat="1" customHeight="1" s="38">
      <c r="A79" s="120" t="inlineStr">
        <is>
          <t>효성동 현대1차</t>
        </is>
      </c>
      <c r="B79" s="121" t="inlineStr">
        <is>
          <t>91.11.</t>
        </is>
      </c>
      <c r="C79" s="129" t="n">
        <v>874</v>
      </c>
      <c r="D79" s="130" t="n">
        <v>103.6</v>
      </c>
      <c r="E79" s="131" t="n">
        <v>31</v>
      </c>
      <c r="F79" s="130" t="n">
        <v>84.90000000000001</v>
      </c>
      <c r="G79" s="17" t="n">
        <v>26</v>
      </c>
      <c r="H79" s="132" t="n">
        <v>517</v>
      </c>
      <c r="I79" s="133" t="n">
        <v>38000</v>
      </c>
      <c r="J79" s="133" t="inlineStr">
        <is>
          <t>6</t>
        </is>
      </c>
      <c r="K79" s="133" t="n">
        <v>30000</v>
      </c>
      <c r="L79" s="133" t="inlineStr">
        <is>
          <t>18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103</v>
      </c>
      <c r="U79" s="9" t="n"/>
    </row>
    <row r="80" ht="12" customFormat="1" customHeight="1" s="38">
      <c r="A80" s="120" t="inlineStr">
        <is>
          <t>계산동 한국</t>
        </is>
      </c>
      <c r="B80" s="121" t="inlineStr">
        <is>
          <t>91.05.</t>
        </is>
      </c>
      <c r="C80" s="129" t="n">
        <v>416</v>
      </c>
      <c r="D80" s="130" t="n">
        <v>99.09999999999999</v>
      </c>
      <c r="E80" s="131" t="n">
        <v>30</v>
      </c>
      <c r="F80" s="130" t="n">
        <v>82.90000000000001</v>
      </c>
      <c r="G80" s="17" t="n">
        <v>25</v>
      </c>
      <c r="H80" s="132" t="n">
        <v>386</v>
      </c>
      <c r="I80" s="133" t="n">
        <v>37500</v>
      </c>
      <c r="J80" s="133" t="inlineStr">
        <is>
          <t>13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inlineStr">
        <is>
          <t>99A</t>
        </is>
      </c>
      <c r="U80" s="9" t="n"/>
    </row>
    <row r="81" ht="12" customFormat="1" customHeight="1" s="38">
      <c r="A81" s="120" t="inlineStr">
        <is>
          <t>병방동 학마을서원</t>
        </is>
      </c>
      <c r="B81" s="121" t="inlineStr">
        <is>
          <t>97.05.</t>
        </is>
      </c>
      <c r="C81" s="129" t="n">
        <v>688</v>
      </c>
      <c r="D81" s="130" t="n">
        <v>81.09999999999999</v>
      </c>
      <c r="E81" s="131" t="n">
        <v>25</v>
      </c>
      <c r="F81" s="130" t="n">
        <v>59.9</v>
      </c>
      <c r="G81" s="17" t="n">
        <v>18</v>
      </c>
      <c r="H81" s="132" t="n">
        <v>448</v>
      </c>
      <c r="I81" s="133" t="n">
        <v>37500</v>
      </c>
      <c r="J81" s="133" t="inlineStr">
        <is>
          <t>11</t>
        </is>
      </c>
      <c r="K81" s="133" t="n">
        <v>28000</v>
      </c>
      <c r="L81" s="133" t="inlineStr">
        <is>
          <t>11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81</v>
      </c>
      <c r="U81" s="9" t="n"/>
    </row>
    <row r="82" ht="12" customFormat="1" customHeight="1" s="38">
      <c r="A82" s="120" t="inlineStr">
        <is>
          <t>계산동 신도브래뉴</t>
        </is>
      </c>
      <c r="B82" s="121" t="inlineStr">
        <is>
          <t>05.05.</t>
        </is>
      </c>
      <c r="C82" s="129" t="n">
        <v>481</v>
      </c>
      <c r="D82" s="130" t="n">
        <v>79.59999999999999</v>
      </c>
      <c r="E82" s="131" t="n">
        <v>24</v>
      </c>
      <c r="F82" s="130" t="n">
        <v>57.7</v>
      </c>
      <c r="G82" s="17" t="n">
        <v>17</v>
      </c>
      <c r="H82" s="132" t="n">
        <v>234</v>
      </c>
      <c r="I82" s="133" t="n">
        <v>37000</v>
      </c>
      <c r="J82" s="133" t="inlineStr">
        <is>
          <t>20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n">
        <v>79</v>
      </c>
      <c r="U82" s="9" t="n"/>
    </row>
    <row r="83" ht="12" customFormat="1" customHeight="1" s="38">
      <c r="A83" s="120" t="inlineStr">
        <is>
          <t>계산동 현대</t>
        </is>
      </c>
      <c r="B83" s="121" t="inlineStr">
        <is>
          <t>92.01.</t>
        </is>
      </c>
      <c r="C83" s="129" t="n">
        <v>1248</v>
      </c>
      <c r="D83" s="130" t="n">
        <v>87.5</v>
      </c>
      <c r="E83" s="131" t="n">
        <v>26</v>
      </c>
      <c r="F83" s="130" t="n">
        <v>71.2</v>
      </c>
      <c r="G83" s="17" t="n">
        <v>22</v>
      </c>
      <c r="H83" s="132" t="n">
        <v>306</v>
      </c>
      <c r="I83" s="133" t="n">
        <v>37000</v>
      </c>
      <c r="J83" s="133" t="inlineStr">
        <is>
          <t>6</t>
        </is>
      </c>
      <c r="K83" s="133" t="n">
        <v>27000</v>
      </c>
      <c r="L83" s="133" t="inlineStr">
        <is>
          <t>11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n">
        <v>87</v>
      </c>
      <c r="U83" s="9" t="n"/>
    </row>
    <row r="84" ht="12" customFormat="1" customHeight="1" s="38">
      <c r="A84" s="120" t="inlineStr">
        <is>
          <t>오류동 신동아</t>
        </is>
      </c>
      <c r="B84" s="121" t="inlineStr">
        <is>
          <t>97.03.</t>
        </is>
      </c>
      <c r="C84" s="129" t="n">
        <v>1192</v>
      </c>
      <c r="D84" s="130" t="n">
        <v>105.3</v>
      </c>
      <c r="E84" s="131" t="n">
        <v>32</v>
      </c>
      <c r="F84" s="130" t="n">
        <v>85</v>
      </c>
      <c r="G84" s="17" t="n">
        <v>26</v>
      </c>
      <c r="H84" s="132" t="n">
        <v>560</v>
      </c>
      <c r="I84" s="133" t="n">
        <v>37000</v>
      </c>
      <c r="J84" s="133" t="inlineStr">
        <is>
          <t>10</t>
        </is>
      </c>
      <c r="K84" s="133" t="n">
        <v>25000</v>
      </c>
      <c r="L84" s="133" t="inlineStr">
        <is>
          <t>7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105</v>
      </c>
      <c r="U84" s="9" t="n"/>
    </row>
    <row r="85" ht="12" customFormat="1" customHeight="1" s="38">
      <c r="A85" s="120" t="inlineStr">
        <is>
          <t>효성동 중앙하이츠</t>
        </is>
      </c>
      <c r="B85" s="121" t="inlineStr">
        <is>
          <t>96.11.</t>
        </is>
      </c>
      <c r="C85" s="129" t="n">
        <v>375</v>
      </c>
      <c r="D85" s="130" t="n">
        <v>107.4</v>
      </c>
      <c r="E85" s="131" t="n">
        <v>33</v>
      </c>
      <c r="F85" s="130" t="n">
        <v>84.90000000000001</v>
      </c>
      <c r="G85" s="17" t="n">
        <v>26</v>
      </c>
      <c r="H85" s="132" t="n">
        <v>164</v>
      </c>
      <c r="I85" s="133" t="n">
        <v>37000</v>
      </c>
      <c r="J85" s="133" t="inlineStr">
        <is>
          <t>24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107</v>
      </c>
      <c r="U85" s="9" t="n"/>
    </row>
    <row r="86" ht="12" customFormat="1" customHeight="1" s="38">
      <c r="A86" s="120" t="inlineStr">
        <is>
          <t>작전동 코오롱</t>
        </is>
      </c>
      <c r="B86" s="121" t="inlineStr">
        <is>
          <t>89.10.</t>
        </is>
      </c>
      <c r="C86" s="129" t="n">
        <v>480</v>
      </c>
      <c r="D86" s="130" t="n">
        <v>83.09999999999999</v>
      </c>
      <c r="E86" s="131" t="n">
        <v>25</v>
      </c>
      <c r="F86" s="130" t="n">
        <v>68.7</v>
      </c>
      <c r="G86" s="17" t="n">
        <v>21</v>
      </c>
      <c r="H86" s="132" t="n">
        <v>90</v>
      </c>
      <c r="I86" s="133" t="n">
        <v>36000</v>
      </c>
      <c r="J86" s="133" t="inlineStr">
        <is>
          <t>13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83</v>
      </c>
      <c r="U86" s="9" t="n"/>
    </row>
    <row r="87" ht="12" customFormat="1" customHeight="1" s="38">
      <c r="A87" s="120" t="inlineStr">
        <is>
          <t>효성동 뉴서울3차</t>
        </is>
      </c>
      <c r="B87" s="121" t="inlineStr">
        <is>
          <t>93.08.</t>
        </is>
      </c>
      <c r="C87" s="129" t="n">
        <v>542</v>
      </c>
      <c r="D87" s="130" t="n">
        <v>105.8</v>
      </c>
      <c r="E87" s="131" t="n">
        <v>32</v>
      </c>
      <c r="F87" s="130" t="n">
        <v>84.7</v>
      </c>
      <c r="G87" s="17" t="n">
        <v>26</v>
      </c>
      <c r="H87" s="132" t="n">
        <v>432</v>
      </c>
      <c r="I87" s="133" t="n">
        <v>36000</v>
      </c>
      <c r="J87" s="133" t="inlineStr">
        <is>
          <t>13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105</v>
      </c>
      <c r="U87" s="9" t="n"/>
    </row>
    <row r="88" ht="12" customFormat="1" customHeight="1" s="38">
      <c r="A88" s="120" t="inlineStr">
        <is>
          <t>효성동 현대1차</t>
        </is>
      </c>
      <c r="B88" s="121" t="inlineStr">
        <is>
          <t>91.11.</t>
        </is>
      </c>
      <c r="C88" s="129" t="n">
        <v>874</v>
      </c>
      <c r="D88" s="130" t="n">
        <v>86.8</v>
      </c>
      <c r="E88" s="131" t="n">
        <v>26</v>
      </c>
      <c r="F88" s="130" t="n">
        <v>71.2</v>
      </c>
      <c r="G88" s="17" t="n">
        <v>22</v>
      </c>
      <c r="H88" s="132" t="n">
        <v>234</v>
      </c>
      <c r="I88" s="133" t="n">
        <v>36000</v>
      </c>
      <c r="J88" s="133" t="inlineStr">
        <is>
          <t>11</t>
        </is>
      </c>
      <c r="K88" s="133" t="n">
        <v>27000</v>
      </c>
      <c r="L88" s="133" t="inlineStr">
        <is>
          <t>10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inlineStr">
        <is>
          <t>86A</t>
        </is>
      </c>
      <c r="U88" s="9" t="n"/>
    </row>
    <row r="89" ht="12" customFormat="1" customHeight="1" s="38">
      <c r="A89" s="120" t="inlineStr">
        <is>
          <t>작전동 삼보</t>
        </is>
      </c>
      <c r="B89" s="121" t="inlineStr">
        <is>
          <t>94.02.</t>
        </is>
      </c>
      <c r="C89" s="129" t="n">
        <v>454</v>
      </c>
      <c r="D89" s="130" t="n">
        <v>105</v>
      </c>
      <c r="E89" s="131" t="n">
        <v>32</v>
      </c>
      <c r="F89" s="130" t="n">
        <v>84.8</v>
      </c>
      <c r="G89" s="17" t="n">
        <v>26</v>
      </c>
      <c r="H89" s="132" t="n">
        <v>182</v>
      </c>
      <c r="I89" s="133" t="n">
        <v>35800</v>
      </c>
      <c r="J89" s="133" t="inlineStr">
        <is>
          <t>14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105A</t>
        </is>
      </c>
      <c r="U89" s="9" t="n"/>
    </row>
    <row r="90" ht="12" customFormat="1" customHeight="1" s="38">
      <c r="A90" s="120" t="inlineStr">
        <is>
          <t>계산동 계산주공</t>
        </is>
      </c>
      <c r="B90" s="121" t="inlineStr">
        <is>
          <t>90.06.</t>
        </is>
      </c>
      <c r="C90" s="129" t="n">
        <v>1140</v>
      </c>
      <c r="D90" s="130" t="n">
        <v>69.09999999999999</v>
      </c>
      <c r="E90" s="131" t="n">
        <v>21</v>
      </c>
      <c r="F90" s="130" t="n">
        <v>49.9</v>
      </c>
      <c r="G90" s="17" t="n">
        <v>15</v>
      </c>
      <c r="H90" s="132" t="n">
        <v>270</v>
      </c>
      <c r="I90" s="133" t="n">
        <v>35500</v>
      </c>
      <c r="J90" s="133" t="inlineStr">
        <is>
          <t>10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복</t>
        </is>
      </c>
      <c r="T90" s="5" t="n">
        <v>69</v>
      </c>
      <c r="U90" s="9" t="n"/>
    </row>
    <row r="91" ht="12" customFormat="1" customHeight="1" s="38">
      <c r="A91" s="120" t="inlineStr">
        <is>
          <t>작전동 도두리마을동보</t>
        </is>
      </c>
      <c r="B91" s="121" t="inlineStr">
        <is>
          <t>96.12.</t>
        </is>
      </c>
      <c r="C91" s="129" t="n">
        <v>1276</v>
      </c>
      <c r="D91" s="130" t="n">
        <v>79.7</v>
      </c>
      <c r="E91" s="131" t="n">
        <v>24</v>
      </c>
      <c r="F91" s="130" t="n">
        <v>59.9</v>
      </c>
      <c r="G91" s="17" t="n">
        <v>18</v>
      </c>
      <c r="H91" s="132" t="n">
        <v>1068</v>
      </c>
      <c r="I91" s="133" t="n">
        <v>35000</v>
      </c>
      <c r="J91" s="133" t="inlineStr">
        <is>
          <t>10</t>
        </is>
      </c>
      <c r="K91" s="133" t="n">
        <v>25000</v>
      </c>
      <c r="L91" s="133" t="inlineStr">
        <is>
          <t>18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</row>
    <row r="92" ht="12" customFormat="1" customHeight="1" s="38">
      <c r="A92" s="120" t="inlineStr">
        <is>
          <t>작전동 도두리마을대동</t>
        </is>
      </c>
      <c r="B92" s="121" t="inlineStr">
        <is>
          <t>97.09.</t>
        </is>
      </c>
      <c r="C92" s="129" t="n">
        <v>1299</v>
      </c>
      <c r="D92" s="130" t="n">
        <v>80.90000000000001</v>
      </c>
      <c r="E92" s="131" t="n">
        <v>24</v>
      </c>
      <c r="F92" s="130" t="n">
        <v>59.8</v>
      </c>
      <c r="G92" s="17" t="n">
        <v>18</v>
      </c>
      <c r="H92" s="132" t="n">
        <v>702</v>
      </c>
      <c r="I92" s="133" t="n">
        <v>35000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80</v>
      </c>
      <c r="U92" s="9" t="n"/>
    </row>
    <row r="93" ht="12" customFormat="1" customHeight="1" s="38">
      <c r="A93" s="120" t="inlineStr">
        <is>
          <t>작전동 작전뉴서울2차</t>
        </is>
      </c>
      <c r="B93" s="121" t="inlineStr">
        <is>
          <t>92.11.</t>
        </is>
      </c>
      <c r="C93" s="129" t="n">
        <v>400</v>
      </c>
      <c r="D93" s="130" t="n">
        <v>100.2</v>
      </c>
      <c r="E93" s="131" t="n">
        <v>30</v>
      </c>
      <c r="F93" s="130" t="n">
        <v>84.3</v>
      </c>
      <c r="G93" s="17" t="n">
        <v>25</v>
      </c>
      <c r="H93" s="132" t="n">
        <v>320</v>
      </c>
      <c r="I93" s="133" t="n">
        <v>35000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100</v>
      </c>
      <c r="U93" s="9" t="n"/>
    </row>
    <row r="94" ht="12" customFormat="1" customHeight="1" s="38">
      <c r="A94" s="120" t="inlineStr">
        <is>
          <t>작전동 까치마을태화,한진</t>
        </is>
      </c>
      <c r="B94" s="121" t="inlineStr">
        <is>
          <t>97.11.</t>
        </is>
      </c>
      <c r="C94" s="129" t="n">
        <v>1674</v>
      </c>
      <c r="D94" s="130" t="n">
        <v>81.2</v>
      </c>
      <c r="E94" s="131" t="n">
        <v>25</v>
      </c>
      <c r="F94" s="130" t="n">
        <v>59.9</v>
      </c>
      <c r="G94" s="17" t="n">
        <v>18</v>
      </c>
      <c r="H94" s="132" t="n">
        <v>960</v>
      </c>
      <c r="I94" s="133" t="n">
        <v>35000</v>
      </c>
      <c r="J94" s="133" t="inlineStr">
        <is>
          <t>14</t>
        </is>
      </c>
      <c r="K94" s="133" t="n">
        <v>27000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81</v>
      </c>
      <c r="U94" s="9" t="n"/>
    </row>
    <row r="95" ht="12" customFormat="1" customHeight="1" s="38">
      <c r="A95" s="120" t="inlineStr">
        <is>
          <t>병방동 학마을한진</t>
        </is>
      </c>
      <c r="B95" s="121" t="inlineStr">
        <is>
          <t>98.11.</t>
        </is>
      </c>
      <c r="C95" s="129" t="n">
        <v>1500</v>
      </c>
      <c r="D95" s="130" t="n">
        <v>79.5</v>
      </c>
      <c r="E95" s="131" t="n">
        <v>24</v>
      </c>
      <c r="F95" s="130" t="n">
        <v>59.7</v>
      </c>
      <c r="G95" s="17" t="n">
        <v>18</v>
      </c>
      <c r="H95" s="132" t="n">
        <v>400</v>
      </c>
      <c r="I95" s="133" t="n">
        <v>33500</v>
      </c>
      <c r="J95" s="133" t="inlineStr">
        <is>
          <t>9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</row>
    <row r="96" ht="12" customFormat="1" customHeight="1" s="38">
      <c r="A96" s="120" t="inlineStr">
        <is>
          <t>작전동 도두리마을동남,롯데</t>
        </is>
      </c>
      <c r="B96" s="121" t="inlineStr">
        <is>
          <t>97.10.</t>
        </is>
      </c>
      <c r="C96" s="129" t="n">
        <v>1282</v>
      </c>
      <c r="D96" s="130" t="n">
        <v>78.3</v>
      </c>
      <c r="E96" s="131" t="n">
        <v>24</v>
      </c>
      <c r="F96" s="130" t="n">
        <v>59.5</v>
      </c>
      <c r="G96" s="17" t="n">
        <v>18</v>
      </c>
      <c r="H96" s="132" t="n">
        <v>624</v>
      </c>
      <c r="I96" s="133" t="n">
        <v>33000</v>
      </c>
      <c r="J96" s="133" t="inlineStr">
        <is>
          <t>15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78</v>
      </c>
      <c r="U96" s="9" t="n"/>
    </row>
    <row r="97" ht="12" customFormat="1" customHeight="1" s="38">
      <c r="A97" s="120" t="inlineStr">
        <is>
          <t>작전동 작전뉴서울2차</t>
        </is>
      </c>
      <c r="B97" s="121" t="inlineStr">
        <is>
          <t>92.11.</t>
        </is>
      </c>
      <c r="C97" s="129" t="n">
        <v>400</v>
      </c>
      <c r="D97" s="130" t="n">
        <v>90.3</v>
      </c>
      <c r="E97" s="131" t="n">
        <v>27</v>
      </c>
      <c r="F97" s="130" t="n">
        <v>74.3</v>
      </c>
      <c r="G97" s="17" t="n">
        <v>22</v>
      </c>
      <c r="H97" s="132" t="n">
        <v>80</v>
      </c>
      <c r="I97" s="133" t="n">
        <v>33000</v>
      </c>
      <c r="J97" s="133" t="inlineStr">
        <is>
          <t>6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90</v>
      </c>
      <c r="U97" s="9" t="n"/>
    </row>
    <row r="98" ht="12" customFormat="1" customHeight="1" s="38">
      <c r="A98" s="120" t="inlineStr">
        <is>
          <t>효성동 풍림</t>
        </is>
      </c>
      <c r="B98" s="121" t="inlineStr">
        <is>
          <t>97.07.</t>
        </is>
      </c>
      <c r="C98" s="129" t="n">
        <v>342</v>
      </c>
      <c r="D98" s="130" t="n">
        <v>81.2</v>
      </c>
      <c r="E98" s="131" t="n">
        <v>25</v>
      </c>
      <c r="F98" s="130" t="n">
        <v>60</v>
      </c>
      <c r="G98" s="17" t="n">
        <v>18</v>
      </c>
      <c r="H98" s="132" t="n">
        <v>130</v>
      </c>
      <c r="I98" s="133" t="n">
        <v>33000</v>
      </c>
      <c r="J98" s="133" t="inlineStr">
        <is>
          <t>14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1</v>
      </c>
      <c r="S98" s="117" t="inlineStr">
        <is>
          <t>계</t>
        </is>
      </c>
      <c r="T98" s="5" t="n">
        <v>81</v>
      </c>
      <c r="U98" s="9" t="n"/>
    </row>
    <row r="99" ht="12" customFormat="1" customHeight="1" s="38">
      <c r="A99" s="120" t="inlineStr">
        <is>
          <t>효성동 뉴서울5차</t>
        </is>
      </c>
      <c r="B99" s="121" t="inlineStr">
        <is>
          <t>94.12.</t>
        </is>
      </c>
      <c r="C99" s="129" t="n">
        <v>648</v>
      </c>
      <c r="D99" s="130" t="n">
        <v>74.59999999999999</v>
      </c>
      <c r="E99" s="131" t="n">
        <v>23</v>
      </c>
      <c r="F99" s="130" t="n">
        <v>59.7</v>
      </c>
      <c r="G99" s="17" t="n">
        <v>18</v>
      </c>
      <c r="H99" s="132" t="n">
        <v>260</v>
      </c>
      <c r="I99" s="133" t="n">
        <v>31000</v>
      </c>
      <c r="J99" s="133" t="inlineStr">
        <is>
          <t>17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1</v>
      </c>
      <c r="S99" s="117" t="inlineStr">
        <is>
          <t>계</t>
        </is>
      </c>
      <c r="T99" s="5" t="n">
        <v>74</v>
      </c>
      <c r="U99" s="9" t="n"/>
    </row>
    <row r="100" ht="12" customFormat="1" customHeight="1" s="38">
      <c r="A100" s="120" t="inlineStr">
        <is>
          <t>효성동 두산</t>
        </is>
      </c>
      <c r="B100" s="121" t="inlineStr">
        <is>
          <t>97.09.</t>
        </is>
      </c>
      <c r="C100" s="129" t="n">
        <v>957</v>
      </c>
      <c r="D100" s="130" t="n">
        <v>79.7</v>
      </c>
      <c r="E100" s="131" t="n">
        <v>24</v>
      </c>
      <c r="F100" s="130" t="n">
        <v>59.9</v>
      </c>
      <c r="G100" s="17" t="n">
        <v>18</v>
      </c>
      <c r="H100" s="132" t="n">
        <v>390</v>
      </c>
      <c r="I100" s="133" t="n">
        <v>31000</v>
      </c>
      <c r="J100" s="133" t="inlineStr">
        <is>
          <t>10</t>
        </is>
      </c>
      <c r="K100" s="133" t="n">
        <v>23000</v>
      </c>
      <c r="L100" s="133" t="inlineStr">
        <is>
          <t>12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inlineStr">
        <is>
          <t>79A</t>
        </is>
      </c>
      <c r="U100" s="9" t="n"/>
    </row>
    <row r="101" ht="12" customFormat="1" customHeight="1" s="38">
      <c r="A101" s="120" t="inlineStr">
        <is>
          <t>효성동 신한</t>
        </is>
      </c>
      <c r="B101" s="121" t="inlineStr">
        <is>
          <t>96.12.</t>
        </is>
      </c>
      <c r="C101" s="129" t="n">
        <v>324</v>
      </c>
      <c r="D101" s="130" t="n">
        <v>77.5</v>
      </c>
      <c r="E101" s="131" t="n">
        <v>23</v>
      </c>
      <c r="F101" s="130" t="n">
        <v>60</v>
      </c>
      <c r="G101" s="17" t="n">
        <v>18</v>
      </c>
      <c r="H101" s="132" t="n">
        <v>160</v>
      </c>
      <c r="I101" s="133" t="n">
        <v>31000</v>
      </c>
      <c r="J101" s="133" t="inlineStr">
        <is>
          <t>6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77</v>
      </c>
      <c r="U101" s="9" t="n"/>
    </row>
    <row r="102" ht="12" customFormat="1" customHeight="1" s="38">
      <c r="A102" s="120" t="inlineStr">
        <is>
          <t>계산동 극동</t>
        </is>
      </c>
      <c r="B102" s="121" t="inlineStr">
        <is>
          <t>85.07.</t>
        </is>
      </c>
      <c r="C102" s="129" t="n">
        <v>630</v>
      </c>
      <c r="D102" s="130" t="n">
        <v>64.2</v>
      </c>
      <c r="E102" s="131" t="n">
        <v>19</v>
      </c>
      <c r="F102" s="130" t="n">
        <v>52.5</v>
      </c>
      <c r="G102" s="17" t="n">
        <v>16</v>
      </c>
      <c r="H102" s="132" t="n">
        <v>240</v>
      </c>
      <c r="I102" s="133" t="n">
        <v>30000</v>
      </c>
      <c r="J102" s="133" t="inlineStr">
        <is>
          <t>5</t>
        </is>
      </c>
      <c r="K102" s="133" t="n">
        <v>12000</v>
      </c>
      <c r="L102" s="133" t="inlineStr">
        <is>
          <t>5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계</t>
        </is>
      </c>
      <c r="T102" s="5" t="n">
        <v>64</v>
      </c>
      <c r="U102" s="9" t="n"/>
    </row>
    <row r="103" ht="12" customFormat="1" customHeight="1" s="38">
      <c r="A103" s="120" t="inlineStr">
        <is>
          <t>방축동 아주</t>
        </is>
      </c>
      <c r="B103" s="121" t="inlineStr">
        <is>
          <t>91.04.</t>
        </is>
      </c>
      <c r="C103" s="129" t="n">
        <v>480</v>
      </c>
      <c r="D103" s="130" t="n">
        <v>83.8</v>
      </c>
      <c r="E103" s="131" t="n">
        <v>25</v>
      </c>
      <c r="F103" s="130" t="n">
        <v>66.8</v>
      </c>
      <c r="G103" s="17" t="n">
        <v>20</v>
      </c>
      <c r="H103" s="132" t="n">
        <v>36</v>
      </c>
      <c r="I103" s="133" t="n">
        <v>30000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n">
        <v>83</v>
      </c>
      <c r="U103" s="9" t="n"/>
    </row>
    <row r="104" ht="12" customFormat="1" customHeight="1" s="38">
      <c r="A104" s="120" t="inlineStr">
        <is>
          <t>오류동 신동아</t>
        </is>
      </c>
      <c r="B104" s="121" t="inlineStr">
        <is>
          <t>97.03.</t>
        </is>
      </c>
      <c r="C104" s="129" t="n">
        <v>1192</v>
      </c>
      <c r="D104" s="130" t="n">
        <v>78</v>
      </c>
      <c r="E104" s="131" t="n">
        <v>24</v>
      </c>
      <c r="F104" s="130" t="n">
        <v>60</v>
      </c>
      <c r="G104" s="17" t="n">
        <v>18</v>
      </c>
      <c r="H104" s="132" t="n">
        <v>536</v>
      </c>
      <c r="I104" s="133" t="n">
        <v>29000</v>
      </c>
      <c r="J104" s="133" t="inlineStr">
        <is>
          <t>9</t>
        </is>
      </c>
      <c r="K104" s="133" t="n">
        <v>25000</v>
      </c>
      <c r="L104" s="133" t="inlineStr">
        <is>
          <t>11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78</v>
      </c>
      <c r="U104" s="9" t="n"/>
    </row>
    <row r="105" ht="12" customFormat="1" customHeight="1" s="38">
      <c r="A105" s="120" t="inlineStr">
        <is>
          <t>작전동 현대3차</t>
        </is>
      </c>
      <c r="B105" s="121" t="inlineStr">
        <is>
          <t>92.11.</t>
        </is>
      </c>
      <c r="C105" s="129" t="n">
        <v>390</v>
      </c>
      <c r="D105" s="130" t="n">
        <v>74.8</v>
      </c>
      <c r="E105" s="131" t="n">
        <v>23</v>
      </c>
      <c r="F105" s="130" t="n">
        <v>59.4</v>
      </c>
      <c r="G105" s="17" t="n">
        <v>18</v>
      </c>
      <c r="H105" s="132" t="n">
        <v>153</v>
      </c>
      <c r="I105" s="133" t="n">
        <v>29000</v>
      </c>
      <c r="J105" s="133" t="inlineStr">
        <is>
          <t>14</t>
        </is>
      </c>
      <c r="K105" s="133" t="n">
        <v>23000</v>
      </c>
      <c r="L105" s="133" t="inlineStr">
        <is>
          <t>12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74</v>
      </c>
      <c r="U105" s="9" t="n"/>
    </row>
    <row r="106" ht="12" customFormat="1" customHeight="1" s="38">
      <c r="A106" s="120" t="inlineStr">
        <is>
          <t>작전동 동보1차</t>
        </is>
      </c>
      <c r="B106" s="121" t="inlineStr">
        <is>
          <t>95.04.</t>
        </is>
      </c>
      <c r="C106" s="129" t="n">
        <v>1187</v>
      </c>
      <c r="D106" s="130" t="n">
        <v>82.2</v>
      </c>
      <c r="E106" s="131" t="n">
        <v>25</v>
      </c>
      <c r="F106" s="130" t="n">
        <v>60</v>
      </c>
      <c r="G106" s="17" t="n">
        <v>18</v>
      </c>
      <c r="H106" s="132" t="n">
        <v>475</v>
      </c>
      <c r="I106" s="133" t="n">
        <v>29000</v>
      </c>
      <c r="J106" s="133" t="inlineStr">
        <is>
          <t>19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1</v>
      </c>
      <c r="S106" s="117" t="inlineStr">
        <is>
          <t>복</t>
        </is>
      </c>
      <c r="T106" s="5" t="n">
        <v>82</v>
      </c>
      <c r="U106" s="9" t="n"/>
    </row>
    <row r="107" ht="12" customFormat="1" customHeight="1" s="38">
      <c r="A107" s="120" t="inlineStr">
        <is>
          <t>효성동 뉴서울6차</t>
        </is>
      </c>
      <c r="B107" s="121" t="inlineStr">
        <is>
          <t>95.05.</t>
        </is>
      </c>
      <c r="C107" s="129" t="n">
        <v>370</v>
      </c>
      <c r="D107" s="130" t="n">
        <v>76.8</v>
      </c>
      <c r="E107" s="131" t="n">
        <v>23</v>
      </c>
      <c r="F107" s="130" t="n">
        <v>59.8</v>
      </c>
      <c r="G107" s="17" t="n">
        <v>18</v>
      </c>
      <c r="H107" s="132" t="n">
        <v>224</v>
      </c>
      <c r="I107" s="133" t="n">
        <v>29000</v>
      </c>
      <c r="J107" s="133" t="inlineStr">
        <is>
          <t>6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1</v>
      </c>
      <c r="S107" s="117" t="inlineStr">
        <is>
          <t>계</t>
        </is>
      </c>
      <c r="T107" s="5" t="n">
        <v>76</v>
      </c>
      <c r="U107" s="9" t="n"/>
    </row>
    <row r="108" ht="12" customFormat="1" customHeight="1" s="38">
      <c r="A108" s="120" t="inlineStr">
        <is>
          <t>효성동 유승</t>
        </is>
      </c>
      <c r="B108" s="121" t="inlineStr">
        <is>
          <t>02.08.</t>
        </is>
      </c>
      <c r="C108" s="129" t="n">
        <v>350</v>
      </c>
      <c r="D108" s="130" t="n">
        <v>89.2</v>
      </c>
      <c r="E108" s="131" t="n">
        <v>27</v>
      </c>
      <c r="F108" s="130" t="n">
        <v>59.1</v>
      </c>
      <c r="G108" s="17" t="n">
        <v>18</v>
      </c>
      <c r="H108" s="132" t="n">
        <v>350</v>
      </c>
      <c r="I108" s="133" t="n">
        <v>29000</v>
      </c>
      <c r="J108" s="133" t="inlineStr">
        <is>
          <t>18</t>
        </is>
      </c>
      <c r="K108" s="133" t="n">
        <v>25000</v>
      </c>
      <c r="L108" s="133" t="inlineStr">
        <is>
          <t>12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n">
        <v>89</v>
      </c>
      <c r="U108" s="9" t="n"/>
    </row>
    <row r="109" ht="12" customFormat="1" customHeight="1" s="38">
      <c r="A109" s="120" t="inlineStr">
        <is>
          <t>효성동 뉴서울1차</t>
        </is>
      </c>
      <c r="B109" s="121" t="inlineStr">
        <is>
          <t>85.06.</t>
        </is>
      </c>
      <c r="C109" s="129" t="n">
        <v>460</v>
      </c>
      <c r="D109" s="130" t="n">
        <v>67.40000000000001</v>
      </c>
      <c r="E109" s="131" t="n">
        <v>20</v>
      </c>
      <c r="F109" s="130" t="n">
        <v>49</v>
      </c>
      <c r="G109" s="17" t="n">
        <v>15</v>
      </c>
      <c r="H109" s="132" t="n">
        <v>100</v>
      </c>
      <c r="I109" s="133" t="n">
        <v>28500</v>
      </c>
      <c r="J109" s="133" t="inlineStr">
        <is>
          <t>5</t>
        </is>
      </c>
      <c r="K109" s="133" t="n">
        <v>6500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67</v>
      </c>
      <c r="U109" s="9" t="n"/>
    </row>
    <row r="110" ht="12" customFormat="1" customHeight="1" s="38">
      <c r="A110" s="120" t="inlineStr">
        <is>
          <t>병방동 학마을한진</t>
        </is>
      </c>
      <c r="B110" s="121" t="inlineStr">
        <is>
          <t>98.11.</t>
        </is>
      </c>
      <c r="C110" s="129" t="n">
        <v>1500</v>
      </c>
      <c r="D110" s="130" t="n">
        <v>68.5</v>
      </c>
      <c r="E110" s="131" t="n">
        <v>21</v>
      </c>
      <c r="F110" s="130" t="n">
        <v>49.8</v>
      </c>
      <c r="G110" s="17" t="n">
        <v>15</v>
      </c>
      <c r="H110" s="132" t="n">
        <v>900</v>
      </c>
      <c r="I110" s="133" t="n">
        <v>28000</v>
      </c>
      <c r="J110" s="133" t="inlineStr">
        <is>
          <t>5</t>
        </is>
      </c>
      <c r="K110" s="133" t="n">
        <v>20000</v>
      </c>
      <c r="L110" s="133" t="inlineStr">
        <is>
          <t>10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복</t>
        </is>
      </c>
      <c r="T110" s="5" t="n">
        <v>68</v>
      </c>
      <c r="U110" s="9" t="n"/>
    </row>
    <row r="111" ht="12" customFormat="1" customHeight="1" s="38">
      <c r="A111" s="120" t="inlineStr">
        <is>
          <t>효성동 태산</t>
        </is>
      </c>
      <c r="B111" s="121" t="inlineStr">
        <is>
          <t>97.10.</t>
        </is>
      </c>
      <c r="C111" s="129" t="n">
        <v>1178</v>
      </c>
      <c r="D111" s="130" t="n">
        <v>78.3</v>
      </c>
      <c r="E111" s="131" t="n">
        <v>24</v>
      </c>
      <c r="F111" s="130" t="n">
        <v>60</v>
      </c>
      <c r="G111" s="17" t="n">
        <v>18</v>
      </c>
      <c r="H111" s="132" t="n">
        <v>524</v>
      </c>
      <c r="I111" s="133" t="n">
        <v>28000</v>
      </c>
      <c r="J111" s="133" t="inlineStr">
        <is>
          <t>12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78</v>
      </c>
      <c r="U111" s="9" t="n"/>
    </row>
    <row r="112" ht="12" customFormat="1" customHeight="1" s="38">
      <c r="A112" s="120" t="inlineStr">
        <is>
          <t>효성동 현대4차</t>
        </is>
      </c>
      <c r="B112" s="121" t="inlineStr">
        <is>
          <t>95.12.</t>
        </is>
      </c>
      <c r="C112" s="129" t="n">
        <v>919</v>
      </c>
      <c r="D112" s="130" t="n">
        <v>74.8</v>
      </c>
      <c r="E112" s="131" t="n">
        <v>23</v>
      </c>
      <c r="F112" s="130" t="n">
        <v>59.4</v>
      </c>
      <c r="G112" s="17" t="n">
        <v>18</v>
      </c>
      <c r="H112" s="132" t="n">
        <v>375</v>
      </c>
      <c r="I112" s="133" t="n">
        <v>28000</v>
      </c>
      <c r="J112" s="133" t="inlineStr">
        <is>
          <t>25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복</t>
        </is>
      </c>
      <c r="T112" s="5" t="n">
        <v>74</v>
      </c>
      <c r="U112" s="9" t="n"/>
    </row>
    <row r="113" ht="12" customFormat="1" customHeight="1" s="38">
      <c r="A113" s="120" t="inlineStr">
        <is>
          <t>계산동 팬더1,2차</t>
        </is>
      </c>
      <c r="B113" s="121" t="inlineStr">
        <is>
          <t>89.09.</t>
        </is>
      </c>
      <c r="C113" s="129" t="n">
        <v>504</v>
      </c>
      <c r="D113" s="130" t="n">
        <v>74.3</v>
      </c>
      <c r="E113" s="131" t="n">
        <v>22</v>
      </c>
      <c r="F113" s="130" t="n">
        <v>58.4</v>
      </c>
      <c r="G113" s="17" t="n">
        <v>18</v>
      </c>
      <c r="H113" s="132" t="n">
        <v>60</v>
      </c>
      <c r="I113" s="133" t="n">
        <v>27500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74B</t>
        </is>
      </c>
      <c r="U113" s="9" t="n"/>
    </row>
    <row r="114" ht="12" customFormat="1" customHeight="1" s="38">
      <c r="A114" s="120" t="inlineStr">
        <is>
          <t>계산동 삼천리열망</t>
        </is>
      </c>
      <c r="B114" s="121" t="inlineStr">
        <is>
          <t>86.07.</t>
        </is>
      </c>
      <c r="C114" s="129" t="n">
        <v>460</v>
      </c>
      <c r="D114" s="130" t="n">
        <v>65.5</v>
      </c>
      <c r="E114" s="131" t="n">
        <v>20</v>
      </c>
      <c r="F114" s="130" t="n">
        <v>49.3</v>
      </c>
      <c r="G114" s="17" t="n">
        <v>15</v>
      </c>
      <c r="H114" s="132" t="n">
        <v>100</v>
      </c>
      <c r="I114" s="133" t="n">
        <v>27000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65</v>
      </c>
      <c r="U114" s="9" t="n"/>
    </row>
    <row r="115" ht="12" customFormat="1" customHeight="1" s="38">
      <c r="A115" s="120" t="inlineStr">
        <is>
          <t>작전동 삼천리</t>
        </is>
      </c>
      <c r="B115" s="121" t="inlineStr">
        <is>
          <t>88.12.</t>
        </is>
      </c>
      <c r="C115" s="129" t="n">
        <v>540</v>
      </c>
      <c r="D115" s="130" t="n">
        <v>58.6</v>
      </c>
      <c r="E115" s="131" t="n">
        <v>18</v>
      </c>
      <c r="F115" s="130" t="n">
        <v>44.7</v>
      </c>
      <c r="G115" s="17" t="n">
        <v>14</v>
      </c>
      <c r="H115" s="132" t="n">
        <v>108</v>
      </c>
      <c r="I115" s="133" t="n">
        <v>27000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58</v>
      </c>
      <c r="U115" s="9" t="n"/>
    </row>
    <row r="116" ht="12" customFormat="1" customHeight="1" s="38">
      <c r="A116" s="120" t="inlineStr">
        <is>
          <t>작전동 삼보</t>
        </is>
      </c>
      <c r="B116" s="121" t="inlineStr">
        <is>
          <t>94.02.</t>
        </is>
      </c>
      <c r="C116" s="129" t="n">
        <v>454</v>
      </c>
      <c r="D116" s="130" t="n">
        <v>84.09999999999999</v>
      </c>
      <c r="E116" s="131" t="n">
        <v>25</v>
      </c>
      <c r="F116" s="130" t="n">
        <v>59.9</v>
      </c>
      <c r="G116" s="17" t="n">
        <v>18</v>
      </c>
      <c r="H116" s="132" t="n">
        <v>216</v>
      </c>
      <c r="I116" s="133" t="n">
        <v>26500</v>
      </c>
      <c r="J116" s="133" t="inlineStr">
        <is>
          <t>10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2</v>
      </c>
      <c r="R116" s="117" t="n">
        <v>1</v>
      </c>
      <c r="S116" s="117" t="inlineStr">
        <is>
          <t>복</t>
        </is>
      </c>
      <c r="T116" s="5" t="n">
        <v>84</v>
      </c>
      <c r="U116" s="9" t="n"/>
    </row>
    <row r="117" ht="12" customFormat="1" customHeight="1" s="38">
      <c r="A117" s="120" t="inlineStr">
        <is>
          <t>계산동 팬더1,2차</t>
        </is>
      </c>
      <c r="B117" s="121" t="inlineStr">
        <is>
          <t>89.09.</t>
        </is>
      </c>
      <c r="C117" s="129" t="n">
        <v>504</v>
      </c>
      <c r="D117" s="130" t="n">
        <v>69</v>
      </c>
      <c r="E117" s="131" t="n">
        <v>21</v>
      </c>
      <c r="F117" s="130" t="n">
        <v>53.9</v>
      </c>
      <c r="G117" s="17" t="n">
        <v>16</v>
      </c>
      <c r="H117" s="132" t="n">
        <v>36</v>
      </c>
      <c r="I117" s="133" t="n">
        <v>26000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1</v>
      </c>
      <c r="S117" s="117" t="inlineStr">
        <is>
          <t>계</t>
        </is>
      </c>
      <c r="T117" s="5" t="n">
        <v>69</v>
      </c>
      <c r="U117" s="9" t="n"/>
    </row>
    <row r="118" ht="12" customFormat="1" customHeight="1" s="38">
      <c r="A118" s="120" t="inlineStr">
        <is>
          <t>방축동 아주</t>
        </is>
      </c>
      <c r="B118" s="121" t="inlineStr">
        <is>
          <t>91.04.</t>
        </is>
      </c>
      <c r="C118" s="129" t="n">
        <v>480</v>
      </c>
      <c r="D118" s="130" t="n">
        <v>79.90000000000001</v>
      </c>
      <c r="E118" s="131" t="n">
        <v>24</v>
      </c>
      <c r="F118" s="130" t="n">
        <v>63.4</v>
      </c>
      <c r="G118" s="17" t="n">
        <v>19</v>
      </c>
      <c r="H118" s="132" t="n">
        <v>240</v>
      </c>
      <c r="I118" s="133" t="n">
        <v>26000</v>
      </c>
      <c r="J118" s="133" t="inlineStr">
        <is>
          <t>5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79</v>
      </c>
      <c r="U118" s="9" t="n"/>
    </row>
    <row r="119" ht="12" customFormat="1" customHeight="1" s="38">
      <c r="A119" s="120" t="inlineStr">
        <is>
          <t>계산동 태평</t>
        </is>
      </c>
      <c r="B119" s="121" t="inlineStr">
        <is>
          <t>90.12.</t>
        </is>
      </c>
      <c r="C119" s="129" t="n">
        <v>432</v>
      </c>
      <c r="D119" s="130" t="n">
        <v>79.90000000000001</v>
      </c>
      <c r="E119" s="131" t="n">
        <v>24</v>
      </c>
      <c r="F119" s="130" t="n">
        <v>63.7</v>
      </c>
      <c r="G119" s="17" t="n">
        <v>19</v>
      </c>
      <c r="H119" s="132" t="n">
        <v>48</v>
      </c>
      <c r="I119" s="133" t="n">
        <v>25000</v>
      </c>
      <c r="J119" s="133" t="inlineStr">
        <is>
          <t>5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n">
        <v>79</v>
      </c>
      <c r="U119" s="9" t="n"/>
    </row>
    <row r="120" ht="12" customFormat="1" customHeight="1" s="38">
      <c r="A120" s="120" t="inlineStr">
        <is>
          <t>계산동 삼보1,2차</t>
        </is>
      </c>
      <c r="B120" s="121" t="inlineStr">
        <is>
          <t>87.10.</t>
        </is>
      </c>
      <c r="C120" s="129" t="n">
        <v>474</v>
      </c>
      <c r="D120" s="130" t="n">
        <v>61.6</v>
      </c>
      <c r="E120" s="131" t="n">
        <v>19</v>
      </c>
      <c r="F120" s="130" t="n">
        <v>49.6</v>
      </c>
      <c r="G120" s="17" t="n">
        <v>15</v>
      </c>
      <c r="H120" s="132" t="n">
        <v>72</v>
      </c>
      <c r="I120" s="133" t="n">
        <v>25000</v>
      </c>
      <c r="J120" s="133" t="inlineStr">
        <is>
          <t>5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2</v>
      </c>
      <c r="R120" s="117" t="n">
        <v>1</v>
      </c>
      <c r="S120" s="117" t="inlineStr">
        <is>
          <t>계</t>
        </is>
      </c>
      <c r="T120" s="5" t="n">
        <v>61</v>
      </c>
      <c r="U120" s="9" t="n"/>
    </row>
    <row r="121" ht="12" customFormat="1" customHeight="1" s="38">
      <c r="A121" s="120" t="inlineStr">
        <is>
          <t>방축동 아주</t>
        </is>
      </c>
      <c r="B121" s="121" t="inlineStr">
        <is>
          <t>91.04.</t>
        </is>
      </c>
      <c r="C121" s="129" t="n">
        <v>480</v>
      </c>
      <c r="D121" s="130" t="n">
        <v>75.90000000000001</v>
      </c>
      <c r="E121" s="131" t="n">
        <v>23</v>
      </c>
      <c r="F121" s="130" t="n">
        <v>60</v>
      </c>
      <c r="G121" s="17" t="n">
        <v>18</v>
      </c>
      <c r="H121" s="132" t="n">
        <v>204</v>
      </c>
      <c r="I121" s="133" t="n">
        <v>25000</v>
      </c>
      <c r="J121" s="133" t="inlineStr">
        <is>
          <t>6</t>
        </is>
      </c>
      <c r="K121" s="133" t="n">
        <v>15000</v>
      </c>
      <c r="L121" s="133" t="inlineStr">
        <is>
          <t>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75</v>
      </c>
      <c r="U121" s="9" t="n"/>
    </row>
    <row r="122" ht="12" customFormat="1" customHeight="1" s="38">
      <c r="A122" s="120" t="inlineStr">
        <is>
          <t>작전동 미도</t>
        </is>
      </c>
      <c r="B122" s="121" t="inlineStr">
        <is>
          <t>90.11.</t>
        </is>
      </c>
      <c r="C122" s="129" t="n">
        <v>480</v>
      </c>
      <c r="D122" s="130" t="n">
        <v>80.3</v>
      </c>
      <c r="E122" s="131" t="n">
        <v>24</v>
      </c>
      <c r="F122" s="130" t="n">
        <v>59.9</v>
      </c>
      <c r="G122" s="17" t="n">
        <v>18</v>
      </c>
      <c r="H122" s="132" t="n">
        <v>90</v>
      </c>
      <c r="I122" s="133" t="n">
        <v>25000</v>
      </c>
      <c r="J122" s="133" t="inlineStr">
        <is>
          <t>14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1</v>
      </c>
      <c r="S122" s="117" t="inlineStr">
        <is>
          <t>복</t>
        </is>
      </c>
      <c r="T122" s="5" t="n">
        <v>80</v>
      </c>
      <c r="U122" s="9" t="n"/>
    </row>
    <row r="123" ht="12" customFormat="1" customHeight="1" s="38">
      <c r="A123" s="120" t="inlineStr">
        <is>
          <t>효성동 경남1차</t>
        </is>
      </c>
      <c r="B123" s="121" t="inlineStr">
        <is>
          <t>87.07.</t>
        </is>
      </c>
      <c r="C123" s="129" t="n">
        <v>310</v>
      </c>
      <c r="D123" s="130" t="n">
        <v>61.6</v>
      </c>
      <c r="E123" s="131" t="n">
        <v>19</v>
      </c>
      <c r="F123" s="130" t="n">
        <v>49.9</v>
      </c>
      <c r="G123" s="17" t="n">
        <v>15</v>
      </c>
      <c r="H123" s="132" t="n">
        <v>290</v>
      </c>
      <c r="I123" s="133" t="n">
        <v>25000</v>
      </c>
      <c r="J123" s="133" t="inlineStr">
        <is>
          <t>중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계</t>
        </is>
      </c>
      <c r="T123" s="5" t="n">
        <v>61</v>
      </c>
      <c r="U123" s="9" t="n"/>
    </row>
    <row r="124" ht="12" customFormat="1" customHeight="1" s="38">
      <c r="A124" s="120" t="inlineStr">
        <is>
          <t>효성동 뉴서울1차</t>
        </is>
      </c>
      <c r="B124" s="121" t="inlineStr">
        <is>
          <t>85.06.</t>
        </is>
      </c>
      <c r="C124" s="129" t="n">
        <v>460</v>
      </c>
      <c r="D124" s="130" t="n">
        <v>61.4</v>
      </c>
      <c r="E124" s="131" t="n">
        <v>19</v>
      </c>
      <c r="F124" s="130" t="n">
        <v>44</v>
      </c>
      <c r="G124" s="17" t="n">
        <v>13</v>
      </c>
      <c r="H124" s="132" t="n">
        <v>90</v>
      </c>
      <c r="I124" s="133" t="n">
        <v>24000</v>
      </c>
      <c r="J124" s="133" t="inlineStr">
        <is>
          <t>5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61</v>
      </c>
      <c r="U124" s="9" t="n"/>
    </row>
    <row r="125" ht="12" customFormat="1" customHeight="1" s="38">
      <c r="A125" s="120" t="inlineStr">
        <is>
          <t>효성동 중앙하이츠</t>
        </is>
      </c>
      <c r="B125" s="121" t="inlineStr">
        <is>
          <t>96.11.</t>
        </is>
      </c>
      <c r="C125" s="129" t="n">
        <v>375</v>
      </c>
      <c r="D125" s="130" t="n">
        <v>81</v>
      </c>
      <c r="E125" s="131" t="n">
        <v>24</v>
      </c>
      <c r="F125" s="130" t="n">
        <v>60</v>
      </c>
      <c r="G125" s="17" t="n">
        <v>18</v>
      </c>
      <c r="H125" s="132" t="n">
        <v>194</v>
      </c>
      <c r="I125" s="133" t="n">
        <v>23800</v>
      </c>
      <c r="J125" s="133" t="inlineStr">
        <is>
          <t>6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3</v>
      </c>
      <c r="R125" s="117" t="n">
        <v>1</v>
      </c>
      <c r="S125" s="117" t="inlineStr">
        <is>
          <t>복</t>
        </is>
      </c>
      <c r="T125" s="5" t="n">
        <v>80</v>
      </c>
      <c r="U125" s="9" t="n"/>
    </row>
    <row r="126" ht="12" customFormat="1" customHeight="1" s="38">
      <c r="A126" s="120" t="inlineStr">
        <is>
          <t>계산동 영남</t>
        </is>
      </c>
      <c r="B126" s="121" t="inlineStr">
        <is>
          <t>90.12.</t>
        </is>
      </c>
      <c r="C126" s="129" t="n">
        <v>360</v>
      </c>
      <c r="D126" s="130" t="n">
        <v>73.5</v>
      </c>
      <c r="E126" s="131" t="n">
        <v>22</v>
      </c>
      <c r="F126" s="130" t="n">
        <v>57.9</v>
      </c>
      <c r="G126" s="17" t="n">
        <v>18</v>
      </c>
      <c r="H126" s="132" t="n">
        <v>180</v>
      </c>
      <c r="I126" s="133" t="n">
        <v>23500</v>
      </c>
      <c r="J126" s="133" t="inlineStr">
        <is>
          <t>6</t>
        </is>
      </c>
      <c r="K126" s="133" t="n">
        <v>13500</v>
      </c>
      <c r="L126" s="133" t="inlineStr">
        <is>
          <t>5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73</v>
      </c>
      <c r="U126" s="9" t="n"/>
    </row>
    <row r="127" ht="12" customFormat="1" customHeight="1" s="38">
      <c r="A127" s="120" t="inlineStr">
        <is>
          <t>계산동 삼보3차</t>
        </is>
      </c>
      <c r="B127" s="121" t="inlineStr">
        <is>
          <t>88.10.</t>
        </is>
      </c>
      <c r="C127" s="129" t="n">
        <v>366</v>
      </c>
      <c r="D127" s="130" t="n">
        <v>63.3</v>
      </c>
      <c r="E127" s="131" t="n">
        <v>19</v>
      </c>
      <c r="F127" s="130" t="n">
        <v>49.6</v>
      </c>
      <c r="G127" s="17" t="n">
        <v>15</v>
      </c>
      <c r="H127" s="132" t="n">
        <v>181</v>
      </c>
      <c r="I127" s="133" t="n">
        <v>23000</v>
      </c>
      <c r="J127" s="133" t="inlineStr">
        <is>
          <t>6</t>
        </is>
      </c>
      <c r="K127" s="133" t="n">
        <v>14000</v>
      </c>
      <c r="L127" s="133" t="inlineStr">
        <is>
          <t>5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계</t>
        </is>
      </c>
      <c r="T127" s="5" t="n">
        <v>63</v>
      </c>
      <c r="U127" s="9" t="n"/>
    </row>
    <row r="128" ht="12" customFormat="1" customHeight="1" s="38">
      <c r="A128" s="120" t="inlineStr">
        <is>
          <t>계산동 태평</t>
        </is>
      </c>
      <c r="B128" s="121" t="inlineStr">
        <is>
          <t>90.12.</t>
        </is>
      </c>
      <c r="C128" s="129" t="n">
        <v>432</v>
      </c>
      <c r="D128" s="130" t="n">
        <v>72.3</v>
      </c>
      <c r="E128" s="131" t="n">
        <v>22</v>
      </c>
      <c r="F128" s="130" t="n">
        <v>57</v>
      </c>
      <c r="G128" s="17" t="n">
        <v>17</v>
      </c>
      <c r="H128" s="132" t="n">
        <v>168</v>
      </c>
      <c r="I128" s="133" t="n">
        <v>23000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3</v>
      </c>
      <c r="R128" s="117" t="n">
        <v>1</v>
      </c>
      <c r="S128" s="117" t="inlineStr">
        <is>
          <t>계</t>
        </is>
      </c>
      <c r="T128" s="5" t="n">
        <v>72</v>
      </c>
      <c r="U128" s="9" t="n"/>
    </row>
    <row r="129" ht="12" customFormat="1" customHeight="1" s="38">
      <c r="A129" s="120" t="inlineStr">
        <is>
          <t>계산동 동남(55-1)</t>
        </is>
      </c>
      <c r="B129" s="121" t="inlineStr">
        <is>
          <t>90.07.</t>
        </is>
      </c>
      <c r="C129" s="129" t="n">
        <v>336</v>
      </c>
      <c r="D129" s="130" t="n">
        <v>70.59999999999999</v>
      </c>
      <c r="E129" s="131" t="n">
        <v>21</v>
      </c>
      <c r="F129" s="130" t="n">
        <v>55.5</v>
      </c>
      <c r="G129" s="17" t="n">
        <v>17</v>
      </c>
      <c r="H129" s="132" t="n">
        <v>144</v>
      </c>
      <c r="I129" s="133" t="n">
        <v>23000</v>
      </c>
      <c r="J129" s="133" t="inlineStr">
        <is>
          <t>5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70</v>
      </c>
      <c r="U129" s="9" t="n"/>
    </row>
    <row r="130" ht="12" customFormat="1" customHeight="1" s="38">
      <c r="A130" s="120" t="inlineStr">
        <is>
          <t>계산동 팬더1,2차</t>
        </is>
      </c>
      <c r="B130" s="121" t="inlineStr">
        <is>
          <t>89.09.</t>
        </is>
      </c>
      <c r="C130" s="129" t="n">
        <v>504</v>
      </c>
      <c r="D130" s="130" t="n">
        <v>63.5</v>
      </c>
      <c r="E130" s="131" t="n">
        <v>19</v>
      </c>
      <c r="F130" s="130" t="n">
        <v>49.1</v>
      </c>
      <c r="G130" s="17" t="n">
        <v>15</v>
      </c>
      <c r="H130" s="132" t="n">
        <v>150</v>
      </c>
      <c r="I130" s="133" t="n">
        <v>23000</v>
      </c>
      <c r="J130" s="133" t="inlineStr">
        <is>
          <t>6</t>
        </is>
      </c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n">
        <v>63</v>
      </c>
      <c r="U130" s="9" t="n"/>
    </row>
    <row r="131" ht="12" customFormat="1" customHeight="1" s="38">
      <c r="A131" s="120" t="inlineStr">
        <is>
          <t>계산동 하나</t>
        </is>
      </c>
      <c r="B131" s="121" t="inlineStr">
        <is>
          <t>87.08.</t>
        </is>
      </c>
      <c r="C131" s="129" t="n">
        <v>994</v>
      </c>
      <c r="D131" s="130" t="n">
        <v>47</v>
      </c>
      <c r="E131" s="131" t="n">
        <v>14</v>
      </c>
      <c r="F131" s="130" t="n">
        <v>37.2</v>
      </c>
      <c r="G131" s="17" t="n">
        <v>11</v>
      </c>
      <c r="H131" s="132" t="n">
        <v>289</v>
      </c>
      <c r="I131" s="133" t="n">
        <v>23000</v>
      </c>
      <c r="J131" s="133" t="inlineStr">
        <is>
          <t>6</t>
        </is>
      </c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2</v>
      </c>
      <c r="R131" s="117" t="n">
        <v>1</v>
      </c>
      <c r="S131" s="117" t="inlineStr">
        <is>
          <t>계</t>
        </is>
      </c>
      <c r="T131" s="5" t="n">
        <v>46</v>
      </c>
      <c r="U131" s="9" t="n"/>
    </row>
    <row r="132" ht="12" customFormat="1" customHeight="1" s="38">
      <c r="A132" s="120" t="inlineStr">
        <is>
          <t>작전동 현광</t>
        </is>
      </c>
      <c r="B132" s="121" t="inlineStr">
        <is>
          <t>92.08.</t>
        </is>
      </c>
      <c r="C132" s="129" t="n">
        <v>392</v>
      </c>
      <c r="D132" s="130" t="n">
        <v>85.8</v>
      </c>
      <c r="E132" s="131" t="n">
        <v>26</v>
      </c>
      <c r="F132" s="130" t="n">
        <v>65.3</v>
      </c>
      <c r="G132" s="17" t="n">
        <v>20</v>
      </c>
      <c r="H132" s="132" t="n">
        <v>49</v>
      </c>
      <c r="I132" s="133" t="n">
        <v>23000</v>
      </c>
      <c r="J132" s="133" t="inlineStr">
        <is>
          <t>17</t>
        </is>
      </c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1</v>
      </c>
      <c r="S132" s="117" t="inlineStr">
        <is>
          <t>복</t>
        </is>
      </c>
      <c r="T132" s="5" t="n">
        <v>85</v>
      </c>
      <c r="U132" s="9" t="n"/>
    </row>
    <row r="133" ht="12" customFormat="1" customHeight="1" s="38">
      <c r="A133" s="120" t="inlineStr">
        <is>
          <t>계산동 삼천리열망</t>
        </is>
      </c>
      <c r="B133" s="121" t="inlineStr">
        <is>
          <t>86.07.</t>
        </is>
      </c>
      <c r="C133" s="129" t="n">
        <v>460</v>
      </c>
      <c r="D133" s="130" t="n">
        <v>58.1</v>
      </c>
      <c r="E133" s="131" t="n">
        <v>18</v>
      </c>
      <c r="F133" s="130" t="n">
        <v>43.1</v>
      </c>
      <c r="G133" s="17" t="n">
        <v>13</v>
      </c>
      <c r="H133" s="132" t="n">
        <v>80</v>
      </c>
      <c r="I133" s="133" t="n">
        <v>22800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2</v>
      </c>
      <c r="R133" s="117" t="n">
        <v>1</v>
      </c>
      <c r="S133" s="117" t="inlineStr">
        <is>
          <t>계</t>
        </is>
      </c>
      <c r="T133" s="5" t="n">
        <v>58</v>
      </c>
      <c r="U133" s="9" t="n"/>
    </row>
    <row r="134" ht="12" customFormat="1" customHeight="1" s="38">
      <c r="A134" s="120" t="inlineStr">
        <is>
          <t>계산동 태산</t>
        </is>
      </c>
      <c r="B134" s="121" t="inlineStr">
        <is>
          <t>90.07.</t>
        </is>
      </c>
      <c r="C134" s="129" t="n">
        <v>408</v>
      </c>
      <c r="D134" s="130" t="n">
        <v>69.59999999999999</v>
      </c>
      <c r="E134" s="131" t="n">
        <v>21</v>
      </c>
      <c r="F134" s="130" t="n">
        <v>54.5</v>
      </c>
      <c r="G134" s="17" t="n">
        <v>16</v>
      </c>
      <c r="H134" s="132" t="n">
        <v>72</v>
      </c>
      <c r="I134" s="133" t="n">
        <v>22000</v>
      </c>
      <c r="J134" s="133" t="inlineStr">
        <is>
          <t>6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3</v>
      </c>
      <c r="R134" s="117" t="n">
        <v>1</v>
      </c>
      <c r="S134" s="117" t="inlineStr">
        <is>
          <t>계</t>
        </is>
      </c>
      <c r="T134" s="5" t="n">
        <v>69</v>
      </c>
      <c r="U134" s="9" t="n"/>
    </row>
    <row r="135" ht="12" customFormat="1" customHeight="1" s="38">
      <c r="A135" s="120" t="inlineStr">
        <is>
          <t>계산동 삼천리열망</t>
        </is>
      </c>
      <c r="B135" s="121" t="inlineStr">
        <is>
          <t>86.07.</t>
        </is>
      </c>
      <c r="C135" s="129" t="n">
        <v>460</v>
      </c>
      <c r="D135" s="130" t="n">
        <v>54.9</v>
      </c>
      <c r="E135" s="131" t="n">
        <v>17</v>
      </c>
      <c r="F135" s="130" t="n">
        <v>40.4</v>
      </c>
      <c r="G135" s="17" t="n">
        <v>12</v>
      </c>
      <c r="H135" s="132" t="n">
        <v>80</v>
      </c>
      <c r="I135" s="133" t="n">
        <v>22000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2</v>
      </c>
      <c r="R135" s="117" t="n">
        <v>1</v>
      </c>
      <c r="S135" s="117" t="inlineStr">
        <is>
          <t>계</t>
        </is>
      </c>
      <c r="T135" s="5" t="n">
        <v>54</v>
      </c>
      <c r="U135" s="9" t="n"/>
    </row>
    <row r="136" ht="12" customFormat="1" customHeight="1" s="38">
      <c r="A136" s="120" t="inlineStr">
        <is>
          <t>작전동 현광</t>
        </is>
      </c>
      <c r="B136" s="121" t="inlineStr">
        <is>
          <t>92.08.</t>
        </is>
      </c>
      <c r="C136" s="129" t="n">
        <v>392</v>
      </c>
      <c r="D136" s="130" t="n">
        <v>77.8</v>
      </c>
      <c r="E136" s="131" t="n">
        <v>24</v>
      </c>
      <c r="F136" s="130" t="n">
        <v>59.7</v>
      </c>
      <c r="G136" s="17" t="n">
        <v>18</v>
      </c>
      <c r="H136" s="132" t="n">
        <v>203</v>
      </c>
      <c r="I136" s="133" t="n">
        <v>22000</v>
      </c>
      <c r="J136" s="133" t="inlineStr">
        <is>
          <t>5</t>
        </is>
      </c>
      <c r="K136" s="133" t="n">
        <v>18000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1</v>
      </c>
      <c r="S136" s="117" t="inlineStr">
        <is>
          <t>복</t>
        </is>
      </c>
      <c r="T136" s="5" t="n">
        <v>77</v>
      </c>
      <c r="U136" s="9" t="n"/>
    </row>
    <row r="137" ht="12" customFormat="1" customHeight="1" s="38">
      <c r="A137" s="120" t="inlineStr">
        <is>
          <t>병방동 아주</t>
        </is>
      </c>
      <c r="B137" s="121" t="inlineStr">
        <is>
          <t>89.09.</t>
        </is>
      </c>
      <c r="C137" s="129" t="n">
        <v>468</v>
      </c>
      <c r="D137" s="130" t="n">
        <v>67.5</v>
      </c>
      <c r="E137" s="131" t="n">
        <v>20</v>
      </c>
      <c r="F137" s="130" t="n">
        <v>55</v>
      </c>
      <c r="G137" s="17" t="n">
        <v>17</v>
      </c>
      <c r="H137" s="132" t="n">
        <v>84</v>
      </c>
      <c r="I137" s="133" t="n">
        <v>21500</v>
      </c>
      <c r="J137" s="133" t="inlineStr">
        <is>
          <t>5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67</v>
      </c>
      <c r="U137" s="9" t="n"/>
    </row>
    <row r="138" ht="12" customFormat="1" customHeight="1" s="38">
      <c r="A138" s="120" t="inlineStr">
        <is>
          <t>계산동 동남(55-1)</t>
        </is>
      </c>
      <c r="B138" s="121" t="inlineStr">
        <is>
          <t>90.07.</t>
        </is>
      </c>
      <c r="C138" s="129" t="n">
        <v>336</v>
      </c>
      <c r="D138" s="130" t="n">
        <v>56.7</v>
      </c>
      <c r="E138" s="131" t="n">
        <v>17</v>
      </c>
      <c r="F138" s="130" t="n">
        <v>43.7</v>
      </c>
      <c r="G138" s="17" t="n">
        <v>13</v>
      </c>
      <c r="H138" s="132" t="n">
        <v>84</v>
      </c>
      <c r="I138" s="133" t="n">
        <v>21000</v>
      </c>
      <c r="J138" s="133" t="inlineStr">
        <is>
          <t>6</t>
        </is>
      </c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2</v>
      </c>
      <c r="R138" s="117" t="n">
        <v>1</v>
      </c>
      <c r="S138" s="117" t="inlineStr">
        <is>
          <t>계</t>
        </is>
      </c>
      <c r="T138" s="5" t="n">
        <v>56</v>
      </c>
      <c r="U138" s="9" t="n"/>
    </row>
    <row r="139" ht="12" customFormat="1" customHeight="1" s="38">
      <c r="A139" s="120" t="inlineStr">
        <is>
          <t>계산동 팬더1,2차</t>
        </is>
      </c>
      <c r="B139" s="121" t="inlineStr">
        <is>
          <t>89.09.</t>
        </is>
      </c>
      <c r="C139" s="129" t="n">
        <v>504</v>
      </c>
      <c r="D139" s="130" t="n">
        <v>53.7</v>
      </c>
      <c r="E139" s="131" t="n">
        <v>16</v>
      </c>
      <c r="F139" s="130" t="n">
        <v>40.8</v>
      </c>
      <c r="G139" s="17" t="n">
        <v>12</v>
      </c>
      <c r="H139" s="132" t="n">
        <v>204</v>
      </c>
      <c r="I139" s="133" t="n">
        <v>21000</v>
      </c>
      <c r="J139" s="133" t="inlineStr">
        <is>
          <t>5</t>
        </is>
      </c>
      <c r="K139" s="133" t="n">
        <v>11000</v>
      </c>
      <c r="L139" s="133" t="inlineStr">
        <is>
          <t>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2</v>
      </c>
      <c r="R139" s="117" t="n">
        <v>1</v>
      </c>
      <c r="S139" s="117" t="inlineStr">
        <is>
          <t>계</t>
        </is>
      </c>
      <c r="T139" s="5" t="inlineStr">
        <is>
          <t>53A</t>
        </is>
      </c>
      <c r="U139" s="9" t="n"/>
    </row>
    <row r="140" ht="12" customFormat="1" customHeight="1" s="38">
      <c r="A140" s="120" t="inlineStr">
        <is>
          <t>계산동 서해그린3차</t>
        </is>
      </c>
      <c r="B140" s="121" t="inlineStr">
        <is>
          <t>91.08.</t>
        </is>
      </c>
      <c r="C140" s="129" t="n">
        <v>498</v>
      </c>
      <c r="D140" s="130" t="n">
        <v>79.7</v>
      </c>
      <c r="E140" s="131" t="n">
        <v>24</v>
      </c>
      <c r="F140" s="130" t="n">
        <v>60</v>
      </c>
      <c r="G140" s="17" t="n">
        <v>18</v>
      </c>
      <c r="H140" s="132" t="n">
        <v>252</v>
      </c>
      <c r="I140" s="133" t="n">
        <v>21000</v>
      </c>
      <c r="J140" s="133" t="inlineStr">
        <is>
          <t>6</t>
        </is>
      </c>
      <c r="K140" s="133" t="n">
        <v>14000</v>
      </c>
      <c r="L140" s="133" t="inlineStr">
        <is>
          <t>6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n">
        <v>79</v>
      </c>
      <c r="U140" s="9" t="n"/>
    </row>
    <row r="141" ht="12" customFormat="1" customHeight="1" s="38">
      <c r="A141" s="120" t="inlineStr">
        <is>
          <t>용종동 용종마을신대진</t>
        </is>
      </c>
      <c r="B141" s="121" t="inlineStr">
        <is>
          <t>97.08.</t>
        </is>
      </c>
      <c r="C141" s="129" t="n">
        <v>562</v>
      </c>
      <c r="D141" s="130" t="n">
        <v>51.4</v>
      </c>
      <c r="E141" s="131" t="n">
        <v>16</v>
      </c>
      <c r="F141" s="130" t="n">
        <v>37.2</v>
      </c>
      <c r="G141" s="17" t="n">
        <v>11</v>
      </c>
      <c r="H141" s="132" t="n">
        <v>160</v>
      </c>
      <c r="I141" s="133" t="n">
        <v>20500</v>
      </c>
      <c r="J141" s="133" t="inlineStr">
        <is>
          <t>14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2</v>
      </c>
      <c r="R141" s="117" t="n">
        <v>1</v>
      </c>
      <c r="S141" s="117" t="inlineStr">
        <is>
          <t>복</t>
        </is>
      </c>
      <c r="T141" s="5" t="n">
        <v>51</v>
      </c>
      <c r="U141" s="9" t="n"/>
    </row>
    <row r="142" ht="12" customFormat="1" customHeight="1" s="38">
      <c r="A142" s="120" t="inlineStr">
        <is>
          <t>계산동 태평</t>
        </is>
      </c>
      <c r="B142" s="121" t="inlineStr">
        <is>
          <t>90.12.</t>
        </is>
      </c>
      <c r="C142" s="129" t="n">
        <v>432</v>
      </c>
      <c r="D142" s="130" t="n">
        <v>57.9</v>
      </c>
      <c r="E142" s="131" t="n">
        <v>18</v>
      </c>
      <c r="F142" s="130" t="n">
        <v>44.8</v>
      </c>
      <c r="G142" s="17" t="n">
        <v>14</v>
      </c>
      <c r="H142" s="132" t="n">
        <v>168</v>
      </c>
      <c r="I142" s="133" t="n">
        <v>20000</v>
      </c>
      <c r="J142" s="133" t="inlineStr">
        <is>
          <t>6</t>
        </is>
      </c>
      <c r="K142" s="133" t="n">
        <v>11000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n">
        <v>57</v>
      </c>
      <c r="U142" s="9" t="n"/>
    </row>
    <row r="143" ht="12" customFormat="1" customHeight="1" s="38">
      <c r="A143" s="120" t="inlineStr">
        <is>
          <t>계산동 삼보1,2차</t>
        </is>
      </c>
      <c r="B143" s="121" t="inlineStr">
        <is>
          <t>87.10.</t>
        </is>
      </c>
      <c r="C143" s="129" t="n">
        <v>474</v>
      </c>
      <c r="D143" s="130" t="n">
        <v>51.6</v>
      </c>
      <c r="E143" s="131" t="n">
        <v>16</v>
      </c>
      <c r="F143" s="130" t="n">
        <v>40.6</v>
      </c>
      <c r="G143" s="17" t="n">
        <v>12</v>
      </c>
      <c r="H143" s="132" t="n">
        <v>360</v>
      </c>
      <c r="I143" s="133" t="n">
        <v>20000</v>
      </c>
      <c r="J143" s="133" t="inlineStr">
        <is>
          <t>6</t>
        </is>
      </c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2</v>
      </c>
      <c r="R143" s="117" t="n">
        <v>1</v>
      </c>
      <c r="S143" s="117" t="inlineStr">
        <is>
          <t>계</t>
        </is>
      </c>
      <c r="T143" s="5" t="n">
        <v>51</v>
      </c>
      <c r="U143" s="9" t="n"/>
    </row>
    <row r="144" ht="12" customFormat="1" customHeight="1" s="38">
      <c r="A144" s="120" t="inlineStr">
        <is>
          <t>계산동 하나</t>
        </is>
      </c>
      <c r="B144" s="121" t="inlineStr">
        <is>
          <t>87.08.</t>
        </is>
      </c>
      <c r="C144" s="129" t="n">
        <v>994</v>
      </c>
      <c r="D144" s="130" t="n">
        <v>50.5</v>
      </c>
      <c r="E144" s="131" t="n">
        <v>15</v>
      </c>
      <c r="F144" s="130" t="n">
        <v>40</v>
      </c>
      <c r="G144" s="17" t="n">
        <v>12</v>
      </c>
      <c r="H144" s="132" t="n">
        <v>549</v>
      </c>
      <c r="I144" s="133" t="n">
        <v>20000</v>
      </c>
      <c r="J144" s="133" t="inlineStr">
        <is>
          <t>6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2</v>
      </c>
      <c r="R144" s="117" t="n">
        <v>1</v>
      </c>
      <c r="S144" s="117" t="inlineStr">
        <is>
          <t>계</t>
        </is>
      </c>
      <c r="T144" s="5" t="n">
        <v>50</v>
      </c>
      <c r="U144" s="9" t="n"/>
    </row>
    <row r="145" ht="12" customFormat="1" customHeight="1" s="38">
      <c r="A145" s="120" t="inlineStr">
        <is>
          <t>병방동 학마을서원</t>
        </is>
      </c>
      <c r="B145" s="121" t="inlineStr">
        <is>
          <t>97.05.</t>
        </is>
      </c>
      <c r="C145" s="129" t="n">
        <v>688</v>
      </c>
      <c r="D145" s="130" t="n">
        <v>49.3</v>
      </c>
      <c r="E145" s="131" t="n">
        <v>15</v>
      </c>
      <c r="F145" s="130" t="n">
        <v>34.4</v>
      </c>
      <c r="G145" s="17" t="n">
        <v>10</v>
      </c>
      <c r="H145" s="132" t="n">
        <v>176</v>
      </c>
      <c r="I145" s="133" t="n">
        <v>20000</v>
      </c>
      <c r="J145" s="133" t="inlineStr">
        <is>
          <t>15</t>
        </is>
      </c>
      <c r="K145" s="133" t="n">
        <v>16000</v>
      </c>
      <c r="L145" s="133" t="inlineStr">
        <is>
          <t>12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2</v>
      </c>
      <c r="R145" s="117" t="n">
        <v>1</v>
      </c>
      <c r="S145" s="117" t="inlineStr">
        <is>
          <t>복</t>
        </is>
      </c>
      <c r="T145" s="5" t="inlineStr">
        <is>
          <t>49A</t>
        </is>
      </c>
      <c r="U145" s="9" t="n"/>
    </row>
    <row r="146" ht="12" customFormat="1" customHeight="1" s="38">
      <c r="A146" s="120" t="inlineStr">
        <is>
          <t>병방동 아주</t>
        </is>
      </c>
      <c r="B146" s="121" t="inlineStr">
        <is>
          <t>89.09.</t>
        </is>
      </c>
      <c r="C146" s="129" t="n">
        <v>468</v>
      </c>
      <c r="D146" s="130" t="n">
        <v>63.6</v>
      </c>
      <c r="E146" s="131" t="n">
        <v>19</v>
      </c>
      <c r="F146" s="130" t="n">
        <v>51.6</v>
      </c>
      <c r="G146" s="17" t="n">
        <v>16</v>
      </c>
      <c r="H146" s="132" t="n">
        <v>36</v>
      </c>
      <c r="I146" s="133" t="n">
        <v>20000</v>
      </c>
      <c r="J146" s="133" t="inlineStr">
        <is>
          <t>5</t>
        </is>
      </c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1</v>
      </c>
      <c r="S146" s="117" t="inlineStr">
        <is>
          <t>계</t>
        </is>
      </c>
      <c r="T146" s="5" t="n">
        <v>63</v>
      </c>
      <c r="U146" s="9" t="n"/>
    </row>
    <row r="147" ht="12" customFormat="1" customHeight="1" s="38">
      <c r="A147" s="120" t="inlineStr">
        <is>
          <t>병방동 학마을한진</t>
        </is>
      </c>
      <c r="B147" s="121" t="inlineStr">
        <is>
          <t>98.11.</t>
        </is>
      </c>
      <c r="C147" s="129" t="n">
        <v>1500</v>
      </c>
      <c r="D147" s="130" t="n">
        <v>54.5</v>
      </c>
      <c r="E147" s="131" t="n">
        <v>16</v>
      </c>
      <c r="F147" s="130" t="n">
        <v>39.8</v>
      </c>
      <c r="G147" s="17" t="n">
        <v>12</v>
      </c>
      <c r="H147" s="132" t="n">
        <v>200</v>
      </c>
      <c r="I147" s="133" t="n">
        <v>20000</v>
      </c>
      <c r="J147" s="133" t="inlineStr">
        <is>
          <t>5</t>
        </is>
      </c>
      <c r="K147" s="133" t="n">
        <v>17000</v>
      </c>
      <c r="L147" s="133" t="inlineStr">
        <is>
          <t>15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2</v>
      </c>
      <c r="R147" s="117" t="n">
        <v>1</v>
      </c>
      <c r="S147" s="117" t="inlineStr">
        <is>
          <t>복</t>
        </is>
      </c>
      <c r="T147" s="5" t="n">
        <v>54</v>
      </c>
      <c r="U147" s="9" t="n"/>
    </row>
    <row r="148" ht="12" customFormat="1" customHeight="1" s="38">
      <c r="A148" s="120" t="inlineStr">
        <is>
          <t>작전동 삼천리</t>
        </is>
      </c>
      <c r="B148" s="121" t="inlineStr">
        <is>
          <t>88.12.</t>
        </is>
      </c>
      <c r="C148" s="129" t="n">
        <v>540</v>
      </c>
      <c r="D148" s="130" t="n">
        <v>54.8</v>
      </c>
      <c r="E148" s="131" t="n">
        <v>17</v>
      </c>
      <c r="F148" s="130" t="n">
        <v>41.9</v>
      </c>
      <c r="G148" s="17" t="n">
        <v>13</v>
      </c>
      <c r="H148" s="132" t="n">
        <v>324</v>
      </c>
      <c r="I148" s="133" t="n">
        <v>19500</v>
      </c>
      <c r="J148" s="133" t="inlineStr">
        <is>
          <t>6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2</v>
      </c>
      <c r="R148" s="117" t="n">
        <v>1</v>
      </c>
      <c r="S148" s="117" t="inlineStr">
        <is>
          <t>계</t>
        </is>
      </c>
      <c r="T148" s="5" t="n">
        <v>54</v>
      </c>
      <c r="U148" s="9" t="n"/>
    </row>
    <row r="149" ht="12" customFormat="1" customHeight="1" s="38">
      <c r="A149" s="120" t="inlineStr">
        <is>
          <t>효성동 뉴서울2차</t>
        </is>
      </c>
      <c r="B149" s="121" t="inlineStr">
        <is>
          <t>86.12.</t>
        </is>
      </c>
      <c r="C149" s="129" t="n">
        <v>775</v>
      </c>
      <c r="D149" s="130" t="n">
        <v>62.8</v>
      </c>
      <c r="E149" s="131" t="n">
        <v>19</v>
      </c>
      <c r="F149" s="130" t="n">
        <v>46.6</v>
      </c>
      <c r="G149" s="17" t="n">
        <v>14</v>
      </c>
      <c r="H149" s="132" t="n">
        <v>50</v>
      </c>
      <c r="I149" s="133" t="n">
        <v>19500</v>
      </c>
      <c r="J149" s="133" t="inlineStr">
        <is>
          <t>고</t>
        </is>
      </c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62</v>
      </c>
      <c r="U149" s="9" t="n"/>
    </row>
    <row r="150" ht="12" customFormat="1" customHeight="1" s="38">
      <c r="A150" s="120" t="inlineStr">
        <is>
          <t>계산동 태산</t>
        </is>
      </c>
      <c r="B150" s="121" t="inlineStr">
        <is>
          <t>90.07.</t>
        </is>
      </c>
      <c r="C150" s="129" t="n">
        <v>408</v>
      </c>
      <c r="D150" s="130" t="n">
        <v>55.1</v>
      </c>
      <c r="E150" s="131" t="n">
        <v>17</v>
      </c>
      <c r="F150" s="130" t="n">
        <v>42.3</v>
      </c>
      <c r="G150" s="17" t="n">
        <v>13</v>
      </c>
      <c r="H150" s="132" t="n">
        <v>119</v>
      </c>
      <c r="I150" s="133" t="n">
        <v>19000</v>
      </c>
      <c r="J150" s="133" t="inlineStr">
        <is>
          <t>5</t>
        </is>
      </c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2</v>
      </c>
      <c r="R150" s="117" t="n">
        <v>1</v>
      </c>
      <c r="S150" s="117" t="inlineStr">
        <is>
          <t>계</t>
        </is>
      </c>
      <c r="T150" s="5" t="inlineStr">
        <is>
          <t>55B</t>
        </is>
      </c>
      <c r="U150" s="9" t="n"/>
    </row>
    <row r="151" ht="12" customFormat="1" customHeight="1" s="38">
      <c r="A151" s="120" t="inlineStr">
        <is>
          <t>작전동 도두리마을동남,롯데</t>
        </is>
      </c>
      <c r="B151" s="121" t="inlineStr">
        <is>
          <t>97.10.</t>
        </is>
      </c>
      <c r="C151" s="129" t="n">
        <v>1282</v>
      </c>
      <c r="D151" s="130" t="n">
        <v>55.8</v>
      </c>
      <c r="E151" s="131" t="n">
        <v>17</v>
      </c>
      <c r="F151" s="130" t="n">
        <v>40.3</v>
      </c>
      <c r="G151" s="17" t="n">
        <v>12</v>
      </c>
      <c r="H151" s="132" t="n">
        <v>658</v>
      </c>
      <c r="I151" s="133" t="n">
        <v>19000</v>
      </c>
      <c r="J151" s="133" t="inlineStr">
        <is>
          <t>11</t>
        </is>
      </c>
      <c r="K151" s="133" t="n">
        <v>15000</v>
      </c>
      <c r="L151" s="133" t="inlineStr">
        <is>
          <t>7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2</v>
      </c>
      <c r="R151" s="117" t="n">
        <v>1</v>
      </c>
      <c r="S151" s="117" t="inlineStr">
        <is>
          <t>복</t>
        </is>
      </c>
      <c r="T151" s="5" t="n">
        <v>55</v>
      </c>
      <c r="U151" s="9" t="n"/>
    </row>
    <row r="152" ht="12" customFormat="1" customHeight="1" s="38">
      <c r="A152" s="120" t="inlineStr">
        <is>
          <t>작전동 뉴서울1차</t>
        </is>
      </c>
      <c r="B152" s="121" t="inlineStr">
        <is>
          <t>88.05.</t>
        </is>
      </c>
      <c r="C152" s="129" t="n">
        <v>791</v>
      </c>
      <c r="D152" s="130" t="n">
        <v>57.1</v>
      </c>
      <c r="E152" s="131" t="n">
        <v>17</v>
      </c>
      <c r="F152" s="130" t="n">
        <v>39.2</v>
      </c>
      <c r="G152" s="17" t="n">
        <v>12</v>
      </c>
      <c r="H152" s="132" t="n">
        <v>503</v>
      </c>
      <c r="I152" s="133" t="n">
        <v>19000</v>
      </c>
      <c r="J152" s="133" t="inlineStr">
        <is>
          <t>11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2</v>
      </c>
      <c r="R152" s="117" t="n">
        <v>1</v>
      </c>
      <c r="S152" s="117" t="inlineStr">
        <is>
          <t>복</t>
        </is>
      </c>
      <c r="T152" s="5" t="inlineStr">
        <is>
          <t>57A</t>
        </is>
      </c>
      <c r="U152" s="9" t="n"/>
    </row>
    <row r="153" ht="12" customFormat="1" customHeight="1" s="38">
      <c r="A153" s="120" t="inlineStr">
        <is>
          <t>작전동 까치마을태화,한진</t>
        </is>
      </c>
      <c r="B153" s="121" t="inlineStr">
        <is>
          <t>97.11.</t>
        </is>
      </c>
      <c r="C153" s="129" t="n">
        <v>1674</v>
      </c>
      <c r="D153" s="130" t="n">
        <v>54.3</v>
      </c>
      <c r="E153" s="131" t="n">
        <v>16</v>
      </c>
      <c r="F153" s="130" t="n">
        <v>37.4</v>
      </c>
      <c r="G153" s="17" t="n">
        <v>11</v>
      </c>
      <c r="H153" s="132" t="n">
        <v>712</v>
      </c>
      <c r="I153" s="133" t="n">
        <v>18800</v>
      </c>
      <c r="J153" s="133" t="inlineStr">
        <is>
          <t>12</t>
        </is>
      </c>
      <c r="K153" s="133" t="n">
        <v>16000</v>
      </c>
      <c r="L153" s="133" t="inlineStr">
        <is>
          <t>6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54</v>
      </c>
      <c r="U153" s="9" t="n"/>
    </row>
    <row r="154" ht="12" customFormat="1" customHeight="1" s="38">
      <c r="A154" s="120" t="inlineStr">
        <is>
          <t>작전동 신진</t>
        </is>
      </c>
      <c r="B154" s="121" t="inlineStr">
        <is>
          <t>87.12.</t>
        </is>
      </c>
      <c r="C154" s="129" t="n">
        <v>410</v>
      </c>
      <c r="D154" s="130" t="n">
        <v>55.6</v>
      </c>
      <c r="E154" s="131" t="n">
        <v>17</v>
      </c>
      <c r="F154" s="130" t="n">
        <v>43.2</v>
      </c>
      <c r="G154" s="17" t="n">
        <v>13</v>
      </c>
      <c r="H154" s="132" t="n">
        <v>100</v>
      </c>
      <c r="I154" s="133" t="n">
        <v>17800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2</v>
      </c>
      <c r="R154" s="117" t="n">
        <v>1</v>
      </c>
      <c r="S154" s="117" t="inlineStr">
        <is>
          <t>계</t>
        </is>
      </c>
      <c r="T154" s="5" t="inlineStr">
        <is>
          <t>55A</t>
        </is>
      </c>
      <c r="U154" s="9" t="n"/>
    </row>
    <row r="155" ht="12" customFormat="1" customHeight="1" s="38">
      <c r="A155" s="120" t="inlineStr">
        <is>
          <t>효성동 뉴서울2차</t>
        </is>
      </c>
      <c r="B155" s="121" t="inlineStr">
        <is>
          <t>86.12.</t>
        </is>
      </c>
      <c r="C155" s="129" t="n">
        <v>775</v>
      </c>
      <c r="D155" s="130" t="n">
        <v>54.1</v>
      </c>
      <c r="E155" s="131" t="n">
        <v>16</v>
      </c>
      <c r="F155" s="130" t="n">
        <v>39.8</v>
      </c>
      <c r="G155" s="17" t="n">
        <v>12</v>
      </c>
      <c r="H155" s="132" t="n">
        <v>190</v>
      </c>
      <c r="I155" s="133" t="n">
        <v>17500</v>
      </c>
      <c r="J155" s="133" t="inlineStr">
        <is>
          <t>5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54</v>
      </c>
      <c r="U155" s="9" t="n"/>
    </row>
    <row r="156" ht="12" customFormat="1" customHeight="1" s="38">
      <c r="A156" s="120" t="inlineStr">
        <is>
          <t>효성동 뉴서울2차</t>
        </is>
      </c>
      <c r="B156" s="121" t="inlineStr">
        <is>
          <t>86.12.</t>
        </is>
      </c>
      <c r="C156" s="129" t="n">
        <v>775</v>
      </c>
      <c r="D156" s="130" t="n">
        <v>48</v>
      </c>
      <c r="E156" s="131" t="n">
        <v>15</v>
      </c>
      <c r="F156" s="130" t="n">
        <v>34.7</v>
      </c>
      <c r="G156" s="17" t="n">
        <v>11</v>
      </c>
      <c r="H156" s="132" t="n">
        <v>400</v>
      </c>
      <c r="I156" s="133" t="n">
        <v>16000</v>
      </c>
      <c r="J156" s="133" t="inlineStr">
        <is>
          <t>5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1</v>
      </c>
      <c r="S156" s="117" t="inlineStr">
        <is>
          <t>계</t>
        </is>
      </c>
      <c r="T156" s="5" t="n">
        <v>48</v>
      </c>
      <c r="U156" s="9" t="n"/>
    </row>
    <row r="157" ht="12" customFormat="1" customHeight="1" s="38">
      <c r="A157" s="120" t="inlineStr">
        <is>
          <t>병방동 학마을영남</t>
        </is>
      </c>
      <c r="B157" s="121" t="inlineStr">
        <is>
          <t>97.10.</t>
        </is>
      </c>
      <c r="C157" s="129" t="n">
        <v>1047</v>
      </c>
      <c r="D157" s="130" t="n">
        <v>39.8</v>
      </c>
      <c r="E157" s="131" t="n">
        <v>12</v>
      </c>
      <c r="F157" s="130" t="n">
        <v>26</v>
      </c>
      <c r="G157" s="17" t="n">
        <v>8</v>
      </c>
      <c r="H157" s="132" t="n">
        <v>347</v>
      </c>
      <c r="I157" s="133" t="n">
        <v>13700</v>
      </c>
      <c r="J157" s="133" t="inlineStr">
        <is>
          <t>중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1</v>
      </c>
      <c r="R157" s="117" t="n">
        <v>1</v>
      </c>
      <c r="S157" s="117" t="inlineStr">
        <is>
          <t>복</t>
        </is>
      </c>
      <c r="T157" s="5" t="n">
        <v>39</v>
      </c>
      <c r="U157" s="9" t="n"/>
    </row>
    <row r="158" ht="12" customFormat="1" customHeight="1" s="38">
      <c r="A158" s="120" t="inlineStr">
        <is>
          <t>병방동 학마을서해</t>
        </is>
      </c>
      <c r="B158" s="121" t="inlineStr">
        <is>
          <t>97.10.</t>
        </is>
      </c>
      <c r="C158" s="129" t="n">
        <v>1261</v>
      </c>
      <c r="D158" s="130" t="n">
        <v>39.8</v>
      </c>
      <c r="E158" s="131" t="n">
        <v>12</v>
      </c>
      <c r="F158" s="130" t="n">
        <v>26</v>
      </c>
      <c r="G158" s="17" t="n">
        <v>8</v>
      </c>
      <c r="H158" s="132" t="n">
        <v>519</v>
      </c>
      <c r="I158" s="133" t="n">
        <v>13000</v>
      </c>
      <c r="J158" s="133" t="inlineStr">
        <is>
          <t>12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1</v>
      </c>
      <c r="R158" s="117" t="n">
        <v>1</v>
      </c>
      <c r="S158" s="117" t="inlineStr">
        <is>
          <t>계</t>
        </is>
      </c>
      <c r="T158" s="5" t="n">
        <v>39</v>
      </c>
      <c r="U158" s="9" t="n"/>
    </row>
    <row r="159" ht="12" customFormat="1" customHeight="1" s="38">
      <c r="A159" s="120" t="inlineStr">
        <is>
          <t>용종동 초정마을하나</t>
        </is>
      </c>
      <c r="B159" s="121" t="inlineStr">
        <is>
          <t>97.08.</t>
        </is>
      </c>
      <c r="C159" s="129" t="n">
        <v>972</v>
      </c>
      <c r="D159" s="130" t="n">
        <v>35.9</v>
      </c>
      <c r="E159" s="131" t="n">
        <v>11</v>
      </c>
      <c r="F159" s="130" t="n">
        <v>26.4</v>
      </c>
      <c r="G159" s="17" t="n">
        <v>8</v>
      </c>
      <c r="H159" s="132" t="n">
        <v>168</v>
      </c>
      <c r="I159" s="133" t="n">
        <v>13000</v>
      </c>
      <c r="J159" s="133" t="inlineStr">
        <is>
          <t>11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35</v>
      </c>
      <c r="U159" s="9" t="n"/>
    </row>
    <row r="160" ht="12" customFormat="1" customHeight="1" s="38">
      <c r="A160" s="120" t="inlineStr">
        <is>
          <t>작전동 도두리마을동보</t>
        </is>
      </c>
      <c r="B160" s="121" t="inlineStr">
        <is>
          <t>96.12.</t>
        </is>
      </c>
      <c r="C160" s="129" t="n">
        <v>1276</v>
      </c>
      <c r="D160" s="130" t="n">
        <v>35.6</v>
      </c>
      <c r="E160" s="131" t="n">
        <v>11</v>
      </c>
      <c r="F160" s="130" t="n">
        <v>23.9</v>
      </c>
      <c r="G160" s="17" t="n">
        <v>7</v>
      </c>
      <c r="H160" s="132" t="n">
        <v>208</v>
      </c>
      <c r="I160" s="133" t="n">
        <v>11000</v>
      </c>
      <c r="J160" s="133" t="inlineStr">
        <is>
          <t>13</t>
        </is>
      </c>
      <c r="K160" s="133" t="n">
        <v>10500</v>
      </c>
      <c r="L160" s="133" t="inlineStr">
        <is>
          <t>고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1</v>
      </c>
      <c r="R160" s="117" t="n">
        <v>1</v>
      </c>
      <c r="S160" s="117" t="inlineStr">
        <is>
          <t>복</t>
        </is>
      </c>
      <c r="T160" s="5" t="n">
        <v>35</v>
      </c>
      <c r="U160" s="9" t="n"/>
    </row>
    <row r="161" ht="12" customFormat="1" customHeight="1" s="38">
      <c r="A161" s="120" t="inlineStr">
        <is>
          <t>계산동 서해2차</t>
        </is>
      </c>
      <c r="B161" s="121" t="inlineStr">
        <is>
          <t>90.09.</t>
        </is>
      </c>
      <c r="C161" s="129" t="n">
        <v>222</v>
      </c>
      <c r="D161" s="130" t="n">
        <v>73.90000000000001</v>
      </c>
      <c r="E161" s="131" t="n">
        <v>22</v>
      </c>
      <c r="F161" s="130" t="n">
        <v>58.1</v>
      </c>
      <c r="G161" s="17" t="n">
        <v>18</v>
      </c>
      <c r="H161" s="132" t="n">
        <v>164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3</v>
      </c>
      <c r="R161" s="117" t="n">
        <v>1</v>
      </c>
      <c r="S161" s="117" t="inlineStr">
        <is>
          <t>계</t>
        </is>
      </c>
      <c r="T161" s="5" t="n">
        <v>73</v>
      </c>
      <c r="U161" s="9" t="n"/>
    </row>
    <row r="162" ht="12" customFormat="1" customHeight="1" s="38">
      <c r="A162" s="120" t="inlineStr">
        <is>
          <t>계산동 삼보3차</t>
        </is>
      </c>
      <c r="B162" s="121" t="inlineStr">
        <is>
          <t>88.10.</t>
        </is>
      </c>
      <c r="C162" s="129" t="n">
        <v>366</v>
      </c>
      <c r="D162" s="130" t="n">
        <v>53.8</v>
      </c>
      <c r="E162" s="131" t="n">
        <v>16</v>
      </c>
      <c r="F162" s="130" t="n">
        <v>41.7</v>
      </c>
      <c r="G162" s="17" t="n">
        <v>13</v>
      </c>
      <c r="H162" s="132" t="n">
        <v>60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계</t>
        </is>
      </c>
      <c r="T162" s="5" t="n">
        <v>53</v>
      </c>
      <c r="U162" s="9" t="n"/>
    </row>
    <row r="163" ht="12" customFormat="1" customHeight="1" s="38">
      <c r="A163" s="120" t="inlineStr">
        <is>
          <t>계산동 삼보3차</t>
        </is>
      </c>
      <c r="B163" s="121" t="inlineStr">
        <is>
          <t>88.10.</t>
        </is>
      </c>
      <c r="C163" s="129" t="n">
        <v>366</v>
      </c>
      <c r="D163" s="130" t="n">
        <v>73</v>
      </c>
      <c r="E163" s="131" t="n">
        <v>22</v>
      </c>
      <c r="F163" s="130" t="n">
        <v>58</v>
      </c>
      <c r="G163" s="17" t="n">
        <v>18</v>
      </c>
      <c r="H163" s="132" t="n">
        <v>120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72</v>
      </c>
      <c r="U163" s="9" t="n"/>
    </row>
    <row r="164" ht="12" customFormat="1" customHeight="1" s="38">
      <c r="A164" s="120" t="inlineStr">
        <is>
          <t>계산동 영남</t>
        </is>
      </c>
      <c r="B164" s="121" t="inlineStr">
        <is>
          <t>90.12.</t>
        </is>
      </c>
      <c r="C164" s="129" t="n">
        <v>360</v>
      </c>
      <c r="D164" s="130" t="n">
        <v>62.3</v>
      </c>
      <c r="E164" s="131" t="n">
        <v>19</v>
      </c>
      <c r="F164" s="130" t="n">
        <v>48.3</v>
      </c>
      <c r="G164" s="17" t="n">
        <v>15</v>
      </c>
      <c r="H164" s="132" t="n">
        <v>60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62</v>
      </c>
      <c r="U164" s="9" t="n"/>
    </row>
    <row r="165" ht="12" customFormat="1" customHeight="1" s="38">
      <c r="A165" s="120" t="inlineStr">
        <is>
          <t>계산동 영남</t>
        </is>
      </c>
      <c r="B165" s="121" t="inlineStr">
        <is>
          <t>90.12.</t>
        </is>
      </c>
      <c r="C165" s="129" t="n">
        <v>360</v>
      </c>
      <c r="D165" s="130" t="n">
        <v>69.59999999999999</v>
      </c>
      <c r="E165" s="131" t="n">
        <v>21</v>
      </c>
      <c r="F165" s="130" t="n">
        <v>54.5</v>
      </c>
      <c r="G165" s="17" t="n">
        <v>16</v>
      </c>
      <c r="H165" s="132" t="n">
        <v>60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69</v>
      </c>
      <c r="U165" s="9" t="n"/>
    </row>
    <row r="166" ht="12" customFormat="1" customHeight="1" s="38">
      <c r="A166" s="120" t="inlineStr">
        <is>
          <t>계산동 태산</t>
        </is>
      </c>
      <c r="B166" s="121" t="inlineStr">
        <is>
          <t>90.07.</t>
        </is>
      </c>
      <c r="C166" s="129" t="n">
        <v>408</v>
      </c>
      <c r="D166" s="130" t="n">
        <v>58.5</v>
      </c>
      <c r="E166" s="131" t="n">
        <v>18</v>
      </c>
      <c r="F166" s="130" t="n">
        <v>45.3</v>
      </c>
      <c r="G166" s="17" t="n">
        <v>14</v>
      </c>
      <c r="H166" s="132" t="n">
        <v>180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58</v>
      </c>
      <c r="U166" s="9" t="n"/>
    </row>
    <row r="167" ht="12" customFormat="1" customHeight="1" s="38">
      <c r="A167" s="120" t="inlineStr">
        <is>
          <t>계산동 은행마을태평</t>
        </is>
      </c>
      <c r="B167" s="121" t="inlineStr">
        <is>
          <t>97.06.</t>
        </is>
      </c>
      <c r="C167" s="129" t="n">
        <v>574</v>
      </c>
      <c r="D167" s="130" t="n">
        <v>87</v>
      </c>
      <c r="E167" s="131" t="n">
        <v>26</v>
      </c>
      <c r="F167" s="130" t="n">
        <v>68.09999999999999</v>
      </c>
      <c r="G167" s="17" t="n">
        <v>21</v>
      </c>
      <c r="H167" s="132" t="n">
        <v>460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3</v>
      </c>
      <c r="R167" s="117" t="n">
        <v>1</v>
      </c>
      <c r="S167" s="117" t="inlineStr">
        <is>
          <t>계</t>
        </is>
      </c>
      <c r="T167" s="5" t="n">
        <v>86</v>
      </c>
      <c r="U167" s="9" t="n"/>
    </row>
    <row r="168" ht="12" customFormat="1" customHeight="1" s="38">
      <c r="A168" s="120" t="inlineStr">
        <is>
          <t>계산동 삼천리열망</t>
        </is>
      </c>
      <c r="B168" s="121" t="inlineStr">
        <is>
          <t>86.07.</t>
        </is>
      </c>
      <c r="C168" s="129" t="n">
        <v>460</v>
      </c>
      <c r="D168" s="130" t="n">
        <v>51.6</v>
      </c>
      <c r="E168" s="131" t="n">
        <v>16</v>
      </c>
      <c r="F168" s="130" t="n">
        <v>37.6</v>
      </c>
      <c r="G168" s="17" t="n">
        <v>11</v>
      </c>
      <c r="H168" s="132" t="n">
        <v>90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2</v>
      </c>
      <c r="R168" s="117" t="n">
        <v>1</v>
      </c>
      <c r="S168" s="117" t="inlineStr">
        <is>
          <t>계</t>
        </is>
      </c>
      <c r="T168" s="5" t="n">
        <v>51</v>
      </c>
      <c r="U168" s="9" t="n"/>
    </row>
    <row r="169" ht="12" customFormat="1" customHeight="1" s="38">
      <c r="A169" s="120" t="inlineStr">
        <is>
          <t>계산동 삼천리열망</t>
        </is>
      </c>
      <c r="B169" s="121" t="inlineStr">
        <is>
          <t>86.07.</t>
        </is>
      </c>
      <c r="C169" s="129" t="n">
        <v>460</v>
      </c>
      <c r="D169" s="130" t="n">
        <v>62.4</v>
      </c>
      <c r="E169" s="131" t="n">
        <v>19</v>
      </c>
      <c r="F169" s="130" t="n">
        <v>46.6</v>
      </c>
      <c r="G169" s="17" t="n">
        <v>14</v>
      </c>
      <c r="H169" s="132" t="n">
        <v>80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62</v>
      </c>
      <c r="U169" s="9" t="n"/>
    </row>
    <row r="170" ht="12" customFormat="1" customHeight="1" s="38">
      <c r="A170" s="120" t="inlineStr">
        <is>
          <t>계산동 삼천리열망</t>
        </is>
      </c>
      <c r="B170" s="121" t="inlineStr">
        <is>
          <t>86.07.</t>
        </is>
      </c>
      <c r="C170" s="129" t="n">
        <v>460</v>
      </c>
      <c r="D170" s="130" t="n">
        <v>68.7</v>
      </c>
      <c r="E170" s="131" t="n">
        <v>21</v>
      </c>
      <c r="F170" s="130" t="n">
        <v>51.9</v>
      </c>
      <c r="G170" s="17" t="n">
        <v>16</v>
      </c>
      <c r="H170" s="132" t="n">
        <v>30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68</v>
      </c>
      <c r="U170" s="9" t="n"/>
    </row>
    <row r="171" ht="12" customFormat="1" customHeight="1" s="38">
      <c r="A171" s="120" t="inlineStr">
        <is>
          <t>계산동 인정프린스</t>
        </is>
      </c>
      <c r="B171" s="121" t="inlineStr">
        <is>
          <t>92.04.</t>
        </is>
      </c>
      <c r="C171" s="129" t="n">
        <v>299</v>
      </c>
      <c r="D171" s="130" t="n">
        <v>93.7</v>
      </c>
      <c r="E171" s="131" t="n">
        <v>28</v>
      </c>
      <c r="F171" s="130" t="n">
        <v>68.5</v>
      </c>
      <c r="G171" s="17" t="n">
        <v>21</v>
      </c>
      <c r="H171" s="132" t="n">
        <v>31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계</t>
        </is>
      </c>
      <c r="T171" s="5" t="n">
        <v>93</v>
      </c>
      <c r="U171" s="9" t="n"/>
    </row>
    <row r="172" ht="12" customFormat="1" customHeight="1" s="38">
      <c r="A172" s="120" t="inlineStr">
        <is>
          <t>계산동 인정프린스</t>
        </is>
      </c>
      <c r="B172" s="121" t="inlineStr">
        <is>
          <t>92.04.</t>
        </is>
      </c>
      <c r="C172" s="129" t="n">
        <v>299</v>
      </c>
      <c r="D172" s="130" t="n">
        <v>101.1</v>
      </c>
      <c r="E172" s="131" t="n">
        <v>31</v>
      </c>
      <c r="F172" s="130" t="n">
        <v>76.7</v>
      </c>
      <c r="G172" s="17" t="n">
        <v>23</v>
      </c>
      <c r="H172" s="132" t="n">
        <v>61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2</v>
      </c>
      <c r="S172" s="117" t="inlineStr">
        <is>
          <t>계</t>
        </is>
      </c>
      <c r="T172" s="5" t="n">
        <v>101</v>
      </c>
      <c r="U172" s="9" t="n"/>
    </row>
    <row r="173" ht="12" customFormat="1" customHeight="1" s="38">
      <c r="A173" s="120" t="inlineStr">
        <is>
          <t>계산동 인정프린스</t>
        </is>
      </c>
      <c r="B173" s="121" t="inlineStr">
        <is>
          <t>92.04.</t>
        </is>
      </c>
      <c r="C173" s="129" t="n">
        <v>299</v>
      </c>
      <c r="D173" s="130" t="n">
        <v>108.2</v>
      </c>
      <c r="E173" s="131" t="n">
        <v>33</v>
      </c>
      <c r="F173" s="130" t="n">
        <v>84.8</v>
      </c>
      <c r="G173" s="17" t="n">
        <v>26</v>
      </c>
      <c r="H173" s="132" t="n">
        <v>72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2</v>
      </c>
      <c r="S173" s="117" t="inlineStr">
        <is>
          <t>계</t>
        </is>
      </c>
      <c r="T173" s="5" t="n">
        <v>108</v>
      </c>
      <c r="U173" s="9" t="n"/>
    </row>
    <row r="174" ht="12" customFormat="1" customHeight="1" s="38">
      <c r="A174" s="120" t="inlineStr">
        <is>
          <t>계산동 인정프린스</t>
        </is>
      </c>
      <c r="B174" s="121" t="inlineStr">
        <is>
          <t>92.04.</t>
        </is>
      </c>
      <c r="C174" s="129" t="n">
        <v>299</v>
      </c>
      <c r="D174" s="130" t="n">
        <v>131.4</v>
      </c>
      <c r="E174" s="131" t="n">
        <v>40</v>
      </c>
      <c r="F174" s="130" t="n">
        <v>104.6</v>
      </c>
      <c r="G174" s="17" t="n">
        <v>32</v>
      </c>
      <c r="H174" s="132" t="n">
        <v>63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4</v>
      </c>
      <c r="R174" s="117" t="n">
        <v>2</v>
      </c>
      <c r="S174" s="117" t="inlineStr">
        <is>
          <t>계</t>
        </is>
      </c>
      <c r="T174" s="5" t="n">
        <v>131</v>
      </c>
      <c r="U174" s="9" t="n"/>
    </row>
    <row r="175" ht="12" customFormat="1" customHeight="1" s="38">
      <c r="A175" s="120" t="inlineStr">
        <is>
          <t>계산동 동남(55-1)</t>
        </is>
      </c>
      <c r="B175" s="121" t="inlineStr">
        <is>
          <t>90.07.</t>
        </is>
      </c>
      <c r="C175" s="129" t="n">
        <v>336</v>
      </c>
      <c r="D175" s="130" t="n">
        <v>80.3</v>
      </c>
      <c r="E175" s="131" t="n">
        <v>24</v>
      </c>
      <c r="F175" s="130" t="n">
        <v>64</v>
      </c>
      <c r="G175" s="17" t="n">
        <v>19</v>
      </c>
      <c r="H175" s="132" t="n">
        <v>60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1</v>
      </c>
      <c r="S175" s="117" t="inlineStr">
        <is>
          <t>계</t>
        </is>
      </c>
      <c r="T175" s="5" t="n">
        <v>80</v>
      </c>
      <c r="U175" s="9" t="n"/>
    </row>
    <row r="176" ht="12" customFormat="1" customHeight="1" s="38">
      <c r="A176" s="120" t="inlineStr">
        <is>
          <t>계산동 극동</t>
        </is>
      </c>
      <c r="B176" s="121" t="inlineStr">
        <is>
          <t>85.07.</t>
        </is>
      </c>
      <c r="C176" s="129" t="n">
        <v>630</v>
      </c>
      <c r="D176" s="130" t="n">
        <v>48.4</v>
      </c>
      <c r="E176" s="131" t="n">
        <v>15</v>
      </c>
      <c r="F176" s="130" t="n">
        <v>38.1</v>
      </c>
      <c r="G176" s="17" t="n">
        <v>12</v>
      </c>
      <c r="H176" s="132" t="n">
        <v>60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2</v>
      </c>
      <c r="R176" s="117" t="n">
        <v>1</v>
      </c>
      <c r="S176" s="117" t="inlineStr">
        <is>
          <t>계</t>
        </is>
      </c>
      <c r="T176" s="5" t="n">
        <v>48</v>
      </c>
      <c r="U176" s="9" t="n"/>
    </row>
    <row r="177" ht="12" customFormat="1" customHeight="1" s="38">
      <c r="A177" s="120" t="inlineStr">
        <is>
          <t>계산동 극동</t>
        </is>
      </c>
      <c r="B177" s="121" t="inlineStr">
        <is>
          <t>85.07.</t>
        </is>
      </c>
      <c r="C177" s="129" t="n">
        <v>630</v>
      </c>
      <c r="D177" s="130" t="n">
        <v>71.09999999999999</v>
      </c>
      <c r="E177" s="131" t="n">
        <v>22</v>
      </c>
      <c r="F177" s="130" t="n">
        <v>57.1</v>
      </c>
      <c r="G177" s="17" t="n">
        <v>17</v>
      </c>
      <c r="H177" s="132" t="n">
        <v>140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2</v>
      </c>
      <c r="R177" s="117" t="n">
        <v>1</v>
      </c>
      <c r="S177" s="117" t="inlineStr">
        <is>
          <t>계</t>
        </is>
      </c>
      <c r="T177" s="5" t="n">
        <v>71</v>
      </c>
      <c r="U177" s="9" t="n"/>
    </row>
    <row r="178" ht="12" customFormat="1" customHeight="1" s="38">
      <c r="A178" s="120" t="inlineStr">
        <is>
          <t>계산동 극동</t>
        </is>
      </c>
      <c r="B178" s="121" t="inlineStr">
        <is>
          <t>85.07.</t>
        </is>
      </c>
      <c r="C178" s="129" t="n">
        <v>630</v>
      </c>
      <c r="D178" s="130" t="n">
        <v>87.7</v>
      </c>
      <c r="E178" s="131" t="n">
        <v>27</v>
      </c>
      <c r="F178" s="130" t="n">
        <v>72.7</v>
      </c>
      <c r="G178" s="17" t="n">
        <v>22</v>
      </c>
      <c r="H178" s="132" t="n">
        <v>160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3</v>
      </c>
      <c r="R178" s="117" t="n">
        <v>1</v>
      </c>
      <c r="S178" s="117" t="inlineStr">
        <is>
          <t>계</t>
        </is>
      </c>
      <c r="T178" s="5" t="n">
        <v>87</v>
      </c>
      <c r="U178" s="9" t="n"/>
    </row>
    <row r="179" ht="12" customFormat="1" customHeight="1" s="38">
      <c r="A179" s="120" t="inlineStr">
        <is>
          <t>계산동 극동</t>
        </is>
      </c>
      <c r="B179" s="121" t="inlineStr">
        <is>
          <t>85.07.</t>
        </is>
      </c>
      <c r="C179" s="129" t="n">
        <v>630</v>
      </c>
      <c r="D179" s="130" t="n">
        <v>101.6</v>
      </c>
      <c r="E179" s="131" t="n">
        <v>31</v>
      </c>
      <c r="F179" s="130" t="n">
        <v>85</v>
      </c>
      <c r="G179" s="17" t="n">
        <v>26</v>
      </c>
      <c r="H179" s="132" t="n">
        <v>30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4</v>
      </c>
      <c r="R179" s="117" t="n">
        <v>1</v>
      </c>
      <c r="S179" s="117" t="inlineStr">
        <is>
          <t>계</t>
        </is>
      </c>
      <c r="T179" s="5" t="n">
        <v>101</v>
      </c>
      <c r="U179" s="9" t="n"/>
    </row>
    <row r="180" ht="12" customFormat="1" customHeight="1" s="38">
      <c r="A180" s="120" t="inlineStr">
        <is>
          <t>계산동 삼보1,2차</t>
        </is>
      </c>
      <c r="B180" s="121" t="inlineStr">
        <is>
          <t>87.10.</t>
        </is>
      </c>
      <c r="C180" s="129" t="n">
        <v>474</v>
      </c>
      <c r="D180" s="130" t="n">
        <v>71.59999999999999</v>
      </c>
      <c r="E180" s="131" t="n">
        <v>22</v>
      </c>
      <c r="F180" s="130" t="n">
        <v>58.2</v>
      </c>
      <c r="G180" s="17" t="n">
        <v>18</v>
      </c>
      <c r="H180" s="132" t="n">
        <v>36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1</v>
      </c>
      <c r="S180" s="117" t="inlineStr">
        <is>
          <t>계</t>
        </is>
      </c>
      <c r="T180" s="5" t="n">
        <v>71</v>
      </c>
      <c r="U180" s="9" t="n"/>
    </row>
    <row r="181" ht="12" customFormat="1" customHeight="1" s="38">
      <c r="A181" s="120" t="inlineStr">
        <is>
          <t>계산동 삼환1차</t>
        </is>
      </c>
      <c r="B181" s="121" t="inlineStr">
        <is>
          <t>89.12.</t>
        </is>
      </c>
      <c r="C181" s="129" t="n">
        <v>276</v>
      </c>
      <c r="D181" s="130" t="n">
        <v>70.40000000000001</v>
      </c>
      <c r="E181" s="131" t="n">
        <v>21</v>
      </c>
      <c r="F181" s="130" t="n">
        <v>57.8</v>
      </c>
      <c r="G181" s="17" t="n">
        <v>17</v>
      </c>
      <c r="H181" s="132" t="n">
        <v>84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2</v>
      </c>
      <c r="R181" s="117" t="n">
        <v>1</v>
      </c>
      <c r="S181" s="117" t="inlineStr">
        <is>
          <t>계</t>
        </is>
      </c>
      <c r="T181" s="5" t="n">
        <v>70</v>
      </c>
      <c r="U181" s="9" t="n"/>
    </row>
    <row r="182" ht="12" customFormat="1" customHeight="1" s="38">
      <c r="A182" s="120" t="inlineStr">
        <is>
          <t>계산동 삼환1차</t>
        </is>
      </c>
      <c r="B182" s="121" t="inlineStr">
        <is>
          <t>89.12.</t>
        </is>
      </c>
      <c r="C182" s="129" t="n">
        <v>276</v>
      </c>
      <c r="D182" s="130" t="n">
        <v>79.2</v>
      </c>
      <c r="E182" s="131" t="n">
        <v>24</v>
      </c>
      <c r="F182" s="130" t="n">
        <v>65.90000000000001</v>
      </c>
      <c r="G182" s="17" t="n">
        <v>20</v>
      </c>
      <c r="H182" s="132" t="n">
        <v>84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1</v>
      </c>
      <c r="S182" s="117" t="inlineStr">
        <is>
          <t>계</t>
        </is>
      </c>
      <c r="T182" s="5" t="n">
        <v>79</v>
      </c>
      <c r="U182" s="9" t="n"/>
    </row>
    <row r="183" ht="12" customFormat="1" customHeight="1" s="38">
      <c r="A183" s="120" t="inlineStr">
        <is>
          <t>계산동 삼환1차</t>
        </is>
      </c>
      <c r="B183" s="121" t="inlineStr">
        <is>
          <t>89.12.</t>
        </is>
      </c>
      <c r="C183" s="129" t="n">
        <v>276</v>
      </c>
      <c r="D183" s="130" t="n">
        <v>87.8</v>
      </c>
      <c r="E183" s="131" t="n">
        <v>27</v>
      </c>
      <c r="F183" s="130" t="n">
        <v>73.5</v>
      </c>
      <c r="G183" s="17" t="n">
        <v>22</v>
      </c>
      <c r="H183" s="132" t="n">
        <v>108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1</v>
      </c>
      <c r="S183" s="117" t="inlineStr">
        <is>
          <t>계</t>
        </is>
      </c>
      <c r="T183" s="5" t="n">
        <v>87</v>
      </c>
      <c r="U183" s="9" t="n"/>
    </row>
    <row r="184" ht="12" customFormat="1" customHeight="1" s="38">
      <c r="A184" s="120" t="inlineStr">
        <is>
          <t>계산동 하나</t>
        </is>
      </c>
      <c r="B184" s="121" t="inlineStr">
        <is>
          <t>87.08.</t>
        </is>
      </c>
      <c r="C184" s="129" t="n">
        <v>994</v>
      </c>
      <c r="D184" s="130" t="n">
        <v>53.4</v>
      </c>
      <c r="E184" s="131" t="n">
        <v>16</v>
      </c>
      <c r="F184" s="130" t="n">
        <v>42.8</v>
      </c>
      <c r="G184" s="17" t="n">
        <v>13</v>
      </c>
      <c r="H184" s="132" t="n">
        <v>48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2</v>
      </c>
      <c r="R184" s="117" t="n">
        <v>1</v>
      </c>
      <c r="S184" s="117" t="inlineStr">
        <is>
          <t>계</t>
        </is>
      </c>
      <c r="T184" s="5" t="n">
        <v>53</v>
      </c>
      <c r="U184" s="9" t="n"/>
    </row>
    <row r="185" ht="12" customFormat="1" customHeight="1" s="38">
      <c r="A185" s="120" t="inlineStr">
        <is>
          <t>계산동 하나</t>
        </is>
      </c>
      <c r="B185" s="121" t="inlineStr">
        <is>
          <t>87.08.</t>
        </is>
      </c>
      <c r="C185" s="129" t="n">
        <v>994</v>
      </c>
      <c r="D185" s="130" t="n">
        <v>62.2</v>
      </c>
      <c r="E185" s="131" t="n">
        <v>19</v>
      </c>
      <c r="F185" s="130" t="n">
        <v>51.1</v>
      </c>
      <c r="G185" s="17" t="n">
        <v>15</v>
      </c>
      <c r="H185" s="132" t="n">
        <v>108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2</v>
      </c>
      <c r="R185" s="117" t="n">
        <v>1</v>
      </c>
      <c r="S185" s="117" t="inlineStr">
        <is>
          <t>계</t>
        </is>
      </c>
      <c r="T185" s="5" t="n">
        <v>62</v>
      </c>
      <c r="U185" s="9" t="n"/>
    </row>
    <row r="186" ht="12" customFormat="1" customHeight="1" s="38">
      <c r="A186" s="120" t="inlineStr">
        <is>
          <t>계산동 계산주공</t>
        </is>
      </c>
      <c r="B186" s="121" t="inlineStr">
        <is>
          <t>90.06.</t>
        </is>
      </c>
      <c r="C186" s="129" t="n">
        <v>1140</v>
      </c>
      <c r="D186" s="130" t="n">
        <v>52.6</v>
      </c>
      <c r="E186" s="131" t="n">
        <v>16</v>
      </c>
      <c r="F186" s="130" t="n">
        <v>36.2</v>
      </c>
      <c r="G186" s="17" t="n">
        <v>11</v>
      </c>
      <c r="H186" s="132" t="n">
        <v>300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2</v>
      </c>
      <c r="R186" s="117" t="n">
        <v>1</v>
      </c>
      <c r="S186" s="117" t="inlineStr">
        <is>
          <t>복</t>
        </is>
      </c>
      <c r="T186" s="5" t="inlineStr">
        <is>
          <t>52A</t>
        </is>
      </c>
      <c r="U186" s="9" t="n"/>
    </row>
    <row r="187" ht="12" customFormat="1" customHeight="1" s="38">
      <c r="A187" s="120" t="inlineStr">
        <is>
          <t>계산동 계산주공</t>
        </is>
      </c>
      <c r="B187" s="121" t="inlineStr">
        <is>
          <t>90.06.</t>
        </is>
      </c>
      <c r="C187" s="129" t="n">
        <v>1140</v>
      </c>
      <c r="D187" s="130" t="n">
        <v>57.2</v>
      </c>
      <c r="E187" s="131" t="n">
        <v>17</v>
      </c>
      <c r="F187" s="130" t="n">
        <v>41.3</v>
      </c>
      <c r="G187" s="17" t="n">
        <v>12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2</v>
      </c>
      <c r="R187" s="117" t="n">
        <v>1</v>
      </c>
      <c r="S187" s="117" t="inlineStr">
        <is>
          <t>복</t>
        </is>
      </c>
      <c r="T187" s="5" t="inlineStr">
        <is>
          <t>57A</t>
        </is>
      </c>
      <c r="U187" s="9" t="n"/>
    </row>
    <row r="188" ht="12" customFormat="1" customHeight="1" s="38">
      <c r="A188" s="120" t="inlineStr">
        <is>
          <t>계산동 은행마을강북</t>
        </is>
      </c>
      <c r="B188" s="121" t="inlineStr">
        <is>
          <t>97.07.</t>
        </is>
      </c>
      <c r="C188" s="129" t="n">
        <v>216</v>
      </c>
      <c r="D188" s="130" t="n">
        <v>117.8</v>
      </c>
      <c r="E188" s="131" t="n">
        <v>36</v>
      </c>
      <c r="F188" s="130" t="n">
        <v>102.5</v>
      </c>
      <c r="G188" s="17" t="n">
        <v>31</v>
      </c>
      <c r="H188" s="132" t="n">
        <v>216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117</v>
      </c>
      <c r="U188" s="9" t="n"/>
    </row>
    <row r="189" ht="12" customFormat="1" customHeight="1" s="38">
      <c r="A189" s="120" t="inlineStr">
        <is>
          <t>귤현동 계양센트레빌2단지</t>
        </is>
      </c>
      <c r="B189" s="121" t="inlineStr">
        <is>
          <t>13.06.</t>
        </is>
      </c>
      <c r="C189" s="129" t="n">
        <v>256</v>
      </c>
      <c r="D189" s="130" t="n">
        <v>110.8</v>
      </c>
      <c r="E189" s="131" t="n">
        <v>34</v>
      </c>
      <c r="F189" s="130" t="n">
        <v>85</v>
      </c>
      <c r="G189" s="17" t="n">
        <v>26</v>
      </c>
      <c r="H189" s="132" t="n">
        <v>79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110B</t>
        </is>
      </c>
      <c r="U189" s="9" t="n"/>
    </row>
    <row r="190" ht="12" customFormat="1" customHeight="1" s="38">
      <c r="A190" s="120" t="inlineStr">
        <is>
          <t>귤현동 계양센트레빌2단지</t>
        </is>
      </c>
      <c r="B190" s="121" t="inlineStr">
        <is>
          <t>13.06.</t>
        </is>
      </c>
      <c r="C190" s="129" t="n">
        <v>256</v>
      </c>
      <c r="D190" s="130" t="n">
        <v>132.3</v>
      </c>
      <c r="E190" s="131" t="n">
        <v>40</v>
      </c>
      <c r="F190" s="130" t="n">
        <v>101.9</v>
      </c>
      <c r="G190" s="17" t="n">
        <v>31</v>
      </c>
      <c r="H190" s="132" t="n">
        <v>54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132</v>
      </c>
      <c r="U190" s="9" t="n"/>
    </row>
    <row r="191" ht="12" customFormat="1" customHeight="1" s="38">
      <c r="A191" s="120" t="inlineStr">
        <is>
          <t>귤현동 계양센트레빌2단지</t>
        </is>
      </c>
      <c r="B191" s="121" t="inlineStr">
        <is>
          <t>13.06.</t>
        </is>
      </c>
      <c r="C191" s="129" t="n">
        <v>256</v>
      </c>
      <c r="D191" s="130" t="n">
        <v>150.4</v>
      </c>
      <c r="E191" s="131" t="n">
        <v>45</v>
      </c>
      <c r="F191" s="130" t="n">
        <v>121.7</v>
      </c>
      <c r="G191" s="17" t="n">
        <v>37</v>
      </c>
      <c r="H191" s="132" t="n">
        <v>30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inlineStr">
        <is>
          <t>150A</t>
        </is>
      </c>
      <c r="U191" s="9" t="n"/>
    </row>
    <row r="192" ht="12" customFormat="1" customHeight="1" s="38">
      <c r="A192" s="120" t="inlineStr">
        <is>
          <t>박촌동 계양하우스토리1차</t>
        </is>
      </c>
      <c r="B192" s="121" t="inlineStr">
        <is>
          <t>09.11.</t>
        </is>
      </c>
      <c r="C192" s="129" t="n">
        <v>257</v>
      </c>
      <c r="D192" s="130" t="n">
        <v>109.6</v>
      </c>
      <c r="E192" s="131" t="n">
        <v>33</v>
      </c>
      <c r="F192" s="130" t="n">
        <v>85</v>
      </c>
      <c r="G192" s="17" t="n">
        <v>26</v>
      </c>
      <c r="H192" s="132" t="n">
        <v>86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3</v>
      </c>
      <c r="R192" s="117" t="n">
        <v>2</v>
      </c>
      <c r="S192" s="117" t="inlineStr">
        <is>
          <t>계</t>
        </is>
      </c>
      <c r="T192" s="5" t="inlineStr">
        <is>
          <t>109A</t>
        </is>
      </c>
      <c r="U192" s="9" t="n"/>
    </row>
    <row r="193" ht="12" customFormat="1" customHeight="1" s="38">
      <c r="A193" s="120" t="inlineStr">
        <is>
          <t>박촌동 계양하우스토리1차</t>
        </is>
      </c>
      <c r="B193" s="121" t="inlineStr">
        <is>
          <t>09.11.</t>
        </is>
      </c>
      <c r="C193" s="129" t="n">
        <v>257</v>
      </c>
      <c r="D193" s="130" t="n">
        <v>128.2</v>
      </c>
      <c r="E193" s="131" t="n">
        <v>39</v>
      </c>
      <c r="F193" s="130" t="n">
        <v>101.4</v>
      </c>
      <c r="G193" s="17" t="n">
        <v>31</v>
      </c>
      <c r="H193" s="132" t="n">
        <v>70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128</v>
      </c>
      <c r="U193" s="9" t="n"/>
    </row>
    <row r="194" ht="12" customFormat="1" customHeight="1" s="38">
      <c r="A194" s="120" t="inlineStr">
        <is>
          <t>박촌동 박촌풍림아이원</t>
        </is>
      </c>
      <c r="B194" s="121" t="inlineStr">
        <is>
          <t>05.11.</t>
        </is>
      </c>
      <c r="C194" s="129" t="n">
        <v>207</v>
      </c>
      <c r="D194" s="130" t="n">
        <v>106.4</v>
      </c>
      <c r="E194" s="131" t="n">
        <v>32</v>
      </c>
      <c r="F194" s="130" t="n">
        <v>85</v>
      </c>
      <c r="G194" s="17" t="n">
        <v>26</v>
      </c>
      <c r="H194" s="132" t="n">
        <v>191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n">
        <v>106</v>
      </c>
      <c r="U194" s="9" t="n"/>
    </row>
    <row r="195" ht="12" customFormat="1" customHeight="1" s="38">
      <c r="A195" s="120" t="inlineStr">
        <is>
          <t>박촌동 한화꿈에그린</t>
        </is>
      </c>
      <c r="B195" s="121" t="inlineStr">
        <is>
          <t>05.11.</t>
        </is>
      </c>
      <c r="C195" s="129" t="n">
        <v>670</v>
      </c>
      <c r="D195" s="130" t="n">
        <v>81.90000000000001</v>
      </c>
      <c r="E195" s="131" t="n">
        <v>25</v>
      </c>
      <c r="F195" s="130" t="n">
        <v>60</v>
      </c>
      <c r="G195" s="17" t="n">
        <v>18</v>
      </c>
      <c r="H195" s="132" t="n">
        <v>140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n">
        <v>81</v>
      </c>
      <c r="U195" s="9" t="n"/>
    </row>
    <row r="196" ht="12" customFormat="1" customHeight="1" s="38">
      <c r="A196" s="120" t="inlineStr">
        <is>
          <t>박촌동 한화꿈에그린</t>
        </is>
      </c>
      <c r="B196" s="121" t="inlineStr">
        <is>
          <t>05.11.</t>
        </is>
      </c>
      <c r="C196" s="129" t="n">
        <v>670</v>
      </c>
      <c r="D196" s="130" t="n">
        <v>106.1</v>
      </c>
      <c r="E196" s="131" t="n">
        <v>32</v>
      </c>
      <c r="F196" s="130" t="n">
        <v>85</v>
      </c>
      <c r="G196" s="17" t="n">
        <v>26</v>
      </c>
      <c r="H196" s="132" t="n">
        <v>530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n">
        <v>106</v>
      </c>
      <c r="U196" s="9" t="n"/>
    </row>
    <row r="197" ht="12" customFormat="1" customHeight="1" s="38">
      <c r="A197" s="120" t="inlineStr">
        <is>
          <t>박촌동 계양한양수자인</t>
        </is>
      </c>
      <c r="B197" s="121" t="inlineStr">
        <is>
          <t>11.12.</t>
        </is>
      </c>
      <c r="C197" s="129" t="n">
        <v>376</v>
      </c>
      <c r="D197" s="130" t="n">
        <v>160</v>
      </c>
      <c r="E197" s="131" t="n">
        <v>48</v>
      </c>
      <c r="F197" s="130" t="n">
        <v>120.9</v>
      </c>
      <c r="G197" s="17" t="n">
        <v>37</v>
      </c>
      <c r="H197" s="132" t="n">
        <v>55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n">
        <v>159</v>
      </c>
      <c r="U197" s="9" t="n"/>
    </row>
    <row r="198" ht="12" customFormat="1" customHeight="1" s="38">
      <c r="A198" s="120" t="inlineStr">
        <is>
          <t>방축동 계양하늘채파크포레</t>
        </is>
      </c>
      <c r="B198" s="121" t="inlineStr">
        <is>
          <t>23.04.</t>
        </is>
      </c>
      <c r="C198" s="129" t="n">
        <v>546</v>
      </c>
      <c r="D198" s="130" t="n">
        <v>80.8</v>
      </c>
      <c r="E198" s="131" t="n">
        <v>24</v>
      </c>
      <c r="F198" s="130" t="n">
        <v>59.9</v>
      </c>
      <c r="G198" s="17" t="n">
        <v>18</v>
      </c>
      <c r="H198" s="132" t="n">
        <v>211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inlineStr">
        <is>
          <t>80A</t>
        </is>
      </c>
      <c r="U198" s="9" t="n"/>
    </row>
    <row r="199" ht="12" customFormat="1" customHeight="1" s="38">
      <c r="A199" s="120" t="inlineStr">
        <is>
          <t>방축동 계양하늘채파크포레</t>
        </is>
      </c>
      <c r="B199" s="121" t="inlineStr">
        <is>
          <t>23.04.</t>
        </is>
      </c>
      <c r="C199" s="129" t="n">
        <v>546</v>
      </c>
      <c r="D199" s="130" t="n">
        <v>107.4</v>
      </c>
      <c r="E199" s="131" t="n">
        <v>32</v>
      </c>
      <c r="F199" s="130" t="n">
        <v>85</v>
      </c>
      <c r="G199" s="17" t="n">
        <v>26</v>
      </c>
      <c r="H199" s="132" t="n">
        <v>116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inlineStr">
        <is>
          <t>107B</t>
        </is>
      </c>
      <c r="U199" s="9" t="n"/>
    </row>
    <row r="200" ht="12" customFormat="1" customHeight="1" s="38">
      <c r="A200" s="120" t="inlineStr">
        <is>
          <t>방축동 한성</t>
        </is>
      </c>
      <c r="B200" s="121" t="inlineStr">
        <is>
          <t>90.07.</t>
        </is>
      </c>
      <c r="C200" s="129" t="n">
        <v>200</v>
      </c>
      <c r="D200" s="130" t="n">
        <v>62.9</v>
      </c>
      <c r="E200" s="131" t="n">
        <v>19</v>
      </c>
      <c r="F200" s="130" t="n">
        <v>48</v>
      </c>
      <c r="G200" s="17" t="n">
        <v>15</v>
      </c>
      <c r="H200" s="132" t="n">
        <v>120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1</v>
      </c>
      <c r="S200" s="117" t="inlineStr">
        <is>
          <t>계</t>
        </is>
      </c>
      <c r="T200" s="5" t="inlineStr">
        <is>
          <t>62B</t>
        </is>
      </c>
      <c r="U200" s="9" t="n"/>
    </row>
    <row r="201" ht="12" customFormat="1" customHeight="1" s="38">
      <c r="A201" s="120" t="inlineStr">
        <is>
          <t>병방동 진달래2차</t>
        </is>
      </c>
      <c r="B201" s="121" t="inlineStr">
        <is>
          <t>89.08.</t>
        </is>
      </c>
      <c r="C201" s="129" t="n">
        <v>204</v>
      </c>
      <c r="D201" s="130" t="n">
        <v>52.6</v>
      </c>
      <c r="E201" s="131" t="n">
        <v>16</v>
      </c>
      <c r="F201" s="130" t="n">
        <v>39.9</v>
      </c>
      <c r="G201" s="17" t="n">
        <v>12</v>
      </c>
      <c r="H201" s="132" t="n">
        <v>132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2</v>
      </c>
      <c r="R201" s="117" t="n">
        <v>1</v>
      </c>
      <c r="S201" s="117" t="inlineStr">
        <is>
          <t>계</t>
        </is>
      </c>
      <c r="T201" s="5" t="n">
        <v>52</v>
      </c>
      <c r="U201" s="9" t="n"/>
    </row>
    <row r="202" ht="12" customFormat="1" customHeight="1" s="38">
      <c r="A202" s="120" t="inlineStr">
        <is>
          <t>병방동 진달래2차</t>
        </is>
      </c>
      <c r="B202" s="121" t="inlineStr">
        <is>
          <t>89.08.</t>
        </is>
      </c>
      <c r="C202" s="129" t="n">
        <v>204</v>
      </c>
      <c r="D202" s="130" t="n">
        <v>62</v>
      </c>
      <c r="E202" s="131" t="n">
        <v>19</v>
      </c>
      <c r="F202" s="130" t="n">
        <v>47.8</v>
      </c>
      <c r="G202" s="17" t="n">
        <v>14</v>
      </c>
      <c r="H202" s="132" t="n">
        <v>72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61</v>
      </c>
      <c r="U202" s="9" t="n"/>
    </row>
    <row r="203" ht="12" customFormat="1" customHeight="1" s="38">
      <c r="A203" s="120" t="inlineStr">
        <is>
          <t>병방동 신명진달래1차</t>
        </is>
      </c>
      <c r="B203" s="121" t="inlineStr">
        <is>
          <t>88.12.</t>
        </is>
      </c>
      <c r="C203" s="129" t="n">
        <v>258</v>
      </c>
      <c r="D203" s="130" t="n">
        <v>49.8</v>
      </c>
      <c r="E203" s="131" t="n">
        <v>15</v>
      </c>
      <c r="F203" s="130" t="n">
        <v>41.6</v>
      </c>
      <c r="G203" s="17" t="n">
        <v>13</v>
      </c>
      <c r="H203" s="132" t="n">
        <v>96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2</v>
      </c>
      <c r="R203" s="117" t="n">
        <v>1</v>
      </c>
      <c r="S203" s="117" t="inlineStr">
        <is>
          <t>계</t>
        </is>
      </c>
      <c r="T203" s="5" t="n">
        <v>49</v>
      </c>
      <c r="U203" s="9" t="n"/>
    </row>
    <row r="204" ht="12" customFormat="1" customHeight="1" s="38">
      <c r="A204" s="120" t="inlineStr">
        <is>
          <t>병방동 신명진달래1차</t>
        </is>
      </c>
      <c r="B204" s="121" t="inlineStr">
        <is>
          <t>88.12.</t>
        </is>
      </c>
      <c r="C204" s="129" t="n">
        <v>258</v>
      </c>
      <c r="D204" s="130" t="n">
        <v>62</v>
      </c>
      <c r="E204" s="131" t="n">
        <v>19</v>
      </c>
      <c r="F204" s="130" t="n">
        <v>48.2</v>
      </c>
      <c r="G204" s="17" t="n">
        <v>15</v>
      </c>
      <c r="H204" s="132" t="n">
        <v>156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1</v>
      </c>
      <c r="S204" s="117" t="inlineStr">
        <is>
          <t>계</t>
        </is>
      </c>
      <c r="T204" s="5" t="n">
        <v>61</v>
      </c>
      <c r="U204" s="9" t="n"/>
    </row>
    <row r="205" ht="12" customFormat="1" customHeight="1" s="38">
      <c r="A205" s="120" t="inlineStr">
        <is>
          <t>병방동 아주</t>
        </is>
      </c>
      <c r="B205" s="121" t="inlineStr">
        <is>
          <t>89.09.</t>
        </is>
      </c>
      <c r="C205" s="129" t="n">
        <v>468</v>
      </c>
      <c r="D205" s="130" t="n">
        <v>52.3</v>
      </c>
      <c r="E205" s="131" t="n">
        <v>16</v>
      </c>
      <c r="F205" s="130" t="n">
        <v>41.6</v>
      </c>
      <c r="G205" s="17" t="n">
        <v>13</v>
      </c>
      <c r="H205" s="132" t="n">
        <v>204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2</v>
      </c>
      <c r="R205" s="117" t="n">
        <v>1</v>
      </c>
      <c r="S205" s="117" t="inlineStr">
        <is>
          <t>계</t>
        </is>
      </c>
      <c r="T205" s="5" t="n">
        <v>52</v>
      </c>
      <c r="U205" s="9" t="n"/>
    </row>
    <row r="206" ht="12" customFormat="1" customHeight="1" s="38">
      <c r="A206" s="120" t="inlineStr">
        <is>
          <t>병방동 아주</t>
        </is>
      </c>
      <c r="B206" s="121" t="inlineStr">
        <is>
          <t>89.09.</t>
        </is>
      </c>
      <c r="C206" s="129" t="n">
        <v>468</v>
      </c>
      <c r="D206" s="130" t="n">
        <v>59.8</v>
      </c>
      <c r="E206" s="131" t="n">
        <v>18</v>
      </c>
      <c r="F206" s="130" t="n">
        <v>48.2</v>
      </c>
      <c r="G206" s="17" t="n">
        <v>15</v>
      </c>
      <c r="H206" s="132" t="n">
        <v>144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1</v>
      </c>
      <c r="S206" s="117" t="inlineStr">
        <is>
          <t>계</t>
        </is>
      </c>
      <c r="T206" s="5" t="n">
        <v>59</v>
      </c>
      <c r="U206" s="9" t="n"/>
    </row>
    <row r="207" ht="12" customFormat="1" customHeight="1" s="38">
      <c r="A207" s="120" t="inlineStr">
        <is>
          <t>서운동 계양효성해링턴플레이스</t>
        </is>
      </c>
      <c r="B207" s="121" t="inlineStr">
        <is>
          <t>21.02.</t>
        </is>
      </c>
      <c r="C207" s="129" t="n">
        <v>1669</v>
      </c>
      <c r="D207" s="130" t="n">
        <v>99.90000000000001</v>
      </c>
      <c r="E207" s="131" t="n">
        <v>30</v>
      </c>
      <c r="F207" s="130" t="n">
        <v>73</v>
      </c>
      <c r="G207" s="17" t="n">
        <v>22</v>
      </c>
      <c r="H207" s="132" t="n">
        <v>230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99A</t>
        </is>
      </c>
      <c r="U207" s="9" t="n"/>
    </row>
    <row r="208" ht="12" customFormat="1" customHeight="1" s="38">
      <c r="A208" s="120" t="inlineStr">
        <is>
          <t>서운동 계양효성해링턴플레이스</t>
        </is>
      </c>
      <c r="B208" s="121" t="inlineStr">
        <is>
          <t>21.02.</t>
        </is>
      </c>
      <c r="C208" s="129" t="n">
        <v>1669</v>
      </c>
      <c r="D208" s="130" t="n">
        <v>115.8</v>
      </c>
      <c r="E208" s="131" t="n">
        <v>35</v>
      </c>
      <c r="F208" s="130" t="n">
        <v>85</v>
      </c>
      <c r="G208" s="17" t="n">
        <v>26</v>
      </c>
      <c r="H208" s="132" t="n">
        <v>497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115A</t>
        </is>
      </c>
      <c r="U208" s="9" t="n"/>
    </row>
    <row r="209" ht="12" customFormat="1" customHeight="1" s="38">
      <c r="A209" s="120" t="inlineStr">
        <is>
          <t>서운동 계양효성해링턴플레이스</t>
        </is>
      </c>
      <c r="B209" s="121" t="inlineStr">
        <is>
          <t>21.02.</t>
        </is>
      </c>
      <c r="C209" s="129" t="n">
        <v>1669</v>
      </c>
      <c r="D209" s="130" t="n">
        <v>135.5</v>
      </c>
      <c r="E209" s="131" t="n">
        <v>41</v>
      </c>
      <c r="F209" s="130" t="n">
        <v>99.90000000000001</v>
      </c>
      <c r="G209" s="17" t="n">
        <v>30</v>
      </c>
      <c r="H209" s="132" t="n">
        <v>59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135</v>
      </c>
      <c r="U209" s="9" t="n"/>
    </row>
    <row r="210" ht="12" customFormat="1" customHeight="1" s="38">
      <c r="A210" s="120" t="inlineStr">
        <is>
          <t>서운동 서운경남아너스빌</t>
        </is>
      </c>
      <c r="B210" s="121" t="inlineStr">
        <is>
          <t>07.09.</t>
        </is>
      </c>
      <c r="C210" s="129" t="n">
        <v>255</v>
      </c>
      <c r="D210" s="130" t="n">
        <v>130.9</v>
      </c>
      <c r="E210" s="131" t="n">
        <v>40</v>
      </c>
      <c r="F210" s="130" t="n">
        <v>101.8</v>
      </c>
      <c r="G210" s="17" t="n">
        <v>31</v>
      </c>
      <c r="H210" s="132" t="n">
        <v>180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4</v>
      </c>
      <c r="R210" s="117" t="n">
        <v>2</v>
      </c>
      <c r="S210" s="117" t="inlineStr">
        <is>
          <t>계</t>
        </is>
      </c>
      <c r="T210" s="5" t="n">
        <v>130</v>
      </c>
      <c r="U210" s="9" t="n"/>
    </row>
    <row r="211" ht="12" customFormat="1" customHeight="1" s="38">
      <c r="A211" s="120" t="inlineStr">
        <is>
          <t>서운동 서운경남아너스빌</t>
        </is>
      </c>
      <c r="B211" s="121" t="inlineStr">
        <is>
          <t>07.09.</t>
        </is>
      </c>
      <c r="C211" s="129" t="n">
        <v>255</v>
      </c>
      <c r="D211" s="130" t="n">
        <v>162.9</v>
      </c>
      <c r="E211" s="131" t="n">
        <v>49</v>
      </c>
      <c r="F211" s="130" t="n">
        <v>133.3</v>
      </c>
      <c r="G211" s="17" t="n">
        <v>40</v>
      </c>
      <c r="H211" s="132" t="n">
        <v>75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4</v>
      </c>
      <c r="R211" s="117" t="n">
        <v>2</v>
      </c>
      <c r="S211" s="117" t="inlineStr">
        <is>
          <t>계</t>
        </is>
      </c>
      <c r="T211" s="5" t="n">
        <v>162</v>
      </c>
      <c r="U211" s="9" t="n"/>
    </row>
    <row r="212" ht="12" customFormat="1" customHeight="1" s="38">
      <c r="A212" s="120" t="inlineStr">
        <is>
          <t>오류동 신동아</t>
        </is>
      </c>
      <c r="B212" s="121" t="inlineStr">
        <is>
          <t>97.03.</t>
        </is>
      </c>
      <c r="C212" s="129" t="n">
        <v>1192</v>
      </c>
      <c r="D212" s="130" t="n">
        <v>138</v>
      </c>
      <c r="E212" s="131" t="n">
        <v>42</v>
      </c>
      <c r="F212" s="130" t="n">
        <v>115</v>
      </c>
      <c r="G212" s="17" t="n">
        <v>35</v>
      </c>
      <c r="H212" s="132" t="n">
        <v>96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137</v>
      </c>
      <c r="U212" s="9" t="n"/>
    </row>
    <row r="213" ht="12" customFormat="1" customHeight="1" s="38">
      <c r="A213" s="120" t="inlineStr">
        <is>
          <t>용종동 초정마을동아</t>
        </is>
      </c>
      <c r="B213" s="121" t="inlineStr">
        <is>
          <t>98.01.</t>
        </is>
      </c>
      <c r="C213" s="129" t="n">
        <v>616</v>
      </c>
      <c r="D213" s="130" t="n">
        <v>155.1</v>
      </c>
      <c r="E213" s="131" t="n">
        <v>47</v>
      </c>
      <c r="F213" s="130" t="n">
        <v>127.1</v>
      </c>
      <c r="G213" s="17" t="n">
        <v>38</v>
      </c>
      <c r="H213" s="132" t="n">
        <v>176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4</v>
      </c>
      <c r="R213" s="117" t="n">
        <v>2</v>
      </c>
      <c r="S213" s="117" t="inlineStr">
        <is>
          <t>계</t>
        </is>
      </c>
      <c r="T213" s="5" t="n">
        <v>155</v>
      </c>
      <c r="U213" s="9" t="n"/>
    </row>
    <row r="214" ht="12" customFormat="1" customHeight="1" s="38">
      <c r="A214" s="120" t="inlineStr">
        <is>
          <t>용종동 인천계양코아루센트럴파크</t>
        </is>
      </c>
      <c r="B214" s="121" t="inlineStr">
        <is>
          <t>17.06.</t>
        </is>
      </c>
      <c r="C214" s="129" t="n">
        <v>724</v>
      </c>
      <c r="D214" s="130" t="n">
        <v>103.5</v>
      </c>
      <c r="E214" s="131" t="n">
        <v>31</v>
      </c>
      <c r="F214" s="130" t="n">
        <v>74.59999999999999</v>
      </c>
      <c r="G214" s="17" t="n">
        <v>23</v>
      </c>
      <c r="H214" s="132" t="n">
        <v>82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103</v>
      </c>
      <c r="U214" s="9" t="n"/>
    </row>
    <row r="215" ht="12" customFormat="1" customHeight="1" s="38">
      <c r="A215" s="120" t="inlineStr">
        <is>
          <t>용종동 용종마을중앙</t>
        </is>
      </c>
      <c r="B215" s="121" t="inlineStr">
        <is>
          <t>97.10.</t>
        </is>
      </c>
      <c r="C215" s="129" t="n">
        <v>428</v>
      </c>
      <c r="D215" s="130" t="n">
        <v>56.2</v>
      </c>
      <c r="E215" s="131" t="n">
        <v>17</v>
      </c>
      <c r="F215" s="130" t="n">
        <v>39.8</v>
      </c>
      <c r="G215" s="17" t="n">
        <v>12</v>
      </c>
      <c r="H215" s="132" t="n">
        <v>128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2</v>
      </c>
      <c r="R215" s="117" t="n">
        <v>1</v>
      </c>
      <c r="S215" s="117" t="inlineStr">
        <is>
          <t>복</t>
        </is>
      </c>
      <c r="T215" s="5" t="n">
        <v>56</v>
      </c>
      <c r="U215" s="9" t="n"/>
    </row>
    <row r="216" ht="12" customFormat="1" customHeight="1" s="38">
      <c r="A216" s="120" t="inlineStr">
        <is>
          <t>작전동 삼천리</t>
        </is>
      </c>
      <c r="B216" s="121" t="inlineStr">
        <is>
          <t>88.12.</t>
        </is>
      </c>
      <c r="C216" s="129" t="n">
        <v>540</v>
      </c>
      <c r="D216" s="130" t="n">
        <v>48.3</v>
      </c>
      <c r="E216" s="131" t="n">
        <v>15</v>
      </c>
      <c r="F216" s="130" t="n">
        <v>35.7</v>
      </c>
      <c r="G216" s="17" t="n">
        <v>11</v>
      </c>
      <c r="H216" s="132" t="n">
        <v>72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2</v>
      </c>
      <c r="R216" s="117" t="n">
        <v>1</v>
      </c>
      <c r="S216" s="117" t="inlineStr">
        <is>
          <t>계</t>
        </is>
      </c>
      <c r="T216" s="5" t="n">
        <v>48</v>
      </c>
      <c r="U216" s="9" t="n"/>
    </row>
    <row r="217" ht="12" customFormat="1" customHeight="1" s="38">
      <c r="A217" s="120" t="inlineStr">
        <is>
          <t>작전동 삼천리</t>
        </is>
      </c>
      <c r="B217" s="121" t="inlineStr">
        <is>
          <t>88.12.</t>
        </is>
      </c>
      <c r="C217" s="129" t="n">
        <v>540</v>
      </c>
      <c r="D217" s="130" t="n">
        <v>65</v>
      </c>
      <c r="E217" s="131" t="n">
        <v>20</v>
      </c>
      <c r="F217" s="130" t="n">
        <v>50.6</v>
      </c>
      <c r="G217" s="17" t="n">
        <v>15</v>
      </c>
      <c r="H217" s="132" t="n">
        <v>36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3</v>
      </c>
      <c r="R217" s="117" t="n">
        <v>1</v>
      </c>
      <c r="S217" s="117" t="inlineStr">
        <is>
          <t>계</t>
        </is>
      </c>
      <c r="T217" s="5" t="n">
        <v>64</v>
      </c>
      <c r="U217" s="9" t="n"/>
    </row>
    <row r="218" ht="12" customFormat="1" customHeight="1" s="38">
      <c r="A218" s="120" t="inlineStr">
        <is>
          <t>작전동 광명</t>
        </is>
      </c>
      <c r="B218" s="121" t="inlineStr">
        <is>
          <t>89.12.</t>
        </is>
      </c>
      <c r="C218" s="129" t="n">
        <v>288</v>
      </c>
      <c r="D218" s="130" t="n">
        <v>61.1</v>
      </c>
      <c r="E218" s="131" t="n">
        <v>18</v>
      </c>
      <c r="F218" s="130" t="n">
        <v>47.3</v>
      </c>
      <c r="G218" s="17" t="n">
        <v>14</v>
      </c>
      <c r="H218" s="132" t="n">
        <v>108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2</v>
      </c>
      <c r="R218" s="117" t="n">
        <v>1</v>
      </c>
      <c r="S218" s="117" t="inlineStr">
        <is>
          <t>계</t>
        </is>
      </c>
      <c r="T218" s="5" t="n">
        <v>61</v>
      </c>
      <c r="U218" s="9" t="n"/>
    </row>
    <row r="219" ht="12" customFormat="1" customHeight="1" s="38">
      <c r="A219" s="120" t="inlineStr">
        <is>
          <t>작전동 광명</t>
        </is>
      </c>
      <c r="B219" s="121" t="inlineStr">
        <is>
          <t>89.12.</t>
        </is>
      </c>
      <c r="C219" s="129" t="n">
        <v>288</v>
      </c>
      <c r="D219" s="130" t="n">
        <v>74.3</v>
      </c>
      <c r="E219" s="131" t="n">
        <v>22</v>
      </c>
      <c r="F219" s="130" t="n">
        <v>58.6</v>
      </c>
      <c r="G219" s="17" t="n">
        <v>18</v>
      </c>
      <c r="H219" s="132" t="n">
        <v>84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3</v>
      </c>
      <c r="R219" s="117" t="n">
        <v>1</v>
      </c>
      <c r="S219" s="117" t="inlineStr">
        <is>
          <t>계</t>
        </is>
      </c>
      <c r="T219" s="5" t="n">
        <v>74</v>
      </c>
      <c r="U219" s="9" t="n"/>
    </row>
    <row r="220" ht="12" customFormat="1" customHeight="1" s="38">
      <c r="A220" s="120" t="inlineStr">
        <is>
          <t>작전동 선우</t>
        </is>
      </c>
      <c r="B220" s="121" t="inlineStr">
        <is>
          <t>86.02.</t>
        </is>
      </c>
      <c r="C220" s="129" t="n">
        <v>210</v>
      </c>
      <c r="D220" s="130" t="n">
        <v>64.59999999999999</v>
      </c>
      <c r="E220" s="131" t="n">
        <v>20</v>
      </c>
      <c r="F220" s="130" t="n">
        <v>49</v>
      </c>
      <c r="G220" s="17" t="n">
        <v>15</v>
      </c>
      <c r="H220" s="132" t="n">
        <v>60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3</v>
      </c>
      <c r="R220" s="117" t="n">
        <v>1</v>
      </c>
      <c r="S220" s="117" t="inlineStr">
        <is>
          <t>계</t>
        </is>
      </c>
      <c r="T220" s="5" t="n">
        <v>64</v>
      </c>
      <c r="U220" s="9" t="n"/>
    </row>
    <row r="221" ht="12" customFormat="1" customHeight="1" s="38">
      <c r="A221" s="120" t="inlineStr">
        <is>
          <t>작전동 선우</t>
        </is>
      </c>
      <c r="B221" s="121" t="inlineStr">
        <is>
          <t>86.02.</t>
        </is>
      </c>
      <c r="C221" s="129" t="n">
        <v>210</v>
      </c>
      <c r="D221" s="130" t="n">
        <v>76.09999999999999</v>
      </c>
      <c r="E221" s="131" t="n">
        <v>23</v>
      </c>
      <c r="F221" s="130" t="n">
        <v>58.6</v>
      </c>
      <c r="G221" s="17" t="n">
        <v>18</v>
      </c>
      <c r="H221" s="132" t="n">
        <v>150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76</v>
      </c>
      <c r="U221" s="9" t="n"/>
    </row>
    <row r="222" ht="12" customFormat="1" customHeight="1" s="38">
      <c r="A222" s="120" t="inlineStr">
        <is>
          <t>작전동 유호</t>
        </is>
      </c>
      <c r="B222" s="121" t="inlineStr">
        <is>
          <t>95.03.</t>
        </is>
      </c>
      <c r="C222" s="129" t="n">
        <v>299</v>
      </c>
      <c r="D222" s="130" t="n">
        <v>80.09999999999999</v>
      </c>
      <c r="E222" s="131" t="n">
        <v>24</v>
      </c>
      <c r="F222" s="130" t="n">
        <v>59.6</v>
      </c>
      <c r="G222" s="17" t="n">
        <v>18</v>
      </c>
      <c r="H222" s="132" t="n">
        <v>125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복</t>
        </is>
      </c>
      <c r="T222" s="5" t="n">
        <v>80</v>
      </c>
      <c r="U222" s="9" t="n"/>
    </row>
    <row r="223" ht="12" customFormat="1" customHeight="1" s="38">
      <c r="A223" s="120" t="inlineStr">
        <is>
          <t>작전동 유호</t>
        </is>
      </c>
      <c r="B223" s="121" t="inlineStr">
        <is>
          <t>95.03.</t>
        </is>
      </c>
      <c r="C223" s="129" t="n">
        <v>299</v>
      </c>
      <c r="D223" s="130" t="n">
        <v>105.6</v>
      </c>
      <c r="E223" s="131" t="n">
        <v>32</v>
      </c>
      <c r="F223" s="130" t="n">
        <v>84.90000000000001</v>
      </c>
      <c r="G223" s="17" t="n">
        <v>26</v>
      </c>
      <c r="H223" s="132" t="n">
        <v>174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105</v>
      </c>
      <c r="U223" s="9" t="n"/>
    </row>
    <row r="224" ht="12" customFormat="1" customHeight="1" s="38">
      <c r="A224" s="120" t="inlineStr">
        <is>
          <t>작전동 도두리마을대동</t>
        </is>
      </c>
      <c r="B224" s="121" t="inlineStr">
        <is>
          <t>97.09.</t>
        </is>
      </c>
      <c r="C224" s="129" t="n">
        <v>1299</v>
      </c>
      <c r="D224" s="130" t="n">
        <v>56.3</v>
      </c>
      <c r="E224" s="131" t="n">
        <v>17</v>
      </c>
      <c r="F224" s="130" t="n">
        <v>40.1</v>
      </c>
      <c r="G224" s="17" t="n">
        <v>12</v>
      </c>
      <c r="H224" s="132" t="n">
        <v>597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2</v>
      </c>
      <c r="R224" s="117" t="n">
        <v>1</v>
      </c>
      <c r="S224" s="117" t="inlineStr">
        <is>
          <t>복</t>
        </is>
      </c>
      <c r="T224" s="5" t="n">
        <v>56</v>
      </c>
      <c r="U224" s="9" t="n"/>
    </row>
    <row r="225" ht="12" customFormat="1" customHeight="1" s="38">
      <c r="A225" s="120" t="inlineStr">
        <is>
          <t>작전동 작전동보2차</t>
        </is>
      </c>
      <c r="B225" s="121" t="inlineStr">
        <is>
          <t>00.05.</t>
        </is>
      </c>
      <c r="C225" s="129" t="n">
        <v>502</v>
      </c>
      <c r="D225" s="130" t="n">
        <v>275.7</v>
      </c>
      <c r="E225" s="131" t="n">
        <v>83</v>
      </c>
      <c r="F225" s="130" t="n">
        <v>234</v>
      </c>
      <c r="G225" s="17" t="n">
        <v>71</v>
      </c>
      <c r="H225" s="132" t="n">
        <v>34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5</v>
      </c>
      <c r="R225" s="117" t="n">
        <v>2</v>
      </c>
      <c r="S225" s="117" t="inlineStr">
        <is>
          <t>계</t>
        </is>
      </c>
      <c r="T225" s="5" t="n">
        <v>275</v>
      </c>
      <c r="U225" s="9" t="n"/>
    </row>
    <row r="226" ht="12" customFormat="1" customHeight="1" s="38">
      <c r="A226" s="120" t="inlineStr">
        <is>
          <t>작전동 신진</t>
        </is>
      </c>
      <c r="B226" s="121" t="inlineStr">
        <is>
          <t>87.12.</t>
        </is>
      </c>
      <c r="C226" s="129" t="n">
        <v>410</v>
      </c>
      <c r="D226" s="130" t="n">
        <v>52.4</v>
      </c>
      <c r="E226" s="131" t="n">
        <v>16</v>
      </c>
      <c r="F226" s="130" t="n">
        <v>40.7</v>
      </c>
      <c r="G226" s="17" t="n">
        <v>12</v>
      </c>
      <c r="H226" s="132" t="n">
        <v>220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2</v>
      </c>
      <c r="R226" s="117" t="n">
        <v>1</v>
      </c>
      <c r="S226" s="117" t="inlineStr">
        <is>
          <t>계</t>
        </is>
      </c>
      <c r="T226" s="5" t="n">
        <v>52</v>
      </c>
      <c r="U226" s="9" t="n"/>
    </row>
    <row r="227" ht="12" customFormat="1" customHeight="1" s="38">
      <c r="A227" s="120" t="inlineStr">
        <is>
          <t>작전동 한국</t>
        </is>
      </c>
      <c r="B227" s="121" t="inlineStr">
        <is>
          <t>98.03.</t>
        </is>
      </c>
      <c r="C227" s="129" t="n">
        <v>250</v>
      </c>
      <c r="D227" s="130" t="n">
        <v>85.40000000000001</v>
      </c>
      <c r="E227" s="131" t="n">
        <v>26</v>
      </c>
      <c r="F227" s="130" t="n">
        <v>60</v>
      </c>
      <c r="G227" s="17" t="n">
        <v>18</v>
      </c>
      <c r="H227" s="132" t="n">
        <v>152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복</t>
        </is>
      </c>
      <c r="T227" s="5" t="n">
        <v>85</v>
      </c>
      <c r="U227" s="9" t="n"/>
    </row>
    <row r="228" ht="12" customFormat="1" customHeight="1" s="38">
      <c r="A228" s="120" t="inlineStr">
        <is>
          <t>작전동 한국</t>
        </is>
      </c>
      <c r="B228" s="121" t="inlineStr">
        <is>
          <t>98.03.</t>
        </is>
      </c>
      <c r="C228" s="129" t="n">
        <v>250</v>
      </c>
      <c r="D228" s="130" t="n">
        <v>108.7</v>
      </c>
      <c r="E228" s="131" t="n">
        <v>33</v>
      </c>
      <c r="F228" s="130" t="n">
        <v>84.90000000000001</v>
      </c>
      <c r="G228" s="17" t="n">
        <v>26</v>
      </c>
      <c r="H228" s="132" t="n">
        <v>98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108</v>
      </c>
      <c r="U228" s="9" t="n"/>
    </row>
    <row r="229" ht="12" customFormat="1" customHeight="1" s="38">
      <c r="A229" s="120" t="inlineStr">
        <is>
          <t>작전동 미도</t>
        </is>
      </c>
      <c r="B229" s="121" t="inlineStr">
        <is>
          <t>90.11.</t>
        </is>
      </c>
      <c r="C229" s="129" t="n">
        <v>480</v>
      </c>
      <c r="D229" s="130" t="n">
        <v>91.3</v>
      </c>
      <c r="E229" s="131" t="n">
        <v>28</v>
      </c>
      <c r="F229" s="130" t="n">
        <v>72.09999999999999</v>
      </c>
      <c r="G229" s="17" t="n">
        <v>22</v>
      </c>
      <c r="H229" s="132" t="n">
        <v>30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91</v>
      </c>
      <c r="U229" s="9" t="n"/>
    </row>
    <row r="230" ht="12" customFormat="1" customHeight="1" s="38">
      <c r="A230" s="120" t="inlineStr">
        <is>
          <t>작전동 무지개</t>
        </is>
      </c>
      <c r="B230" s="121" t="inlineStr">
        <is>
          <t>89.06.</t>
        </is>
      </c>
      <c r="C230" s="129" t="n">
        <v>240</v>
      </c>
      <c r="D230" s="130" t="n">
        <v>52</v>
      </c>
      <c r="E230" s="131" t="n">
        <v>16</v>
      </c>
      <c r="F230" s="130" t="n">
        <v>39.2</v>
      </c>
      <c r="G230" s="17" t="n">
        <v>12</v>
      </c>
      <c r="H230" s="132" t="n">
        <v>60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2</v>
      </c>
      <c r="R230" s="117" t="n">
        <v>1</v>
      </c>
      <c r="S230" s="117" t="inlineStr">
        <is>
          <t>복</t>
        </is>
      </c>
      <c r="T230" s="5" t="n">
        <v>51</v>
      </c>
      <c r="U230" s="9" t="n"/>
    </row>
    <row r="231" ht="12" customFormat="1" customHeight="1" s="38">
      <c r="A231" s="120" t="inlineStr">
        <is>
          <t>작전동 무지개</t>
        </is>
      </c>
      <c r="B231" s="121" t="inlineStr">
        <is>
          <t>89.06.</t>
        </is>
      </c>
      <c r="C231" s="129" t="n">
        <v>240</v>
      </c>
      <c r="D231" s="130" t="n">
        <v>56.5</v>
      </c>
      <c r="E231" s="131" t="n">
        <v>17</v>
      </c>
      <c r="F231" s="130" t="n">
        <v>43.2</v>
      </c>
      <c r="G231" s="17" t="n">
        <v>13</v>
      </c>
      <c r="H231" s="132" t="n">
        <v>135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56</v>
      </c>
      <c r="U231" s="9" t="n"/>
    </row>
    <row r="232" ht="12" customFormat="1" customHeight="1" s="38">
      <c r="A232" s="120" t="inlineStr">
        <is>
          <t>작전동 무지개</t>
        </is>
      </c>
      <c r="B232" s="121" t="inlineStr">
        <is>
          <t>89.06.</t>
        </is>
      </c>
      <c r="C232" s="129" t="n">
        <v>240</v>
      </c>
      <c r="D232" s="130" t="n">
        <v>78.59999999999999</v>
      </c>
      <c r="E232" s="131" t="n">
        <v>24</v>
      </c>
      <c r="F232" s="130" t="n">
        <v>59.6</v>
      </c>
      <c r="G232" s="17" t="n">
        <v>18</v>
      </c>
      <c r="H232" s="132" t="n">
        <v>45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78</v>
      </c>
      <c r="U232" s="9" t="n"/>
    </row>
    <row r="233" ht="12" customFormat="1" customHeight="1" s="38">
      <c r="A233" s="120" t="inlineStr">
        <is>
          <t>작전동 삼우</t>
        </is>
      </c>
      <c r="B233" s="121" t="inlineStr">
        <is>
          <t>89.04.</t>
        </is>
      </c>
      <c r="C233" s="129" t="n">
        <v>264</v>
      </c>
      <c r="D233" s="130" t="n">
        <v>51.2</v>
      </c>
      <c r="E233" s="131" t="n">
        <v>15</v>
      </c>
      <c r="F233" s="130" t="n">
        <v>38.9</v>
      </c>
      <c r="G233" s="17" t="n">
        <v>12</v>
      </c>
      <c r="H233" s="132" t="n">
        <v>156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2</v>
      </c>
      <c r="R233" s="117" t="n">
        <v>1</v>
      </c>
      <c r="S233" s="117" t="inlineStr">
        <is>
          <t>계</t>
        </is>
      </c>
      <c r="T233" s="5" t="inlineStr">
        <is>
          <t>51A</t>
        </is>
      </c>
      <c r="U233" s="9" t="n"/>
    </row>
    <row r="234" ht="12" customFormat="1" customHeight="1" s="38">
      <c r="A234" s="120" t="inlineStr">
        <is>
          <t>작전동 삼우</t>
        </is>
      </c>
      <c r="B234" s="121" t="inlineStr">
        <is>
          <t>89.04.</t>
        </is>
      </c>
      <c r="C234" s="129" t="n">
        <v>264</v>
      </c>
      <c r="D234" s="130" t="n">
        <v>58.3</v>
      </c>
      <c r="E234" s="131" t="n">
        <v>18</v>
      </c>
      <c r="F234" s="130" t="n">
        <v>45</v>
      </c>
      <c r="G234" s="17" t="n">
        <v>14</v>
      </c>
      <c r="H234" s="132" t="n">
        <v>96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58</v>
      </c>
      <c r="U234" s="9" t="n"/>
    </row>
    <row r="235" ht="12" customFormat="1" customHeight="1" s="38">
      <c r="A235" s="120" t="inlineStr">
        <is>
          <t>작전동 작전역서해그랑블</t>
        </is>
      </c>
      <c r="B235" s="121" t="inlineStr">
        <is>
          <t>20.09.</t>
        </is>
      </c>
      <c r="C235" s="129" t="n">
        <v>280</v>
      </c>
      <c r="D235" s="130" t="n">
        <v>66</v>
      </c>
      <c r="E235" s="131" t="n">
        <v>20</v>
      </c>
      <c r="F235" s="130" t="n">
        <v>49.6</v>
      </c>
      <c r="G235" s="17" t="n">
        <v>15</v>
      </c>
      <c r="H235" s="132" t="n">
        <v>32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2</v>
      </c>
      <c r="R235" s="117" t="n">
        <v>1</v>
      </c>
      <c r="S235" s="117" t="inlineStr">
        <is>
          <t>계</t>
        </is>
      </c>
      <c r="T235" s="5" t="n">
        <v>65</v>
      </c>
      <c r="U235" s="9" t="n"/>
    </row>
    <row r="236" ht="12" customFormat="1" customHeight="1" s="38">
      <c r="A236" s="120" t="inlineStr">
        <is>
          <t>작전동 작전역서해그랑블</t>
        </is>
      </c>
      <c r="B236" s="121" t="inlineStr">
        <is>
          <t>20.09.</t>
        </is>
      </c>
      <c r="C236" s="129" t="n">
        <v>280</v>
      </c>
      <c r="D236" s="130" t="n">
        <v>80.09999999999999</v>
      </c>
      <c r="E236" s="131" t="n">
        <v>24</v>
      </c>
      <c r="F236" s="130" t="n">
        <v>60</v>
      </c>
      <c r="G236" s="17" t="n">
        <v>18</v>
      </c>
      <c r="H236" s="132" t="n">
        <v>180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inlineStr">
        <is>
          <t>80A</t>
        </is>
      </c>
      <c r="U236" s="9" t="n"/>
    </row>
    <row r="237" ht="12" customFormat="1" customHeight="1" s="38">
      <c r="A237" s="120" t="inlineStr">
        <is>
          <t>작전동 작전역서해그랑블</t>
        </is>
      </c>
      <c r="B237" s="121" t="inlineStr">
        <is>
          <t>20.09.</t>
        </is>
      </c>
      <c r="C237" s="129" t="n">
        <v>280</v>
      </c>
      <c r="D237" s="130" t="n">
        <v>99.09999999999999</v>
      </c>
      <c r="E237" s="131" t="n">
        <v>30</v>
      </c>
      <c r="F237" s="130" t="n">
        <v>75</v>
      </c>
      <c r="G237" s="17" t="n">
        <v>23</v>
      </c>
      <c r="H237" s="132" t="n">
        <v>31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2</v>
      </c>
      <c r="S237" s="117" t="inlineStr">
        <is>
          <t>계</t>
        </is>
      </c>
      <c r="T237" s="5" t="n">
        <v>99</v>
      </c>
      <c r="U237" s="9" t="n"/>
    </row>
    <row r="238" ht="12" customFormat="1" customHeight="1" s="38">
      <c r="A238" s="120" t="inlineStr">
        <is>
          <t>작전동 브라운스톤계양스카이</t>
        </is>
      </c>
      <c r="B238" s="121" t="inlineStr">
        <is>
          <t>20.10.</t>
        </is>
      </c>
      <c r="C238" s="129" t="n">
        <v>282</v>
      </c>
      <c r="D238" s="130" t="n">
        <v>85.8</v>
      </c>
      <c r="E238" s="131" t="n">
        <v>26</v>
      </c>
      <c r="F238" s="130" t="n">
        <v>59.9</v>
      </c>
      <c r="G238" s="17" t="n">
        <v>18</v>
      </c>
      <c r="H238" s="132" t="n">
        <v>61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inlineStr">
        <is>
          <t>85B</t>
        </is>
      </c>
      <c r="U238" s="9" t="n"/>
    </row>
    <row r="239" ht="12" customFormat="1" customHeight="1" s="38">
      <c r="A239" s="120" t="inlineStr">
        <is>
          <t>작전동 브라운스톤계양스카이</t>
        </is>
      </c>
      <c r="B239" s="121" t="inlineStr">
        <is>
          <t>20.10.</t>
        </is>
      </c>
      <c r="C239" s="129" t="n">
        <v>282</v>
      </c>
      <c r="D239" s="130" t="n">
        <v>101.3</v>
      </c>
      <c r="E239" s="131" t="n">
        <v>31</v>
      </c>
      <c r="F239" s="130" t="n">
        <v>75.5</v>
      </c>
      <c r="G239" s="17" t="n">
        <v>23</v>
      </c>
      <c r="H239" s="132" t="n">
        <v>57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inlineStr">
        <is>
          <t>101B</t>
        </is>
      </c>
      <c r="U239" s="9" t="n"/>
    </row>
    <row r="240" ht="12" customFormat="1" customHeight="1" s="38">
      <c r="A240" s="120" t="inlineStr">
        <is>
          <t>작전동 브라운스톤계양스카이</t>
        </is>
      </c>
      <c r="B240" s="121" t="inlineStr">
        <is>
          <t>20.10.</t>
        </is>
      </c>
      <c r="C240" s="129" t="n">
        <v>282</v>
      </c>
      <c r="D240" s="130" t="n">
        <v>113.7</v>
      </c>
      <c r="E240" s="131" t="n">
        <v>34</v>
      </c>
      <c r="F240" s="130" t="n">
        <v>85</v>
      </c>
      <c r="G240" s="17" t="n">
        <v>26</v>
      </c>
      <c r="H240" s="132" t="n">
        <v>64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n">
        <v>113</v>
      </c>
      <c r="U240" s="9" t="n"/>
    </row>
    <row r="241" ht="12" customFormat="1" customHeight="1" s="38">
      <c r="A241" s="120" t="inlineStr">
        <is>
          <t>작전동 코오롱</t>
        </is>
      </c>
      <c r="B241" s="121" t="inlineStr">
        <is>
          <t>89.10.</t>
        </is>
      </c>
      <c r="C241" s="129" t="n">
        <v>480</v>
      </c>
      <c r="D241" s="130" t="n">
        <v>64.90000000000001</v>
      </c>
      <c r="E241" s="131" t="n">
        <v>20</v>
      </c>
      <c r="F241" s="130" t="n">
        <v>53.1</v>
      </c>
      <c r="G241" s="17" t="n">
        <v>16</v>
      </c>
      <c r="H241" s="132" t="n">
        <v>180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2</v>
      </c>
      <c r="R241" s="117" t="n">
        <v>1</v>
      </c>
      <c r="S241" s="117" t="inlineStr">
        <is>
          <t>계</t>
        </is>
      </c>
      <c r="T241" s="5" t="n">
        <v>64</v>
      </c>
      <c r="U241" s="9" t="n"/>
    </row>
    <row r="242" ht="12" customFormat="1" customHeight="1" s="38">
      <c r="A242" s="120" t="inlineStr">
        <is>
          <t>작전동 코오롱</t>
        </is>
      </c>
      <c r="B242" s="121" t="inlineStr">
        <is>
          <t>89.10.</t>
        </is>
      </c>
      <c r="C242" s="129" t="n">
        <v>480</v>
      </c>
      <c r="D242" s="130" t="n">
        <v>75.40000000000001</v>
      </c>
      <c r="E242" s="131" t="n">
        <v>23</v>
      </c>
      <c r="F242" s="130" t="n">
        <v>61.6</v>
      </c>
      <c r="G242" s="17" t="n">
        <v>19</v>
      </c>
      <c r="H242" s="132" t="n">
        <v>90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2</v>
      </c>
      <c r="R242" s="117" t="n">
        <v>1</v>
      </c>
      <c r="S242" s="117" t="inlineStr">
        <is>
          <t>계</t>
        </is>
      </c>
      <c r="T242" s="5" t="n">
        <v>75</v>
      </c>
      <c r="U242" s="9" t="n"/>
    </row>
    <row r="243" ht="12" customFormat="1" customHeight="1" s="38">
      <c r="A243" s="120" t="inlineStr">
        <is>
          <t>작전동 코오롱</t>
        </is>
      </c>
      <c r="B243" s="121" t="inlineStr">
        <is>
          <t>89.10.</t>
        </is>
      </c>
      <c r="C243" s="129" t="n">
        <v>480</v>
      </c>
      <c r="D243" s="130" t="n">
        <v>90.59999999999999</v>
      </c>
      <c r="E243" s="131" t="n">
        <v>27</v>
      </c>
      <c r="F243" s="130" t="n">
        <v>74.90000000000001</v>
      </c>
      <c r="G243" s="17" t="n">
        <v>23</v>
      </c>
      <c r="H243" s="132" t="n">
        <v>60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계</t>
        </is>
      </c>
      <c r="T243" s="5" t="n">
        <v>90</v>
      </c>
      <c r="U243" s="9" t="n"/>
    </row>
    <row r="244" ht="12" customFormat="1" customHeight="1" s="38">
      <c r="A244" s="120" t="inlineStr">
        <is>
          <t>작전동 힐스테이트자이계양</t>
        </is>
      </c>
      <c r="B244" s="121" t="inlineStr">
        <is>
          <t>24.03.</t>
        </is>
      </c>
      <c r="C244" s="129" t="n">
        <v>2371</v>
      </c>
      <c r="D244" s="130" t="n">
        <v>76.3</v>
      </c>
      <c r="E244" s="131" t="n">
        <v>23</v>
      </c>
      <c r="F244" s="130" t="n">
        <v>53.9</v>
      </c>
      <c r="G244" s="17" t="n">
        <v>16</v>
      </c>
      <c r="H244" s="132" t="n">
        <v>256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2</v>
      </c>
      <c r="R244" s="117" t="n">
        <v>1</v>
      </c>
      <c r="S244" s="117" t="inlineStr">
        <is>
          <t>계</t>
        </is>
      </c>
      <c r="T244" s="5" t="inlineStr">
        <is>
          <t>76A</t>
        </is>
      </c>
      <c r="U244" s="9" t="n"/>
    </row>
    <row r="245" ht="12" customFormat="1" customHeight="1" s="38">
      <c r="A245" s="120" t="inlineStr">
        <is>
          <t>작전동 힐스테이트자이계양</t>
        </is>
      </c>
      <c r="B245" s="121" t="inlineStr">
        <is>
          <t>24.03.</t>
        </is>
      </c>
      <c r="C245" s="129" t="n">
        <v>2371</v>
      </c>
      <c r="D245" s="130" t="n">
        <v>86.40000000000001</v>
      </c>
      <c r="E245" s="131" t="n">
        <v>26</v>
      </c>
      <c r="F245" s="130" t="n">
        <v>59.8</v>
      </c>
      <c r="G245" s="17" t="n">
        <v>18</v>
      </c>
      <c r="H245" s="132" t="n">
        <v>625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3</v>
      </c>
      <c r="R245" s="117" t="n">
        <v>2</v>
      </c>
      <c r="S245" s="117" t="inlineStr">
        <is>
          <t>계</t>
        </is>
      </c>
      <c r="T245" s="5" t="inlineStr">
        <is>
          <t>86A</t>
        </is>
      </c>
      <c r="U245" s="9" t="n"/>
    </row>
    <row r="246" ht="12" customFormat="1" customHeight="1" s="38">
      <c r="A246" s="120" t="inlineStr">
        <is>
          <t>작전동 힐스테이트자이계양</t>
        </is>
      </c>
      <c r="B246" s="121" t="inlineStr">
        <is>
          <t>24.03.</t>
        </is>
      </c>
      <c r="C246" s="129" t="n">
        <v>2371</v>
      </c>
      <c r="D246" s="130" t="n">
        <v>115.5</v>
      </c>
      <c r="E246" s="131" t="n">
        <v>35</v>
      </c>
      <c r="F246" s="130" t="n">
        <v>84.8</v>
      </c>
      <c r="G246" s="17" t="n">
        <v>26</v>
      </c>
      <c r="H246" s="132" t="n">
        <v>393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3</v>
      </c>
      <c r="R246" s="117" t="n">
        <v>2</v>
      </c>
      <c r="S246" s="117" t="inlineStr">
        <is>
          <t>계</t>
        </is>
      </c>
      <c r="T246" s="5" t="inlineStr">
        <is>
          <t>115C</t>
        </is>
      </c>
      <c r="U246" s="9" t="n"/>
    </row>
    <row r="247" ht="12" customFormat="1" customHeight="1" s="38">
      <c r="A247" s="120" t="inlineStr">
        <is>
          <t>작전동 한양</t>
        </is>
      </c>
      <c r="B247" s="121" t="inlineStr">
        <is>
          <t>85.10.</t>
        </is>
      </c>
      <c r="C247" s="129" t="n">
        <v>280</v>
      </c>
      <c r="D247" s="130" t="n">
        <v>78.40000000000001</v>
      </c>
      <c r="E247" s="131" t="n">
        <v>24</v>
      </c>
      <c r="F247" s="130" t="n">
        <v>58.5</v>
      </c>
      <c r="G247" s="17" t="n">
        <v>18</v>
      </c>
      <c r="H247" s="132" t="n">
        <v>196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복</t>
        </is>
      </c>
      <c r="T247" s="5" t="n">
        <v>78</v>
      </c>
      <c r="U247" s="9" t="n"/>
    </row>
    <row r="248" ht="12" customFormat="1" customHeight="1" s="38">
      <c r="A248" s="120" t="inlineStr">
        <is>
          <t>작전동 한양</t>
        </is>
      </c>
      <c r="B248" s="121" t="inlineStr">
        <is>
          <t>85.10.</t>
        </is>
      </c>
      <c r="C248" s="129" t="n">
        <v>280</v>
      </c>
      <c r="D248" s="130" t="n">
        <v>106.9</v>
      </c>
      <c r="E248" s="131" t="n">
        <v>32</v>
      </c>
      <c r="F248" s="130" t="n">
        <v>76.7</v>
      </c>
      <c r="G248" s="17" t="n">
        <v>23</v>
      </c>
      <c r="H248" s="132" t="n">
        <v>84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3</v>
      </c>
      <c r="R248" s="117" t="n">
        <v>1</v>
      </c>
      <c r="S248" s="117" t="inlineStr">
        <is>
          <t>복</t>
        </is>
      </c>
      <c r="T248" s="5" t="n">
        <v>106</v>
      </c>
      <c r="U248" s="9" t="n"/>
    </row>
    <row r="249" ht="12" customFormat="1" customHeight="1" s="38">
      <c r="A249" s="120" t="inlineStr">
        <is>
          <t>작전동 한신</t>
        </is>
      </c>
      <c r="B249" s="121" t="inlineStr">
        <is>
          <t>91.10.</t>
        </is>
      </c>
      <c r="C249" s="129" t="n">
        <v>259</v>
      </c>
      <c r="D249" s="130" t="n">
        <v>82.7</v>
      </c>
      <c r="E249" s="131" t="n">
        <v>25</v>
      </c>
      <c r="F249" s="130" t="n">
        <v>60.5</v>
      </c>
      <c r="G249" s="17" t="n">
        <v>18</v>
      </c>
      <c r="H249" s="132" t="n">
        <v>88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1</v>
      </c>
      <c r="S249" s="117" t="inlineStr">
        <is>
          <t>복</t>
        </is>
      </c>
      <c r="T249" s="5" t="n">
        <v>82</v>
      </c>
      <c r="U249" s="9" t="n"/>
    </row>
    <row r="250" ht="12" customFormat="1" customHeight="1" s="38">
      <c r="A250" s="120" t="inlineStr">
        <is>
          <t>작전동 한신</t>
        </is>
      </c>
      <c r="B250" s="121" t="inlineStr">
        <is>
          <t>91.10.</t>
        </is>
      </c>
      <c r="C250" s="129" t="n">
        <v>259</v>
      </c>
      <c r="D250" s="130" t="n">
        <v>103.2</v>
      </c>
      <c r="E250" s="131" t="n">
        <v>31</v>
      </c>
      <c r="F250" s="130" t="n">
        <v>85</v>
      </c>
      <c r="G250" s="17" t="n">
        <v>26</v>
      </c>
      <c r="H250" s="132" t="n">
        <v>171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복</t>
        </is>
      </c>
      <c r="T250" s="5" t="n">
        <v>103</v>
      </c>
      <c r="U250" s="9" t="n"/>
    </row>
    <row r="251" ht="12" customFormat="1" customHeight="1" s="38">
      <c r="A251" s="120" t="inlineStr">
        <is>
          <t>효성동 태산</t>
        </is>
      </c>
      <c r="B251" s="121" t="inlineStr">
        <is>
          <t>97.10.</t>
        </is>
      </c>
      <c r="C251" s="129" t="n">
        <v>1178</v>
      </c>
      <c r="D251" s="130" t="n">
        <v>109.4</v>
      </c>
      <c r="E251" s="131" t="n">
        <v>33</v>
      </c>
      <c r="F251" s="130" t="n">
        <v>84.8</v>
      </c>
      <c r="G251" s="17" t="n">
        <v>26</v>
      </c>
      <c r="H251" s="132" t="n">
        <v>654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n">
        <v>109</v>
      </c>
      <c r="U251" s="9" t="n"/>
    </row>
    <row r="252" ht="12" customFormat="1" customHeight="1" s="38">
      <c r="A252" s="120" t="inlineStr">
        <is>
          <t>효성동 백영</t>
        </is>
      </c>
      <c r="B252" s="121" t="inlineStr">
        <is>
          <t>96.05.</t>
        </is>
      </c>
      <c r="C252" s="129" t="n">
        <v>208</v>
      </c>
      <c r="D252" s="130" t="n">
        <v>85.40000000000001</v>
      </c>
      <c r="E252" s="131" t="n">
        <v>26</v>
      </c>
      <c r="F252" s="130" t="n">
        <v>60</v>
      </c>
      <c r="G252" s="17" t="n">
        <v>18</v>
      </c>
      <c r="H252" s="132" t="n">
        <v>133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1</v>
      </c>
      <c r="S252" s="117" t="inlineStr">
        <is>
          <t>계</t>
        </is>
      </c>
      <c r="T252" s="5" t="n">
        <v>85</v>
      </c>
      <c r="U252" s="9" t="n"/>
    </row>
    <row r="253" ht="12" customFormat="1" customHeight="1" s="38">
      <c r="A253" s="120" t="inlineStr">
        <is>
          <t>효성동 현대3차</t>
        </is>
      </c>
      <c r="B253" s="121" t="inlineStr">
        <is>
          <t>92.11.</t>
        </is>
      </c>
      <c r="C253" s="129" t="n">
        <v>374</v>
      </c>
      <c r="D253" s="130" t="n">
        <v>79.2</v>
      </c>
      <c r="E253" s="131" t="n">
        <v>24</v>
      </c>
      <c r="F253" s="130" t="n">
        <v>55.3</v>
      </c>
      <c r="G253" s="17" t="n">
        <v>17</v>
      </c>
      <c r="H253" s="132" t="n">
        <v>36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2</v>
      </c>
      <c r="R253" s="117" t="n">
        <v>1</v>
      </c>
      <c r="S253" s="117" t="inlineStr">
        <is>
          <t>계</t>
        </is>
      </c>
      <c r="T253" s="5" t="n">
        <v>79</v>
      </c>
      <c r="U253" s="9" t="n"/>
    </row>
    <row r="254" ht="12" customFormat="1" customHeight="1" s="38">
      <c r="A254" s="120" t="inlineStr">
        <is>
          <t>효성동 현대3차</t>
        </is>
      </c>
      <c r="B254" s="121" t="inlineStr">
        <is>
          <t>92.11.</t>
        </is>
      </c>
      <c r="C254" s="129" t="n">
        <v>374</v>
      </c>
      <c r="D254" s="130" t="n">
        <v>87.40000000000001</v>
      </c>
      <c r="E254" s="131" t="n">
        <v>26</v>
      </c>
      <c r="F254" s="130" t="n">
        <v>71.5</v>
      </c>
      <c r="G254" s="17" t="n">
        <v>22</v>
      </c>
      <c r="H254" s="132" t="n">
        <v>72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계</t>
        </is>
      </c>
      <c r="T254" s="5" t="n">
        <v>87</v>
      </c>
      <c r="U254" s="9" t="n"/>
    </row>
    <row r="255" ht="12" customFormat="1" customHeight="1" s="38">
      <c r="A255" s="120" t="inlineStr">
        <is>
          <t>효성동 하나</t>
        </is>
      </c>
      <c r="B255" s="121" t="inlineStr">
        <is>
          <t>96.09.</t>
        </is>
      </c>
      <c r="C255" s="129" t="n">
        <v>498</v>
      </c>
      <c r="D255" s="130" t="n">
        <v>79.09999999999999</v>
      </c>
      <c r="E255" s="131" t="n">
        <v>24</v>
      </c>
      <c r="F255" s="130" t="n">
        <v>59.8</v>
      </c>
      <c r="G255" s="17" t="n">
        <v>18</v>
      </c>
      <c r="H255" s="132" t="n">
        <v>250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79</v>
      </c>
      <c r="U255" s="9" t="n"/>
    </row>
    <row r="256" ht="12" customFormat="1" customHeight="1" s="38">
      <c r="A256" s="120" t="inlineStr">
        <is>
          <t>효성동 새사미</t>
        </is>
      </c>
      <c r="B256" s="121" t="inlineStr">
        <is>
          <t>85.01.</t>
        </is>
      </c>
      <c r="C256" s="129" t="n">
        <v>280</v>
      </c>
      <c r="D256" s="130" t="n">
        <v>61.4</v>
      </c>
      <c r="E256" s="131" t="n">
        <v>19</v>
      </c>
      <c r="F256" s="130" t="n">
        <v>48.9</v>
      </c>
      <c r="G256" s="17" t="n">
        <v>15</v>
      </c>
      <c r="H256" s="132" t="n">
        <v>140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n">
        <v>61</v>
      </c>
      <c r="U256" s="9" t="n"/>
    </row>
    <row r="257" ht="12" customFormat="1" customHeight="1" s="38">
      <c r="A257" s="120" t="inlineStr">
        <is>
          <t>효성동 새사미</t>
        </is>
      </c>
      <c r="B257" s="121" t="inlineStr">
        <is>
          <t>85.01.</t>
        </is>
      </c>
      <c r="C257" s="129" t="n">
        <v>280</v>
      </c>
      <c r="D257" s="130" t="n">
        <v>71.40000000000001</v>
      </c>
      <c r="E257" s="131" t="n">
        <v>22</v>
      </c>
      <c r="F257" s="130" t="n">
        <v>57.8</v>
      </c>
      <c r="G257" s="17" t="n">
        <v>17</v>
      </c>
      <c r="H257" s="132" t="n">
        <v>140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계</t>
        </is>
      </c>
      <c r="T257" s="5" t="n">
        <v>71</v>
      </c>
      <c r="U257" s="9" t="n"/>
    </row>
    <row r="258" ht="12" customFormat="1" customHeight="1" s="38">
      <c r="A258" s="120" t="inlineStr">
        <is>
          <t>효성동 효성대림</t>
        </is>
      </c>
      <c r="B258" s="121" t="inlineStr">
        <is>
          <t>99.09.</t>
        </is>
      </c>
      <c r="C258" s="129" t="n">
        <v>298</v>
      </c>
      <c r="D258" s="130" t="n">
        <v>81.5</v>
      </c>
      <c r="E258" s="131" t="n">
        <v>25</v>
      </c>
      <c r="F258" s="130" t="n">
        <v>59.2</v>
      </c>
      <c r="G258" s="17" t="n">
        <v>18</v>
      </c>
      <c r="H258" s="132" t="n">
        <v>123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81</v>
      </c>
      <c r="U258" s="9" t="n"/>
    </row>
    <row r="259" ht="12" customFormat="1" customHeight="1" s="38">
      <c r="A259" s="120" t="inlineStr">
        <is>
          <t>효성동 효성대림</t>
        </is>
      </c>
      <c r="B259" s="121" t="inlineStr">
        <is>
          <t>99.09.</t>
        </is>
      </c>
      <c r="C259" s="129" t="n">
        <v>298</v>
      </c>
      <c r="D259" s="130" t="n">
        <v>108.9</v>
      </c>
      <c r="E259" s="131" t="n">
        <v>33</v>
      </c>
      <c r="F259" s="130" t="n">
        <v>84</v>
      </c>
      <c r="G259" s="17" t="n">
        <v>25</v>
      </c>
      <c r="H259" s="132" t="n">
        <v>137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inlineStr">
        <is>
          <t>108A</t>
        </is>
      </c>
      <c r="U259" s="9" t="n"/>
    </row>
    <row r="260" ht="12" customFormat="1" customHeight="1" s="38">
      <c r="A260" s="120" t="inlineStr">
        <is>
          <t>효성동 미도</t>
        </is>
      </c>
      <c r="B260" s="121" t="inlineStr">
        <is>
          <t>85.01.</t>
        </is>
      </c>
      <c r="C260" s="129" t="n">
        <v>205</v>
      </c>
      <c r="D260" s="130" t="n">
        <v>78.40000000000001</v>
      </c>
      <c r="E260" s="131" t="n">
        <v>24</v>
      </c>
      <c r="F260" s="130" t="n">
        <v>66</v>
      </c>
      <c r="G260" s="17" t="n">
        <v>20</v>
      </c>
      <c r="H260" s="132" t="n">
        <v>70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2</v>
      </c>
      <c r="R260" s="117" t="n">
        <v>1</v>
      </c>
      <c r="S260" s="117" t="inlineStr">
        <is>
          <t>계</t>
        </is>
      </c>
      <c r="T260" s="5" t="n">
        <v>78</v>
      </c>
      <c r="U260" s="9" t="n"/>
    </row>
    <row r="261" ht="12" customFormat="1" customHeight="1" s="38">
      <c r="A261" s="120" t="inlineStr">
        <is>
          <t>효성동 미도</t>
        </is>
      </c>
      <c r="B261" s="121" t="inlineStr">
        <is>
          <t>85.01.</t>
        </is>
      </c>
      <c r="C261" s="129" t="n">
        <v>205</v>
      </c>
      <c r="D261" s="130" t="n">
        <v>94.8</v>
      </c>
      <c r="E261" s="131" t="n">
        <v>29</v>
      </c>
      <c r="F261" s="130" t="n">
        <v>79.7</v>
      </c>
      <c r="G261" s="17" t="n">
        <v>24</v>
      </c>
      <c r="H261" s="132" t="n">
        <v>60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1</v>
      </c>
      <c r="S261" s="117" t="inlineStr">
        <is>
          <t>계</t>
        </is>
      </c>
      <c r="T261" s="5" t="n">
        <v>94</v>
      </c>
      <c r="U261" s="9" t="n"/>
    </row>
    <row r="262" ht="12" customFormat="1" customHeight="1" s="38">
      <c r="A262" s="120" t="inlineStr">
        <is>
          <t>효성동 유승그린</t>
        </is>
      </c>
      <c r="B262" s="121" t="inlineStr">
        <is>
          <t>96.11.</t>
        </is>
      </c>
      <c r="C262" s="129" t="n">
        <v>279</v>
      </c>
      <c r="D262" s="130" t="n">
        <v>84.09999999999999</v>
      </c>
      <c r="E262" s="131" t="n">
        <v>25</v>
      </c>
      <c r="F262" s="130" t="n">
        <v>59.9</v>
      </c>
      <c r="G262" s="17" t="n">
        <v>18</v>
      </c>
      <c r="H262" s="132" t="n">
        <v>279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1</v>
      </c>
      <c r="S262" s="117" t="inlineStr">
        <is>
          <t>복</t>
        </is>
      </c>
      <c r="T262" s="5" t="n">
        <v>84</v>
      </c>
      <c r="U262" s="9" t="n"/>
    </row>
    <row r="263" ht="12" customFormat="1" customHeight="1" s="38">
      <c r="A263" s="120" t="inlineStr">
        <is>
          <t>효성동 뉴서울1차</t>
        </is>
      </c>
      <c r="B263" s="121" t="inlineStr">
        <is>
          <t>85.06.</t>
        </is>
      </c>
      <c r="C263" s="129" t="n">
        <v>460</v>
      </c>
      <c r="D263" s="130" t="n">
        <v>58.5</v>
      </c>
      <c r="E263" s="131" t="n">
        <v>18</v>
      </c>
      <c r="F263" s="130" t="n">
        <v>41.7</v>
      </c>
      <c r="G263" s="17" t="n">
        <v>13</v>
      </c>
      <c r="H263" s="132" t="n">
        <v>150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3</v>
      </c>
      <c r="R263" s="117" t="n">
        <v>1</v>
      </c>
      <c r="S263" s="117" t="inlineStr">
        <is>
          <t>계</t>
        </is>
      </c>
      <c r="T263" s="5" t="n">
        <v>58</v>
      </c>
      <c r="U263" s="9" t="n"/>
    </row>
    <row r="264" ht="12" customFormat="1" customHeight="1" s="38">
      <c r="A264" s="120" t="inlineStr">
        <is>
          <t>효성동 뉴서울1차</t>
        </is>
      </c>
      <c r="B264" s="121" t="inlineStr">
        <is>
          <t>85.06.</t>
        </is>
      </c>
      <c r="C264" s="129" t="n">
        <v>460</v>
      </c>
      <c r="D264" s="130" t="n">
        <v>70.5</v>
      </c>
      <c r="E264" s="131" t="n">
        <v>21</v>
      </c>
      <c r="F264" s="130" t="n">
        <v>51.6</v>
      </c>
      <c r="G264" s="17" t="n">
        <v>16</v>
      </c>
      <c r="H264" s="132" t="n">
        <v>70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1</v>
      </c>
      <c r="S264" s="117" t="inlineStr">
        <is>
          <t>계</t>
        </is>
      </c>
      <c r="T264" s="5" t="n">
        <v>70</v>
      </c>
      <c r="U264" s="9" t="n"/>
    </row>
    <row r="265" ht="12" customFormat="1" customHeight="1" s="38">
      <c r="A265" s="120" t="inlineStr">
        <is>
          <t>효성동 동아</t>
        </is>
      </c>
      <c r="B265" s="121" t="inlineStr">
        <is>
          <t>86.05.</t>
        </is>
      </c>
      <c r="C265" s="129" t="n">
        <v>270</v>
      </c>
      <c r="D265" s="130" t="n">
        <v>57.5</v>
      </c>
      <c r="E265" s="131" t="n">
        <v>17</v>
      </c>
      <c r="F265" s="130" t="n">
        <v>45.2</v>
      </c>
      <c r="G265" s="17" t="n">
        <v>14</v>
      </c>
      <c r="H265" s="132" t="n">
        <v>140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2</v>
      </c>
      <c r="R265" s="117" t="n">
        <v>1</v>
      </c>
      <c r="S265" s="117" t="inlineStr">
        <is>
          <t>계</t>
        </is>
      </c>
      <c r="T265" s="5" t="n">
        <v>57</v>
      </c>
      <c r="U265" s="9" t="n"/>
    </row>
    <row r="266" ht="12" customFormat="1" customHeight="1" s="38">
      <c r="A266" s="120" t="inlineStr">
        <is>
          <t>효성동 동아</t>
        </is>
      </c>
      <c r="B266" s="121" t="inlineStr">
        <is>
          <t>86.05.</t>
        </is>
      </c>
      <c r="C266" s="129" t="n">
        <v>270</v>
      </c>
      <c r="D266" s="130" t="n">
        <v>66.5</v>
      </c>
      <c r="E266" s="131" t="n">
        <v>20</v>
      </c>
      <c r="F266" s="130" t="n">
        <v>52.9</v>
      </c>
      <c r="G266" s="17" t="n">
        <v>16</v>
      </c>
      <c r="H266" s="132" t="n">
        <v>120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1</v>
      </c>
      <c r="S266" s="117" t="inlineStr">
        <is>
          <t>계</t>
        </is>
      </c>
      <c r="T266" s="5" t="n">
        <v>66</v>
      </c>
      <c r="U266" s="9" t="n"/>
    </row>
    <row r="267" ht="12" customFormat="1" customHeight="1" s="38">
      <c r="A267" s="120" t="inlineStr">
        <is>
          <t>효성동 신진</t>
        </is>
      </c>
      <c r="B267" s="121" t="inlineStr">
        <is>
          <t>84.12.</t>
        </is>
      </c>
      <c r="C267" s="129" t="n">
        <v>285</v>
      </c>
      <c r="D267" s="130" t="n">
        <v>63.9</v>
      </c>
      <c r="E267" s="131" t="n">
        <v>19</v>
      </c>
      <c r="F267" s="130" t="n">
        <v>53.3</v>
      </c>
      <c r="G267" s="17" t="n">
        <v>16</v>
      </c>
      <c r="H267" s="132" t="n">
        <v>80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3</v>
      </c>
      <c r="R267" s="117" t="n">
        <v>1</v>
      </c>
      <c r="S267" s="117" t="inlineStr">
        <is>
          <t>계</t>
        </is>
      </c>
      <c r="T267" s="5" t="n">
        <v>63</v>
      </c>
      <c r="U267" s="9" t="n"/>
    </row>
    <row r="268" ht="12" customFormat="1" customHeight="1" s="38">
      <c r="A268" s="120" t="inlineStr">
        <is>
          <t>효성동 신진</t>
        </is>
      </c>
      <c r="B268" s="121" t="inlineStr">
        <is>
          <t>84.12.</t>
        </is>
      </c>
      <c r="C268" s="129" t="n">
        <v>285</v>
      </c>
      <c r="D268" s="130" t="n">
        <v>73.7</v>
      </c>
      <c r="E268" s="131" t="n">
        <v>22</v>
      </c>
      <c r="F268" s="130" t="n">
        <v>61.4</v>
      </c>
      <c r="G268" s="17" t="n">
        <v>19</v>
      </c>
      <c r="H268" s="132" t="n">
        <v>70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3</v>
      </c>
      <c r="R268" s="117" t="n">
        <v>1</v>
      </c>
      <c r="S268" s="117" t="inlineStr">
        <is>
          <t>계</t>
        </is>
      </c>
      <c r="T268" s="5" t="n">
        <v>73</v>
      </c>
      <c r="U268" s="9" t="n"/>
    </row>
    <row r="269" ht="12" customFormat="1" customHeight="1" s="38">
      <c r="A269" s="120" t="inlineStr">
        <is>
          <t>효성동 신진</t>
        </is>
      </c>
      <c r="B269" s="121" t="inlineStr">
        <is>
          <t>84.12.</t>
        </is>
      </c>
      <c r="C269" s="129" t="n">
        <v>285</v>
      </c>
      <c r="D269" s="130" t="n">
        <v>82</v>
      </c>
      <c r="E269" s="131" t="n">
        <v>25</v>
      </c>
      <c r="F269" s="130" t="n">
        <v>68.3</v>
      </c>
      <c r="G269" s="17" t="n">
        <v>21</v>
      </c>
      <c r="H269" s="132" t="n">
        <v>130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계</t>
        </is>
      </c>
      <c r="T269" s="5" t="n">
        <v>82</v>
      </c>
      <c r="U269" s="9" t="n"/>
    </row>
    <row r="270" ht="12" customFormat="1" customHeight="1" s="38">
      <c r="A270" s="120" t="inlineStr">
        <is>
          <t>효성동 금호어울림</t>
        </is>
      </c>
      <c r="B270" s="121" t="inlineStr">
        <is>
          <t>05.08.</t>
        </is>
      </c>
      <c r="C270" s="129" t="n">
        <v>410</v>
      </c>
      <c r="D270" s="130" t="n">
        <v>76.2</v>
      </c>
      <c r="E270" s="131" t="n">
        <v>23</v>
      </c>
      <c r="F270" s="130" t="n">
        <v>60</v>
      </c>
      <c r="G270" s="17" t="n">
        <v>18</v>
      </c>
      <c r="H270" s="132" t="n">
        <v>147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3</v>
      </c>
      <c r="R270" s="117" t="n">
        <v>1</v>
      </c>
      <c r="S270" s="117" t="inlineStr">
        <is>
          <t>계</t>
        </is>
      </c>
      <c r="T270" s="5" t="n">
        <v>76</v>
      </c>
      <c r="U270" s="9" t="n"/>
    </row>
    <row r="271" ht="12" customFormat="1" customHeight="1" s="38">
      <c r="A271" s="120" t="inlineStr">
        <is>
          <t>효성동 뉴서울2차</t>
        </is>
      </c>
      <c r="B271" s="121" t="inlineStr">
        <is>
          <t>86.12.</t>
        </is>
      </c>
      <c r="C271" s="129" t="n">
        <v>775</v>
      </c>
      <c r="D271" s="130" t="n">
        <v>44.6</v>
      </c>
      <c r="E271" s="131" t="n">
        <v>13</v>
      </c>
      <c r="F271" s="130" t="n">
        <v>32</v>
      </c>
      <c r="G271" s="17" t="n">
        <v>10</v>
      </c>
      <c r="H271" s="132" t="n">
        <v>130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1</v>
      </c>
      <c r="R271" s="117" t="n">
        <v>1</v>
      </c>
      <c r="S271" s="117" t="inlineStr">
        <is>
          <t>계</t>
        </is>
      </c>
      <c r="T271" s="5" t="n">
        <v>44</v>
      </c>
      <c r="U271" s="9" t="n"/>
    </row>
    <row r="272" ht="12" customFormat="1" customHeight="1" s="38">
      <c r="A272" s="120" t="inlineStr">
        <is>
          <t>효성동 e편한세상계양더프리미어</t>
        </is>
      </c>
      <c r="B272" s="121" t="inlineStr">
        <is>
          <t>21.10.</t>
        </is>
      </c>
      <c r="C272" s="129" t="n">
        <v>1646</v>
      </c>
      <c r="D272" s="130" t="n">
        <v>56.5</v>
      </c>
      <c r="E272" s="131" t="n">
        <v>17</v>
      </c>
      <c r="F272" s="130" t="n">
        <v>40</v>
      </c>
      <c r="G272" s="17" t="n">
        <v>12</v>
      </c>
      <c r="H272" s="132" t="n">
        <v>85</v>
      </c>
      <c r="I272" s="133" t="n"/>
      <c r="J272" s="133" t="n"/>
      <c r="K272" s="133" t="n">
        <v>23000</v>
      </c>
      <c r="L272" s="133" t="inlineStr">
        <is>
          <t>13</t>
        </is>
      </c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2</v>
      </c>
      <c r="R272" s="117" t="n">
        <v>1</v>
      </c>
      <c r="S272" s="117" t="inlineStr">
        <is>
          <t>계</t>
        </is>
      </c>
      <c r="T272" s="5" t="n">
        <v>56</v>
      </c>
      <c r="U272" s="9" t="n"/>
    </row>
    <row r="273" ht="16.5" customFormat="1" customHeight="1" s="38">
      <c r="A273" s="76" t="n"/>
      <c r="B273" s="76" t="n"/>
      <c r="C273" s="76" t="n"/>
      <c r="D273" s="76" t="n"/>
      <c r="E273" s="76" t="n"/>
      <c r="F273" s="76" t="n"/>
      <c r="G273" s="76" t="n"/>
      <c r="H273" s="76" t="n"/>
      <c r="I273" s="76" t="n"/>
      <c r="J273" s="76" t="n"/>
      <c r="K273" s="76" t="n"/>
      <c r="L273" s="76" t="n"/>
      <c r="M273" s="76" t="n"/>
      <c r="N273" s="76" t="n"/>
      <c r="O273" s="76" t="n"/>
      <c r="P273" s="76" t="n"/>
      <c r="Q273" s="76" t="n"/>
      <c r="R273" s="76" t="n"/>
      <c r="S273" s="76" t="n"/>
      <c r="T273" s="76" t="n"/>
      <c r="U273" s="76" t="n"/>
      <c r="V273" s="76" t="n"/>
    </row>
    <row r="274" ht="16.5" customFormat="1" customHeight="1" s="38">
      <c r="A274" s="76" t="n"/>
      <c r="B274" s="76" t="n"/>
      <c r="C274" s="76" t="n"/>
      <c r="D274" s="76" t="n"/>
      <c r="E274" s="76" t="n"/>
      <c r="F274" s="76" t="n"/>
      <c r="G274" s="76" t="n"/>
      <c r="H274" s="76" t="n"/>
      <c r="I274" s="76" t="n"/>
      <c r="J274" s="76" t="n"/>
      <c r="K274" s="76" t="n"/>
      <c r="L274" s="76" t="n"/>
      <c r="M274" s="76" t="n"/>
      <c r="N274" s="76" t="n"/>
      <c r="O274" s="76" t="n"/>
      <c r="P274" s="76" t="n"/>
      <c r="Q274" s="76" t="n"/>
      <c r="R274" s="76" t="n"/>
      <c r="S274" s="76" t="n"/>
      <c r="T274" s="76" t="n"/>
      <c r="U274" s="76" t="n"/>
      <c r="V274" s="76" t="n"/>
    </row>
    <row r="275" ht="16.5" customFormat="1" customHeight="1" s="38">
      <c r="A275" s="76" t="n"/>
      <c r="B275" s="76" t="n"/>
      <c r="C275" s="76" t="n"/>
      <c r="D275" s="76" t="n"/>
      <c r="E275" s="76" t="n"/>
      <c r="F275" s="76" t="n"/>
      <c r="G275" s="76" t="n"/>
      <c r="H275" s="76" t="n"/>
      <c r="I275" s="76" t="n"/>
      <c r="J275" s="76" t="n"/>
      <c r="K275" s="76" t="n"/>
      <c r="L275" s="76" t="n"/>
      <c r="M275" s="76" t="n"/>
      <c r="N275" s="76" t="n"/>
      <c r="O275" s="76" t="n"/>
      <c r="P275" s="76" t="n"/>
      <c r="Q275" s="76" t="n"/>
      <c r="R275" s="76" t="n"/>
      <c r="S275" s="76" t="n"/>
      <c r="T275" s="76" t="n"/>
      <c r="U275" s="76" t="n"/>
      <c r="V275" s="76" t="n"/>
    </row>
    <row r="276" ht="16.5" customFormat="1" customHeight="1" s="38">
      <c r="A276" s="76" t="n"/>
      <c r="B276" s="76" t="n"/>
      <c r="C276" s="76" t="n"/>
      <c r="D276" s="76" t="n"/>
      <c r="E276" s="76" t="n"/>
      <c r="F276" s="76" t="n"/>
      <c r="G276" s="76" t="n"/>
      <c r="H276" s="76" t="n"/>
      <c r="I276" s="76" t="n"/>
      <c r="J276" s="76" t="n"/>
      <c r="K276" s="76" t="n"/>
      <c r="L276" s="76" t="n"/>
      <c r="M276" s="76" t="n"/>
      <c r="N276" s="76" t="n"/>
      <c r="O276" s="76" t="n"/>
      <c r="P276" s="76" t="n"/>
      <c r="Q276" s="76" t="n"/>
      <c r="R276" s="76" t="n"/>
      <c r="S276" s="76" t="n"/>
      <c r="T276" s="76" t="n"/>
      <c r="U276" s="76" t="n"/>
      <c r="V276" s="76" t="n"/>
    </row>
    <row r="277" ht="16.5" customFormat="1" customHeight="1" s="38">
      <c r="A277" s="76" t="n"/>
      <c r="B277" s="76" t="n"/>
      <c r="C277" s="76" t="n"/>
      <c r="D277" s="76" t="n"/>
      <c r="E277" s="76" t="n"/>
      <c r="F277" s="76" t="n"/>
      <c r="G277" s="76" t="n"/>
      <c r="H277" s="76" t="n"/>
      <c r="I277" s="76" t="n"/>
      <c r="J277" s="76" t="n"/>
      <c r="K277" s="76" t="n"/>
      <c r="L277" s="76" t="n"/>
      <c r="M277" s="76" t="n"/>
      <c r="N277" s="76" t="n"/>
      <c r="O277" s="76" t="n"/>
      <c r="P277" s="76" t="n"/>
      <c r="Q277" s="76" t="n"/>
      <c r="R277" s="76" t="n"/>
      <c r="S277" s="76" t="n"/>
      <c r="T277" s="76" t="n"/>
      <c r="U277" s="76" t="n"/>
      <c r="V277" s="76" t="n"/>
    </row>
    <row r="278" ht="16.5" customFormat="1" customHeight="1" s="38">
      <c r="A278" s="76" t="n"/>
      <c r="B278" s="76" t="n"/>
      <c r="C278" s="76" t="n"/>
      <c r="D278" s="76" t="n"/>
      <c r="E278" s="76" t="n"/>
      <c r="F278" s="76" t="n"/>
      <c r="G278" s="76" t="n"/>
      <c r="H278" s="76" t="n"/>
      <c r="I278" s="76" t="n"/>
      <c r="J278" s="76" t="n"/>
      <c r="K278" s="76" t="n"/>
      <c r="L278" s="76" t="n"/>
      <c r="M278" s="76" t="n"/>
      <c r="N278" s="76" t="n"/>
      <c r="O278" s="76" t="n"/>
      <c r="P278" s="76" t="n"/>
      <c r="Q278" s="76" t="n"/>
      <c r="R278" s="76" t="n"/>
      <c r="S278" s="76" t="n"/>
      <c r="T278" s="76" t="n"/>
      <c r="U278" s="76" t="n"/>
      <c r="V278" s="76" t="n"/>
    </row>
    <row r="279" ht="16.5" customFormat="1" customHeight="1" s="38">
      <c r="A279" s="76" t="n"/>
      <c r="B279" s="76" t="n"/>
      <c r="C279" s="76" t="n"/>
      <c r="D279" s="76" t="n"/>
      <c r="E279" s="76" t="n"/>
      <c r="F279" s="76" t="n"/>
      <c r="G279" s="76" t="n"/>
      <c r="H279" s="76" t="n"/>
      <c r="I279" s="76" t="n"/>
      <c r="J279" s="76" t="n"/>
      <c r="K279" s="76" t="n"/>
      <c r="L279" s="76" t="n"/>
      <c r="M279" s="76" t="n"/>
      <c r="N279" s="76" t="n"/>
      <c r="O279" s="76" t="n"/>
      <c r="P279" s="76" t="n"/>
      <c r="Q279" s="76" t="n"/>
      <c r="R279" s="76" t="n"/>
      <c r="S279" s="76" t="n"/>
      <c r="T279" s="76" t="n"/>
      <c r="U279" s="76" t="n"/>
      <c r="V279" s="76" t="n"/>
    </row>
    <row r="280" ht="16.5" customFormat="1" customHeight="1" s="38">
      <c r="A280" s="76" t="n"/>
      <c r="B280" s="76" t="n"/>
      <c r="C280" s="76" t="n"/>
      <c r="D280" s="76" t="n"/>
      <c r="E280" s="76" t="n"/>
      <c r="F280" s="76" t="n"/>
      <c r="G280" s="76" t="n"/>
      <c r="H280" s="76" t="n"/>
      <c r="I280" s="76" t="n"/>
      <c r="J280" s="76" t="n"/>
      <c r="K280" s="76" t="n"/>
      <c r="L280" s="76" t="n"/>
      <c r="M280" s="76" t="n"/>
      <c r="N280" s="76" t="n"/>
      <c r="O280" s="76" t="n"/>
      <c r="P280" s="76" t="n"/>
      <c r="Q280" s="76" t="n"/>
      <c r="R280" s="76" t="n"/>
      <c r="S280" s="76" t="n"/>
      <c r="T280" s="76" t="n"/>
      <c r="U280" s="76" t="n"/>
      <c r="V280" s="76" t="n"/>
    </row>
    <row r="281" ht="16.5" customFormat="1" customHeight="1" s="38">
      <c r="A281" s="76" t="n"/>
      <c r="B281" s="76" t="n"/>
      <c r="C281" s="76" t="n"/>
      <c r="D281" s="76" t="n"/>
      <c r="E281" s="76" t="n"/>
      <c r="F281" s="76" t="n"/>
      <c r="G281" s="76" t="n"/>
      <c r="H281" s="76" t="n"/>
      <c r="I281" s="76" t="n"/>
      <c r="J281" s="76" t="n"/>
      <c r="K281" s="76" t="n"/>
      <c r="L281" s="76" t="n"/>
      <c r="M281" s="76" t="n"/>
      <c r="N281" s="76" t="n"/>
      <c r="O281" s="76" t="n"/>
      <c r="P281" s="76" t="n"/>
      <c r="Q281" s="76" t="n"/>
      <c r="R281" s="76" t="n"/>
      <c r="S281" s="76" t="n"/>
      <c r="T281" s="76" t="n"/>
      <c r="U281" s="76" t="n"/>
      <c r="V281" s="76" t="n"/>
    </row>
    <row r="282" ht="16.5" customFormat="1" customHeight="1" s="38">
      <c r="A282" s="76" t="n"/>
      <c r="B282" s="76" t="n"/>
      <c r="C282" s="76" t="n"/>
      <c r="D282" s="76" t="n"/>
      <c r="E282" s="76" t="n"/>
      <c r="F282" s="76" t="n"/>
      <c r="G282" s="76" t="n"/>
      <c r="H282" s="76" t="n"/>
      <c r="I282" s="76" t="n"/>
      <c r="J282" s="76" t="n"/>
      <c r="K282" s="76" t="n"/>
      <c r="L282" s="76" t="n"/>
      <c r="M282" s="76" t="n"/>
      <c r="N282" s="76" t="n"/>
      <c r="O282" s="76" t="n"/>
      <c r="P282" s="76" t="n"/>
      <c r="Q282" s="76" t="n"/>
      <c r="R282" s="76" t="n"/>
      <c r="S282" s="76" t="n"/>
      <c r="T282" s="76" t="n"/>
      <c r="U282" s="76" t="n"/>
      <c r="V282" s="76" t="n"/>
    </row>
    <row r="283" ht="16.5" customFormat="1" customHeight="1" s="38">
      <c r="A283" s="76" t="n"/>
      <c r="B283" s="76" t="n"/>
      <c r="C283" s="76" t="n"/>
      <c r="D283" s="76" t="n"/>
      <c r="E283" s="76" t="n"/>
      <c r="F283" s="76" t="n"/>
      <c r="G283" s="76" t="n"/>
      <c r="H283" s="76" t="n"/>
      <c r="I283" s="76" t="n"/>
      <c r="J283" s="76" t="n"/>
      <c r="K283" s="76" t="n"/>
      <c r="L283" s="76" t="n"/>
      <c r="M283" s="76" t="n"/>
      <c r="N283" s="76" t="n"/>
      <c r="O283" s="76" t="n"/>
      <c r="P283" s="76" t="n"/>
      <c r="Q283" s="76" t="n"/>
      <c r="R283" s="76" t="n"/>
      <c r="S283" s="76" t="n"/>
      <c r="T283" s="76" t="n"/>
      <c r="U283" s="76" t="n"/>
      <c r="V283" s="76" t="n"/>
    </row>
    <row r="284" ht="16.5" customFormat="1" customHeight="1" s="38">
      <c r="A284" s="76" t="n"/>
      <c r="B284" s="76" t="n"/>
      <c r="C284" s="76" t="n"/>
      <c r="D284" s="76" t="n"/>
      <c r="E284" s="76" t="n"/>
      <c r="F284" s="76" t="n"/>
      <c r="G284" s="76" t="n"/>
      <c r="H284" s="76" t="n"/>
      <c r="I284" s="76" t="n"/>
      <c r="J284" s="76" t="n"/>
      <c r="K284" s="76" t="n"/>
      <c r="L284" s="76" t="n"/>
      <c r="M284" s="76" t="n"/>
      <c r="N284" s="76" t="n"/>
      <c r="O284" s="76" t="n"/>
      <c r="P284" s="76" t="n"/>
      <c r="Q284" s="76" t="n"/>
      <c r="R284" s="76" t="n"/>
      <c r="S284" s="76" t="n"/>
      <c r="T284" s="76" t="n"/>
      <c r="U284" s="76" t="n"/>
      <c r="V284" s="76" t="n"/>
    </row>
    <row r="285" ht="16.5" customFormat="1" customHeight="1" s="38">
      <c r="A285" s="76" t="n"/>
      <c r="B285" s="76" t="n"/>
      <c r="C285" s="76" t="n"/>
      <c r="D285" s="76" t="n"/>
      <c r="E285" s="76" t="n"/>
      <c r="F285" s="76" t="n"/>
      <c r="G285" s="76" t="n"/>
      <c r="H285" s="76" t="n"/>
      <c r="I285" s="76" t="n"/>
      <c r="J285" s="76" t="n"/>
      <c r="K285" s="76" t="n"/>
      <c r="L285" s="76" t="n"/>
      <c r="M285" s="76" t="n"/>
      <c r="N285" s="76" t="n"/>
      <c r="O285" s="76" t="n"/>
      <c r="P285" s="76" t="n"/>
      <c r="Q285" s="76" t="n"/>
      <c r="R285" s="76" t="n"/>
      <c r="S285" s="76" t="n"/>
      <c r="T285" s="76" t="n"/>
      <c r="U285" s="76" t="n"/>
      <c r="V285" s="76" t="n"/>
    </row>
    <row r="286" ht="16.5" customFormat="1" customHeight="1" s="38">
      <c r="A286" s="76" t="n"/>
      <c r="B286" s="76" t="n"/>
      <c r="C286" s="76" t="n"/>
      <c r="D286" s="76" t="n"/>
      <c r="E286" s="76" t="n"/>
      <c r="F286" s="76" t="n"/>
      <c r="G286" s="76" t="n"/>
      <c r="H286" s="76" t="n"/>
      <c r="I286" s="76" t="n"/>
      <c r="J286" s="76" t="n"/>
      <c r="K286" s="76" t="n"/>
      <c r="L286" s="76" t="n"/>
      <c r="M286" s="76" t="n"/>
      <c r="N286" s="76" t="n"/>
      <c r="O286" s="76" t="n"/>
      <c r="P286" s="76" t="n"/>
      <c r="Q286" s="76" t="n"/>
      <c r="R286" s="76" t="n"/>
      <c r="S286" s="76" t="n"/>
      <c r="T286" s="76" t="n"/>
      <c r="U286" s="76" t="n"/>
      <c r="V286" s="76" t="n"/>
    </row>
    <row r="287" ht="16.5" customFormat="1" customHeight="1" s="38">
      <c r="A287" s="76" t="n"/>
      <c r="B287" s="76" t="n"/>
      <c r="C287" s="76" t="n"/>
      <c r="D287" s="76" t="n"/>
      <c r="E287" s="76" t="n"/>
      <c r="F287" s="76" t="n"/>
      <c r="G287" s="76" t="n"/>
      <c r="H287" s="76" t="n"/>
      <c r="I287" s="76" t="n"/>
      <c r="J287" s="76" t="n"/>
      <c r="K287" s="76" t="n"/>
      <c r="L287" s="76" t="n"/>
      <c r="M287" s="76" t="n"/>
      <c r="N287" s="76" t="n"/>
      <c r="O287" s="76" t="n"/>
      <c r="P287" s="76" t="n"/>
      <c r="Q287" s="76" t="n"/>
      <c r="R287" s="76" t="n"/>
      <c r="S287" s="76" t="n"/>
      <c r="T287" s="76" t="n"/>
      <c r="U287" s="76" t="n"/>
      <c r="V287" s="76" t="n"/>
    </row>
    <row r="288" ht="16.5" customFormat="1" customHeight="1" s="38">
      <c r="A288" s="76" t="n"/>
      <c r="B288" s="76" t="n"/>
      <c r="C288" s="76" t="n"/>
      <c r="D288" s="76" t="n"/>
      <c r="E288" s="76" t="n"/>
      <c r="F288" s="76" t="n"/>
      <c r="G288" s="76" t="n"/>
      <c r="H288" s="76" t="n"/>
      <c r="I288" s="76" t="n"/>
      <c r="J288" s="76" t="n"/>
      <c r="K288" s="76" t="n"/>
      <c r="L288" s="76" t="n"/>
      <c r="M288" s="76" t="n"/>
      <c r="N288" s="76" t="n"/>
      <c r="O288" s="76" t="n"/>
      <c r="P288" s="76" t="n"/>
      <c r="Q288" s="76" t="n"/>
      <c r="R288" s="76" t="n"/>
      <c r="S288" s="76" t="n"/>
      <c r="T288" s="76" t="n"/>
      <c r="U288" s="76" t="n"/>
      <c r="V288" s="76" t="n"/>
    </row>
    <row r="289" ht="16.5" customFormat="1" customHeight="1" s="38">
      <c r="A289" s="76" t="n"/>
      <c r="B289" s="76" t="n"/>
      <c r="C289" s="76" t="n"/>
      <c r="D289" s="76" t="n"/>
      <c r="E289" s="76" t="n"/>
      <c r="F289" s="76" t="n"/>
      <c r="G289" s="76" t="n"/>
      <c r="H289" s="76" t="n"/>
      <c r="I289" s="76" t="n"/>
      <c r="J289" s="76" t="n"/>
      <c r="K289" s="76" t="n"/>
      <c r="L289" s="76" t="n"/>
      <c r="M289" s="76" t="n"/>
      <c r="N289" s="76" t="n"/>
      <c r="O289" s="76" t="n"/>
      <c r="P289" s="76" t="n"/>
      <c r="Q289" s="76" t="n"/>
      <c r="R289" s="76" t="n"/>
      <c r="S289" s="76" t="n"/>
      <c r="T289" s="76" t="n"/>
      <c r="U289" s="76" t="n"/>
      <c r="V289" s="76" t="n"/>
    </row>
    <row r="290" ht="16.5" customFormat="1" customHeight="1" s="38">
      <c r="A290" s="76" t="n"/>
      <c r="B290" s="76" t="n"/>
      <c r="C290" s="76" t="n"/>
      <c r="D290" s="76" t="n"/>
      <c r="E290" s="76" t="n"/>
      <c r="F290" s="76" t="n"/>
      <c r="G290" s="76" t="n"/>
      <c r="H290" s="76" t="n"/>
      <c r="I290" s="76" t="n"/>
      <c r="J290" s="76" t="n"/>
      <c r="K290" s="76" t="n"/>
      <c r="L290" s="76" t="n"/>
      <c r="M290" s="76" t="n"/>
      <c r="N290" s="76" t="n"/>
      <c r="O290" s="76" t="n"/>
      <c r="P290" s="76" t="n"/>
      <c r="Q290" s="76" t="n"/>
      <c r="R290" s="76" t="n"/>
      <c r="S290" s="76" t="n"/>
      <c r="T290" s="76" t="n"/>
      <c r="U290" s="76" t="n"/>
      <c r="V290" s="76" t="n"/>
    </row>
    <row r="291" ht="16.5" customFormat="1" customHeight="1" s="38">
      <c r="A291" s="76" t="n"/>
      <c r="B291" s="76" t="n"/>
      <c r="C291" s="76" t="n"/>
      <c r="D291" s="76" t="n"/>
      <c r="E291" s="76" t="n"/>
      <c r="F291" s="76" t="n"/>
      <c r="G291" s="76" t="n"/>
      <c r="H291" s="76" t="n"/>
      <c r="I291" s="76" t="n"/>
      <c r="J291" s="76" t="n"/>
      <c r="K291" s="76" t="n"/>
      <c r="L291" s="76" t="n"/>
      <c r="M291" s="76" t="n"/>
      <c r="N291" s="76" t="n"/>
      <c r="O291" s="76" t="n"/>
      <c r="P291" s="76" t="n"/>
      <c r="Q291" s="76" t="n"/>
      <c r="R291" s="76" t="n"/>
      <c r="S291" s="76" t="n"/>
      <c r="T291" s="76" t="n"/>
      <c r="U291" s="76" t="n"/>
      <c r="V291" s="76" t="n"/>
    </row>
    <row r="292" ht="16.5" customFormat="1" customHeight="1" s="38">
      <c r="A292" s="76" t="n"/>
      <c r="B292" s="76" t="n"/>
      <c r="C292" s="76" t="n"/>
      <c r="D292" s="76" t="n"/>
      <c r="E292" s="76" t="n"/>
      <c r="F292" s="76" t="n"/>
      <c r="G292" s="76" t="n"/>
      <c r="H292" s="76" t="n"/>
      <c r="I292" s="76" t="n"/>
      <c r="J292" s="76" t="n"/>
      <c r="K292" s="76" t="n"/>
      <c r="L292" s="76" t="n"/>
      <c r="M292" s="76" t="n"/>
      <c r="N292" s="76" t="n"/>
      <c r="O292" s="76" t="n"/>
      <c r="P292" s="76" t="n"/>
      <c r="Q292" s="76" t="n"/>
      <c r="R292" s="76" t="n"/>
      <c r="S292" s="76" t="n"/>
      <c r="T292" s="76" t="n"/>
      <c r="U292" s="76" t="n"/>
      <c r="V292" s="76" t="n"/>
    </row>
    <row r="293" ht="16.5" customFormat="1" customHeight="1" s="38">
      <c r="A293" s="76" t="n"/>
      <c r="B293" s="76" t="n"/>
      <c r="C293" s="76" t="n"/>
      <c r="D293" s="76" t="n"/>
      <c r="E293" s="76" t="n"/>
      <c r="F293" s="76" t="n"/>
      <c r="G293" s="76" t="n"/>
      <c r="H293" s="76" t="n"/>
      <c r="I293" s="76" t="n"/>
      <c r="J293" s="76" t="n"/>
      <c r="K293" s="76" t="n"/>
      <c r="L293" s="76" t="n"/>
      <c r="M293" s="76" t="n"/>
      <c r="N293" s="76" t="n"/>
      <c r="O293" s="76" t="n"/>
      <c r="P293" s="76" t="n"/>
      <c r="Q293" s="76" t="n"/>
      <c r="R293" s="76" t="n"/>
      <c r="S293" s="76" t="n"/>
      <c r="T293" s="76" t="n"/>
      <c r="U293" s="76" t="n"/>
      <c r="V293" s="76" t="n"/>
    </row>
    <row r="294" ht="16.5" customFormat="1" customHeight="1" s="38">
      <c r="A294" s="76" t="n"/>
      <c r="B294" s="76" t="n"/>
      <c r="C294" s="76" t="n"/>
      <c r="D294" s="76" t="n"/>
      <c r="E294" s="76" t="n"/>
      <c r="F294" s="76" t="n"/>
      <c r="G294" s="76" t="n"/>
      <c r="H294" s="76" t="n"/>
      <c r="I294" s="76" t="n"/>
      <c r="J294" s="76" t="n"/>
      <c r="K294" s="76" t="n"/>
      <c r="L294" s="76" t="n"/>
      <c r="M294" s="76" t="n"/>
      <c r="N294" s="76" t="n"/>
      <c r="O294" s="76" t="n"/>
      <c r="P294" s="76" t="n"/>
      <c r="Q294" s="76" t="n"/>
      <c r="R294" s="76" t="n"/>
      <c r="S294" s="76" t="n"/>
      <c r="T294" s="76" t="n"/>
      <c r="U294" s="76" t="n"/>
      <c r="V294" s="76" t="n"/>
    </row>
    <row r="295" ht="16.5" customFormat="1" customHeight="1" s="38">
      <c r="A295" s="76" t="n"/>
      <c r="B295" s="76" t="n"/>
      <c r="C295" s="76" t="n"/>
      <c r="D295" s="76" t="n"/>
      <c r="E295" s="76" t="n"/>
      <c r="F295" s="76" t="n"/>
      <c r="G295" s="76" t="n"/>
      <c r="H295" s="76" t="n"/>
      <c r="I295" s="76" t="n"/>
      <c r="J295" s="76" t="n"/>
      <c r="K295" s="76" t="n"/>
      <c r="L295" s="76" t="n"/>
      <c r="M295" s="76" t="n"/>
      <c r="N295" s="76" t="n"/>
      <c r="O295" s="76" t="n"/>
      <c r="P295" s="76" t="n"/>
      <c r="Q295" s="76" t="n"/>
      <c r="R295" s="76" t="n"/>
      <c r="S295" s="76" t="n"/>
      <c r="T295" s="76" t="n"/>
      <c r="U295" s="76" t="n"/>
      <c r="V295" s="76" t="n"/>
    </row>
    <row r="296" ht="16.5" customFormat="1" customHeight="1" s="38">
      <c r="A296" s="76" t="n"/>
      <c r="B296" s="76" t="n"/>
      <c r="C296" s="76" t="n"/>
      <c r="D296" s="76" t="n"/>
      <c r="E296" s="76" t="n"/>
      <c r="F296" s="76" t="n"/>
      <c r="G296" s="76" t="n"/>
      <c r="H296" s="76" t="n"/>
      <c r="I296" s="76" t="n"/>
      <c r="J296" s="76" t="n"/>
      <c r="K296" s="76" t="n"/>
      <c r="L296" s="76" t="n"/>
      <c r="M296" s="76" t="n"/>
      <c r="N296" s="76" t="n"/>
      <c r="O296" s="76" t="n"/>
      <c r="P296" s="76" t="n"/>
      <c r="Q296" s="76" t="n"/>
      <c r="R296" s="76" t="n"/>
      <c r="S296" s="76" t="n"/>
      <c r="T296" s="76" t="n"/>
      <c r="U296" s="76" t="n"/>
      <c r="V296" s="76" t="n"/>
    </row>
    <row r="297" ht="16.5" customFormat="1" customHeight="1" s="38">
      <c r="A297" s="76" t="n"/>
      <c r="B297" s="76" t="n"/>
      <c r="C297" s="76" t="n"/>
      <c r="D297" s="76" t="n"/>
      <c r="E297" s="76" t="n"/>
      <c r="F297" s="76" t="n"/>
      <c r="G297" s="76" t="n"/>
      <c r="H297" s="76" t="n"/>
      <c r="I297" s="76" t="n"/>
      <c r="J297" s="76" t="n"/>
      <c r="K297" s="76" t="n"/>
      <c r="L297" s="76" t="n"/>
      <c r="M297" s="76" t="n"/>
      <c r="N297" s="76" t="n"/>
      <c r="O297" s="76" t="n"/>
      <c r="P297" s="76" t="n"/>
      <c r="Q297" s="76" t="n"/>
      <c r="R297" s="76" t="n"/>
      <c r="S297" s="76" t="n"/>
      <c r="T297" s="76" t="n"/>
      <c r="U297" s="76" t="n"/>
      <c r="V297" s="76" t="n"/>
    </row>
    <row r="298" ht="16.5" customFormat="1" customHeight="1" s="38">
      <c r="A298" s="76" t="n"/>
      <c r="B298" s="76" t="n"/>
      <c r="C298" s="76" t="n"/>
      <c r="D298" s="76" t="n"/>
      <c r="E298" s="76" t="n"/>
      <c r="F298" s="76" t="n"/>
      <c r="G298" s="76" t="n"/>
      <c r="H298" s="76" t="n"/>
      <c r="I298" s="76" t="n"/>
      <c r="J298" s="76" t="n"/>
      <c r="K298" s="76" t="n"/>
      <c r="L298" s="76" t="n"/>
      <c r="M298" s="76" t="n"/>
      <c r="N298" s="76" t="n"/>
      <c r="O298" s="76" t="n"/>
      <c r="P298" s="76" t="n"/>
      <c r="Q298" s="76" t="n"/>
      <c r="R298" s="76" t="n"/>
      <c r="S298" s="76" t="n"/>
      <c r="T298" s="76" t="n"/>
      <c r="U298" s="76" t="n"/>
      <c r="V298" s="76" t="n"/>
    </row>
    <row r="299" ht="16.5" customFormat="1" customHeight="1" s="38">
      <c r="A299" s="76" t="n"/>
      <c r="B299" s="76" t="n"/>
      <c r="C299" s="76" t="n"/>
      <c r="D299" s="76" t="n"/>
      <c r="E299" s="76" t="n"/>
      <c r="F299" s="76" t="n"/>
      <c r="G299" s="76" t="n"/>
      <c r="H299" s="76" t="n"/>
      <c r="I299" s="76" t="n"/>
      <c r="J299" s="76" t="n"/>
      <c r="K299" s="76" t="n"/>
      <c r="L299" s="76" t="n"/>
      <c r="M299" s="76" t="n"/>
      <c r="N299" s="76" t="n"/>
      <c r="O299" s="76" t="n"/>
      <c r="P299" s="76" t="n"/>
      <c r="Q299" s="76" t="n"/>
      <c r="R299" s="76" t="n"/>
      <c r="S299" s="76" t="n"/>
      <c r="T299" s="76" t="n"/>
      <c r="U299" s="76" t="n"/>
      <c r="V299" s="76" t="n"/>
    </row>
    <row r="300" ht="16.5" customFormat="1" customHeight="1" s="38">
      <c r="A300" s="76" t="n"/>
      <c r="B300" s="76" t="n"/>
      <c r="C300" s="76" t="n"/>
      <c r="D300" s="76" t="n"/>
      <c r="E300" s="76" t="n"/>
      <c r="F300" s="76" t="n"/>
      <c r="G300" s="76" t="n"/>
      <c r="H300" s="76" t="n"/>
      <c r="I300" s="76" t="n"/>
      <c r="J300" s="76" t="n"/>
      <c r="K300" s="76" t="n"/>
      <c r="L300" s="76" t="n"/>
      <c r="M300" s="76" t="n"/>
      <c r="N300" s="76" t="n"/>
      <c r="O300" s="76" t="n"/>
      <c r="P300" s="76" t="n"/>
      <c r="Q300" s="76" t="n"/>
      <c r="R300" s="76" t="n"/>
      <c r="S300" s="76" t="n"/>
      <c r="T300" s="76" t="n"/>
      <c r="U300" s="76" t="n"/>
      <c r="V300" s="76" t="n"/>
    </row>
    <row r="301" ht="16.5" customFormat="1" customHeight="1" s="38">
      <c r="A301" s="76" t="n"/>
      <c r="B301" s="76" t="n"/>
      <c r="C301" s="76" t="n"/>
      <c r="D301" s="76" t="n"/>
      <c r="E301" s="76" t="n"/>
      <c r="F301" s="76" t="n"/>
      <c r="G301" s="76" t="n"/>
      <c r="H301" s="76" t="n"/>
      <c r="I301" s="76" t="n"/>
      <c r="J301" s="76" t="n"/>
      <c r="K301" s="76" t="n"/>
      <c r="L301" s="76" t="n"/>
      <c r="M301" s="76" t="n"/>
      <c r="N301" s="76" t="n"/>
      <c r="O301" s="76" t="n"/>
      <c r="P301" s="76" t="n"/>
      <c r="Q301" s="76" t="n"/>
      <c r="R301" s="76" t="n"/>
      <c r="S301" s="76" t="n"/>
      <c r="T301" s="76" t="n"/>
      <c r="U301" s="76" t="n"/>
      <c r="V301" s="76" t="n"/>
    </row>
    <row r="302" ht="16.5" customFormat="1" customHeight="1" s="38">
      <c r="A302" s="76" t="n"/>
      <c r="B302" s="76" t="n"/>
      <c r="C302" s="76" t="n"/>
      <c r="D302" s="76" t="n"/>
      <c r="E302" s="76" t="n"/>
      <c r="F302" s="76" t="n"/>
      <c r="G302" s="76" t="n"/>
      <c r="H302" s="76" t="n"/>
      <c r="I302" s="76" t="n"/>
      <c r="J302" s="76" t="n"/>
      <c r="K302" s="76" t="n"/>
      <c r="L302" s="76" t="n"/>
      <c r="M302" s="76" t="n"/>
      <c r="N302" s="76" t="n"/>
      <c r="O302" s="76" t="n"/>
      <c r="P302" s="76" t="n"/>
      <c r="Q302" s="76" t="n"/>
      <c r="R302" s="76" t="n"/>
      <c r="S302" s="76" t="n"/>
      <c r="T302" s="76" t="n"/>
      <c r="U302" s="76" t="n"/>
      <c r="V302" s="76" t="n"/>
    </row>
    <row r="303" ht="16.5" customFormat="1" customHeight="1" s="38">
      <c r="A303" s="76" t="n"/>
      <c r="B303" s="76" t="n"/>
      <c r="C303" s="76" t="n"/>
      <c r="D303" s="76" t="n"/>
      <c r="E303" s="76" t="n"/>
      <c r="F303" s="76" t="n"/>
      <c r="G303" s="76" t="n"/>
      <c r="H303" s="76" t="n"/>
      <c r="I303" s="76" t="n"/>
      <c r="J303" s="76" t="n"/>
      <c r="K303" s="76" t="n"/>
      <c r="L303" s="76" t="n"/>
      <c r="M303" s="76" t="n"/>
      <c r="N303" s="76" t="n"/>
      <c r="O303" s="76" t="n"/>
      <c r="P303" s="76" t="n"/>
      <c r="Q303" s="76" t="n"/>
      <c r="R303" s="76" t="n"/>
      <c r="S303" s="76" t="n"/>
      <c r="T303" s="76" t="n"/>
      <c r="U303" s="76" t="n"/>
      <c r="V303" s="76" t="n"/>
    </row>
    <row r="304" ht="16.5" customFormat="1" customHeight="1" s="38">
      <c r="A304" s="76" t="n"/>
      <c r="B304" s="76" t="n"/>
      <c r="C304" s="76" t="n"/>
      <c r="D304" s="76" t="n"/>
      <c r="E304" s="76" t="n"/>
      <c r="F304" s="76" t="n"/>
      <c r="G304" s="76" t="n"/>
      <c r="H304" s="76" t="n"/>
      <c r="I304" s="76" t="n"/>
      <c r="J304" s="76" t="n"/>
      <c r="K304" s="76" t="n"/>
      <c r="L304" s="76" t="n"/>
      <c r="M304" s="76" t="n"/>
      <c r="N304" s="76" t="n"/>
      <c r="O304" s="76" t="n"/>
      <c r="P304" s="76" t="n"/>
      <c r="Q304" s="76" t="n"/>
      <c r="R304" s="76" t="n"/>
      <c r="S304" s="76" t="n"/>
      <c r="T304" s="76" t="n"/>
      <c r="U304" s="76" t="n"/>
      <c r="V304" s="76" t="n"/>
    </row>
    <row r="305" ht="16.5" customFormat="1" customHeight="1" s="38">
      <c r="A305" s="76" t="n"/>
      <c r="B305" s="76" t="n"/>
      <c r="C305" s="76" t="n"/>
      <c r="D305" s="76" t="n"/>
      <c r="E305" s="76" t="n"/>
      <c r="F305" s="76" t="n"/>
      <c r="G305" s="76" t="n"/>
      <c r="H305" s="76" t="n"/>
      <c r="I305" s="76" t="n"/>
      <c r="J305" s="76" t="n"/>
      <c r="K305" s="76" t="n"/>
      <c r="L305" s="76" t="n"/>
      <c r="M305" s="76" t="n"/>
      <c r="N305" s="76" t="n"/>
      <c r="O305" s="76" t="n"/>
      <c r="P305" s="76" t="n"/>
      <c r="Q305" s="76" t="n"/>
      <c r="R305" s="76" t="n"/>
      <c r="S305" s="76" t="n"/>
      <c r="T305" s="76" t="n"/>
      <c r="U305" s="76" t="n"/>
      <c r="V305" s="76" t="n"/>
    </row>
    <row r="306" ht="16.5" customFormat="1" customHeight="1" s="38">
      <c r="A306" s="76" t="n"/>
      <c r="B306" s="76" t="n"/>
      <c r="C306" s="76" t="n"/>
      <c r="D306" s="76" t="n"/>
      <c r="E306" s="76" t="n"/>
      <c r="F306" s="76" t="n"/>
      <c r="G306" s="76" t="n"/>
      <c r="H306" s="76" t="n"/>
      <c r="I306" s="76" t="n"/>
      <c r="J306" s="76" t="n"/>
      <c r="K306" s="76" t="n"/>
      <c r="L306" s="76" t="n"/>
      <c r="M306" s="76" t="n"/>
      <c r="N306" s="76" t="n"/>
      <c r="O306" s="76" t="n"/>
      <c r="P306" s="76" t="n"/>
      <c r="Q306" s="76" t="n"/>
      <c r="R306" s="76" t="n"/>
      <c r="S306" s="76" t="n"/>
      <c r="T306" s="76" t="n"/>
      <c r="U306" s="76" t="n"/>
      <c r="V306" s="76" t="n"/>
    </row>
    <row r="307" ht="16.5" customFormat="1" customHeight="1" s="38">
      <c r="A307" s="76" t="n"/>
      <c r="B307" s="76" t="n"/>
      <c r="C307" s="76" t="n"/>
      <c r="D307" s="76" t="n"/>
      <c r="E307" s="76" t="n"/>
      <c r="F307" s="76" t="n"/>
      <c r="G307" s="76" t="n"/>
      <c r="H307" s="76" t="n"/>
      <c r="I307" s="76" t="n"/>
      <c r="J307" s="76" t="n"/>
      <c r="K307" s="76" t="n"/>
      <c r="L307" s="76" t="n"/>
      <c r="M307" s="76" t="n"/>
      <c r="N307" s="76" t="n"/>
      <c r="O307" s="76" t="n"/>
      <c r="P307" s="76" t="n"/>
      <c r="Q307" s="76" t="n"/>
      <c r="R307" s="76" t="n"/>
      <c r="S307" s="76" t="n"/>
      <c r="T307" s="76" t="n"/>
      <c r="U307" s="76" t="n"/>
      <c r="V307" s="76" t="n"/>
    </row>
    <row r="308" ht="16.5" customFormat="1" customHeight="1" s="38">
      <c r="A308" s="76" t="n"/>
      <c r="B308" s="76" t="n"/>
      <c r="C308" s="76" t="n"/>
      <c r="D308" s="76" t="n"/>
      <c r="E308" s="76" t="n"/>
      <c r="F308" s="76" t="n"/>
      <c r="G308" s="76" t="n"/>
      <c r="H308" s="76" t="n"/>
      <c r="I308" s="76" t="n"/>
      <c r="J308" s="76" t="n"/>
      <c r="K308" s="76" t="n"/>
      <c r="L308" s="76" t="n"/>
      <c r="M308" s="76" t="n"/>
      <c r="N308" s="76" t="n"/>
      <c r="O308" s="76" t="n"/>
      <c r="P308" s="76" t="n"/>
      <c r="Q308" s="76" t="n"/>
      <c r="R308" s="76" t="n"/>
      <c r="S308" s="76" t="n"/>
      <c r="T308" s="76" t="n"/>
      <c r="U308" s="76" t="n"/>
      <c r="V308" s="76" t="n"/>
    </row>
    <row r="309" ht="16.5" customFormat="1" customHeight="1" s="38">
      <c r="A309" s="76" t="n"/>
      <c r="B309" s="76" t="n"/>
      <c r="C309" s="76" t="n"/>
      <c r="D309" s="76" t="n"/>
      <c r="E309" s="76" t="n"/>
      <c r="F309" s="76" t="n"/>
      <c r="G309" s="76" t="n"/>
      <c r="H309" s="76" t="n"/>
      <c r="I309" s="76" t="n"/>
      <c r="J309" s="76" t="n"/>
      <c r="K309" s="76" t="n"/>
      <c r="L309" s="76" t="n"/>
      <c r="M309" s="76" t="n"/>
      <c r="N309" s="76" t="n"/>
      <c r="O309" s="76" t="n"/>
      <c r="P309" s="76" t="n"/>
      <c r="Q309" s="76" t="n"/>
      <c r="R309" s="76" t="n"/>
      <c r="S309" s="76" t="n"/>
      <c r="T309" s="76" t="n"/>
      <c r="U309" s="76" t="n"/>
      <c r="V309" s="76" t="n"/>
    </row>
    <row r="310" ht="16.5" customFormat="1" customHeight="1" s="38">
      <c r="A310" s="76" t="n"/>
      <c r="B310" s="76" t="n"/>
      <c r="C310" s="76" t="n"/>
      <c r="D310" s="76" t="n"/>
      <c r="E310" s="76" t="n"/>
      <c r="F310" s="76" t="n"/>
      <c r="G310" s="76" t="n"/>
      <c r="H310" s="76" t="n"/>
      <c r="I310" s="76" t="n"/>
      <c r="J310" s="76" t="n"/>
      <c r="K310" s="76" t="n"/>
      <c r="L310" s="76" t="n"/>
      <c r="M310" s="76" t="n"/>
      <c r="N310" s="76" t="n"/>
      <c r="O310" s="76" t="n"/>
      <c r="P310" s="76" t="n"/>
      <c r="Q310" s="76" t="n"/>
      <c r="R310" s="76" t="n"/>
      <c r="S310" s="76" t="n"/>
      <c r="T310" s="76" t="n"/>
      <c r="U310" s="76" t="n"/>
      <c r="V310" s="76" t="n"/>
    </row>
    <row r="311" ht="16.5" customFormat="1" customHeight="1" s="38">
      <c r="A311" s="76" t="n"/>
      <c r="B311" s="76" t="n"/>
      <c r="C311" s="76" t="n"/>
      <c r="D311" s="76" t="n"/>
      <c r="E311" s="76" t="n"/>
      <c r="F311" s="76" t="n"/>
      <c r="G311" s="76" t="n"/>
      <c r="H311" s="76" t="n"/>
      <c r="I311" s="76" t="n"/>
      <c r="J311" s="76" t="n"/>
      <c r="K311" s="76" t="n"/>
      <c r="L311" s="76" t="n"/>
      <c r="M311" s="76" t="n"/>
      <c r="N311" s="76" t="n"/>
      <c r="O311" s="76" t="n"/>
      <c r="P311" s="76" t="n"/>
      <c r="Q311" s="76" t="n"/>
      <c r="R311" s="76" t="n"/>
      <c r="S311" s="76" t="n"/>
      <c r="T311" s="76" t="n"/>
      <c r="U311" s="76" t="n"/>
      <c r="V311" s="76" t="n"/>
    </row>
    <row r="312" ht="16.5" customFormat="1" customHeight="1" s="38">
      <c r="A312" s="76" t="n"/>
      <c r="B312" s="76" t="n"/>
      <c r="C312" s="76" t="n"/>
      <c r="D312" s="76" t="n"/>
      <c r="E312" s="76" t="n"/>
      <c r="F312" s="76" t="n"/>
      <c r="G312" s="76" t="n"/>
      <c r="H312" s="76" t="n"/>
      <c r="I312" s="76" t="n"/>
      <c r="J312" s="76" t="n"/>
      <c r="K312" s="76" t="n"/>
      <c r="L312" s="76" t="n"/>
      <c r="M312" s="76" t="n"/>
      <c r="N312" s="76" t="n"/>
      <c r="O312" s="76" t="n"/>
      <c r="P312" s="76" t="n"/>
      <c r="Q312" s="76" t="n"/>
      <c r="R312" s="76" t="n"/>
      <c r="S312" s="76" t="n"/>
      <c r="T312" s="76" t="n"/>
      <c r="U312" s="76" t="n"/>
      <c r="V312" s="76" t="n"/>
    </row>
    <row r="313" ht="16.5" customFormat="1" customHeight="1" s="38">
      <c r="A313" s="76" t="n"/>
      <c r="B313" s="76" t="n"/>
      <c r="C313" s="76" t="n"/>
      <c r="D313" s="76" t="n"/>
      <c r="E313" s="76" t="n"/>
      <c r="F313" s="76" t="n"/>
      <c r="G313" s="76" t="n"/>
      <c r="H313" s="76" t="n"/>
      <c r="I313" s="76" t="n"/>
      <c r="J313" s="76" t="n"/>
      <c r="K313" s="76" t="n"/>
      <c r="L313" s="76" t="n"/>
      <c r="M313" s="76" t="n"/>
      <c r="N313" s="76" t="n"/>
      <c r="O313" s="76" t="n"/>
      <c r="P313" s="76" t="n"/>
      <c r="Q313" s="76" t="n"/>
      <c r="R313" s="76" t="n"/>
      <c r="S313" s="76" t="n"/>
      <c r="T313" s="76" t="n"/>
      <c r="U313" s="76" t="n"/>
      <c r="V313" s="76" t="n"/>
    </row>
    <row r="314" ht="16.5" customFormat="1" customHeight="1" s="38">
      <c r="A314" s="76" t="n"/>
      <c r="B314" s="76" t="n"/>
      <c r="C314" s="76" t="n"/>
      <c r="D314" s="76" t="n"/>
      <c r="E314" s="76" t="n"/>
      <c r="F314" s="76" t="n"/>
      <c r="G314" s="76" t="n"/>
      <c r="H314" s="76" t="n"/>
      <c r="I314" s="76" t="n"/>
      <c r="J314" s="76" t="n"/>
      <c r="K314" s="76" t="n"/>
      <c r="L314" s="76" t="n"/>
      <c r="M314" s="76" t="n"/>
      <c r="N314" s="76" t="n"/>
      <c r="O314" s="76" t="n"/>
      <c r="P314" s="76" t="n"/>
      <c r="Q314" s="76" t="n"/>
      <c r="R314" s="76" t="n"/>
      <c r="S314" s="76" t="n"/>
      <c r="T314" s="76" t="n"/>
      <c r="U314" s="76" t="n"/>
      <c r="V314" s="76" t="n"/>
    </row>
    <row r="315" ht="16.5" customFormat="1" customHeight="1" s="38">
      <c r="A315" s="76" t="n"/>
      <c r="B315" s="76" t="n"/>
      <c r="C315" s="76" t="n"/>
      <c r="D315" s="76" t="n"/>
      <c r="E315" s="76" t="n"/>
      <c r="F315" s="76" t="n"/>
      <c r="G315" s="76" t="n"/>
      <c r="H315" s="76" t="n"/>
      <c r="I315" s="76" t="n"/>
      <c r="J315" s="76" t="n"/>
      <c r="K315" s="76" t="n"/>
      <c r="L315" s="76" t="n"/>
      <c r="M315" s="76" t="n"/>
      <c r="N315" s="76" t="n"/>
      <c r="O315" s="76" t="n"/>
      <c r="P315" s="76" t="n"/>
      <c r="Q315" s="76" t="n"/>
      <c r="R315" s="76" t="n"/>
      <c r="S315" s="76" t="n"/>
      <c r="T315" s="76" t="n"/>
      <c r="U315" s="76" t="n"/>
      <c r="V315" s="76" t="n"/>
    </row>
    <row r="316" ht="16.5" customFormat="1" customHeight="1" s="38">
      <c r="A316" s="76" t="n"/>
      <c r="B316" s="76" t="n"/>
      <c r="C316" s="76" t="n"/>
      <c r="D316" s="76" t="n"/>
      <c r="E316" s="76" t="n"/>
      <c r="F316" s="76" t="n"/>
      <c r="G316" s="76" t="n"/>
      <c r="H316" s="76" t="n"/>
      <c r="I316" s="76" t="n"/>
      <c r="J316" s="76" t="n"/>
      <c r="K316" s="76" t="n"/>
      <c r="L316" s="76" t="n"/>
      <c r="M316" s="76" t="n"/>
      <c r="N316" s="76" t="n"/>
      <c r="O316" s="76" t="n"/>
      <c r="P316" s="76" t="n"/>
      <c r="Q316" s="76" t="n"/>
      <c r="R316" s="76" t="n"/>
      <c r="S316" s="76" t="n"/>
      <c r="T316" s="76" t="n"/>
      <c r="U316" s="76" t="n"/>
      <c r="V316" s="76" t="n"/>
    </row>
    <row r="317" ht="16.5" customFormat="1" customHeight="1" s="38">
      <c r="A317" s="76" t="n"/>
      <c r="B317" s="76" t="n"/>
      <c r="C317" s="76" t="n"/>
      <c r="D317" s="76" t="n"/>
      <c r="E317" s="76" t="n"/>
      <c r="F317" s="76" t="n"/>
      <c r="G317" s="76" t="n"/>
      <c r="H317" s="76" t="n"/>
      <c r="I317" s="76" t="n"/>
      <c r="J317" s="76" t="n"/>
      <c r="K317" s="76" t="n"/>
      <c r="L317" s="76" t="n"/>
      <c r="M317" s="76" t="n"/>
      <c r="N317" s="76" t="n"/>
      <c r="O317" s="76" t="n"/>
      <c r="P317" s="76" t="n"/>
      <c r="Q317" s="76" t="n"/>
      <c r="R317" s="76" t="n"/>
      <c r="S317" s="76" t="n"/>
      <c r="T317" s="76" t="n"/>
      <c r="U317" s="76" t="n"/>
      <c r="V317" s="76" t="n"/>
    </row>
    <row r="318" ht="16.5" customFormat="1" customHeight="1" s="38">
      <c r="A318" s="76" t="n"/>
      <c r="B318" s="76" t="n"/>
      <c r="C318" s="76" t="n"/>
      <c r="D318" s="76" t="n"/>
      <c r="E318" s="76" t="n"/>
      <c r="F318" s="76" t="n"/>
      <c r="G318" s="76" t="n"/>
      <c r="H318" s="76" t="n"/>
      <c r="I318" s="76" t="n"/>
      <c r="J318" s="76" t="n"/>
      <c r="K318" s="76" t="n"/>
      <c r="L318" s="76" t="n"/>
      <c r="M318" s="76" t="n"/>
      <c r="N318" s="76" t="n"/>
      <c r="O318" s="76" t="n"/>
      <c r="P318" s="76" t="n"/>
      <c r="Q318" s="76" t="n"/>
      <c r="R318" s="76" t="n"/>
      <c r="S318" s="76" t="n"/>
      <c r="T318" s="76" t="n"/>
      <c r="U318" s="76" t="n"/>
      <c r="V318" s="76" t="n"/>
    </row>
    <row r="319" ht="16.5" customFormat="1" customHeight="1" s="38">
      <c r="A319" s="76" t="n"/>
      <c r="B319" s="76" t="n"/>
      <c r="C319" s="76" t="n"/>
      <c r="D319" s="76" t="n"/>
      <c r="E319" s="76" t="n"/>
      <c r="F319" s="76" t="n"/>
      <c r="G319" s="76" t="n"/>
      <c r="H319" s="76" t="n"/>
      <c r="I319" s="76" t="n"/>
      <c r="J319" s="76" t="n"/>
      <c r="K319" s="76" t="n"/>
      <c r="L319" s="76" t="n"/>
      <c r="M319" s="76" t="n"/>
      <c r="N319" s="76" t="n"/>
      <c r="O319" s="76" t="n"/>
      <c r="P319" s="76" t="n"/>
      <c r="Q319" s="76" t="n"/>
      <c r="R319" s="76" t="n"/>
      <c r="S319" s="76" t="n"/>
      <c r="T319" s="76" t="n"/>
      <c r="U319" s="76" t="n"/>
      <c r="V319" s="76" t="n"/>
    </row>
    <row r="320" ht="16.5" customFormat="1" customHeight="1" s="38">
      <c r="A320" s="76" t="n"/>
      <c r="B320" s="76" t="n"/>
      <c r="C320" s="76" t="n"/>
      <c r="D320" s="76" t="n"/>
      <c r="E320" s="76" t="n"/>
      <c r="F320" s="76" t="n"/>
      <c r="G320" s="76" t="n"/>
      <c r="H320" s="76" t="n"/>
      <c r="I320" s="76" t="n"/>
      <c r="J320" s="76" t="n"/>
      <c r="K320" s="76" t="n"/>
      <c r="L320" s="76" t="n"/>
      <c r="M320" s="76" t="n"/>
      <c r="N320" s="76" t="n"/>
      <c r="O320" s="76" t="n"/>
      <c r="P320" s="76" t="n"/>
      <c r="Q320" s="76" t="n"/>
      <c r="R320" s="76" t="n"/>
      <c r="S320" s="76" t="n"/>
      <c r="T320" s="76" t="n"/>
      <c r="U320" s="76" t="n"/>
      <c r="V320" s="76" t="n"/>
    </row>
    <row r="321" ht="16.5" customFormat="1" customHeight="1" s="38">
      <c r="A321" s="76" t="n"/>
      <c r="B321" s="76" t="n"/>
      <c r="C321" s="76" t="n"/>
      <c r="D321" s="76" t="n"/>
      <c r="E321" s="76" t="n"/>
      <c r="F321" s="76" t="n"/>
      <c r="G321" s="76" t="n"/>
      <c r="H321" s="76" t="n"/>
      <c r="I321" s="76" t="n"/>
      <c r="J321" s="76" t="n"/>
      <c r="K321" s="76" t="n"/>
      <c r="L321" s="76" t="n"/>
      <c r="M321" s="76" t="n"/>
      <c r="N321" s="76" t="n"/>
      <c r="O321" s="76" t="n"/>
      <c r="P321" s="76" t="n"/>
      <c r="Q321" s="76" t="n"/>
      <c r="R321" s="76" t="n"/>
      <c r="S321" s="76" t="n"/>
      <c r="T321" s="76" t="n"/>
      <c r="U321" s="76" t="n"/>
      <c r="V321" s="76" t="n"/>
    </row>
    <row r="322" ht="16.5" customFormat="1" customHeight="1" s="38">
      <c r="A322" s="76" t="n"/>
      <c r="B322" s="76" t="n"/>
      <c r="C322" s="76" t="n"/>
      <c r="D322" s="76" t="n"/>
      <c r="E322" s="76" t="n"/>
      <c r="F322" s="76" t="n"/>
      <c r="G322" s="76" t="n"/>
      <c r="H322" s="76" t="n"/>
      <c r="I322" s="76" t="n"/>
      <c r="J322" s="76" t="n"/>
      <c r="K322" s="76" t="n"/>
      <c r="L322" s="76" t="n"/>
      <c r="M322" s="76" t="n"/>
      <c r="N322" s="76" t="n"/>
      <c r="O322" s="76" t="n"/>
      <c r="P322" s="76" t="n"/>
      <c r="Q322" s="76" t="n"/>
      <c r="R322" s="76" t="n"/>
      <c r="S322" s="76" t="n"/>
      <c r="T322" s="76" t="n"/>
      <c r="U322" s="76" t="n"/>
      <c r="V322" s="76" t="n"/>
    </row>
    <row r="323" ht="16.5" customFormat="1" customHeight="1" s="38">
      <c r="A323" s="76" t="n"/>
      <c r="B323" s="76" t="n"/>
      <c r="C323" s="76" t="n"/>
      <c r="D323" s="76" t="n"/>
      <c r="E323" s="76" t="n"/>
      <c r="F323" s="76" t="n"/>
      <c r="G323" s="76" t="n"/>
      <c r="H323" s="76" t="n"/>
      <c r="I323" s="76" t="n"/>
      <c r="J323" s="76" t="n"/>
      <c r="K323" s="76" t="n"/>
      <c r="L323" s="76" t="n"/>
      <c r="M323" s="76" t="n"/>
      <c r="N323" s="76" t="n"/>
      <c r="O323" s="76" t="n"/>
      <c r="P323" s="76" t="n"/>
      <c r="Q323" s="76" t="n"/>
      <c r="R323" s="76" t="n"/>
      <c r="S323" s="76" t="n"/>
      <c r="T323" s="76" t="n"/>
      <c r="U323" s="76" t="n"/>
      <c r="V323" s="76" t="n"/>
    </row>
    <row r="324" ht="16.5" customFormat="1" customHeight="1" s="38">
      <c r="A324" s="76" t="n"/>
      <c r="B324" s="76" t="n"/>
      <c r="C324" s="76" t="n"/>
      <c r="D324" s="76" t="n"/>
      <c r="E324" s="76" t="n"/>
      <c r="F324" s="76" t="n"/>
      <c r="G324" s="76" t="n"/>
      <c r="H324" s="76" t="n"/>
      <c r="I324" s="76" t="n"/>
      <c r="J324" s="76" t="n"/>
      <c r="K324" s="76" t="n"/>
      <c r="L324" s="76" t="n"/>
      <c r="M324" s="76" t="n"/>
      <c r="N324" s="76" t="n"/>
      <c r="O324" s="76" t="n"/>
      <c r="P324" s="76" t="n"/>
      <c r="Q324" s="76" t="n"/>
      <c r="R324" s="76" t="n"/>
      <c r="S324" s="76" t="n"/>
      <c r="T324" s="76" t="n"/>
      <c r="U324" s="76" t="n"/>
      <c r="V324" s="76" t="n"/>
    </row>
    <row r="325" ht="16.5" customFormat="1" customHeight="1" s="38">
      <c r="A325" s="76" t="n"/>
      <c r="B325" s="76" t="n"/>
      <c r="C325" s="76" t="n"/>
      <c r="D325" s="76" t="n"/>
      <c r="E325" s="76" t="n"/>
      <c r="F325" s="76" t="n"/>
      <c r="G325" s="76" t="n"/>
      <c r="H325" s="76" t="n"/>
      <c r="I325" s="76" t="n"/>
      <c r="J325" s="76" t="n"/>
      <c r="K325" s="76" t="n"/>
      <c r="L325" s="76" t="n"/>
      <c r="M325" s="76" t="n"/>
      <c r="N325" s="76" t="n"/>
      <c r="O325" s="76" t="n"/>
      <c r="P325" s="76" t="n"/>
      <c r="Q325" s="76" t="n"/>
      <c r="R325" s="76" t="n"/>
      <c r="S325" s="76" t="n"/>
      <c r="T325" s="76" t="n"/>
      <c r="U325" s="76" t="n"/>
      <c r="V325" s="76" t="n"/>
    </row>
    <row r="326" ht="16.5" customFormat="1" customHeight="1" s="38">
      <c r="A326" s="76" t="n"/>
      <c r="B326" s="76" t="n"/>
      <c r="C326" s="76" t="n"/>
      <c r="D326" s="76" t="n"/>
      <c r="E326" s="76" t="n"/>
      <c r="F326" s="76" t="n"/>
      <c r="G326" s="76" t="n"/>
      <c r="H326" s="76" t="n"/>
      <c r="I326" s="76" t="n"/>
      <c r="J326" s="76" t="n"/>
      <c r="K326" s="76" t="n"/>
      <c r="L326" s="76" t="n"/>
      <c r="M326" s="76" t="n"/>
      <c r="N326" s="76" t="n"/>
      <c r="O326" s="76" t="n"/>
      <c r="P326" s="76" t="n"/>
      <c r="Q326" s="76" t="n"/>
      <c r="R326" s="76" t="n"/>
      <c r="S326" s="76" t="n"/>
      <c r="T326" s="76" t="n"/>
      <c r="U326" s="76" t="n"/>
      <c r="V326" s="76" t="n"/>
    </row>
    <row r="327" ht="16.5" customFormat="1" customHeight="1" s="38">
      <c r="A327" s="76" t="n"/>
      <c r="B327" s="76" t="n"/>
      <c r="C327" s="76" t="n"/>
      <c r="D327" s="76" t="n"/>
      <c r="E327" s="76" t="n"/>
      <c r="F327" s="76" t="n"/>
      <c r="G327" s="76" t="n"/>
      <c r="H327" s="76" t="n"/>
      <c r="I327" s="76" t="n"/>
      <c r="J327" s="76" t="n"/>
      <c r="K327" s="76" t="n"/>
      <c r="L327" s="76" t="n"/>
      <c r="M327" s="76" t="n"/>
      <c r="N327" s="76" t="n"/>
      <c r="O327" s="76" t="n"/>
      <c r="P327" s="76" t="n"/>
      <c r="Q327" s="76" t="n"/>
      <c r="R327" s="76" t="n"/>
      <c r="S327" s="76" t="n"/>
      <c r="T327" s="76" t="n"/>
      <c r="U327" s="76" t="n"/>
      <c r="V327" s="76" t="n"/>
    </row>
    <row r="328" ht="16.5" customFormat="1" customHeight="1" s="38">
      <c r="A328" s="76" t="n"/>
      <c r="B328" s="76" t="n"/>
      <c r="C328" s="76" t="n"/>
      <c r="D328" s="76" t="n"/>
      <c r="E328" s="76" t="n"/>
      <c r="F328" s="76" t="n"/>
      <c r="G328" s="76" t="n"/>
      <c r="H328" s="76" t="n"/>
      <c r="I328" s="76" t="n"/>
      <c r="J328" s="76" t="n"/>
      <c r="K328" s="76" t="n"/>
      <c r="L328" s="76" t="n"/>
      <c r="M328" s="76" t="n"/>
      <c r="N328" s="76" t="n"/>
      <c r="O328" s="76" t="n"/>
      <c r="P328" s="76" t="n"/>
      <c r="Q328" s="76" t="n"/>
      <c r="R328" s="76" t="n"/>
      <c r="S328" s="76" t="n"/>
      <c r="T328" s="76" t="n"/>
      <c r="U328" s="76" t="n"/>
      <c r="V328" s="76" t="n"/>
    </row>
    <row r="329" ht="16.5" customFormat="1" customHeight="1" s="38">
      <c r="A329" s="76" t="n"/>
      <c r="B329" s="76" t="n"/>
      <c r="C329" s="76" t="n"/>
      <c r="D329" s="76" t="n"/>
      <c r="E329" s="76" t="n"/>
      <c r="F329" s="76" t="n"/>
      <c r="G329" s="76" t="n"/>
      <c r="H329" s="76" t="n"/>
      <c r="I329" s="76" t="n"/>
      <c r="J329" s="76" t="n"/>
      <c r="K329" s="76" t="n"/>
      <c r="L329" s="76" t="n"/>
      <c r="M329" s="76" t="n"/>
      <c r="N329" s="76" t="n"/>
      <c r="O329" s="76" t="n"/>
      <c r="P329" s="76" t="n"/>
      <c r="Q329" s="76" t="n"/>
      <c r="R329" s="76" t="n"/>
      <c r="S329" s="76" t="n"/>
      <c r="T329" s="76" t="n"/>
      <c r="U329" s="76" t="n"/>
      <c r="V329" s="76" t="n"/>
    </row>
    <row r="330" ht="16.5" customFormat="1" customHeight="1" s="38">
      <c r="A330" s="76" t="n"/>
      <c r="B330" s="76" t="n"/>
      <c r="C330" s="76" t="n"/>
      <c r="D330" s="76" t="n"/>
      <c r="E330" s="76" t="n"/>
      <c r="F330" s="76" t="n"/>
      <c r="G330" s="76" t="n"/>
      <c r="H330" s="76" t="n"/>
      <c r="I330" s="76" t="n"/>
      <c r="J330" s="76" t="n"/>
      <c r="K330" s="76" t="n"/>
      <c r="L330" s="76" t="n"/>
      <c r="M330" s="76" t="n"/>
      <c r="N330" s="76" t="n"/>
      <c r="O330" s="76" t="n"/>
      <c r="P330" s="76" t="n"/>
      <c r="Q330" s="76" t="n"/>
      <c r="R330" s="76" t="n"/>
      <c r="S330" s="76" t="n"/>
      <c r="T330" s="76" t="n"/>
      <c r="U330" s="76" t="n"/>
      <c r="V330" s="76" t="n"/>
    </row>
    <row r="331" ht="16.5" customFormat="1" customHeight="1" s="38">
      <c r="A331" s="76" t="n"/>
      <c r="B331" s="76" t="n"/>
      <c r="C331" s="76" t="n"/>
      <c r="D331" s="76" t="n"/>
      <c r="E331" s="76" t="n"/>
      <c r="F331" s="76" t="n"/>
      <c r="G331" s="76" t="n"/>
      <c r="H331" s="76" t="n"/>
      <c r="I331" s="76" t="n"/>
      <c r="J331" s="76" t="n"/>
      <c r="K331" s="76" t="n"/>
      <c r="L331" s="76" t="n"/>
      <c r="M331" s="76" t="n"/>
      <c r="N331" s="76" t="n"/>
      <c r="O331" s="76" t="n"/>
      <c r="P331" s="76" t="n"/>
      <c r="Q331" s="76" t="n"/>
      <c r="R331" s="76" t="n"/>
      <c r="S331" s="76" t="n"/>
      <c r="T331" s="76" t="n"/>
      <c r="U331" s="76" t="n"/>
      <c r="V331" s="76" t="n"/>
    </row>
    <row r="332" ht="16.5" customFormat="1" customHeight="1" s="38">
      <c r="A332" s="76" t="n"/>
      <c r="B332" s="76" t="n"/>
      <c r="C332" s="76" t="n"/>
      <c r="D332" s="76" t="n"/>
      <c r="E332" s="76" t="n"/>
      <c r="F332" s="76" t="n"/>
      <c r="G332" s="76" t="n"/>
      <c r="H332" s="76" t="n"/>
      <c r="I332" s="76" t="n"/>
      <c r="J332" s="76" t="n"/>
      <c r="K332" s="76" t="n"/>
      <c r="L332" s="76" t="n"/>
      <c r="M332" s="76" t="n"/>
      <c r="N332" s="76" t="n"/>
      <c r="O332" s="76" t="n"/>
      <c r="P332" s="76" t="n"/>
      <c r="Q332" s="76" t="n"/>
      <c r="R332" s="76" t="n"/>
      <c r="S332" s="76" t="n"/>
      <c r="T332" s="76" t="n"/>
      <c r="U332" s="76" t="n"/>
      <c r="V332" s="76" t="n"/>
    </row>
    <row r="333" ht="16.5" customFormat="1" customHeight="1" s="38">
      <c r="A333" s="76" t="n"/>
      <c r="B333" s="76" t="n"/>
      <c r="C333" s="76" t="n"/>
      <c r="D333" s="76" t="n"/>
      <c r="E333" s="76" t="n"/>
      <c r="F333" s="76" t="n"/>
      <c r="G333" s="76" t="n"/>
      <c r="H333" s="76" t="n"/>
      <c r="I333" s="76" t="n"/>
      <c r="J333" s="76" t="n"/>
      <c r="K333" s="76" t="n"/>
      <c r="L333" s="76" t="n"/>
      <c r="M333" s="76" t="n"/>
      <c r="N333" s="76" t="n"/>
      <c r="O333" s="76" t="n"/>
      <c r="P333" s="76" t="n"/>
      <c r="Q333" s="76" t="n"/>
      <c r="R333" s="76" t="n"/>
      <c r="S333" s="76" t="n"/>
      <c r="T333" s="76" t="n"/>
      <c r="U333" s="76" t="n"/>
      <c r="V333" s="76" t="n"/>
    </row>
    <row r="334" ht="16.5" customFormat="1" customHeight="1" s="38">
      <c r="A334" s="76" t="n"/>
      <c r="B334" s="76" t="n"/>
      <c r="C334" s="76" t="n"/>
      <c r="D334" s="76" t="n"/>
      <c r="E334" s="76" t="n"/>
      <c r="F334" s="76" t="n"/>
      <c r="G334" s="76" t="n"/>
      <c r="H334" s="76" t="n"/>
      <c r="I334" s="76" t="n"/>
      <c r="J334" s="76" t="n"/>
      <c r="K334" s="76" t="n"/>
      <c r="L334" s="76" t="n"/>
      <c r="M334" s="76" t="n"/>
      <c r="N334" s="76" t="n"/>
      <c r="O334" s="76" t="n"/>
      <c r="P334" s="76" t="n"/>
      <c r="Q334" s="76" t="n"/>
      <c r="R334" s="76" t="n"/>
      <c r="S334" s="76" t="n"/>
      <c r="T334" s="76" t="n"/>
      <c r="U334" s="76" t="n"/>
      <c r="V334" s="76" t="n"/>
    </row>
    <row r="335" ht="16.5" customFormat="1" customHeight="1" s="38">
      <c r="A335" s="76" t="n"/>
      <c r="B335" s="76" t="n"/>
      <c r="C335" s="76" t="n"/>
      <c r="D335" s="76" t="n"/>
      <c r="E335" s="76" t="n"/>
      <c r="F335" s="76" t="n"/>
      <c r="G335" s="76" t="n"/>
      <c r="H335" s="76" t="n"/>
      <c r="I335" s="76" t="n"/>
      <c r="J335" s="76" t="n"/>
      <c r="K335" s="76" t="n"/>
      <c r="L335" s="76" t="n"/>
      <c r="M335" s="76" t="n"/>
      <c r="N335" s="76" t="n"/>
      <c r="O335" s="76" t="n"/>
      <c r="P335" s="76" t="n"/>
      <c r="Q335" s="76" t="n"/>
      <c r="R335" s="76" t="n"/>
      <c r="S335" s="76" t="n"/>
      <c r="T335" s="76" t="n"/>
      <c r="U335" s="76" t="n"/>
      <c r="V335" s="76" t="n"/>
    </row>
    <row r="336" ht="16.5" customFormat="1" customHeight="1" s="38">
      <c r="A336" s="76" t="n"/>
      <c r="B336" s="76" t="n"/>
      <c r="C336" s="76" t="n"/>
      <c r="D336" s="76" t="n"/>
      <c r="E336" s="76" t="n"/>
      <c r="F336" s="76" t="n"/>
      <c r="G336" s="76" t="n"/>
      <c r="H336" s="76" t="n"/>
      <c r="I336" s="76" t="n"/>
      <c r="J336" s="76" t="n"/>
      <c r="K336" s="76" t="n"/>
      <c r="L336" s="76" t="n"/>
      <c r="M336" s="76" t="n"/>
      <c r="N336" s="76" t="n"/>
      <c r="O336" s="76" t="n"/>
      <c r="P336" s="76" t="n"/>
      <c r="Q336" s="76" t="n"/>
      <c r="R336" s="76" t="n"/>
      <c r="S336" s="76" t="n"/>
      <c r="T336" s="76" t="n"/>
      <c r="U336" s="76" t="n"/>
      <c r="V336" s="76" t="n"/>
    </row>
    <row r="337" ht="16.5" customFormat="1" customHeight="1" s="38">
      <c r="A337" s="76" t="n"/>
      <c r="B337" s="76" t="n"/>
      <c r="C337" s="76" t="n"/>
      <c r="D337" s="76" t="n"/>
      <c r="E337" s="76" t="n"/>
      <c r="F337" s="76" t="n"/>
      <c r="G337" s="76" t="n"/>
      <c r="H337" s="76" t="n"/>
      <c r="I337" s="76" t="n"/>
      <c r="J337" s="76" t="n"/>
      <c r="K337" s="76" t="n"/>
      <c r="L337" s="76" t="n"/>
      <c r="M337" s="76" t="n"/>
      <c r="N337" s="76" t="n"/>
      <c r="O337" s="76" t="n"/>
      <c r="P337" s="76" t="n"/>
      <c r="Q337" s="76" t="n"/>
      <c r="R337" s="76" t="n"/>
      <c r="S337" s="76" t="n"/>
      <c r="T337" s="76" t="n"/>
      <c r="U337" s="76" t="n"/>
      <c r="V337" s="76" t="n"/>
    </row>
    <row r="338" ht="16.5" customFormat="1" customHeight="1" s="38">
      <c r="A338" s="76" t="n"/>
      <c r="B338" s="76" t="n"/>
      <c r="C338" s="76" t="n"/>
      <c r="D338" s="76" t="n"/>
      <c r="E338" s="76" t="n"/>
      <c r="F338" s="76" t="n"/>
      <c r="G338" s="76" t="n"/>
      <c r="H338" s="76" t="n"/>
      <c r="I338" s="76" t="n"/>
      <c r="J338" s="76" t="n"/>
      <c r="K338" s="76" t="n"/>
      <c r="L338" s="76" t="n"/>
      <c r="M338" s="76" t="n"/>
      <c r="N338" s="76" t="n"/>
      <c r="O338" s="76" t="n"/>
      <c r="P338" s="76" t="n"/>
      <c r="Q338" s="76" t="n"/>
      <c r="R338" s="76" t="n"/>
      <c r="S338" s="76" t="n"/>
      <c r="T338" s="76" t="n"/>
      <c r="U338" s="76" t="n"/>
      <c r="V338" s="76" t="n"/>
    </row>
    <row r="339" ht="16.5" customFormat="1" customHeight="1" s="38">
      <c r="A339" s="76" t="n"/>
      <c r="B339" s="76" t="n"/>
      <c r="C339" s="76" t="n"/>
      <c r="D339" s="76" t="n"/>
      <c r="E339" s="76" t="n"/>
      <c r="F339" s="76" t="n"/>
      <c r="G339" s="76" t="n"/>
      <c r="H339" s="76" t="n"/>
      <c r="I339" s="76" t="n"/>
      <c r="J339" s="76" t="n"/>
      <c r="K339" s="76" t="n"/>
      <c r="L339" s="76" t="n"/>
      <c r="M339" s="76" t="n"/>
      <c r="N339" s="76" t="n"/>
      <c r="O339" s="76" t="n"/>
      <c r="P339" s="76" t="n"/>
      <c r="Q339" s="76" t="n"/>
      <c r="R339" s="76" t="n"/>
      <c r="S339" s="76" t="n"/>
      <c r="T339" s="76" t="n"/>
      <c r="U339" s="76" t="n"/>
      <c r="V339" s="76" t="n"/>
    </row>
    <row r="340" ht="16.5" customFormat="1" customHeight="1" s="38">
      <c r="A340" s="76" t="n"/>
      <c r="B340" s="76" t="n"/>
      <c r="C340" s="76" t="n"/>
      <c r="D340" s="76" t="n"/>
      <c r="E340" s="76" t="n"/>
      <c r="F340" s="76" t="n"/>
      <c r="G340" s="76" t="n"/>
      <c r="H340" s="76" t="n"/>
      <c r="I340" s="76" t="n"/>
      <c r="J340" s="76" t="n"/>
      <c r="K340" s="76" t="n"/>
      <c r="L340" s="76" t="n"/>
      <c r="M340" s="76" t="n"/>
      <c r="N340" s="76" t="n"/>
      <c r="O340" s="76" t="n"/>
      <c r="P340" s="76" t="n"/>
      <c r="Q340" s="76" t="n"/>
      <c r="R340" s="76" t="n"/>
      <c r="S340" s="76" t="n"/>
      <c r="T340" s="76" t="n"/>
      <c r="U340" s="76" t="n"/>
      <c r="V340" s="76" t="n"/>
    </row>
    <row r="341" ht="16.5" customFormat="1" customHeight="1" s="38">
      <c r="A341" s="76" t="n"/>
      <c r="B341" s="76" t="n"/>
      <c r="C341" s="76" t="n"/>
      <c r="D341" s="76" t="n"/>
      <c r="E341" s="76" t="n"/>
      <c r="F341" s="76" t="n"/>
      <c r="G341" s="76" t="n"/>
      <c r="H341" s="76" t="n"/>
      <c r="I341" s="76" t="n"/>
      <c r="J341" s="76" t="n"/>
      <c r="K341" s="76" t="n"/>
      <c r="L341" s="76" t="n"/>
      <c r="M341" s="76" t="n"/>
      <c r="N341" s="76" t="n"/>
      <c r="O341" s="76" t="n"/>
      <c r="P341" s="76" t="n"/>
      <c r="Q341" s="76" t="n"/>
      <c r="R341" s="76" t="n"/>
      <c r="S341" s="76" t="n"/>
      <c r="T341" s="76" t="n"/>
      <c r="U341" s="76" t="n"/>
      <c r="V341" s="76" t="n"/>
    </row>
    <row r="342" ht="16.5" customFormat="1" customHeight="1" s="38">
      <c r="A342" s="76" t="n"/>
      <c r="B342" s="76" t="n"/>
      <c r="C342" s="76" t="n"/>
      <c r="D342" s="76" t="n"/>
      <c r="E342" s="76" t="n"/>
      <c r="F342" s="76" t="n"/>
      <c r="G342" s="76" t="n"/>
      <c r="H342" s="76" t="n"/>
      <c r="I342" s="76" t="n"/>
      <c r="J342" s="76" t="n"/>
      <c r="K342" s="76" t="n"/>
      <c r="L342" s="76" t="n"/>
      <c r="M342" s="76" t="n"/>
      <c r="N342" s="76" t="n"/>
      <c r="O342" s="76" t="n"/>
      <c r="P342" s="76" t="n"/>
      <c r="Q342" s="76" t="n"/>
      <c r="R342" s="76" t="n"/>
      <c r="S342" s="76" t="n"/>
      <c r="T342" s="76" t="n"/>
      <c r="U342" s="76" t="n"/>
      <c r="V342" s="76" t="n"/>
    </row>
    <row r="343" ht="16.5" customFormat="1" customHeight="1" s="38">
      <c r="A343" s="76" t="n"/>
      <c r="B343" s="76" t="n"/>
      <c r="C343" s="76" t="n"/>
      <c r="D343" s="76" t="n"/>
      <c r="E343" s="76" t="n"/>
      <c r="F343" s="76" t="n"/>
      <c r="G343" s="76" t="n"/>
      <c r="H343" s="76" t="n"/>
      <c r="I343" s="76" t="n"/>
      <c r="J343" s="76" t="n"/>
      <c r="K343" s="76" t="n"/>
      <c r="L343" s="76" t="n"/>
      <c r="M343" s="76" t="n"/>
      <c r="N343" s="76" t="n"/>
      <c r="O343" s="76" t="n"/>
      <c r="P343" s="76" t="n"/>
      <c r="Q343" s="76" t="n"/>
      <c r="R343" s="76" t="n"/>
      <c r="S343" s="76" t="n"/>
      <c r="T343" s="76" t="n"/>
      <c r="U343" s="76" t="n"/>
      <c r="V343" s="76" t="n"/>
    </row>
    <row r="344" ht="16.5" customFormat="1" customHeight="1" s="38">
      <c r="A344" s="76" t="n"/>
      <c r="B344" s="76" t="n"/>
      <c r="C344" s="76" t="n"/>
      <c r="D344" s="76" t="n"/>
      <c r="E344" s="76" t="n"/>
      <c r="F344" s="76" t="n"/>
      <c r="G344" s="76" t="n"/>
      <c r="H344" s="76" t="n"/>
      <c r="I344" s="76" t="n"/>
      <c r="J344" s="76" t="n"/>
      <c r="K344" s="76" t="n"/>
      <c r="L344" s="76" t="n"/>
      <c r="M344" s="76" t="n"/>
      <c r="N344" s="76" t="n"/>
      <c r="O344" s="76" t="n"/>
      <c r="P344" s="76" t="n"/>
      <c r="Q344" s="76" t="n"/>
      <c r="R344" s="76" t="n"/>
      <c r="S344" s="76" t="n"/>
      <c r="T344" s="76" t="n"/>
      <c r="U344" s="76" t="n"/>
      <c r="V344" s="76" t="n"/>
    </row>
    <row r="345" ht="16.5" customFormat="1" customHeight="1" s="38">
      <c r="A345" s="76" t="n"/>
      <c r="B345" s="76" t="n"/>
      <c r="C345" s="76" t="n"/>
      <c r="D345" s="76" t="n"/>
      <c r="E345" s="76" t="n"/>
      <c r="F345" s="76" t="n"/>
      <c r="G345" s="76" t="n"/>
      <c r="H345" s="76" t="n"/>
      <c r="I345" s="76" t="n"/>
      <c r="J345" s="76" t="n"/>
      <c r="K345" s="76" t="n"/>
      <c r="L345" s="76" t="n"/>
      <c r="M345" s="76" t="n"/>
      <c r="N345" s="76" t="n"/>
      <c r="O345" s="76" t="n"/>
      <c r="P345" s="76" t="n"/>
      <c r="Q345" s="76" t="n"/>
      <c r="R345" s="76" t="n"/>
      <c r="S345" s="76" t="n"/>
      <c r="T345" s="76" t="n"/>
      <c r="U345" s="76" t="n"/>
      <c r="V345" s="76" t="n"/>
    </row>
    <row r="346" ht="16.5" customFormat="1" customHeight="1" s="38">
      <c r="A346" s="76" t="n"/>
      <c r="B346" s="76" t="n"/>
      <c r="C346" s="76" t="n"/>
      <c r="D346" s="76" t="n"/>
      <c r="E346" s="76" t="n"/>
      <c r="F346" s="76" t="n"/>
      <c r="G346" s="76" t="n"/>
      <c r="H346" s="76" t="n"/>
      <c r="I346" s="76" t="n"/>
      <c r="J346" s="76" t="n"/>
      <c r="K346" s="76" t="n"/>
      <c r="L346" s="76" t="n"/>
      <c r="M346" s="76" t="n"/>
      <c r="N346" s="76" t="n"/>
      <c r="O346" s="76" t="n"/>
      <c r="P346" s="76" t="n"/>
      <c r="Q346" s="76" t="n"/>
      <c r="R346" s="76" t="n"/>
      <c r="S346" s="76" t="n"/>
      <c r="T346" s="76" t="n"/>
      <c r="U346" s="76" t="n"/>
      <c r="V346" s="76" t="n"/>
    </row>
    <row r="347" ht="16.5" customFormat="1" customHeight="1" s="38">
      <c r="A347" s="76" t="n"/>
      <c r="B347" s="76" t="n"/>
      <c r="C347" s="76" t="n"/>
      <c r="D347" s="76" t="n"/>
      <c r="E347" s="76" t="n"/>
      <c r="F347" s="76" t="n"/>
      <c r="G347" s="76" t="n"/>
      <c r="H347" s="76" t="n"/>
      <c r="I347" s="76" t="n"/>
      <c r="J347" s="76" t="n"/>
      <c r="K347" s="76" t="n"/>
      <c r="L347" s="76" t="n"/>
      <c r="M347" s="76" t="n"/>
      <c r="N347" s="76" t="n"/>
      <c r="O347" s="76" t="n"/>
      <c r="P347" s="76" t="n"/>
      <c r="Q347" s="76" t="n"/>
      <c r="R347" s="76" t="n"/>
      <c r="S347" s="76" t="n"/>
      <c r="T347" s="76" t="n"/>
      <c r="U347" s="76" t="n"/>
      <c r="V347" s="76" t="n"/>
    </row>
    <row r="348" ht="16.5" customFormat="1" customHeight="1" s="38">
      <c r="A348" s="76" t="n"/>
      <c r="B348" s="76" t="n"/>
      <c r="C348" s="76" t="n"/>
      <c r="D348" s="76" t="n"/>
      <c r="E348" s="76" t="n"/>
      <c r="F348" s="76" t="n"/>
      <c r="G348" s="76" t="n"/>
      <c r="H348" s="76" t="n"/>
      <c r="I348" s="76" t="n"/>
      <c r="J348" s="76" t="n"/>
      <c r="K348" s="76" t="n"/>
      <c r="L348" s="76" t="n"/>
      <c r="M348" s="76" t="n"/>
      <c r="N348" s="76" t="n"/>
      <c r="O348" s="76" t="n"/>
      <c r="P348" s="76" t="n"/>
      <c r="Q348" s="76" t="n"/>
      <c r="R348" s="76" t="n"/>
      <c r="S348" s="76" t="n"/>
      <c r="T348" s="76" t="n"/>
      <c r="U348" s="76" t="n"/>
      <c r="V348" s="76" t="n"/>
    </row>
    <row r="349" ht="16.5" customFormat="1" customHeight="1" s="38">
      <c r="A349" s="76" t="n"/>
      <c r="B349" s="76" t="n"/>
      <c r="C349" s="76" t="n"/>
      <c r="D349" s="76" t="n"/>
      <c r="E349" s="76" t="n"/>
      <c r="F349" s="76" t="n"/>
      <c r="G349" s="76" t="n"/>
      <c r="H349" s="76" t="n"/>
      <c r="I349" s="76" t="n"/>
      <c r="J349" s="76" t="n"/>
      <c r="K349" s="76" t="n"/>
      <c r="L349" s="76" t="n"/>
      <c r="M349" s="76" t="n"/>
      <c r="N349" s="76" t="n"/>
      <c r="O349" s="76" t="n"/>
      <c r="P349" s="76" t="n"/>
      <c r="Q349" s="76" t="n"/>
      <c r="R349" s="76" t="n"/>
      <c r="S349" s="76" t="n"/>
      <c r="T349" s="76" t="n"/>
      <c r="U349" s="76" t="n"/>
      <c r="V349" s="76" t="n"/>
    </row>
    <row r="350" ht="16.5" customFormat="1" customHeight="1" s="38">
      <c r="A350" s="76" t="n"/>
      <c r="B350" s="76" t="n"/>
      <c r="C350" s="76" t="n"/>
      <c r="D350" s="76" t="n"/>
      <c r="E350" s="76" t="n"/>
      <c r="F350" s="76" t="n"/>
      <c r="G350" s="76" t="n"/>
      <c r="H350" s="76" t="n"/>
      <c r="I350" s="76" t="n"/>
      <c r="J350" s="76" t="n"/>
      <c r="K350" s="76" t="n"/>
      <c r="L350" s="76" t="n"/>
      <c r="M350" s="76" t="n"/>
      <c r="N350" s="76" t="n"/>
      <c r="O350" s="76" t="n"/>
      <c r="P350" s="76" t="n"/>
      <c r="Q350" s="76" t="n"/>
      <c r="R350" s="76" t="n"/>
      <c r="S350" s="76" t="n"/>
      <c r="T350" s="76" t="n"/>
      <c r="U350" s="76" t="n"/>
      <c r="V350" s="76" t="n"/>
    </row>
    <row r="351" ht="16.5" customFormat="1" customHeight="1" s="38">
      <c r="A351" s="76" t="n"/>
      <c r="B351" s="76" t="n"/>
      <c r="C351" s="76" t="n"/>
      <c r="D351" s="76" t="n"/>
      <c r="E351" s="76" t="n"/>
      <c r="F351" s="76" t="n"/>
      <c r="G351" s="76" t="n"/>
      <c r="H351" s="76" t="n"/>
      <c r="I351" s="76" t="n"/>
      <c r="J351" s="76" t="n"/>
      <c r="K351" s="76" t="n"/>
      <c r="L351" s="76" t="n"/>
      <c r="M351" s="76" t="n"/>
      <c r="N351" s="76" t="n"/>
      <c r="O351" s="76" t="n"/>
      <c r="P351" s="76" t="n"/>
      <c r="Q351" s="76" t="n"/>
      <c r="R351" s="76" t="n"/>
      <c r="S351" s="76" t="n"/>
      <c r="T351" s="76" t="n"/>
      <c r="U351" s="76" t="n"/>
      <c r="V351" s="76" t="n"/>
    </row>
    <row r="352" ht="16.5" customFormat="1" customHeight="1" s="38">
      <c r="A352" s="76" t="n"/>
      <c r="B352" s="76" t="n"/>
      <c r="C352" s="76" t="n"/>
      <c r="D352" s="76" t="n"/>
      <c r="E352" s="76" t="n"/>
      <c r="F352" s="76" t="n"/>
      <c r="G352" s="76" t="n"/>
      <c r="H352" s="76" t="n"/>
      <c r="I352" s="76" t="n"/>
      <c r="J352" s="76" t="n"/>
      <c r="K352" s="76" t="n"/>
      <c r="L352" s="76" t="n"/>
      <c r="M352" s="76" t="n"/>
      <c r="N352" s="76" t="n"/>
      <c r="O352" s="76" t="n"/>
      <c r="P352" s="76" t="n"/>
      <c r="Q352" s="76" t="n"/>
      <c r="R352" s="76" t="n"/>
      <c r="S352" s="76" t="n"/>
      <c r="T352" s="76" t="n"/>
      <c r="U352" s="76" t="n"/>
      <c r="V352" s="76" t="n"/>
    </row>
    <row r="353" ht="16.5" customFormat="1" customHeight="1" s="38">
      <c r="A353" s="76" t="n"/>
      <c r="B353" s="76" t="n"/>
      <c r="C353" s="76" t="n"/>
      <c r="D353" s="76" t="n"/>
      <c r="E353" s="76" t="n"/>
      <c r="F353" s="76" t="n"/>
      <c r="G353" s="76" t="n"/>
      <c r="H353" s="76" t="n"/>
      <c r="I353" s="76" t="n"/>
      <c r="J353" s="76" t="n"/>
      <c r="K353" s="76" t="n"/>
      <c r="L353" s="76" t="n"/>
      <c r="M353" s="76" t="n"/>
      <c r="N353" s="76" t="n"/>
      <c r="O353" s="76" t="n"/>
      <c r="P353" s="76" t="n"/>
      <c r="Q353" s="76" t="n"/>
      <c r="R353" s="76" t="n"/>
      <c r="S353" s="76" t="n"/>
      <c r="T353" s="76" t="n"/>
      <c r="U353" s="76" t="n"/>
      <c r="V353" s="76" t="n"/>
    </row>
    <row r="354" ht="16.5" customFormat="1" customHeight="1" s="38">
      <c r="A354" s="76" t="n"/>
      <c r="B354" s="76" t="n"/>
      <c r="C354" s="76" t="n"/>
      <c r="D354" s="76" t="n"/>
      <c r="E354" s="76" t="n"/>
      <c r="F354" s="76" t="n"/>
      <c r="G354" s="76" t="n"/>
      <c r="H354" s="76" t="n"/>
      <c r="I354" s="76" t="n"/>
      <c r="J354" s="76" t="n"/>
      <c r="K354" s="76" t="n"/>
      <c r="L354" s="76" t="n"/>
      <c r="M354" s="76" t="n"/>
      <c r="N354" s="76" t="n"/>
      <c r="O354" s="76" t="n"/>
      <c r="P354" s="76" t="n"/>
      <c r="Q354" s="76" t="n"/>
      <c r="R354" s="76" t="n"/>
      <c r="S354" s="76" t="n"/>
      <c r="T354" s="76" t="n"/>
      <c r="U354" s="76" t="n"/>
      <c r="V354" s="76" t="n"/>
    </row>
    <row r="355" ht="16.5" customFormat="1" customHeight="1" s="38">
      <c r="A355" s="76" t="n"/>
      <c r="B355" s="76" t="n"/>
      <c r="C355" s="76" t="n"/>
      <c r="D355" s="76" t="n"/>
      <c r="E355" s="76" t="n"/>
      <c r="F355" s="76" t="n"/>
      <c r="G355" s="76" t="n"/>
      <c r="H355" s="76" t="n"/>
      <c r="I355" s="76" t="n"/>
      <c r="J355" s="76" t="n"/>
      <c r="K355" s="76" t="n"/>
      <c r="L355" s="76" t="n"/>
      <c r="M355" s="76" t="n"/>
      <c r="N355" s="76" t="n"/>
      <c r="O355" s="76" t="n"/>
      <c r="P355" s="76" t="n"/>
      <c r="Q355" s="76" t="n"/>
      <c r="R355" s="76" t="n"/>
      <c r="S355" s="76" t="n"/>
      <c r="T355" s="76" t="n"/>
      <c r="U355" s="76" t="n"/>
      <c r="V355" s="76" t="n"/>
    </row>
    <row r="356" ht="16.5" customFormat="1" customHeight="1" s="38">
      <c r="A356" s="76" t="n"/>
      <c r="B356" s="76" t="n"/>
      <c r="C356" s="76" t="n"/>
      <c r="D356" s="76" t="n"/>
      <c r="E356" s="76" t="n"/>
      <c r="F356" s="76" t="n"/>
      <c r="G356" s="76" t="n"/>
      <c r="H356" s="76" t="n"/>
      <c r="I356" s="76" t="n"/>
      <c r="J356" s="76" t="n"/>
      <c r="K356" s="76" t="n"/>
      <c r="L356" s="76" t="n"/>
      <c r="M356" s="76" t="n"/>
      <c r="N356" s="76" t="n"/>
      <c r="O356" s="76" t="n"/>
      <c r="P356" s="76" t="n"/>
      <c r="Q356" s="76" t="n"/>
      <c r="R356" s="76" t="n"/>
      <c r="S356" s="76" t="n"/>
      <c r="T356" s="76" t="n"/>
      <c r="U356" s="76" t="n"/>
      <c r="V356" s="76" t="n"/>
    </row>
    <row r="357" ht="16.5" customFormat="1" customHeight="1" s="38">
      <c r="A357" s="76" t="n"/>
      <c r="B357" s="76" t="n"/>
      <c r="C357" s="76" t="n"/>
      <c r="D357" s="76" t="n"/>
      <c r="E357" s="76" t="n"/>
      <c r="F357" s="76" t="n"/>
      <c r="G357" s="76" t="n"/>
      <c r="H357" s="76" t="n"/>
      <c r="I357" s="76" t="n"/>
      <c r="J357" s="76" t="n"/>
      <c r="K357" s="76" t="n"/>
      <c r="L357" s="76" t="n"/>
      <c r="M357" s="76" t="n"/>
      <c r="N357" s="76" t="n"/>
      <c r="O357" s="76" t="n"/>
      <c r="P357" s="76" t="n"/>
      <c r="Q357" s="76" t="n"/>
      <c r="R357" s="76" t="n"/>
      <c r="S357" s="76" t="n"/>
      <c r="T357" s="76" t="n"/>
      <c r="U357" s="76" t="n"/>
      <c r="V357" s="76" t="n"/>
    </row>
    <row r="358" ht="16.5" customFormat="1" customHeight="1" s="38">
      <c r="A358" s="76" t="n"/>
      <c r="B358" s="76" t="n"/>
      <c r="C358" s="76" t="n"/>
      <c r="D358" s="76" t="n"/>
      <c r="E358" s="76" t="n"/>
      <c r="F358" s="76" t="n"/>
      <c r="G358" s="76" t="n"/>
      <c r="H358" s="76" t="n"/>
      <c r="I358" s="76" t="n"/>
      <c r="J358" s="76" t="n"/>
      <c r="K358" s="76" t="n"/>
      <c r="L358" s="76" t="n"/>
      <c r="M358" s="76" t="n"/>
      <c r="N358" s="76" t="n"/>
      <c r="O358" s="76" t="n"/>
      <c r="P358" s="76" t="n"/>
      <c r="Q358" s="76" t="n"/>
      <c r="R358" s="76" t="n"/>
      <c r="S358" s="76" t="n"/>
      <c r="T358" s="76" t="n"/>
      <c r="U358" s="76" t="n"/>
      <c r="V358" s="76" t="n"/>
    </row>
    <row r="359" ht="16.5" customFormat="1" customHeight="1" s="38">
      <c r="A359" s="76" t="n"/>
      <c r="B359" s="76" t="n"/>
      <c r="C359" s="76" t="n"/>
      <c r="D359" s="76" t="n"/>
      <c r="E359" s="76" t="n"/>
      <c r="F359" s="76" t="n"/>
      <c r="G359" s="76" t="n"/>
      <c r="H359" s="76" t="n"/>
      <c r="I359" s="76" t="n"/>
      <c r="J359" s="76" t="n"/>
      <c r="K359" s="76" t="n"/>
      <c r="L359" s="76" t="n"/>
      <c r="M359" s="76" t="n"/>
      <c r="N359" s="76" t="n"/>
      <c r="O359" s="76" t="n"/>
      <c r="P359" s="76" t="n"/>
      <c r="Q359" s="76" t="n"/>
      <c r="R359" s="76" t="n"/>
      <c r="S359" s="76" t="n"/>
      <c r="T359" s="76" t="n"/>
      <c r="U359" s="76" t="n"/>
      <c r="V359" s="76" t="n"/>
    </row>
    <row r="360" ht="16.5" customFormat="1" customHeight="1" s="38">
      <c r="A360" s="76" t="n"/>
      <c r="B360" s="76" t="n"/>
      <c r="C360" s="76" t="n"/>
      <c r="D360" s="76" t="n"/>
      <c r="E360" s="76" t="n"/>
      <c r="F360" s="76" t="n"/>
      <c r="G360" s="76" t="n"/>
      <c r="H360" s="76" t="n"/>
      <c r="I360" s="76" t="n"/>
      <c r="J360" s="76" t="n"/>
      <c r="K360" s="76" t="n"/>
      <c r="L360" s="76" t="n"/>
      <c r="M360" s="76" t="n"/>
      <c r="N360" s="76" t="n"/>
      <c r="O360" s="76" t="n"/>
      <c r="P360" s="76" t="n"/>
      <c r="Q360" s="76" t="n"/>
      <c r="R360" s="76" t="n"/>
      <c r="S360" s="76" t="n"/>
      <c r="T360" s="76" t="n"/>
      <c r="U360" s="76" t="n"/>
      <c r="V360" s="76" t="n"/>
    </row>
    <row r="361" ht="16.5" customFormat="1" customHeight="1" s="38">
      <c r="A361" s="76" t="n"/>
      <c r="B361" s="76" t="n"/>
      <c r="C361" s="76" t="n"/>
      <c r="D361" s="76" t="n"/>
      <c r="E361" s="76" t="n"/>
      <c r="F361" s="76" t="n"/>
      <c r="G361" s="76" t="n"/>
      <c r="H361" s="76" t="n"/>
      <c r="I361" s="76" t="n"/>
      <c r="J361" s="76" t="n"/>
      <c r="K361" s="76" t="n"/>
      <c r="L361" s="76" t="n"/>
      <c r="M361" s="76" t="n"/>
      <c r="N361" s="76" t="n"/>
      <c r="O361" s="76" t="n"/>
      <c r="P361" s="76" t="n"/>
      <c r="Q361" s="76" t="n"/>
      <c r="R361" s="76" t="n"/>
      <c r="S361" s="76" t="n"/>
      <c r="T361" s="76" t="n"/>
      <c r="U361" s="76" t="n"/>
      <c r="V361" s="76" t="n"/>
    </row>
    <row r="362" ht="16.5" customFormat="1" customHeight="1" s="38">
      <c r="A362" s="76" t="n"/>
      <c r="B362" s="76" t="n"/>
      <c r="C362" s="76" t="n"/>
      <c r="D362" s="76" t="n"/>
      <c r="E362" s="76" t="n"/>
      <c r="F362" s="76" t="n"/>
      <c r="G362" s="76" t="n"/>
      <c r="H362" s="76" t="n"/>
      <c r="I362" s="76" t="n"/>
      <c r="J362" s="76" t="n"/>
      <c r="K362" s="76" t="n"/>
      <c r="L362" s="76" t="n"/>
      <c r="M362" s="76" t="n"/>
      <c r="N362" s="76" t="n"/>
      <c r="O362" s="76" t="n"/>
      <c r="P362" s="76" t="n"/>
      <c r="Q362" s="76" t="n"/>
      <c r="R362" s="76" t="n"/>
      <c r="S362" s="76" t="n"/>
      <c r="T362" s="76" t="n"/>
      <c r="U362" s="76" t="n"/>
      <c r="V362" s="76" t="n"/>
    </row>
    <row r="363" ht="16.5" customFormat="1" customHeight="1" s="38">
      <c r="A363" s="76" t="n"/>
      <c r="B363" s="76" t="n"/>
      <c r="C363" s="76" t="n"/>
      <c r="D363" s="76" t="n"/>
      <c r="E363" s="76" t="n"/>
      <c r="F363" s="76" t="n"/>
      <c r="G363" s="76" t="n"/>
      <c r="H363" s="76" t="n"/>
      <c r="I363" s="76" t="n"/>
      <c r="J363" s="76" t="n"/>
      <c r="K363" s="76" t="n"/>
      <c r="L363" s="76" t="n"/>
      <c r="M363" s="76" t="n"/>
      <c r="N363" s="76" t="n"/>
      <c r="O363" s="76" t="n"/>
      <c r="P363" s="76" t="n"/>
      <c r="Q363" s="76" t="n"/>
      <c r="R363" s="76" t="n"/>
      <c r="S363" s="76" t="n"/>
      <c r="T363" s="76" t="n"/>
      <c r="U363" s="76" t="n"/>
      <c r="V363" s="76" t="n"/>
    </row>
    <row r="364" ht="16.5" customFormat="1" customHeight="1" s="38">
      <c r="A364" s="76" t="n"/>
      <c r="B364" s="76" t="n"/>
      <c r="C364" s="76" t="n"/>
      <c r="D364" s="76" t="n"/>
      <c r="E364" s="76" t="n"/>
      <c r="F364" s="76" t="n"/>
      <c r="G364" s="76" t="n"/>
      <c r="H364" s="76" t="n"/>
      <c r="I364" s="76" t="n"/>
      <c r="J364" s="76" t="n"/>
      <c r="K364" s="76" t="n"/>
      <c r="L364" s="76" t="n"/>
      <c r="M364" s="76" t="n"/>
      <c r="N364" s="76" t="n"/>
      <c r="O364" s="76" t="n"/>
      <c r="P364" s="76" t="n"/>
      <c r="Q364" s="76" t="n"/>
      <c r="R364" s="76" t="n"/>
      <c r="S364" s="76" t="n"/>
      <c r="T364" s="76" t="n"/>
      <c r="U364" s="76" t="n"/>
      <c r="V364" s="76" t="n"/>
    </row>
    <row r="365" ht="16.5" customFormat="1" customHeight="1" s="38">
      <c r="A365" s="76" t="n"/>
      <c r="B365" s="76" t="n"/>
      <c r="C365" s="76" t="n"/>
      <c r="D365" s="76" t="n"/>
      <c r="E365" s="76" t="n"/>
      <c r="F365" s="76" t="n"/>
      <c r="G365" s="76" t="n"/>
      <c r="H365" s="76" t="n"/>
      <c r="I365" s="76" t="n"/>
      <c r="J365" s="76" t="n"/>
      <c r="K365" s="76" t="n"/>
      <c r="L365" s="76" t="n"/>
      <c r="M365" s="76" t="n"/>
      <c r="N365" s="76" t="n"/>
      <c r="O365" s="76" t="n"/>
      <c r="P365" s="76" t="n"/>
      <c r="Q365" s="76" t="n"/>
      <c r="R365" s="76" t="n"/>
      <c r="S365" s="76" t="n"/>
      <c r="T365" s="76" t="n"/>
      <c r="U365" s="76" t="n"/>
      <c r="V365" s="76" t="n"/>
    </row>
    <row r="366" ht="16.5" customFormat="1" customHeight="1" s="38">
      <c r="A366" s="76" t="n"/>
      <c r="B366" s="76" t="n"/>
      <c r="C366" s="76" t="n"/>
      <c r="D366" s="76" t="n"/>
      <c r="E366" s="76" t="n"/>
      <c r="F366" s="76" t="n"/>
      <c r="G366" s="76" t="n"/>
      <c r="H366" s="76" t="n"/>
      <c r="I366" s="76" t="n"/>
      <c r="J366" s="76" t="n"/>
      <c r="K366" s="76" t="n"/>
      <c r="L366" s="76" t="n"/>
      <c r="M366" s="76" t="n"/>
      <c r="N366" s="76" t="n"/>
      <c r="O366" s="76" t="n"/>
      <c r="P366" s="76" t="n"/>
      <c r="Q366" s="76" t="n"/>
      <c r="R366" s="76" t="n"/>
      <c r="S366" s="76" t="n"/>
      <c r="T366" s="76" t="n"/>
      <c r="U366" s="76" t="n"/>
      <c r="V366" s="76" t="n"/>
    </row>
    <row r="367" ht="16.5" customFormat="1" customHeight="1" s="38">
      <c r="A367" s="76" t="n"/>
      <c r="B367" s="76" t="n"/>
      <c r="C367" s="76" t="n"/>
      <c r="D367" s="76" t="n"/>
      <c r="E367" s="76" t="n"/>
      <c r="F367" s="76" t="n"/>
      <c r="G367" s="76" t="n"/>
      <c r="H367" s="76" t="n"/>
      <c r="I367" s="76" t="n"/>
      <c r="J367" s="76" t="n"/>
      <c r="K367" s="76" t="n"/>
      <c r="L367" s="76" t="n"/>
      <c r="M367" s="76" t="n"/>
      <c r="N367" s="76" t="n"/>
      <c r="O367" s="76" t="n"/>
      <c r="P367" s="76" t="n"/>
      <c r="Q367" s="76" t="n"/>
      <c r="R367" s="76" t="n"/>
      <c r="S367" s="76" t="n"/>
      <c r="T367" s="76" t="n"/>
      <c r="U367" s="76" t="n"/>
      <c r="V367" s="76" t="n"/>
    </row>
    <row r="368" ht="16.5" customFormat="1" customHeight="1" s="38">
      <c r="A368" s="76" t="n"/>
      <c r="B368" s="76" t="n"/>
      <c r="C368" s="76" t="n"/>
      <c r="D368" s="76" t="n"/>
      <c r="E368" s="76" t="n"/>
      <c r="F368" s="76" t="n"/>
      <c r="G368" s="76" t="n"/>
      <c r="H368" s="76" t="n"/>
      <c r="I368" s="76" t="n"/>
      <c r="J368" s="76" t="n"/>
      <c r="K368" s="76" t="n"/>
      <c r="L368" s="76" t="n"/>
      <c r="M368" s="76" t="n"/>
      <c r="N368" s="76" t="n"/>
      <c r="O368" s="76" t="n"/>
      <c r="P368" s="76" t="n"/>
      <c r="Q368" s="76" t="n"/>
      <c r="R368" s="76" t="n"/>
      <c r="S368" s="76" t="n"/>
      <c r="T368" s="76" t="n"/>
      <c r="U368" s="76" t="n"/>
      <c r="V368" s="76" t="n"/>
    </row>
    <row r="369" ht="16.5" customFormat="1" customHeight="1" s="38">
      <c r="A369" s="76" t="n"/>
      <c r="B369" s="76" t="n"/>
      <c r="C369" s="76" t="n"/>
      <c r="D369" s="76" t="n"/>
      <c r="E369" s="76" t="n"/>
      <c r="F369" s="76" t="n"/>
      <c r="G369" s="76" t="n"/>
      <c r="H369" s="76" t="n"/>
      <c r="I369" s="76" t="n"/>
      <c r="J369" s="76" t="n"/>
      <c r="K369" s="76" t="n"/>
      <c r="L369" s="76" t="n"/>
      <c r="M369" s="76" t="n"/>
      <c r="N369" s="76" t="n"/>
      <c r="O369" s="76" t="n"/>
      <c r="P369" s="76" t="n"/>
      <c r="Q369" s="76" t="n"/>
      <c r="R369" s="76" t="n"/>
      <c r="S369" s="76" t="n"/>
      <c r="T369" s="76" t="n"/>
      <c r="U369" s="76" t="n"/>
      <c r="V369" s="76" t="n"/>
    </row>
    <row r="370" ht="16.5" customFormat="1" customHeight="1" s="38">
      <c r="A370" s="76" t="n"/>
      <c r="B370" s="76" t="n"/>
      <c r="C370" s="76" t="n"/>
      <c r="D370" s="76" t="n"/>
      <c r="E370" s="76" t="n"/>
      <c r="F370" s="76" t="n"/>
      <c r="G370" s="76" t="n"/>
      <c r="H370" s="76" t="n"/>
      <c r="I370" s="76" t="n"/>
      <c r="J370" s="76" t="n"/>
      <c r="K370" s="76" t="n"/>
      <c r="L370" s="76" t="n"/>
      <c r="M370" s="76" t="n"/>
      <c r="N370" s="76" t="n"/>
      <c r="O370" s="76" t="n"/>
      <c r="P370" s="76" t="n"/>
      <c r="Q370" s="76" t="n"/>
      <c r="R370" s="76" t="n"/>
      <c r="S370" s="76" t="n"/>
      <c r="T370" s="76" t="n"/>
      <c r="U370" s="76" t="n"/>
      <c r="V370" s="76" t="n"/>
    </row>
    <row r="371" ht="16.5" customFormat="1" customHeight="1" s="38">
      <c r="A371" s="76" t="n"/>
      <c r="B371" s="76" t="n"/>
      <c r="C371" s="76" t="n"/>
      <c r="D371" s="76" t="n"/>
      <c r="E371" s="76" t="n"/>
      <c r="F371" s="76" t="n"/>
      <c r="G371" s="76" t="n"/>
      <c r="H371" s="76" t="n"/>
      <c r="I371" s="76" t="n"/>
      <c r="J371" s="76" t="n"/>
      <c r="K371" s="76" t="n"/>
      <c r="L371" s="76" t="n"/>
      <c r="M371" s="76" t="n"/>
      <c r="N371" s="76" t="n"/>
      <c r="O371" s="76" t="n"/>
      <c r="P371" s="76" t="n"/>
      <c r="Q371" s="76" t="n"/>
      <c r="R371" s="76" t="n"/>
      <c r="S371" s="76" t="n"/>
      <c r="T371" s="76" t="n"/>
      <c r="U371" s="76" t="n"/>
      <c r="V371" s="76" t="n"/>
    </row>
    <row r="372" ht="16.5" customFormat="1" customHeight="1" s="38">
      <c r="A372" s="76" t="n"/>
      <c r="B372" s="76" t="n"/>
      <c r="C372" s="76" t="n"/>
      <c r="D372" s="76" t="n"/>
      <c r="E372" s="76" t="n"/>
      <c r="F372" s="76" t="n"/>
      <c r="G372" s="76" t="n"/>
      <c r="H372" s="76" t="n"/>
      <c r="I372" s="76" t="n"/>
      <c r="J372" s="76" t="n"/>
      <c r="K372" s="76" t="n"/>
      <c r="L372" s="76" t="n"/>
      <c r="M372" s="76" t="n"/>
      <c r="N372" s="76" t="n"/>
      <c r="O372" s="76" t="n"/>
      <c r="P372" s="76" t="n"/>
      <c r="Q372" s="76" t="n"/>
      <c r="R372" s="76" t="n"/>
      <c r="S372" s="76" t="n"/>
      <c r="T372" s="76" t="n"/>
      <c r="U372" s="76" t="n"/>
      <c r="V372" s="76" t="n"/>
    </row>
    <row r="373" ht="16.5" customFormat="1" customHeight="1" s="38">
      <c r="A373" s="76" t="n"/>
      <c r="B373" s="76" t="n"/>
      <c r="C373" s="76" t="n"/>
      <c r="D373" s="76" t="n"/>
      <c r="E373" s="76" t="n"/>
      <c r="F373" s="76" t="n"/>
      <c r="G373" s="76" t="n"/>
      <c r="H373" s="76" t="n"/>
      <c r="I373" s="76" t="n"/>
      <c r="J373" s="76" t="n"/>
      <c r="K373" s="76" t="n"/>
      <c r="L373" s="76" t="n"/>
      <c r="M373" s="76" t="n"/>
      <c r="N373" s="76" t="n"/>
      <c r="O373" s="76" t="n"/>
      <c r="P373" s="76" t="n"/>
      <c r="Q373" s="76" t="n"/>
      <c r="R373" s="76" t="n"/>
      <c r="S373" s="76" t="n"/>
      <c r="T373" s="76" t="n"/>
      <c r="U373" s="76" t="n"/>
      <c r="V373" s="76" t="n"/>
    </row>
    <row r="374" ht="16.5" customFormat="1" customHeight="1" s="38">
      <c r="A374" s="76" t="n"/>
      <c r="B374" s="76" t="n"/>
      <c r="C374" s="76" t="n"/>
      <c r="D374" s="76" t="n"/>
      <c r="E374" s="76" t="n"/>
      <c r="F374" s="76" t="n"/>
      <c r="G374" s="76" t="n"/>
      <c r="H374" s="76" t="n"/>
      <c r="I374" s="76" t="n"/>
      <c r="J374" s="76" t="n"/>
      <c r="K374" s="76" t="n"/>
      <c r="L374" s="76" t="n"/>
      <c r="M374" s="76" t="n"/>
      <c r="N374" s="76" t="n"/>
      <c r="O374" s="76" t="n"/>
      <c r="P374" s="76" t="n"/>
      <c r="Q374" s="76" t="n"/>
      <c r="R374" s="76" t="n"/>
      <c r="S374" s="76" t="n"/>
      <c r="T374" s="76" t="n"/>
      <c r="U374" s="76" t="n"/>
      <c r="V374" s="76" t="n"/>
    </row>
    <row r="375" ht="16.5" customFormat="1" customHeight="1" s="38">
      <c r="A375" s="76" t="n"/>
      <c r="B375" s="76" t="n"/>
      <c r="C375" s="76" t="n"/>
      <c r="D375" s="76" t="n"/>
      <c r="E375" s="76" t="n"/>
      <c r="F375" s="76" t="n"/>
      <c r="G375" s="76" t="n"/>
      <c r="H375" s="76" t="n"/>
      <c r="I375" s="76" t="n"/>
      <c r="J375" s="76" t="n"/>
      <c r="K375" s="76" t="n"/>
      <c r="L375" s="76" t="n"/>
      <c r="M375" s="76" t="n"/>
      <c r="N375" s="76" t="n"/>
      <c r="O375" s="76" t="n"/>
      <c r="P375" s="76" t="n"/>
      <c r="Q375" s="76" t="n"/>
      <c r="R375" s="76" t="n"/>
      <c r="S375" s="76" t="n"/>
      <c r="T375" s="76" t="n"/>
      <c r="U375" s="76" t="n"/>
      <c r="V375" s="76" t="n"/>
    </row>
    <row r="376" ht="16.5" customFormat="1" customHeight="1" s="38">
      <c r="A376" s="76" t="n"/>
      <c r="B376" s="76" t="n"/>
      <c r="C376" s="76" t="n"/>
      <c r="D376" s="76" t="n"/>
      <c r="E376" s="76" t="n"/>
      <c r="F376" s="76" t="n"/>
      <c r="G376" s="76" t="n"/>
      <c r="H376" s="76" t="n"/>
      <c r="I376" s="76" t="n"/>
      <c r="J376" s="76" t="n"/>
      <c r="K376" s="76" t="n"/>
      <c r="L376" s="76" t="n"/>
      <c r="M376" s="76" t="n"/>
      <c r="N376" s="76" t="n"/>
      <c r="O376" s="76" t="n"/>
      <c r="P376" s="76" t="n"/>
      <c r="Q376" s="76" t="n"/>
      <c r="R376" s="76" t="n"/>
      <c r="S376" s="76" t="n"/>
      <c r="T376" s="76" t="n"/>
      <c r="U376" s="76" t="n"/>
      <c r="V376" s="76" t="n"/>
    </row>
    <row r="377" ht="16.5" customFormat="1" customHeight="1" s="38">
      <c r="A377" s="76" t="n"/>
      <c r="B377" s="76" t="n"/>
      <c r="C377" s="76" t="n"/>
      <c r="D377" s="76" t="n"/>
      <c r="E377" s="76" t="n"/>
      <c r="F377" s="76" t="n"/>
      <c r="G377" s="76" t="n"/>
      <c r="H377" s="76" t="n"/>
      <c r="I377" s="76" t="n"/>
      <c r="J377" s="76" t="n"/>
      <c r="K377" s="76" t="n"/>
      <c r="L377" s="76" t="n"/>
      <c r="M377" s="76" t="n"/>
      <c r="N377" s="76" t="n"/>
      <c r="O377" s="76" t="n"/>
      <c r="P377" s="76" t="n"/>
      <c r="Q377" s="76" t="n"/>
      <c r="R377" s="76" t="n"/>
      <c r="S377" s="76" t="n"/>
      <c r="T377" s="76" t="n"/>
      <c r="U377" s="76" t="n"/>
      <c r="V377" s="76" t="n"/>
    </row>
    <row r="378" ht="16.5" customFormat="1" customHeight="1" s="38">
      <c r="A378" s="76" t="n"/>
      <c r="B378" s="76" t="n"/>
      <c r="C378" s="76" t="n"/>
      <c r="D378" s="76" t="n"/>
      <c r="E378" s="76" t="n"/>
      <c r="F378" s="76" t="n"/>
      <c r="G378" s="76" t="n"/>
      <c r="H378" s="76" t="n"/>
      <c r="I378" s="76" t="n"/>
      <c r="J378" s="76" t="n"/>
      <c r="K378" s="76" t="n"/>
      <c r="L378" s="76" t="n"/>
      <c r="M378" s="76" t="n"/>
      <c r="N378" s="76" t="n"/>
      <c r="O378" s="76" t="n"/>
      <c r="P378" s="76" t="n"/>
      <c r="Q378" s="76" t="n"/>
      <c r="R378" s="76" t="n"/>
      <c r="S378" s="76" t="n"/>
      <c r="T378" s="76" t="n"/>
      <c r="U378" s="76" t="n"/>
      <c r="V378" s="76" t="n"/>
    </row>
    <row r="379" ht="16.5" customFormat="1" customHeight="1" s="38">
      <c r="A379" s="76" t="n"/>
      <c r="B379" s="76" t="n"/>
      <c r="C379" s="76" t="n"/>
      <c r="D379" s="76" t="n"/>
      <c r="E379" s="76" t="n"/>
      <c r="F379" s="76" t="n"/>
      <c r="G379" s="76" t="n"/>
      <c r="H379" s="76" t="n"/>
      <c r="I379" s="76" t="n"/>
      <c r="J379" s="76" t="n"/>
      <c r="K379" s="76" t="n"/>
      <c r="L379" s="76" t="n"/>
      <c r="M379" s="76" t="n"/>
      <c r="N379" s="76" t="n"/>
      <c r="O379" s="76" t="n"/>
      <c r="P379" s="76" t="n"/>
      <c r="Q379" s="76" t="n"/>
      <c r="R379" s="76" t="n"/>
      <c r="S379" s="76" t="n"/>
      <c r="T379" s="76" t="n"/>
      <c r="U379" s="76" t="n"/>
      <c r="V379" s="76" t="n"/>
    </row>
    <row r="380" ht="16.5" customFormat="1" customHeight="1" s="38">
      <c r="A380" s="76" t="n"/>
      <c r="B380" s="76" t="n"/>
      <c r="C380" s="76" t="n"/>
      <c r="D380" s="76" t="n"/>
      <c r="E380" s="76" t="n"/>
      <c r="F380" s="76" t="n"/>
      <c r="G380" s="76" t="n"/>
      <c r="H380" s="76" t="n"/>
      <c r="I380" s="76" t="n"/>
      <c r="J380" s="76" t="n"/>
      <c r="K380" s="76" t="n"/>
      <c r="L380" s="76" t="n"/>
      <c r="M380" s="76" t="n"/>
      <c r="N380" s="76" t="n"/>
      <c r="O380" s="76" t="n"/>
      <c r="P380" s="76" t="n"/>
      <c r="Q380" s="76" t="n"/>
      <c r="R380" s="76" t="n"/>
      <c r="S380" s="76" t="n"/>
      <c r="T380" s="76" t="n"/>
      <c r="U380" s="76" t="n"/>
      <c r="V380" s="76" t="n"/>
    </row>
    <row r="381" ht="16.5" customFormat="1" customHeight="1" s="38">
      <c r="A381" s="76" t="n"/>
      <c r="B381" s="76" t="n"/>
      <c r="C381" s="76" t="n"/>
      <c r="D381" s="76" t="n"/>
      <c r="E381" s="76" t="n"/>
      <c r="F381" s="76" t="n"/>
      <c r="G381" s="76" t="n"/>
      <c r="H381" s="76" t="n"/>
      <c r="I381" s="76" t="n"/>
      <c r="J381" s="76" t="n"/>
      <c r="K381" s="76" t="n"/>
      <c r="L381" s="76" t="n"/>
      <c r="M381" s="76" t="n"/>
      <c r="N381" s="76" t="n"/>
      <c r="O381" s="76" t="n"/>
      <c r="P381" s="76" t="n"/>
      <c r="Q381" s="76" t="n"/>
      <c r="R381" s="76" t="n"/>
      <c r="S381" s="76" t="n"/>
      <c r="T381" s="76" t="n"/>
      <c r="U381" s="76" t="n"/>
      <c r="V381" s="76" t="n"/>
    </row>
    <row r="382" ht="16.5" customFormat="1" customHeight="1" s="38">
      <c r="A382" s="76" t="n"/>
      <c r="B382" s="76" t="n"/>
      <c r="C382" s="76" t="n"/>
      <c r="D382" s="76" t="n"/>
      <c r="E382" s="76" t="n"/>
      <c r="F382" s="76" t="n"/>
      <c r="G382" s="76" t="n"/>
      <c r="H382" s="76" t="n"/>
      <c r="I382" s="76" t="n"/>
      <c r="J382" s="76" t="n"/>
      <c r="K382" s="76" t="n"/>
      <c r="L382" s="76" t="n"/>
      <c r="M382" s="76" t="n"/>
      <c r="N382" s="76" t="n"/>
      <c r="O382" s="76" t="n"/>
      <c r="P382" s="76" t="n"/>
      <c r="Q382" s="76" t="n"/>
      <c r="R382" s="76" t="n"/>
      <c r="S382" s="76" t="n"/>
      <c r="T382" s="76" t="n"/>
      <c r="U382" s="76" t="n"/>
      <c r="V382" s="76" t="n"/>
    </row>
    <row r="383" ht="16.5" customFormat="1" customHeight="1" s="38">
      <c r="A383" s="76" t="n"/>
      <c r="B383" s="76" t="n"/>
      <c r="C383" s="76" t="n"/>
      <c r="D383" s="76" t="n"/>
      <c r="E383" s="76" t="n"/>
      <c r="F383" s="76" t="n"/>
      <c r="G383" s="76" t="n"/>
      <c r="H383" s="76" t="n"/>
      <c r="I383" s="76" t="n"/>
      <c r="J383" s="76" t="n"/>
      <c r="K383" s="76" t="n"/>
      <c r="L383" s="76" t="n"/>
      <c r="M383" s="76" t="n"/>
      <c r="N383" s="76" t="n"/>
      <c r="O383" s="76" t="n"/>
      <c r="P383" s="76" t="n"/>
      <c r="Q383" s="76" t="n"/>
      <c r="R383" s="76" t="n"/>
      <c r="S383" s="76" t="n"/>
      <c r="T383" s="76" t="n"/>
      <c r="U383" s="76" t="n"/>
      <c r="V383" s="76" t="n"/>
    </row>
    <row r="384" ht="16.5" customFormat="1" customHeight="1" s="38">
      <c r="A384" s="76" t="n"/>
      <c r="B384" s="76" t="n"/>
      <c r="C384" s="76" t="n"/>
      <c r="D384" s="76" t="n"/>
      <c r="E384" s="76" t="n"/>
      <c r="F384" s="76" t="n"/>
      <c r="G384" s="76" t="n"/>
      <c r="H384" s="76" t="n"/>
      <c r="I384" s="76" t="n"/>
      <c r="J384" s="76" t="n"/>
      <c r="K384" s="76" t="n"/>
      <c r="L384" s="76" t="n"/>
      <c r="M384" s="76" t="n"/>
      <c r="N384" s="76" t="n"/>
      <c r="O384" s="76" t="n"/>
      <c r="P384" s="76" t="n"/>
      <c r="Q384" s="76" t="n"/>
      <c r="R384" s="76" t="n"/>
      <c r="S384" s="76" t="n"/>
      <c r="T384" s="76" t="n"/>
      <c r="U384" s="76" t="n"/>
      <c r="V384" s="76" t="n"/>
    </row>
    <row r="385" ht="16.5" customFormat="1" customHeight="1" s="38">
      <c r="A385" s="76" t="n"/>
      <c r="B385" s="76" t="n"/>
      <c r="C385" s="76" t="n"/>
      <c r="D385" s="76" t="n"/>
      <c r="E385" s="76" t="n"/>
      <c r="F385" s="76" t="n"/>
      <c r="G385" s="76" t="n"/>
      <c r="H385" s="76" t="n"/>
      <c r="I385" s="76" t="n"/>
      <c r="J385" s="76" t="n"/>
      <c r="K385" s="76" t="n"/>
      <c r="L385" s="76" t="n"/>
      <c r="M385" s="76" t="n"/>
      <c r="N385" s="76" t="n"/>
      <c r="O385" s="76" t="n"/>
      <c r="P385" s="76" t="n"/>
      <c r="Q385" s="76" t="n"/>
      <c r="R385" s="76" t="n"/>
      <c r="S385" s="76" t="n"/>
      <c r="T385" s="76" t="n"/>
      <c r="U385" s="76" t="n"/>
      <c r="V385" s="76" t="n"/>
    </row>
    <row r="386" ht="16.5" customFormat="1" customHeight="1" s="38">
      <c r="A386" s="76" t="n"/>
      <c r="B386" s="76" t="n"/>
      <c r="C386" s="76" t="n"/>
      <c r="D386" s="76" t="n"/>
      <c r="E386" s="76" t="n"/>
      <c r="F386" s="76" t="n"/>
      <c r="G386" s="76" t="n"/>
      <c r="H386" s="76" t="n"/>
      <c r="I386" s="76" t="n"/>
      <c r="J386" s="76" t="n"/>
      <c r="K386" s="76" t="n"/>
      <c r="L386" s="76" t="n"/>
      <c r="M386" s="76" t="n"/>
      <c r="N386" s="76" t="n"/>
      <c r="O386" s="76" t="n"/>
      <c r="P386" s="76" t="n"/>
      <c r="Q386" s="76" t="n"/>
      <c r="R386" s="76" t="n"/>
      <c r="S386" s="76" t="n"/>
      <c r="T386" s="76" t="n"/>
      <c r="U386" s="76" t="n"/>
      <c r="V386" s="76" t="n"/>
    </row>
    <row r="387" ht="16.5" customFormat="1" customHeight="1" s="38">
      <c r="A387" s="76" t="n"/>
      <c r="B387" s="76" t="n"/>
      <c r="C387" s="76" t="n"/>
      <c r="D387" s="76" t="n"/>
      <c r="E387" s="76" t="n"/>
      <c r="F387" s="76" t="n"/>
      <c r="G387" s="76" t="n"/>
      <c r="H387" s="76" t="n"/>
      <c r="I387" s="76" t="n"/>
      <c r="J387" s="76" t="n"/>
      <c r="K387" s="76" t="n"/>
      <c r="L387" s="76" t="n"/>
      <c r="M387" s="76" t="n"/>
      <c r="N387" s="76" t="n"/>
      <c r="O387" s="76" t="n"/>
      <c r="P387" s="76" t="n"/>
      <c r="Q387" s="76" t="n"/>
      <c r="R387" s="76" t="n"/>
      <c r="S387" s="76" t="n"/>
      <c r="T387" s="76" t="n"/>
      <c r="U387" s="76" t="n"/>
      <c r="V387" s="76" t="n"/>
    </row>
    <row r="388" ht="16.5" customFormat="1" customHeight="1" s="38">
      <c r="A388" s="76" t="n"/>
      <c r="B388" s="76" t="n"/>
      <c r="C388" s="76" t="n"/>
      <c r="D388" s="76" t="n"/>
      <c r="E388" s="76" t="n"/>
      <c r="F388" s="76" t="n"/>
      <c r="G388" s="76" t="n"/>
      <c r="H388" s="76" t="n"/>
      <c r="I388" s="76" t="n"/>
      <c r="J388" s="76" t="n"/>
      <c r="K388" s="76" t="n"/>
      <c r="L388" s="76" t="n"/>
      <c r="M388" s="76" t="n"/>
      <c r="N388" s="76" t="n"/>
      <c r="O388" s="76" t="n"/>
      <c r="P388" s="76" t="n"/>
      <c r="Q388" s="76" t="n"/>
      <c r="R388" s="76" t="n"/>
      <c r="S388" s="76" t="n"/>
      <c r="T388" s="76" t="n"/>
      <c r="U388" s="76" t="n"/>
      <c r="V388" s="76" t="n"/>
    </row>
    <row r="389" ht="16.5" customFormat="1" customHeight="1" s="38">
      <c r="A389" s="76" t="n"/>
      <c r="B389" s="76" t="n"/>
      <c r="C389" s="76" t="n"/>
      <c r="D389" s="76" t="n"/>
      <c r="E389" s="76" t="n"/>
      <c r="F389" s="76" t="n"/>
      <c r="G389" s="76" t="n"/>
      <c r="H389" s="76" t="n"/>
      <c r="I389" s="76" t="n"/>
      <c r="J389" s="76" t="n"/>
      <c r="K389" s="76" t="n"/>
      <c r="L389" s="76" t="n"/>
      <c r="M389" s="76" t="n"/>
      <c r="N389" s="76" t="n"/>
      <c r="O389" s="76" t="n"/>
      <c r="P389" s="76" t="n"/>
      <c r="Q389" s="76" t="n"/>
      <c r="R389" s="76" t="n"/>
      <c r="S389" s="76" t="n"/>
      <c r="T389" s="76" t="n"/>
      <c r="U389" s="76" t="n"/>
      <c r="V389" s="76" t="n"/>
    </row>
    <row r="390" ht="16.5" customFormat="1" customHeight="1" s="38">
      <c r="A390" s="76" t="n"/>
      <c r="B390" s="76" t="n"/>
      <c r="C390" s="76" t="n"/>
      <c r="D390" s="76" t="n"/>
      <c r="E390" s="76" t="n"/>
      <c r="F390" s="76" t="n"/>
      <c r="G390" s="76" t="n"/>
      <c r="H390" s="76" t="n"/>
      <c r="I390" s="76" t="n"/>
      <c r="J390" s="76" t="n"/>
      <c r="K390" s="76" t="n"/>
      <c r="L390" s="76" t="n"/>
      <c r="M390" s="76" t="n"/>
      <c r="N390" s="76" t="n"/>
      <c r="O390" s="76" t="n"/>
      <c r="P390" s="76" t="n"/>
      <c r="Q390" s="76" t="n"/>
      <c r="R390" s="76" t="n"/>
      <c r="S390" s="76" t="n"/>
      <c r="T390" s="76" t="n"/>
      <c r="U390" s="76" t="n"/>
      <c r="V390" s="76" t="n"/>
    </row>
    <row r="391" ht="16.5" customFormat="1" customHeight="1" s="38">
      <c r="A391" s="76" t="n"/>
      <c r="B391" s="76" t="n"/>
      <c r="C391" s="76" t="n"/>
      <c r="D391" s="76" t="n"/>
      <c r="E391" s="76" t="n"/>
      <c r="F391" s="76" t="n"/>
      <c r="G391" s="76" t="n"/>
      <c r="H391" s="76" t="n"/>
      <c r="I391" s="76" t="n"/>
      <c r="J391" s="76" t="n"/>
      <c r="K391" s="76" t="n"/>
      <c r="L391" s="76" t="n"/>
      <c r="M391" s="76" t="n"/>
      <c r="N391" s="76" t="n"/>
      <c r="O391" s="76" t="n"/>
      <c r="P391" s="76" t="n"/>
      <c r="Q391" s="76" t="n"/>
      <c r="R391" s="76" t="n"/>
      <c r="S391" s="76" t="n"/>
      <c r="T391" s="76" t="n"/>
      <c r="U391" s="76" t="n"/>
      <c r="V391" s="76" t="n"/>
    </row>
    <row r="392" ht="16.5" customFormat="1" customHeight="1" s="38">
      <c r="A392" s="76" t="n"/>
      <c r="B392" s="76" t="n"/>
      <c r="C392" s="76" t="n"/>
      <c r="D392" s="76" t="n"/>
      <c r="E392" s="76" t="n"/>
      <c r="F392" s="76" t="n"/>
      <c r="G392" s="76" t="n"/>
      <c r="H392" s="76" t="n"/>
      <c r="I392" s="76" t="n"/>
      <c r="J392" s="76" t="n"/>
      <c r="K392" s="76" t="n"/>
      <c r="L392" s="76" t="n"/>
      <c r="M392" s="76" t="n"/>
      <c r="N392" s="76" t="n"/>
      <c r="O392" s="76" t="n"/>
      <c r="P392" s="76" t="n"/>
      <c r="Q392" s="76" t="n"/>
      <c r="R392" s="76" t="n"/>
      <c r="S392" s="76" t="n"/>
      <c r="T392" s="76" t="n"/>
      <c r="U392" s="76" t="n"/>
      <c r="V392" s="76" t="n"/>
    </row>
    <row r="393" ht="16.5" customFormat="1" customHeight="1" s="38">
      <c r="A393" s="76" t="n"/>
      <c r="B393" s="76" t="n"/>
      <c r="C393" s="76" t="n"/>
      <c r="D393" s="76" t="n"/>
      <c r="E393" s="76" t="n"/>
      <c r="F393" s="76" t="n"/>
      <c r="G393" s="76" t="n"/>
      <c r="H393" s="76" t="n"/>
      <c r="I393" s="76" t="n"/>
      <c r="J393" s="76" t="n"/>
      <c r="K393" s="76" t="n"/>
      <c r="L393" s="76" t="n"/>
      <c r="M393" s="76" t="n"/>
      <c r="N393" s="76" t="n"/>
      <c r="O393" s="76" t="n"/>
      <c r="P393" s="76" t="n"/>
      <c r="Q393" s="76" t="n"/>
      <c r="R393" s="76" t="n"/>
      <c r="S393" s="76" t="n"/>
      <c r="T393" s="76" t="n"/>
      <c r="U393" s="76" t="n"/>
      <c r="V393" s="76" t="n"/>
    </row>
    <row r="394" ht="16.5" customFormat="1" customHeight="1" s="38">
      <c r="A394" s="76" t="n"/>
      <c r="B394" s="76" t="n"/>
      <c r="C394" s="76" t="n"/>
      <c r="D394" s="76" t="n"/>
      <c r="E394" s="76" t="n"/>
      <c r="F394" s="76" t="n"/>
      <c r="G394" s="76" t="n"/>
      <c r="H394" s="76" t="n"/>
      <c r="I394" s="76" t="n"/>
      <c r="J394" s="76" t="n"/>
      <c r="K394" s="76" t="n"/>
      <c r="L394" s="76" t="n"/>
      <c r="M394" s="76" t="n"/>
      <c r="N394" s="76" t="n"/>
      <c r="O394" s="76" t="n"/>
      <c r="P394" s="76" t="n"/>
      <c r="Q394" s="76" t="n"/>
      <c r="R394" s="76" t="n"/>
      <c r="S394" s="76" t="n"/>
      <c r="T394" s="76" t="n"/>
      <c r="U394" s="76" t="n"/>
      <c r="V394" s="76" t="n"/>
    </row>
    <row r="395" ht="16.5" customFormat="1" customHeight="1" s="38">
      <c r="A395" s="76" t="n"/>
      <c r="B395" s="76" t="n"/>
      <c r="C395" s="76" t="n"/>
      <c r="D395" s="76" t="n"/>
      <c r="E395" s="76" t="n"/>
      <c r="F395" s="76" t="n"/>
      <c r="G395" s="76" t="n"/>
      <c r="H395" s="76" t="n"/>
      <c r="I395" s="76" t="n"/>
      <c r="J395" s="76" t="n"/>
      <c r="K395" s="76" t="n"/>
      <c r="L395" s="76" t="n"/>
      <c r="M395" s="76" t="n"/>
      <c r="N395" s="76" t="n"/>
      <c r="O395" s="76" t="n"/>
      <c r="P395" s="76" t="n"/>
      <c r="Q395" s="76" t="n"/>
      <c r="R395" s="76" t="n"/>
      <c r="S395" s="76" t="n"/>
      <c r="T395" s="76" t="n"/>
      <c r="U395" s="76" t="n"/>
      <c r="V395" s="76" t="n"/>
    </row>
    <row r="396" ht="16.5" customFormat="1" customHeight="1" s="38">
      <c r="A396" s="76" t="n"/>
      <c r="B396" s="76" t="n"/>
      <c r="C396" s="76" t="n"/>
      <c r="D396" s="76" t="n"/>
      <c r="E396" s="76" t="n"/>
      <c r="F396" s="76" t="n"/>
      <c r="G396" s="76" t="n"/>
      <c r="H396" s="76" t="n"/>
      <c r="I396" s="76" t="n"/>
      <c r="J396" s="76" t="n"/>
      <c r="K396" s="76" t="n"/>
      <c r="L396" s="76" t="n"/>
      <c r="M396" s="76" t="n"/>
      <c r="N396" s="76" t="n"/>
      <c r="O396" s="76" t="n"/>
      <c r="P396" s="76" t="n"/>
      <c r="Q396" s="76" t="n"/>
      <c r="R396" s="76" t="n"/>
      <c r="S396" s="76" t="n"/>
      <c r="T396" s="76" t="n"/>
      <c r="U396" s="76" t="n"/>
      <c r="V396" s="76" t="n"/>
    </row>
    <row r="397" ht="16.5" customFormat="1" customHeight="1" s="38">
      <c r="A397" s="76" t="n"/>
      <c r="B397" s="76" t="n"/>
      <c r="C397" s="76" t="n"/>
      <c r="D397" s="76" t="n"/>
      <c r="E397" s="76" t="n"/>
      <c r="F397" s="76" t="n"/>
      <c r="G397" s="76" t="n"/>
      <c r="H397" s="76" t="n"/>
      <c r="I397" s="76" t="n"/>
      <c r="J397" s="76" t="n"/>
      <c r="K397" s="76" t="n"/>
      <c r="L397" s="76" t="n"/>
      <c r="M397" s="76" t="n"/>
      <c r="N397" s="76" t="n"/>
      <c r="O397" s="76" t="n"/>
      <c r="P397" s="76" t="n"/>
      <c r="Q397" s="76" t="n"/>
      <c r="R397" s="76" t="n"/>
      <c r="S397" s="76" t="n"/>
      <c r="T397" s="76" t="n"/>
      <c r="U397" s="76" t="n"/>
      <c r="V397" s="76" t="n"/>
    </row>
    <row r="398" ht="16.5" customFormat="1" customHeight="1" s="38">
      <c r="A398" s="76" t="n"/>
      <c r="B398" s="76" t="n"/>
      <c r="C398" s="76" t="n"/>
      <c r="D398" s="76" t="n"/>
      <c r="E398" s="76" t="n"/>
      <c r="F398" s="76" t="n"/>
      <c r="G398" s="76" t="n"/>
      <c r="H398" s="76" t="n"/>
      <c r="I398" s="76" t="n"/>
      <c r="J398" s="76" t="n"/>
      <c r="K398" s="76" t="n"/>
      <c r="L398" s="76" t="n"/>
      <c r="M398" s="76" t="n"/>
      <c r="N398" s="76" t="n"/>
      <c r="O398" s="76" t="n"/>
      <c r="P398" s="76" t="n"/>
      <c r="Q398" s="76" t="n"/>
      <c r="R398" s="76" t="n"/>
      <c r="S398" s="76" t="n"/>
      <c r="T398" s="76" t="n"/>
      <c r="U398" s="76" t="n"/>
      <c r="V398" s="76" t="n"/>
    </row>
    <row r="399" ht="16.5" customFormat="1" customHeight="1" s="38">
      <c r="A399" s="76" t="n"/>
      <c r="B399" s="76" t="n"/>
      <c r="C399" s="76" t="n"/>
      <c r="D399" s="76" t="n"/>
      <c r="E399" s="76" t="n"/>
      <c r="F399" s="76" t="n"/>
      <c r="G399" s="76" t="n"/>
      <c r="H399" s="76" t="n"/>
      <c r="I399" s="76" t="n"/>
      <c r="J399" s="76" t="n"/>
      <c r="K399" s="76" t="n"/>
      <c r="L399" s="76" t="n"/>
      <c r="M399" s="76" t="n"/>
      <c r="N399" s="76" t="n"/>
      <c r="O399" s="76" t="n"/>
      <c r="P399" s="76" t="n"/>
      <c r="Q399" s="76" t="n"/>
      <c r="R399" s="76" t="n"/>
      <c r="S399" s="76" t="n"/>
      <c r="T399" s="76" t="n"/>
      <c r="U399" s="76" t="n"/>
      <c r="V399" s="76" t="n"/>
    </row>
    <row r="400" ht="16.5" customFormat="1" customHeight="1" s="38">
      <c r="A400" s="76" t="n"/>
      <c r="B400" s="76" t="n"/>
      <c r="C400" s="76" t="n"/>
      <c r="D400" s="76" t="n"/>
      <c r="E400" s="76" t="n"/>
      <c r="F400" s="76" t="n"/>
      <c r="G400" s="76" t="n"/>
      <c r="H400" s="76" t="n"/>
      <c r="I400" s="76" t="n"/>
      <c r="J400" s="76" t="n"/>
      <c r="K400" s="76" t="n"/>
      <c r="L400" s="76" t="n"/>
      <c r="M400" s="76" t="n"/>
      <c r="N400" s="76" t="n"/>
      <c r="O400" s="76" t="n"/>
      <c r="P400" s="76" t="n"/>
      <c r="Q400" s="76" t="n"/>
      <c r="R400" s="76" t="n"/>
      <c r="S400" s="76" t="n"/>
      <c r="T400" s="76" t="n"/>
      <c r="U400" s="76" t="n"/>
      <c r="V400" s="76" t="n"/>
    </row>
    <row r="401" ht="16.5" customFormat="1" customHeight="1" s="38">
      <c r="A401" s="76" t="n"/>
      <c r="B401" s="76" t="n"/>
      <c r="C401" s="76" t="n"/>
      <c r="D401" s="76" t="n"/>
      <c r="E401" s="76" t="n"/>
      <c r="F401" s="76" t="n"/>
      <c r="G401" s="76" t="n"/>
      <c r="H401" s="76" t="n"/>
      <c r="I401" s="76" t="n"/>
      <c r="J401" s="76" t="n"/>
      <c r="K401" s="76" t="n"/>
      <c r="L401" s="76" t="n"/>
      <c r="M401" s="76" t="n"/>
      <c r="N401" s="76" t="n"/>
      <c r="O401" s="76" t="n"/>
      <c r="P401" s="76" t="n"/>
      <c r="Q401" s="76" t="n"/>
      <c r="R401" s="76" t="n"/>
      <c r="S401" s="76" t="n"/>
      <c r="T401" s="76" t="n"/>
      <c r="U401" s="76" t="n"/>
      <c r="V401" s="76" t="n"/>
    </row>
    <row r="402" ht="16.5" customFormat="1" customHeight="1" s="38">
      <c r="A402" s="76" t="n"/>
      <c r="B402" s="76" t="n"/>
      <c r="C402" s="76" t="n"/>
      <c r="D402" s="76" t="n"/>
      <c r="E402" s="76" t="n"/>
      <c r="F402" s="76" t="n"/>
      <c r="G402" s="76" t="n"/>
      <c r="H402" s="76" t="n"/>
      <c r="I402" s="76" t="n"/>
      <c r="J402" s="76" t="n"/>
      <c r="K402" s="76" t="n"/>
      <c r="L402" s="76" t="n"/>
      <c r="M402" s="76" t="n"/>
      <c r="N402" s="76" t="n"/>
      <c r="O402" s="76" t="n"/>
      <c r="P402" s="76" t="n"/>
      <c r="Q402" s="76" t="n"/>
      <c r="R402" s="76" t="n"/>
      <c r="S402" s="76" t="n"/>
      <c r="T402" s="76" t="n"/>
      <c r="U402" s="76" t="n"/>
      <c r="V402" s="76" t="n"/>
    </row>
    <row r="403" ht="16.5" customFormat="1" customHeight="1" s="38">
      <c r="A403" s="76" t="n"/>
      <c r="B403" s="76" t="n"/>
      <c r="C403" s="76" t="n"/>
      <c r="D403" s="76" t="n"/>
      <c r="E403" s="76" t="n"/>
      <c r="F403" s="76" t="n"/>
      <c r="G403" s="76" t="n"/>
      <c r="H403" s="76" t="n"/>
      <c r="I403" s="76" t="n"/>
      <c r="J403" s="76" t="n"/>
      <c r="K403" s="76" t="n"/>
      <c r="L403" s="76" t="n"/>
      <c r="M403" s="76" t="n"/>
      <c r="N403" s="76" t="n"/>
      <c r="O403" s="76" t="n"/>
      <c r="P403" s="76" t="n"/>
      <c r="Q403" s="76" t="n"/>
      <c r="R403" s="76" t="n"/>
      <c r="S403" s="76" t="n"/>
      <c r="T403" s="76" t="n"/>
      <c r="U403" s="76" t="n"/>
      <c r="V403" s="76" t="n"/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</row>
  </sheetData>
  <autoFilter ref="A3:U272">
    <sortState ref="A4:U27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392" operator="greaterThan" dxfId="17">
      <formula>0.9</formula>
    </cfRule>
    <cfRule type="cellIs" priority="39393" operator="greaterThan" dxfId="16">
      <formula>0.85</formula>
    </cfRule>
  </conditionalFormatting>
  <conditionalFormatting sqref="N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4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4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4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5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5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5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5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6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6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3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3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3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4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4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4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4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4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4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4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4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4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4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5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5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5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5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5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5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5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5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5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6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6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6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6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6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6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6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6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7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7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7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7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7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7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7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7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7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7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8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8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8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8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8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8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8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8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8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8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9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9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9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9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9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9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9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9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9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9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0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0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0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0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0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0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0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0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0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1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1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1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1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1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1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1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2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2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2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2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2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2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2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2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3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3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3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3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3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4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4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4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4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5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5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5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5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5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5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5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6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6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6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6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6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6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6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6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7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7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72">
    <cfRule type="expression" priority="76768" dxfId="3">
      <formula>AND(IF(OR($Q4=1,$Q4=2),1,0),IF(#REF!&lt;=20,1,0))</formula>
    </cfRule>
    <cfRule type="expression" priority="76769" dxfId="2">
      <formula>AND(IF($Q4=2,1,0),IF(#REF!&lt;30,1,0))</formula>
    </cfRule>
    <cfRule type="expression" priority="76770" dxfId="1">
      <formula>AND(IF($Q4=3,1,0),IF(#REF!&lt;30,1,0))</formula>
    </cfRule>
    <cfRule type="expression" priority="7677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2" min="4" max="9"/>
    <col width="25" customWidth="1" style="52" min="10" max="23"/>
    <col width="17.5" customWidth="1" style="52" min="24" max="48"/>
    <col width="17.5" customWidth="1" style="116" min="49" max="49"/>
    <col width="17.5" customWidth="1" style="116" min="50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n"/>
      <c r="E4" s="116" t="n"/>
      <c r="F4" s="116" t="n"/>
      <c r="G4" s="116" t="n"/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2" t="n">
        <v>8</v>
      </c>
      <c r="B8" s="59" t="inlineStr">
        <is>
          <t>~</t>
        </is>
      </c>
      <c r="C8" s="14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4" t="n">
        <v>7</v>
      </c>
      <c r="B9" s="61" t="inlineStr">
        <is>
          <t>~</t>
        </is>
      </c>
      <c r="C9" s="14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6" t="n">
        <v>6</v>
      </c>
      <c r="B10" s="57" t="inlineStr">
        <is>
          <t>~</t>
        </is>
      </c>
      <c r="C10" s="147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6" t="n">
        <v>5</v>
      </c>
      <c r="B11" s="57" t="inlineStr">
        <is>
          <t>~</t>
        </is>
      </c>
      <c r="C11" s="147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6" t="n">
        <v>4</v>
      </c>
      <c r="B12" s="57" t="inlineStr">
        <is>
          <t>~</t>
        </is>
      </c>
      <c r="C12" s="147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8" t="n">
        <v>3</v>
      </c>
      <c r="B13" s="62" t="inlineStr">
        <is>
          <t>~</t>
        </is>
      </c>
      <c r="C13" s="149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8" t="n">
        <v>2.5</v>
      </c>
      <c r="B14" s="62" t="inlineStr">
        <is>
          <t>~</t>
        </is>
      </c>
      <c r="C14" s="149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8" t="n">
        <v>2</v>
      </c>
      <c r="B15" s="62" t="inlineStr">
        <is>
          <t>~</t>
        </is>
      </c>
      <c r="C15" s="149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50" t="n">
        <v>1.5</v>
      </c>
      <c r="B16" s="64" t="inlineStr">
        <is>
          <t>~</t>
        </is>
      </c>
      <c r="C16" s="15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0" t="n">
        <v>1</v>
      </c>
      <c r="B17" s="64" t="inlineStr">
        <is>
          <t>~</t>
        </is>
      </c>
      <c r="C17" s="15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2">
        <f>IF(A8="","",A8)</f>
        <v/>
      </c>
      <c r="B21" s="59">
        <f>IF(B8="","",B8)</f>
        <v/>
      </c>
      <c r="C21" s="14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4">
        <f>IF(A9="","",A9)</f>
        <v/>
      </c>
      <c r="B22" s="61">
        <f>IF(B9="","",B9)</f>
        <v/>
      </c>
      <c r="C22" s="14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6">
        <f>IF(A10="","",A10)</f>
        <v/>
      </c>
      <c r="B23" s="57">
        <f>IF(B10="","",B10)</f>
        <v/>
      </c>
      <c r="C23" s="147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6">
        <f>IF(A11="","",A11)</f>
        <v/>
      </c>
      <c r="B24" s="57">
        <f>IF(B11="","",B11)</f>
        <v/>
      </c>
      <c r="C24" s="147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6">
        <f>IF(A12="","",A12)</f>
        <v/>
      </c>
      <c r="B25" s="57">
        <f>IF(B12="","",B12)</f>
        <v/>
      </c>
      <c r="C25" s="147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8">
        <f>IF(A13="","",A13)</f>
        <v/>
      </c>
      <c r="B26" s="62">
        <f>IF(B13="","",B13)</f>
        <v/>
      </c>
      <c r="C26" s="149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8">
        <f>IF(A14="","",A14)</f>
        <v/>
      </c>
      <c r="B27" s="62">
        <f>IF(B14="","",B14)</f>
        <v/>
      </c>
      <c r="C27" s="14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8">
        <f>IF(A15="","",A15)</f>
        <v/>
      </c>
      <c r="B28" s="62">
        <f>IF(B15="","",B15)</f>
        <v/>
      </c>
      <c r="C28" s="14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0">
        <f>IF(A16="","",A16)</f>
        <v/>
      </c>
      <c r="B29" s="64">
        <f>IF(B16="","",B16)</f>
        <v/>
      </c>
      <c r="C29" s="15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0">
        <f>IF(A17="","",A17)</f>
        <v/>
      </c>
      <c r="B30" s="64">
        <f>IF(B17="","",B17)</f>
        <v/>
      </c>
      <c r="C30" s="15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2">
        <f>IF(A21="","",A21)</f>
        <v/>
      </c>
      <c r="B34" s="59">
        <f>IF(B21="","",B21)</f>
        <v/>
      </c>
      <c r="C34" s="14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4">
        <f>IF(A22="","",A22)</f>
        <v/>
      </c>
      <c r="B35" s="61">
        <f>IF(B22="","",B22)</f>
        <v/>
      </c>
      <c r="C35" s="14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6">
        <f>IF(A23="","",A23)</f>
        <v/>
      </c>
      <c r="B36" s="57">
        <f>IF(B23="","",B23)</f>
        <v/>
      </c>
      <c r="C36" s="14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6">
        <f>IF(A24="","",A24)</f>
        <v/>
      </c>
      <c r="B37" s="57">
        <f>IF(B24="","",B24)</f>
        <v/>
      </c>
      <c r="C37" s="14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6">
        <f>IF(A25="","",A25)</f>
        <v/>
      </c>
      <c r="B38" s="57">
        <f>IF(B25="","",B25)</f>
        <v/>
      </c>
      <c r="C38" s="147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8">
        <f>IF(A26="","",A26)</f>
        <v/>
      </c>
      <c r="B39" s="62">
        <f>IF(B26="","",B26)</f>
        <v/>
      </c>
      <c r="C39" s="149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8">
        <f>IF(A27="","",A27)</f>
        <v/>
      </c>
      <c r="B40" s="62">
        <f>IF(B27="","",B27)</f>
        <v/>
      </c>
      <c r="C40" s="149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8">
        <f>IF(A28="","",A28)</f>
        <v/>
      </c>
      <c r="B41" s="62">
        <f>IF(B28="","",B28)</f>
        <v/>
      </c>
      <c r="C41" s="14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50">
        <f>IF(A29="","",A29)</f>
        <v/>
      </c>
      <c r="B42" s="64">
        <f>IF(B29="","",B29)</f>
        <v/>
      </c>
      <c r="C42" s="15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0">
        <f>IF(A30="","",A30)</f>
        <v/>
      </c>
      <c r="B43" s="64">
        <f>IF(B30="","",B30)</f>
        <v/>
      </c>
      <c r="C43" s="15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2">
        <f>IF(A34="","",A34)</f>
        <v/>
      </c>
      <c r="B47" s="59">
        <f>IF(B34="","",B34)</f>
        <v/>
      </c>
      <c r="C47" s="14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4">
        <f>IF(A35="","",A35)</f>
        <v/>
      </c>
      <c r="B48" s="61">
        <f>IF(B35="","",B35)</f>
        <v/>
      </c>
      <c r="C48" s="14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6">
        <f>IF(A36="","",A36)</f>
        <v/>
      </c>
      <c r="B49" s="57">
        <f>IF(B36="","",B36)</f>
        <v/>
      </c>
      <c r="C49" s="14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6">
        <f>IF(A37="","",A37)</f>
        <v/>
      </c>
      <c r="B50" s="57">
        <f>IF(B37="","",B37)</f>
        <v/>
      </c>
      <c r="C50" s="14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6">
        <f>IF(A38="","",A38)</f>
        <v/>
      </c>
      <c r="B51" s="57">
        <f>IF(B38="","",B38)</f>
        <v/>
      </c>
      <c r="C51" s="14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8">
        <f>IF(A39="","",A39)</f>
        <v/>
      </c>
      <c r="B52" s="62">
        <f>IF(B39="","",B39)</f>
        <v/>
      </c>
      <c r="C52" s="14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8">
        <f>IF(A40="","",A40)</f>
        <v/>
      </c>
      <c r="B53" s="62">
        <f>IF(B40="","",B40)</f>
        <v/>
      </c>
      <c r="C53" s="14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8">
        <f>IF(A41="","",A41)</f>
        <v/>
      </c>
      <c r="B54" s="62">
        <f>IF(B41="","",B41)</f>
        <v/>
      </c>
      <c r="C54" s="14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0">
        <f>IF(A42="","",A42)</f>
        <v/>
      </c>
      <c r="B55" s="64">
        <f>IF(B42="","",B42)</f>
        <v/>
      </c>
      <c r="C55" s="15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0">
        <f>IF(A43="","",A43)</f>
        <v/>
      </c>
      <c r="B56" s="64">
        <f>IF(B43="","",B43)</f>
        <v/>
      </c>
      <c r="C56" s="15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2">
        <f>IF(A47="","",A47)</f>
        <v/>
      </c>
      <c r="B60" s="59">
        <f>IF(B47="","",B47)</f>
        <v/>
      </c>
      <c r="C60" s="14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4">
        <f>IF(A48="","",A48)</f>
        <v/>
      </c>
      <c r="B61" s="61">
        <f>IF(B48="","",B48)</f>
        <v/>
      </c>
      <c r="C61" s="14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6">
        <f>IF(A49="","",A49)</f>
        <v/>
      </c>
      <c r="B62" s="57">
        <f>IF(B49="","",B49)</f>
        <v/>
      </c>
      <c r="C62" s="14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6">
        <f>IF(A50="","",A50)</f>
        <v/>
      </c>
      <c r="B63" s="57">
        <f>IF(B50="","",B50)</f>
        <v/>
      </c>
      <c r="C63" s="14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6">
        <f>IF(A51="","",A51)</f>
        <v/>
      </c>
      <c r="B64" s="57">
        <f>IF(B51="","",B51)</f>
        <v/>
      </c>
      <c r="C64" s="14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8">
        <f>IF(A52="","",A52)</f>
        <v/>
      </c>
      <c r="B65" s="62">
        <f>IF(B52="","",B52)</f>
        <v/>
      </c>
      <c r="C65" s="14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8">
        <f>IF(A53="","",A53)</f>
        <v/>
      </c>
      <c r="B66" s="62">
        <f>IF(B53="","",B53)</f>
        <v/>
      </c>
      <c r="C66" s="14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8">
        <f>IF(A54="","",A54)</f>
        <v/>
      </c>
      <c r="B67" s="62">
        <f>IF(B54="","",B54)</f>
        <v/>
      </c>
      <c r="C67" s="14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0">
        <f>IF(A55="","",A55)</f>
        <v/>
      </c>
      <c r="B68" s="64">
        <f>IF(B55="","",B55)</f>
        <v/>
      </c>
      <c r="C68" s="15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0">
        <f>IF(A56="","",A56)</f>
        <v/>
      </c>
      <c r="B69" s="64">
        <f>IF(B56="","",B56)</f>
        <v/>
      </c>
      <c r="C69" s="15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20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[계산동]</t>
        </is>
      </c>
      <c r="B1" s="0" t="n">
        <v>8514</v>
      </c>
      <c r="C1" s="0" t="n">
        <v>1</v>
      </c>
      <c r="D1" s="0" t="inlineStr">
        <is>
          <t>동성</t>
        </is>
      </c>
      <c r="E1" s="0" t="inlineStr">
        <is>
          <t>1986.09.</t>
        </is>
      </c>
      <c r="F1" s="0" t="n">
        <v>90</v>
      </c>
      <c r="G1" s="0" t="n">
        <v>18.75</v>
      </c>
      <c r="H1" s="0" t="n">
        <v>61.99</v>
      </c>
      <c r="I1" s="0" t="n">
        <v>14.26</v>
      </c>
      <c r="J1" s="0" t="n">
        <v>47.16</v>
      </c>
      <c r="K1" s="0" t="n">
        <v>50</v>
      </c>
      <c r="T1" s="0" t="n">
        <v>3</v>
      </c>
      <c r="U1" s="0" t="n">
        <v>1</v>
      </c>
      <c r="V1" s="0" t="inlineStr">
        <is>
          <t>계단식</t>
        </is>
      </c>
      <c r="W1" s="0" t="n">
        <v>61</v>
      </c>
      <c r="X1" s="0" t="n">
        <v>5</v>
      </c>
      <c r="Y1" s="0" t="n">
        <v>5</v>
      </c>
      <c r="Z1" s="0" t="inlineStr">
        <is>
          <t>https://new.land.naver.com/complexes/8514?tab=detail&amp;rf=Y</t>
        </is>
      </c>
      <c r="AA1" s="0" t="inlineStr">
        <is>
          <t>인천시 계양구 계산동 931-29</t>
        </is>
      </c>
      <c r="AB1" s="0" t="inlineStr">
        <is>
          <t>인천시</t>
        </is>
      </c>
      <c r="AC1" s="0" t="inlineStr">
        <is>
          <t>계양구</t>
        </is>
      </c>
      <c r="AD1" s="0" t="inlineStr">
        <is>
          <t>계산동</t>
        </is>
      </c>
      <c r="AG1" s="0" t="inlineStr">
        <is>
          <t>인천시 계양구 경명대로1029번길 6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[계산동]</t>
        </is>
      </c>
      <c r="B2" s="0" t="n">
        <v>8514</v>
      </c>
      <c r="C2" s="0" t="n">
        <v>2</v>
      </c>
      <c r="D2" s="0" t="inlineStr">
        <is>
          <t>동성</t>
        </is>
      </c>
      <c r="E2" s="0" t="inlineStr">
        <is>
          <t>1986.09.</t>
        </is>
      </c>
      <c r="F2" s="0" t="n">
        <v>90</v>
      </c>
      <c r="G2" s="0" t="n">
        <v>19.67</v>
      </c>
      <c r="H2" s="0" t="n">
        <v>65.05</v>
      </c>
      <c r="I2" s="0" t="n">
        <v>15.05</v>
      </c>
      <c r="J2" s="0" t="n">
        <v>49.77</v>
      </c>
      <c r="K2" s="0" t="n">
        <v>40</v>
      </c>
      <c r="T2" s="0" t="n">
        <v>3</v>
      </c>
      <c r="U2" s="0" t="n">
        <v>1</v>
      </c>
      <c r="V2" s="0" t="inlineStr">
        <is>
          <t>계단식</t>
        </is>
      </c>
      <c r="W2" s="0" t="n">
        <v>65</v>
      </c>
      <c r="X2" s="0" t="n">
        <v>5</v>
      </c>
      <c r="Y2" s="0" t="n">
        <v>5</v>
      </c>
      <c r="Z2" s="0" t="inlineStr">
        <is>
          <t>https://new.land.naver.com/complexes/8514?tab=detail&amp;rf=Y</t>
        </is>
      </c>
      <c r="AA2" s="0" t="inlineStr">
        <is>
          <t>인천시 계양구 계산동 931-29</t>
        </is>
      </c>
      <c r="AB2" s="0" t="inlineStr">
        <is>
          <t>인천시</t>
        </is>
      </c>
      <c r="AC2" s="0" t="inlineStr">
        <is>
          <t>계양구</t>
        </is>
      </c>
      <c r="AD2" s="0" t="inlineStr">
        <is>
          <t>계산동</t>
        </is>
      </c>
      <c r="AG2" s="0" t="inlineStr">
        <is>
          <t>인천시 계양구 경명대로1029번길 6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[계산동]</t>
        </is>
      </c>
      <c r="B3" s="0" t="n">
        <v>8435</v>
      </c>
      <c r="C3" s="0" t="n">
        <v>1</v>
      </c>
      <c r="D3" s="0" t="inlineStr">
        <is>
          <t>연희</t>
        </is>
      </c>
      <c r="E3" s="0" t="inlineStr">
        <is>
          <t>1985.03.</t>
        </is>
      </c>
      <c r="F3" s="0" t="n">
        <v>78</v>
      </c>
      <c r="G3" s="0" t="n">
        <v>20.97</v>
      </c>
      <c r="H3" s="0" t="n">
        <v>69.34</v>
      </c>
      <c r="I3" s="0" t="n">
        <v>17.49</v>
      </c>
      <c r="J3" s="0" t="n">
        <v>57.84</v>
      </c>
      <c r="K3" s="0" t="n">
        <v>29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69C</t>
        </is>
      </c>
      <c r="X3" s="0" t="n">
        <v>5</v>
      </c>
      <c r="Y3" s="0" t="n">
        <v>5</v>
      </c>
      <c r="Z3" s="0" t="inlineStr">
        <is>
          <t>https://new.land.naver.com/complexes/8435?tab=detail&amp;rf=Y</t>
        </is>
      </c>
      <c r="AA3" s="0" t="inlineStr">
        <is>
          <t>인천시 계양구 계산동 900</t>
        </is>
      </c>
      <c r="AB3" s="0" t="inlineStr">
        <is>
          <t>인천시</t>
        </is>
      </c>
      <c r="AC3" s="0" t="inlineStr">
        <is>
          <t>계양구</t>
        </is>
      </c>
      <c r="AD3" s="0" t="inlineStr">
        <is>
          <t>계산동</t>
        </is>
      </c>
      <c r="AG3" s="0" t="inlineStr">
        <is>
          <t>인천시 계양구 하느재로41번길 14</t>
        </is>
      </c>
      <c r="AH3" s="0" t="n">
        <v>0</v>
      </c>
      <c r="AI3" s="0" t="n">
        <v>0</v>
      </c>
      <c r="AJ3" s="0" t="n">
        <v>0</v>
      </c>
      <c r="AK3" s="0" t="n">
        <v>78</v>
      </c>
      <c r="AL3" s="0" t="n">
        <v>1</v>
      </c>
    </row>
    <row r="4">
      <c r="A4" s="0" t="inlineStr">
        <is>
          <t>[계산동]</t>
        </is>
      </c>
      <c r="B4" s="0" t="n">
        <v>8435</v>
      </c>
      <c r="C4" s="0" t="n">
        <v>2</v>
      </c>
      <c r="D4" s="0" t="inlineStr">
        <is>
          <t>연희</t>
        </is>
      </c>
      <c r="E4" s="0" t="inlineStr">
        <is>
          <t>1985.03.</t>
        </is>
      </c>
      <c r="F4" s="0" t="n">
        <v>78</v>
      </c>
      <c r="G4" s="0" t="n">
        <v>20.97</v>
      </c>
      <c r="H4" s="0" t="n">
        <v>69.34999999999999</v>
      </c>
      <c r="I4" s="0" t="n">
        <v>17.49</v>
      </c>
      <c r="J4" s="0" t="n">
        <v>57.85</v>
      </c>
      <c r="K4" s="0" t="n">
        <v>25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69D</t>
        </is>
      </c>
      <c r="X4" s="0" t="n">
        <v>5</v>
      </c>
      <c r="Y4" s="0" t="n">
        <v>5</v>
      </c>
      <c r="Z4" s="0" t="inlineStr">
        <is>
          <t>https://new.land.naver.com/complexes/8435?tab=detail&amp;rf=Y</t>
        </is>
      </c>
      <c r="AA4" s="0" t="inlineStr">
        <is>
          <t>인천시 계양구 계산동 900</t>
        </is>
      </c>
      <c r="AB4" s="0" t="inlineStr">
        <is>
          <t>인천시</t>
        </is>
      </c>
      <c r="AC4" s="0" t="inlineStr">
        <is>
          <t>계양구</t>
        </is>
      </c>
      <c r="AD4" s="0" t="inlineStr">
        <is>
          <t>계산동</t>
        </is>
      </c>
      <c r="AG4" s="0" t="inlineStr">
        <is>
          <t>인천시 계양구 하느재로41번길 14</t>
        </is>
      </c>
      <c r="AH4" s="0" t="n">
        <v>0</v>
      </c>
      <c r="AI4" s="0" t="n">
        <v>0</v>
      </c>
      <c r="AJ4" s="0" t="n">
        <v>0</v>
      </c>
      <c r="AK4" s="0" t="n">
        <v>78</v>
      </c>
      <c r="AL4" s="0" t="n">
        <v>1</v>
      </c>
    </row>
    <row r="5">
      <c r="A5" s="0" t="inlineStr">
        <is>
          <t>[계산동]</t>
        </is>
      </c>
      <c r="B5" s="0" t="n">
        <v>8435</v>
      </c>
      <c r="C5" s="0" t="n">
        <v>3</v>
      </c>
      <c r="D5" s="0" t="inlineStr">
        <is>
          <t>연희</t>
        </is>
      </c>
      <c r="E5" s="0" t="inlineStr">
        <is>
          <t>1985.03.</t>
        </is>
      </c>
      <c r="F5" s="0" t="n">
        <v>78</v>
      </c>
      <c r="G5" s="0" t="n">
        <v>20.94</v>
      </c>
      <c r="H5" s="0" t="n">
        <v>69.25</v>
      </c>
      <c r="I5" s="0" t="n">
        <v>17.46</v>
      </c>
      <c r="J5" s="0" t="n">
        <v>57.75</v>
      </c>
      <c r="K5" s="0" t="n">
        <v>2</v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69A</t>
        </is>
      </c>
      <c r="X5" s="0" t="n">
        <v>5</v>
      </c>
      <c r="Y5" s="0" t="n">
        <v>5</v>
      </c>
      <c r="Z5" s="0" t="inlineStr">
        <is>
          <t>https://new.land.naver.com/complexes/8435?tab=detail&amp;rf=Y</t>
        </is>
      </c>
      <c r="AA5" s="0" t="inlineStr">
        <is>
          <t>인천시 계양구 계산동 900</t>
        </is>
      </c>
      <c r="AB5" s="0" t="inlineStr">
        <is>
          <t>인천시</t>
        </is>
      </c>
      <c r="AC5" s="0" t="inlineStr">
        <is>
          <t>계양구</t>
        </is>
      </c>
      <c r="AD5" s="0" t="inlineStr">
        <is>
          <t>계산동</t>
        </is>
      </c>
      <c r="AG5" s="0" t="inlineStr">
        <is>
          <t>인천시 계양구 하느재로41번길 14</t>
        </is>
      </c>
      <c r="AH5" s="0" t="n">
        <v>0</v>
      </c>
      <c r="AI5" s="0" t="n">
        <v>0</v>
      </c>
      <c r="AJ5" s="0" t="n">
        <v>0</v>
      </c>
      <c r="AK5" s="0" t="n">
        <v>78</v>
      </c>
      <c r="AL5" s="0" t="n">
        <v>1</v>
      </c>
    </row>
    <row r="6">
      <c r="A6" s="0" t="inlineStr">
        <is>
          <t>[계산동]</t>
        </is>
      </c>
      <c r="B6" s="0" t="n">
        <v>8435</v>
      </c>
      <c r="C6" s="0" t="n">
        <v>4</v>
      </c>
      <c r="D6" s="0" t="inlineStr">
        <is>
          <t>연희</t>
        </is>
      </c>
      <c r="E6" s="0" t="inlineStr">
        <is>
          <t>1985.03.</t>
        </is>
      </c>
      <c r="F6" s="0" t="n">
        <v>78</v>
      </c>
      <c r="G6" s="0" t="n">
        <v>20.95</v>
      </c>
      <c r="H6" s="0" t="n">
        <v>69.27</v>
      </c>
      <c r="I6" s="0" t="n">
        <v>17.47</v>
      </c>
      <c r="J6" s="0" t="n">
        <v>57.77</v>
      </c>
      <c r="K6" s="0" t="n">
        <v>1</v>
      </c>
      <c r="T6" s="0" t="n">
        <v>3</v>
      </c>
      <c r="U6" s="0" t="n">
        <v>1</v>
      </c>
      <c r="V6" s="0" t="inlineStr">
        <is>
          <t>계단식</t>
        </is>
      </c>
      <c r="W6" s="0" t="inlineStr">
        <is>
          <t>69B</t>
        </is>
      </c>
      <c r="X6" s="0" t="n">
        <v>5</v>
      </c>
      <c r="Y6" s="0" t="n">
        <v>5</v>
      </c>
      <c r="Z6" s="0" t="inlineStr">
        <is>
          <t>https://new.land.naver.com/complexes/8435?tab=detail&amp;rf=Y</t>
        </is>
      </c>
      <c r="AA6" s="0" t="inlineStr">
        <is>
          <t>인천시 계양구 계산동 900</t>
        </is>
      </c>
      <c r="AB6" s="0" t="inlineStr">
        <is>
          <t>인천시</t>
        </is>
      </c>
      <c r="AC6" s="0" t="inlineStr">
        <is>
          <t>계양구</t>
        </is>
      </c>
      <c r="AD6" s="0" t="inlineStr">
        <is>
          <t>계산동</t>
        </is>
      </c>
      <c r="AG6" s="0" t="inlineStr">
        <is>
          <t>인천시 계양구 하느재로41번길 14</t>
        </is>
      </c>
      <c r="AH6" s="0" t="n">
        <v>0</v>
      </c>
      <c r="AI6" s="0" t="n">
        <v>0</v>
      </c>
      <c r="AJ6" s="0" t="n">
        <v>0</v>
      </c>
      <c r="AK6" s="0" t="n">
        <v>78</v>
      </c>
      <c r="AL6" s="0" t="n">
        <v>1</v>
      </c>
    </row>
    <row r="7">
      <c r="A7" s="0" t="inlineStr">
        <is>
          <t>[계산동]</t>
        </is>
      </c>
      <c r="B7" s="0" t="n">
        <v>8435</v>
      </c>
      <c r="C7" s="0" t="n">
        <v>5</v>
      </c>
      <c r="D7" s="0" t="inlineStr">
        <is>
          <t>연희</t>
        </is>
      </c>
      <c r="E7" s="0" t="inlineStr">
        <is>
          <t>1985.03.</t>
        </is>
      </c>
      <c r="F7" s="0" t="n">
        <v>78</v>
      </c>
      <c r="G7" s="0" t="n">
        <v>21.06</v>
      </c>
      <c r="H7" s="0" t="n">
        <v>69.62</v>
      </c>
      <c r="I7" s="0" t="n">
        <v>17.58</v>
      </c>
      <c r="J7" s="0" t="n">
        <v>58.12</v>
      </c>
      <c r="K7" s="0" t="n">
        <v>1</v>
      </c>
      <c r="T7" s="0" t="n">
        <v>3</v>
      </c>
      <c r="U7" s="0" t="n">
        <v>1</v>
      </c>
      <c r="V7" s="0" t="inlineStr">
        <is>
          <t>계단식</t>
        </is>
      </c>
      <c r="W7" s="0" t="inlineStr">
        <is>
          <t>69E</t>
        </is>
      </c>
      <c r="X7" s="0" t="n">
        <v>5</v>
      </c>
      <c r="Y7" s="0" t="n">
        <v>5</v>
      </c>
      <c r="Z7" s="0" t="inlineStr">
        <is>
          <t>https://new.land.naver.com/complexes/8435?tab=detail&amp;rf=Y</t>
        </is>
      </c>
      <c r="AA7" s="0" t="inlineStr">
        <is>
          <t>인천시 계양구 계산동 900</t>
        </is>
      </c>
      <c r="AB7" s="0" t="inlineStr">
        <is>
          <t>인천시</t>
        </is>
      </c>
      <c r="AC7" s="0" t="inlineStr">
        <is>
          <t>계양구</t>
        </is>
      </c>
      <c r="AD7" s="0" t="inlineStr">
        <is>
          <t>계산동</t>
        </is>
      </c>
      <c r="AG7" s="0" t="inlineStr">
        <is>
          <t>인천시 계양구 하느재로41번길 14</t>
        </is>
      </c>
      <c r="AH7" s="0" t="n">
        <v>0</v>
      </c>
      <c r="AI7" s="0" t="n">
        <v>0</v>
      </c>
      <c r="AJ7" s="0" t="n">
        <v>0</v>
      </c>
      <c r="AK7" s="0" t="n">
        <v>78</v>
      </c>
      <c r="AL7" s="0" t="n">
        <v>1</v>
      </c>
    </row>
    <row r="8">
      <c r="A8" s="0" t="inlineStr">
        <is>
          <t>[계산동]</t>
        </is>
      </c>
      <c r="B8" s="0" t="n">
        <v>8435</v>
      </c>
      <c r="C8" s="0" t="n">
        <v>6</v>
      </c>
      <c r="D8" s="0" t="inlineStr">
        <is>
          <t>연희</t>
        </is>
      </c>
      <c r="E8" s="0" t="inlineStr">
        <is>
          <t>1985.03.</t>
        </is>
      </c>
      <c r="F8" s="0" t="n">
        <v>78</v>
      </c>
      <c r="G8" s="0" t="n">
        <v>23.15</v>
      </c>
      <c r="H8" s="0" t="n">
        <v>76.54000000000001</v>
      </c>
      <c r="I8" s="0" t="n">
        <v>19.31</v>
      </c>
      <c r="J8" s="0" t="n">
        <v>63.84</v>
      </c>
      <c r="K8" s="0" t="n">
        <v>20</v>
      </c>
      <c r="T8" s="0" t="n">
        <v>3</v>
      </c>
      <c r="U8" s="0" t="n">
        <v>1</v>
      </c>
      <c r="V8" s="0" t="inlineStr">
        <is>
          <t>계단식</t>
        </is>
      </c>
      <c r="W8" s="0" t="n">
        <v>76</v>
      </c>
      <c r="X8" s="0" t="n">
        <v>5</v>
      </c>
      <c r="Y8" s="0" t="n">
        <v>5</v>
      </c>
      <c r="Z8" s="0" t="inlineStr">
        <is>
          <t>https://new.land.naver.com/complexes/8435?tab=detail&amp;rf=Y</t>
        </is>
      </c>
      <c r="AA8" s="0" t="inlineStr">
        <is>
          <t>인천시 계양구 계산동 900</t>
        </is>
      </c>
      <c r="AB8" s="0" t="inlineStr">
        <is>
          <t>인천시</t>
        </is>
      </c>
      <c r="AC8" s="0" t="inlineStr">
        <is>
          <t>계양구</t>
        </is>
      </c>
      <c r="AD8" s="0" t="inlineStr">
        <is>
          <t>계산동</t>
        </is>
      </c>
      <c r="AG8" s="0" t="inlineStr">
        <is>
          <t>인천시 계양구 하느재로41번길 14</t>
        </is>
      </c>
      <c r="AH8" s="0" t="n">
        <v>0</v>
      </c>
      <c r="AI8" s="0" t="n">
        <v>0</v>
      </c>
      <c r="AJ8" s="0" t="n">
        <v>0</v>
      </c>
      <c r="AK8" s="0" t="n">
        <v>78</v>
      </c>
      <c r="AL8" s="0" t="n">
        <v>1</v>
      </c>
    </row>
    <row r="9">
      <c r="A9" s="0" t="inlineStr">
        <is>
          <t>[계산동]</t>
        </is>
      </c>
      <c r="B9" s="0" t="n">
        <v>8510</v>
      </c>
      <c r="C9" s="0" t="n">
        <v>1</v>
      </c>
      <c r="D9" s="0" t="inlineStr">
        <is>
          <t>서해2차</t>
        </is>
      </c>
      <c r="E9" s="0" t="inlineStr">
        <is>
          <t>1990.09.</t>
        </is>
      </c>
      <c r="F9" s="0" t="n">
        <v>222</v>
      </c>
      <c r="G9" s="0" t="n">
        <v>22.35</v>
      </c>
      <c r="H9" s="0" t="n">
        <v>73.91</v>
      </c>
      <c r="I9" s="0" t="n">
        <v>17.58</v>
      </c>
      <c r="J9" s="0" t="n">
        <v>58.14</v>
      </c>
      <c r="K9" s="0" t="n">
        <v>164</v>
      </c>
      <c r="T9" s="0" t="n">
        <v>3</v>
      </c>
      <c r="U9" s="0" t="n">
        <v>1</v>
      </c>
      <c r="V9" s="0" t="inlineStr">
        <is>
          <t>계단식</t>
        </is>
      </c>
      <c r="W9" s="0" t="n">
        <v>73</v>
      </c>
      <c r="X9" s="0" t="n">
        <v>6</v>
      </c>
      <c r="Y9" s="0" t="n">
        <v>6</v>
      </c>
      <c r="Z9" s="0" t="inlineStr">
        <is>
          <t>https://new.land.naver.com/complexes/8510?tab=detail&amp;rf=Y</t>
        </is>
      </c>
      <c r="AA9" s="0" t="inlineStr">
        <is>
          <t>인천시 계양구 계산동 753</t>
        </is>
      </c>
      <c r="AB9" s="0" t="inlineStr">
        <is>
          <t>인천시</t>
        </is>
      </c>
      <c r="AC9" s="0" t="inlineStr">
        <is>
          <t>계양구</t>
        </is>
      </c>
      <c r="AD9" s="0" t="inlineStr">
        <is>
          <t>계산동</t>
        </is>
      </c>
      <c r="AG9" s="0" t="inlineStr">
        <is>
          <t>인천시 계양구 계산로 18-1</t>
        </is>
      </c>
      <c r="AH9" s="0" t="n">
        <v>0</v>
      </c>
      <c r="AI9" s="0" t="n">
        <v>182</v>
      </c>
      <c r="AJ9" s="0" t="n">
        <v>30</v>
      </c>
      <c r="AK9" s="0" t="n">
        <v>56</v>
      </c>
      <c r="AL9" s="0" t="n">
        <v>0.25</v>
      </c>
    </row>
    <row r="10">
      <c r="A10" s="0" t="inlineStr">
        <is>
          <t>[계산동]</t>
        </is>
      </c>
      <c r="B10" s="0" t="n">
        <v>8510</v>
      </c>
      <c r="C10" s="0" t="n">
        <v>2</v>
      </c>
      <c r="D10" s="0" t="inlineStr">
        <is>
          <t>서해2차</t>
        </is>
      </c>
      <c r="E10" s="0" t="inlineStr">
        <is>
          <t>1990.09.</t>
        </is>
      </c>
      <c r="F10" s="0" t="n">
        <v>222</v>
      </c>
      <c r="G10" s="0" t="n">
        <v>22.98</v>
      </c>
      <c r="H10" s="0" t="n">
        <v>75.98999999999999</v>
      </c>
      <c r="I10" s="0" t="n">
        <v>18.11</v>
      </c>
      <c r="J10" s="0" t="n">
        <v>59.88</v>
      </c>
      <c r="K10" s="0" t="n">
        <v>30</v>
      </c>
      <c r="T10" s="0" t="n">
        <v>3</v>
      </c>
      <c r="U10" s="0" t="n">
        <v>1</v>
      </c>
      <c r="V10" s="0" t="inlineStr">
        <is>
          <t>계단식</t>
        </is>
      </c>
      <c r="W10" s="0" t="n">
        <v>75</v>
      </c>
      <c r="X10" s="0" t="n">
        <v>6</v>
      </c>
      <c r="Y10" s="0" t="n">
        <v>6</v>
      </c>
      <c r="Z10" s="0" t="inlineStr">
        <is>
          <t>https://new.land.naver.com/complexes/8510?tab=detail&amp;rf=Y</t>
        </is>
      </c>
      <c r="AA10" s="0" t="inlineStr">
        <is>
          <t>인천시 계양구 계산동 753</t>
        </is>
      </c>
      <c r="AB10" s="0" t="inlineStr">
        <is>
          <t>인천시</t>
        </is>
      </c>
      <c r="AC10" s="0" t="inlineStr">
        <is>
          <t>계양구</t>
        </is>
      </c>
      <c r="AD10" s="0" t="inlineStr">
        <is>
          <t>계산동</t>
        </is>
      </c>
      <c r="AG10" s="0" t="inlineStr">
        <is>
          <t>인천시 계양구 계산로 18-1</t>
        </is>
      </c>
      <c r="AH10" s="0" t="n">
        <v>0</v>
      </c>
      <c r="AI10" s="0" t="n">
        <v>182</v>
      </c>
      <c r="AJ10" s="0" t="n">
        <v>30</v>
      </c>
      <c r="AK10" s="0" t="n">
        <v>56</v>
      </c>
      <c r="AL10" s="0" t="n">
        <v>0.25</v>
      </c>
    </row>
    <row r="11">
      <c r="A11" s="0" t="inlineStr">
        <is>
          <t>[계산동]</t>
        </is>
      </c>
      <c r="B11" s="0" t="n">
        <v>8510</v>
      </c>
      <c r="C11" s="0" t="n">
        <v>3</v>
      </c>
      <c r="D11" s="0" t="inlineStr">
        <is>
          <t>서해2차</t>
        </is>
      </c>
      <c r="E11" s="0" t="inlineStr">
        <is>
          <t>1990.09.</t>
        </is>
      </c>
      <c r="F11" s="0" t="n">
        <v>222</v>
      </c>
      <c r="G11" s="0" t="n">
        <v>25.16</v>
      </c>
      <c r="H11" s="0" t="n">
        <v>83.19</v>
      </c>
      <c r="I11" s="0" t="n">
        <v>19.96</v>
      </c>
      <c r="J11" s="0" t="n">
        <v>66</v>
      </c>
      <c r="K11" s="0" t="n">
        <v>6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83A</t>
        </is>
      </c>
      <c r="X11" s="0" t="n">
        <v>6</v>
      </c>
      <c r="Y11" s="0" t="n">
        <v>6</v>
      </c>
      <c r="Z11" s="0" t="inlineStr">
        <is>
          <t>https://new.land.naver.com/complexes/8510?tab=detail&amp;rf=Y</t>
        </is>
      </c>
      <c r="AA11" s="0" t="inlineStr">
        <is>
          <t>인천시 계양구 계산동 753</t>
        </is>
      </c>
      <c r="AB11" s="0" t="inlineStr">
        <is>
          <t>인천시</t>
        </is>
      </c>
      <c r="AC11" s="0" t="inlineStr">
        <is>
          <t>계양구</t>
        </is>
      </c>
      <c r="AD11" s="0" t="inlineStr">
        <is>
          <t>계산동</t>
        </is>
      </c>
      <c r="AG11" s="0" t="inlineStr">
        <is>
          <t>인천시 계양구 계산로 18-1</t>
        </is>
      </c>
      <c r="AH11" s="0" t="n">
        <v>0</v>
      </c>
      <c r="AI11" s="0" t="n">
        <v>182</v>
      </c>
      <c r="AJ11" s="0" t="n">
        <v>30</v>
      </c>
      <c r="AK11" s="0" t="n">
        <v>56</v>
      </c>
      <c r="AL11" s="0" t="n">
        <v>0.25</v>
      </c>
    </row>
    <row r="12">
      <c r="A12" s="0" t="inlineStr">
        <is>
          <t>[계산동]</t>
        </is>
      </c>
      <c r="B12" s="0" t="n">
        <v>8510</v>
      </c>
      <c r="C12" s="0" t="n">
        <v>4</v>
      </c>
      <c r="D12" s="0" t="inlineStr">
        <is>
          <t>서해2차</t>
        </is>
      </c>
      <c r="E12" s="0" t="inlineStr">
        <is>
          <t>1990.09.</t>
        </is>
      </c>
      <c r="F12" s="0" t="n">
        <v>222</v>
      </c>
      <c r="G12" s="0" t="n">
        <v>25.33</v>
      </c>
      <c r="H12" s="0" t="n">
        <v>83.75</v>
      </c>
      <c r="I12" s="0" t="n">
        <v>20.12</v>
      </c>
      <c r="J12" s="0" t="n">
        <v>66.54000000000001</v>
      </c>
      <c r="K12" s="0" t="n">
        <v>6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83B</t>
        </is>
      </c>
      <c r="X12" s="0" t="n">
        <v>6</v>
      </c>
      <c r="Y12" s="0" t="n">
        <v>6</v>
      </c>
      <c r="Z12" s="0" t="inlineStr">
        <is>
          <t>https://new.land.naver.com/complexes/8510?tab=detail&amp;rf=Y</t>
        </is>
      </c>
      <c r="AA12" s="0" t="inlineStr">
        <is>
          <t>인천시 계양구 계산동 753</t>
        </is>
      </c>
      <c r="AB12" s="0" t="inlineStr">
        <is>
          <t>인천시</t>
        </is>
      </c>
      <c r="AC12" s="0" t="inlineStr">
        <is>
          <t>계양구</t>
        </is>
      </c>
      <c r="AD12" s="0" t="inlineStr">
        <is>
          <t>계산동</t>
        </is>
      </c>
      <c r="AG12" s="0" t="inlineStr">
        <is>
          <t>인천시 계양구 계산로 18-1</t>
        </is>
      </c>
      <c r="AH12" s="0" t="n">
        <v>0</v>
      </c>
      <c r="AI12" s="0" t="n">
        <v>182</v>
      </c>
      <c r="AJ12" s="0" t="n">
        <v>30</v>
      </c>
      <c r="AK12" s="0" t="n">
        <v>56</v>
      </c>
      <c r="AL12" s="0" t="n">
        <v>0.25</v>
      </c>
    </row>
    <row r="13">
      <c r="A13" s="0" t="inlineStr">
        <is>
          <t>[계산동]</t>
        </is>
      </c>
      <c r="B13" s="0" t="n">
        <v>8510</v>
      </c>
      <c r="C13" s="0" t="n">
        <v>5</v>
      </c>
      <c r="D13" s="0" t="inlineStr">
        <is>
          <t>서해2차</t>
        </is>
      </c>
      <c r="E13" s="0" t="inlineStr">
        <is>
          <t>1990.09.</t>
        </is>
      </c>
      <c r="F13" s="0" t="n">
        <v>222</v>
      </c>
      <c r="G13" s="0" t="n">
        <v>27.19</v>
      </c>
      <c r="H13" s="0" t="n">
        <v>89.91</v>
      </c>
      <c r="I13" s="0" t="n">
        <v>21.78</v>
      </c>
      <c r="J13" s="0" t="n">
        <v>72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89</v>
      </c>
      <c r="X13" s="0" t="n">
        <v>6</v>
      </c>
      <c r="Y13" s="0" t="n">
        <v>6</v>
      </c>
      <c r="Z13" s="0" t="inlineStr">
        <is>
          <t>https://new.land.naver.com/complexes/8510?tab=detail&amp;rf=Y</t>
        </is>
      </c>
      <c r="AA13" s="0" t="inlineStr">
        <is>
          <t>인천시 계양구 계산동 753</t>
        </is>
      </c>
      <c r="AB13" s="0" t="inlineStr">
        <is>
          <t>인천시</t>
        </is>
      </c>
      <c r="AC13" s="0" t="inlineStr">
        <is>
          <t>계양구</t>
        </is>
      </c>
      <c r="AD13" s="0" t="inlineStr">
        <is>
          <t>계산동</t>
        </is>
      </c>
      <c r="AG13" s="0" t="inlineStr">
        <is>
          <t>인천시 계양구 계산로 18-1</t>
        </is>
      </c>
      <c r="AH13" s="0" t="n">
        <v>0</v>
      </c>
      <c r="AI13" s="0" t="n">
        <v>182</v>
      </c>
      <c r="AJ13" s="0" t="n">
        <v>30</v>
      </c>
      <c r="AK13" s="0" t="n">
        <v>56</v>
      </c>
      <c r="AL13" s="0" t="n">
        <v>0.25</v>
      </c>
    </row>
    <row r="14">
      <c r="A14" s="0" t="inlineStr">
        <is>
          <t>[계산동]</t>
        </is>
      </c>
      <c r="B14" s="0" t="n">
        <v>8510</v>
      </c>
      <c r="C14" s="0" t="n">
        <v>6</v>
      </c>
      <c r="D14" s="0" t="inlineStr">
        <is>
          <t>서해2차</t>
        </is>
      </c>
      <c r="E14" s="0" t="inlineStr">
        <is>
          <t>1990.09.</t>
        </is>
      </c>
      <c r="F14" s="0" t="n">
        <v>222</v>
      </c>
      <c r="G14" s="0" t="n">
        <v>29.33</v>
      </c>
      <c r="H14" s="0" t="n">
        <v>96.98</v>
      </c>
      <c r="I14" s="0" t="n">
        <v>23.62</v>
      </c>
      <c r="J14" s="0" t="n">
        <v>78.09</v>
      </c>
      <c r="K14" s="0" t="n">
        <v>6</v>
      </c>
      <c r="T14" s="0" t="n">
        <v>3</v>
      </c>
      <c r="U14" s="0" t="n">
        <v>1</v>
      </c>
      <c r="V14" s="0" t="inlineStr">
        <is>
          <t>계단식</t>
        </is>
      </c>
      <c r="W14" s="0" t="n">
        <v>96</v>
      </c>
      <c r="X14" s="0" t="n">
        <v>6</v>
      </c>
      <c r="Y14" s="0" t="n">
        <v>6</v>
      </c>
      <c r="Z14" s="0" t="inlineStr">
        <is>
          <t>https://new.land.naver.com/complexes/8510?tab=detail&amp;rf=Y</t>
        </is>
      </c>
      <c r="AA14" s="0" t="inlineStr">
        <is>
          <t>인천시 계양구 계산동 753</t>
        </is>
      </c>
      <c r="AB14" s="0" t="inlineStr">
        <is>
          <t>인천시</t>
        </is>
      </c>
      <c r="AC14" s="0" t="inlineStr">
        <is>
          <t>계양구</t>
        </is>
      </c>
      <c r="AD14" s="0" t="inlineStr">
        <is>
          <t>계산동</t>
        </is>
      </c>
      <c r="AG14" s="0" t="inlineStr">
        <is>
          <t>인천시 계양구 계산로 18-1</t>
        </is>
      </c>
      <c r="AH14" s="0" t="n">
        <v>0</v>
      </c>
      <c r="AI14" s="0" t="n">
        <v>182</v>
      </c>
      <c r="AJ14" s="0" t="n">
        <v>30</v>
      </c>
      <c r="AK14" s="0" t="n">
        <v>56</v>
      </c>
      <c r="AL14" s="0" t="n">
        <v>0.25</v>
      </c>
    </row>
    <row r="15">
      <c r="A15" s="0" t="inlineStr">
        <is>
          <t>[계산동]</t>
        </is>
      </c>
      <c r="B15" s="0" t="n">
        <v>8510</v>
      </c>
      <c r="C15" s="0" t="n">
        <v>7</v>
      </c>
      <c r="D15" s="0" t="inlineStr">
        <is>
          <t>서해2차</t>
        </is>
      </c>
      <c r="E15" s="0" t="inlineStr">
        <is>
          <t>1990.09.</t>
        </is>
      </c>
      <c r="F15" s="0" t="n">
        <v>222</v>
      </c>
      <c r="G15" s="0" t="n">
        <v>31.03</v>
      </c>
      <c r="H15" s="0" t="n">
        <v>102.58</v>
      </c>
      <c r="I15" s="0" t="n">
        <v>23.31</v>
      </c>
      <c r="J15" s="0" t="n">
        <v>77.06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n">
        <v>102</v>
      </c>
      <c r="X15" s="0" t="n">
        <v>6</v>
      </c>
      <c r="Y15" s="0" t="n">
        <v>6</v>
      </c>
      <c r="Z15" s="0" t="inlineStr">
        <is>
          <t>https://new.land.naver.com/complexes/8510?tab=detail&amp;rf=Y</t>
        </is>
      </c>
      <c r="AA15" s="0" t="inlineStr">
        <is>
          <t>인천시 계양구 계산동 753</t>
        </is>
      </c>
      <c r="AB15" s="0" t="inlineStr">
        <is>
          <t>인천시</t>
        </is>
      </c>
      <c r="AC15" s="0" t="inlineStr">
        <is>
          <t>계양구</t>
        </is>
      </c>
      <c r="AD15" s="0" t="inlineStr">
        <is>
          <t>계산동</t>
        </is>
      </c>
      <c r="AG15" s="0" t="inlineStr">
        <is>
          <t>인천시 계양구 계산로 18-1</t>
        </is>
      </c>
      <c r="AH15" s="0" t="n">
        <v>0</v>
      </c>
      <c r="AI15" s="0" t="n">
        <v>182</v>
      </c>
      <c r="AJ15" s="0" t="n">
        <v>30</v>
      </c>
      <c r="AK15" s="0" t="n">
        <v>56</v>
      </c>
      <c r="AL15" s="0" t="n">
        <v>0.25</v>
      </c>
    </row>
    <row r="16">
      <c r="A16" s="0" t="inlineStr">
        <is>
          <t>[계산동]</t>
        </is>
      </c>
      <c r="B16" s="0" t="n">
        <v>2260</v>
      </c>
      <c r="C16" s="0" t="n">
        <v>1</v>
      </c>
      <c r="D16" s="0" t="inlineStr">
        <is>
          <t>원흥</t>
        </is>
      </c>
      <c r="E16" s="0" t="inlineStr">
        <is>
          <t>1991.03.</t>
        </is>
      </c>
      <c r="F16" s="0" t="n">
        <v>170</v>
      </c>
      <c r="G16" s="0" t="n">
        <v>18.81</v>
      </c>
      <c r="H16" s="0" t="n">
        <v>62.19</v>
      </c>
      <c r="I16" s="0" t="n">
        <v>14.5</v>
      </c>
      <c r="J16" s="0" t="n">
        <v>47.94</v>
      </c>
      <c r="K16" s="0" t="n">
        <v>36</v>
      </c>
      <c r="T16" s="0" t="n">
        <v>2</v>
      </c>
      <c r="U16" s="0" t="n">
        <v>1</v>
      </c>
      <c r="V16" s="0" t="inlineStr">
        <is>
          <t>계단식</t>
        </is>
      </c>
      <c r="W16" s="0" t="n">
        <v>62</v>
      </c>
      <c r="X16" s="0" t="n">
        <v>6</v>
      </c>
      <c r="Y16" s="0" t="n">
        <v>5</v>
      </c>
      <c r="Z16" s="0" t="inlineStr">
        <is>
          <t>https://new.land.naver.com/complexes/2260?tab=detail&amp;rf=Y</t>
        </is>
      </c>
      <c r="AA16" s="0" t="inlineStr">
        <is>
          <t>인천시 계양구 계산동 337-11</t>
        </is>
      </c>
      <c r="AB16" s="0" t="inlineStr">
        <is>
          <t>인천시</t>
        </is>
      </c>
      <c r="AC16" s="0" t="inlineStr">
        <is>
          <t>계양구</t>
        </is>
      </c>
      <c r="AD16" s="0" t="inlineStr">
        <is>
          <t>계산동</t>
        </is>
      </c>
      <c r="AG16" s="0" t="inlineStr">
        <is>
          <t>인천시 계양구 주부토로 520</t>
        </is>
      </c>
      <c r="AH16" s="0" t="n">
        <v>0</v>
      </c>
      <c r="AI16" s="0" t="n">
        <v>145</v>
      </c>
      <c r="AJ16" s="0" t="n">
        <v>26</v>
      </c>
      <c r="AK16" s="0" t="n">
        <v>37</v>
      </c>
      <c r="AL16" s="0" t="n">
        <v>0.22</v>
      </c>
    </row>
    <row r="17">
      <c r="A17" s="0" t="inlineStr">
        <is>
          <t>[계산동]</t>
        </is>
      </c>
      <c r="B17" s="0" t="n">
        <v>2260</v>
      </c>
      <c r="C17" s="0" t="n">
        <v>2</v>
      </c>
      <c r="D17" s="0" t="inlineStr">
        <is>
          <t>원흥</t>
        </is>
      </c>
      <c r="E17" s="0" t="inlineStr">
        <is>
          <t>1991.03.</t>
        </is>
      </c>
      <c r="F17" s="0" t="n">
        <v>170</v>
      </c>
      <c r="G17" s="0" t="n">
        <v>21.07</v>
      </c>
      <c r="H17" s="0" t="n">
        <v>69.66</v>
      </c>
      <c r="I17" s="0" t="n">
        <v>16.41</v>
      </c>
      <c r="J17" s="0" t="n">
        <v>54.27</v>
      </c>
      <c r="K17" s="0" t="n">
        <v>128</v>
      </c>
      <c r="T17" s="0" t="n">
        <v>3</v>
      </c>
      <c r="U17" s="0" t="n">
        <v>1</v>
      </c>
      <c r="V17" s="0" t="inlineStr">
        <is>
          <t>계단식</t>
        </is>
      </c>
      <c r="W17" s="0" t="n">
        <v>69</v>
      </c>
      <c r="X17" s="0" t="n">
        <v>6</v>
      </c>
      <c r="Y17" s="0" t="n">
        <v>5</v>
      </c>
      <c r="Z17" s="0" t="inlineStr">
        <is>
          <t>https://new.land.naver.com/complexes/2260?tab=detail&amp;rf=Y</t>
        </is>
      </c>
      <c r="AA17" s="0" t="inlineStr">
        <is>
          <t>인천시 계양구 계산동 337-11</t>
        </is>
      </c>
      <c r="AB17" s="0" t="inlineStr">
        <is>
          <t>인천시</t>
        </is>
      </c>
      <c r="AC17" s="0" t="inlineStr">
        <is>
          <t>계양구</t>
        </is>
      </c>
      <c r="AD17" s="0" t="inlineStr">
        <is>
          <t>계산동</t>
        </is>
      </c>
      <c r="AG17" s="0" t="inlineStr">
        <is>
          <t>인천시 계양구 주부토로 520</t>
        </is>
      </c>
      <c r="AH17" s="0" t="n">
        <v>0</v>
      </c>
      <c r="AI17" s="0" t="n">
        <v>145</v>
      </c>
      <c r="AJ17" s="0" t="n">
        <v>26</v>
      </c>
      <c r="AK17" s="0" t="n">
        <v>37</v>
      </c>
      <c r="AL17" s="0" t="n">
        <v>0.22</v>
      </c>
    </row>
    <row r="18">
      <c r="A18" s="0" t="inlineStr">
        <is>
          <t>[계산동]</t>
        </is>
      </c>
      <c r="B18" s="0" t="n">
        <v>2260</v>
      </c>
      <c r="C18" s="0" t="n">
        <v>3</v>
      </c>
      <c r="D18" s="0" t="inlineStr">
        <is>
          <t>원흥</t>
        </is>
      </c>
      <c r="E18" s="0" t="inlineStr">
        <is>
          <t>1991.03.</t>
        </is>
      </c>
      <c r="F18" s="0" t="n">
        <v>170</v>
      </c>
      <c r="G18" s="0" t="n">
        <v>25.08</v>
      </c>
      <c r="H18" s="0" t="n">
        <v>82.92</v>
      </c>
      <c r="I18" s="0" t="n">
        <v>18.24</v>
      </c>
      <c r="J18" s="0" t="n">
        <v>60.3</v>
      </c>
      <c r="K18" s="0" t="n">
        <v>6</v>
      </c>
      <c r="T18" s="0" t="n">
        <v>3</v>
      </c>
      <c r="U18" s="0" t="n">
        <v>1</v>
      </c>
      <c r="V18" s="0" t="inlineStr">
        <is>
          <t>계단식</t>
        </is>
      </c>
      <c r="W18" s="0" t="n">
        <v>82</v>
      </c>
      <c r="X18" s="0" t="n">
        <v>6</v>
      </c>
      <c r="Y18" s="0" t="n">
        <v>5</v>
      </c>
      <c r="Z18" s="0" t="inlineStr">
        <is>
          <t>https://new.land.naver.com/complexes/2260?tab=detail&amp;rf=Y</t>
        </is>
      </c>
      <c r="AA18" s="0" t="inlineStr">
        <is>
          <t>인천시 계양구 계산동 337-11</t>
        </is>
      </c>
      <c r="AB18" s="0" t="inlineStr">
        <is>
          <t>인천시</t>
        </is>
      </c>
      <c r="AC18" s="0" t="inlineStr">
        <is>
          <t>계양구</t>
        </is>
      </c>
      <c r="AD18" s="0" t="inlineStr">
        <is>
          <t>계산동</t>
        </is>
      </c>
      <c r="AG18" s="0" t="inlineStr">
        <is>
          <t>인천시 계양구 주부토로 520</t>
        </is>
      </c>
      <c r="AH18" s="0" t="n">
        <v>0</v>
      </c>
      <c r="AI18" s="0" t="n">
        <v>145</v>
      </c>
      <c r="AJ18" s="0" t="n">
        <v>26</v>
      </c>
      <c r="AK18" s="0" t="n">
        <v>37</v>
      </c>
      <c r="AL18" s="0" t="n">
        <v>0.22</v>
      </c>
    </row>
    <row r="19">
      <c r="A19" s="0" t="inlineStr">
        <is>
          <t>[계산동]</t>
        </is>
      </c>
      <c r="B19" s="0" t="n">
        <v>8518</v>
      </c>
      <c r="C19" s="0" t="n">
        <v>1</v>
      </c>
      <c r="D19" s="0" t="inlineStr">
        <is>
          <t>신한</t>
        </is>
      </c>
      <c r="E19" s="0" t="inlineStr">
        <is>
          <t>1986.08.</t>
        </is>
      </c>
      <c r="F19" s="0" t="n">
        <v>95</v>
      </c>
      <c r="G19" s="0" t="n">
        <v>19.22</v>
      </c>
      <c r="H19" s="0" t="n">
        <v>63.55</v>
      </c>
      <c r="I19" s="0" t="n">
        <v>14.56</v>
      </c>
      <c r="J19" s="0" t="n">
        <v>48.16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63</v>
      </c>
      <c r="X19" s="0" t="n">
        <v>5</v>
      </c>
      <c r="Y19" s="0" t="n">
        <v>5</v>
      </c>
      <c r="Z19" s="0" t="inlineStr">
        <is>
          <t>https://new.land.naver.com/complexes/8518?tab=detail&amp;rf=Y</t>
        </is>
      </c>
      <c r="AA19" s="0" t="inlineStr">
        <is>
          <t>인천시 계양구 계산동 931-8</t>
        </is>
      </c>
      <c r="AB19" s="0" t="inlineStr">
        <is>
          <t>인천시</t>
        </is>
      </c>
      <c r="AC19" s="0" t="inlineStr">
        <is>
          <t>계양구</t>
        </is>
      </c>
      <c r="AD19" s="0" t="inlineStr">
        <is>
          <t>계산동</t>
        </is>
      </c>
      <c r="AG19" s="0" t="inlineStr">
        <is>
          <t>인천시 계양구 경명대로1029번길 16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[계산동]</t>
        </is>
      </c>
      <c r="B20" s="0" t="n">
        <v>8518</v>
      </c>
      <c r="C20" s="0" t="n">
        <v>2</v>
      </c>
      <c r="D20" s="0" t="inlineStr">
        <is>
          <t>신한</t>
        </is>
      </c>
      <c r="E20" s="0" t="inlineStr">
        <is>
          <t>1986.08.</t>
        </is>
      </c>
      <c r="F20" s="0" t="n">
        <v>95</v>
      </c>
      <c r="G20" s="0" t="n">
        <v>20.21</v>
      </c>
      <c r="H20" s="0" t="n">
        <v>66.83</v>
      </c>
      <c r="I20" s="0" t="n">
        <v>15.41</v>
      </c>
      <c r="J20" s="0" t="n">
        <v>50.95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66</v>
      </c>
      <c r="X20" s="0" t="n">
        <v>5</v>
      </c>
      <c r="Y20" s="0" t="n">
        <v>5</v>
      </c>
      <c r="Z20" s="0" t="inlineStr">
        <is>
          <t>https://new.land.naver.com/complexes/8518?tab=detail&amp;rf=Y</t>
        </is>
      </c>
      <c r="AA20" s="0" t="inlineStr">
        <is>
          <t>인천시 계양구 계산동 931-8</t>
        </is>
      </c>
      <c r="AB20" s="0" t="inlineStr">
        <is>
          <t>인천시</t>
        </is>
      </c>
      <c r="AC20" s="0" t="inlineStr">
        <is>
          <t>계양구</t>
        </is>
      </c>
      <c r="AD20" s="0" t="inlineStr">
        <is>
          <t>계산동</t>
        </is>
      </c>
      <c r="AG20" s="0" t="inlineStr">
        <is>
          <t>인천시 계양구 경명대로1029번길 16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[계산동]</t>
        </is>
      </c>
      <c r="B21" s="0" t="n">
        <v>8518</v>
      </c>
      <c r="C21" s="0" t="n">
        <v>3</v>
      </c>
      <c r="D21" s="0" t="inlineStr">
        <is>
          <t>신한</t>
        </is>
      </c>
      <c r="E21" s="0" t="inlineStr">
        <is>
          <t>1986.08.</t>
        </is>
      </c>
      <c r="F21" s="0" t="n">
        <v>95</v>
      </c>
      <c r="G21" s="0" t="n">
        <v>21.69</v>
      </c>
      <c r="H21" s="0" t="n">
        <v>71.70999999999999</v>
      </c>
      <c r="I21" s="0" t="n">
        <v>16.01</v>
      </c>
      <c r="J21" s="0" t="n">
        <v>52.95</v>
      </c>
      <c r="K21" s="0" t="n">
        <v>15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71A</t>
        </is>
      </c>
      <c r="X21" s="0" t="n">
        <v>5</v>
      </c>
      <c r="Y21" s="0" t="n">
        <v>5</v>
      </c>
      <c r="Z21" s="0" t="inlineStr">
        <is>
          <t>https://new.land.naver.com/complexes/8518?tab=detail&amp;rf=Y</t>
        </is>
      </c>
      <c r="AA21" s="0" t="inlineStr">
        <is>
          <t>인천시 계양구 계산동 931-8</t>
        </is>
      </c>
      <c r="AB21" s="0" t="inlineStr">
        <is>
          <t>인천시</t>
        </is>
      </c>
      <c r="AC21" s="0" t="inlineStr">
        <is>
          <t>계양구</t>
        </is>
      </c>
      <c r="AD21" s="0" t="inlineStr">
        <is>
          <t>계산동</t>
        </is>
      </c>
      <c r="AG21" s="0" t="inlineStr">
        <is>
          <t>인천시 계양구 경명대로1029번길 16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[계산동]</t>
        </is>
      </c>
      <c r="B22" s="0" t="n">
        <v>8518</v>
      </c>
      <c r="C22" s="0" t="n">
        <v>4</v>
      </c>
      <c r="D22" s="0" t="inlineStr">
        <is>
          <t>신한</t>
        </is>
      </c>
      <c r="E22" s="0" t="inlineStr">
        <is>
          <t>1986.08.</t>
        </is>
      </c>
      <c r="F22" s="0" t="n">
        <v>95</v>
      </c>
      <c r="G22" s="0" t="n">
        <v>21.86</v>
      </c>
      <c r="H22" s="0" t="n">
        <v>72.29000000000001</v>
      </c>
      <c r="I22" s="0" t="n">
        <v>16.15</v>
      </c>
      <c r="J22" s="0" t="n">
        <v>53.4</v>
      </c>
      <c r="K22" s="0" t="n">
        <v>10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72B</t>
        </is>
      </c>
      <c r="X22" s="0" t="n">
        <v>5</v>
      </c>
      <c r="Y22" s="0" t="n">
        <v>5</v>
      </c>
      <c r="Z22" s="0" t="inlineStr">
        <is>
          <t>https://new.land.naver.com/complexes/8518?tab=detail&amp;rf=Y</t>
        </is>
      </c>
      <c r="AA22" s="0" t="inlineStr">
        <is>
          <t>인천시 계양구 계산동 931-8</t>
        </is>
      </c>
      <c r="AB22" s="0" t="inlineStr">
        <is>
          <t>인천시</t>
        </is>
      </c>
      <c r="AC22" s="0" t="inlineStr">
        <is>
          <t>계양구</t>
        </is>
      </c>
      <c r="AD22" s="0" t="inlineStr">
        <is>
          <t>계산동</t>
        </is>
      </c>
      <c r="AG22" s="0" t="inlineStr">
        <is>
          <t>인천시 계양구 경명대로1029번길 16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[계산동]</t>
        </is>
      </c>
      <c r="B23" s="0" t="n">
        <v>8518</v>
      </c>
      <c r="C23" s="0" t="n">
        <v>5</v>
      </c>
      <c r="D23" s="0" t="inlineStr">
        <is>
          <t>신한</t>
        </is>
      </c>
      <c r="E23" s="0" t="inlineStr">
        <is>
          <t>1986.08.</t>
        </is>
      </c>
      <c r="F23" s="0" t="n">
        <v>95</v>
      </c>
      <c r="G23" s="0" t="n">
        <v>22.9</v>
      </c>
      <c r="H23" s="0" t="n">
        <v>75.73</v>
      </c>
      <c r="I23" s="0" t="n">
        <v>16.71</v>
      </c>
      <c r="J23" s="0" t="n">
        <v>55.24</v>
      </c>
      <c r="K23" s="0" t="n">
        <v>10</v>
      </c>
      <c r="T23" s="0" t="n">
        <v>3</v>
      </c>
      <c r="U23" s="0" t="n">
        <v>1</v>
      </c>
      <c r="V23" s="0" t="inlineStr">
        <is>
          <t>계단식</t>
        </is>
      </c>
      <c r="W23" s="0" t="n">
        <v>75</v>
      </c>
      <c r="X23" s="0" t="n">
        <v>5</v>
      </c>
      <c r="Y23" s="0" t="n">
        <v>5</v>
      </c>
      <c r="Z23" s="0" t="inlineStr">
        <is>
          <t>https://new.land.naver.com/complexes/8518?tab=detail&amp;rf=Y</t>
        </is>
      </c>
      <c r="AA23" s="0" t="inlineStr">
        <is>
          <t>인천시 계양구 계산동 931-8</t>
        </is>
      </c>
      <c r="AB23" s="0" t="inlineStr">
        <is>
          <t>인천시</t>
        </is>
      </c>
      <c r="AC23" s="0" t="inlineStr">
        <is>
          <t>계양구</t>
        </is>
      </c>
      <c r="AD23" s="0" t="inlineStr">
        <is>
          <t>계산동</t>
        </is>
      </c>
      <c r="AG23" s="0" t="inlineStr">
        <is>
          <t>인천시 계양구 경명대로1029번길 16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[계산동]</t>
        </is>
      </c>
      <c r="B24" s="0" t="n">
        <v>8516</v>
      </c>
      <c r="C24" s="0" t="n">
        <v>1</v>
      </c>
      <c r="D24" s="0" t="inlineStr">
        <is>
          <t>삼환2차</t>
        </is>
      </c>
      <c r="E24" s="0" t="inlineStr">
        <is>
          <t>1989.12.</t>
        </is>
      </c>
      <c r="F24" s="0" t="n">
        <v>144</v>
      </c>
      <c r="G24" s="0" t="n">
        <v>21.28</v>
      </c>
      <c r="H24" s="0" t="n">
        <v>70.38</v>
      </c>
      <c r="I24" s="0" t="n">
        <v>17.47</v>
      </c>
      <c r="J24" s="0" t="n">
        <v>57.78</v>
      </c>
      <c r="K24" s="0" t="n">
        <v>42</v>
      </c>
      <c r="T24" s="0" t="n">
        <v>2</v>
      </c>
      <c r="U24" s="0" t="n">
        <v>1</v>
      </c>
      <c r="V24" s="0" t="inlineStr">
        <is>
          <t>계단식</t>
        </is>
      </c>
      <c r="W24" s="0" t="n">
        <v>70</v>
      </c>
      <c r="X24" s="0" t="n">
        <v>6</v>
      </c>
      <c r="Y24" s="0" t="n">
        <v>6</v>
      </c>
      <c r="Z24" s="0" t="inlineStr">
        <is>
          <t>https://new.land.naver.com/complexes/8516?tab=detail&amp;rf=Y</t>
        </is>
      </c>
      <c r="AA24" s="0" t="inlineStr">
        <is>
          <t>인천시 계양구 계산동 898-4</t>
        </is>
      </c>
      <c r="AB24" s="0" t="inlineStr">
        <is>
          <t>인천시</t>
        </is>
      </c>
      <c r="AC24" s="0" t="inlineStr">
        <is>
          <t>계양구</t>
        </is>
      </c>
      <c r="AD24" s="0" t="inlineStr">
        <is>
          <t>계산동</t>
        </is>
      </c>
      <c r="AG24" s="0" t="inlineStr">
        <is>
          <t>인천시 계양구 경명대로1045번길 21-12</t>
        </is>
      </c>
      <c r="AH24" s="0" t="n">
        <v>0</v>
      </c>
      <c r="AI24" s="0" t="n">
        <v>142</v>
      </c>
      <c r="AJ24" s="0" t="n">
        <v>23</v>
      </c>
      <c r="AK24" s="0" t="n">
        <v>60</v>
      </c>
      <c r="AL24" s="0" t="n">
        <v>0.42</v>
      </c>
    </row>
    <row r="25">
      <c r="A25" s="0" t="inlineStr">
        <is>
          <t>[계산동]</t>
        </is>
      </c>
      <c r="B25" s="0" t="n">
        <v>8516</v>
      </c>
      <c r="C25" s="0" t="n">
        <v>2</v>
      </c>
      <c r="D25" s="0" t="inlineStr">
        <is>
          <t>삼환2차</t>
        </is>
      </c>
      <c r="E25" s="0" t="inlineStr">
        <is>
          <t>1989.12.</t>
        </is>
      </c>
      <c r="F25" s="0" t="n">
        <v>144</v>
      </c>
      <c r="G25" s="0" t="n">
        <v>23.96</v>
      </c>
      <c r="H25" s="0" t="n">
        <v>79.20999999999999</v>
      </c>
      <c r="I25" s="0" t="n">
        <v>19.92</v>
      </c>
      <c r="J25" s="0" t="n">
        <v>65.88</v>
      </c>
      <c r="K25" s="0" t="n">
        <v>40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79A</t>
        </is>
      </c>
      <c r="X25" s="0" t="n">
        <v>6</v>
      </c>
      <c r="Y25" s="0" t="n">
        <v>6</v>
      </c>
      <c r="Z25" s="0" t="inlineStr">
        <is>
          <t>https://new.land.naver.com/complexes/8516?tab=detail&amp;rf=Y</t>
        </is>
      </c>
      <c r="AA25" s="0" t="inlineStr">
        <is>
          <t>인천시 계양구 계산동 898-4</t>
        </is>
      </c>
      <c r="AB25" s="0" t="inlineStr">
        <is>
          <t>인천시</t>
        </is>
      </c>
      <c r="AC25" s="0" t="inlineStr">
        <is>
          <t>계양구</t>
        </is>
      </c>
      <c r="AD25" s="0" t="inlineStr">
        <is>
          <t>계산동</t>
        </is>
      </c>
      <c r="AG25" s="0" t="inlineStr">
        <is>
          <t>인천시 계양구 경명대로1045번길 21-12</t>
        </is>
      </c>
      <c r="AH25" s="0" t="n">
        <v>0</v>
      </c>
      <c r="AI25" s="0" t="n">
        <v>142</v>
      </c>
      <c r="AJ25" s="0" t="n">
        <v>23</v>
      </c>
      <c r="AK25" s="0" t="n">
        <v>60</v>
      </c>
      <c r="AL25" s="0" t="n">
        <v>0.42</v>
      </c>
    </row>
    <row r="26">
      <c r="A26" s="0" t="inlineStr">
        <is>
          <t>[계산동]</t>
        </is>
      </c>
      <c r="B26" s="0" t="n">
        <v>8516</v>
      </c>
      <c r="C26" s="0" t="n">
        <v>3</v>
      </c>
      <c r="D26" s="0" t="inlineStr">
        <is>
          <t>삼환2차</t>
        </is>
      </c>
      <c r="E26" s="0" t="inlineStr">
        <is>
          <t>1989.12.</t>
        </is>
      </c>
      <c r="F26" s="0" t="n">
        <v>144</v>
      </c>
      <c r="G26" s="0" t="n">
        <v>23.96</v>
      </c>
      <c r="H26" s="0" t="n">
        <v>79.22</v>
      </c>
      <c r="I26" s="0" t="n">
        <v>19.93</v>
      </c>
      <c r="J26" s="0" t="n">
        <v>65.89</v>
      </c>
      <c r="K26" s="0" t="n">
        <v>2</v>
      </c>
      <c r="T26" s="0" t="n">
        <v>3</v>
      </c>
      <c r="U26" s="0" t="n">
        <v>1</v>
      </c>
      <c r="V26" s="0" t="inlineStr">
        <is>
          <t>계단식</t>
        </is>
      </c>
      <c r="W26" s="0" t="inlineStr">
        <is>
          <t>79B</t>
        </is>
      </c>
      <c r="X26" s="0" t="n">
        <v>6</v>
      </c>
      <c r="Y26" s="0" t="n">
        <v>6</v>
      </c>
      <c r="Z26" s="0" t="inlineStr">
        <is>
          <t>https://new.land.naver.com/complexes/8516?tab=detail&amp;rf=Y</t>
        </is>
      </c>
      <c r="AA26" s="0" t="inlineStr">
        <is>
          <t>인천시 계양구 계산동 898-4</t>
        </is>
      </c>
      <c r="AB26" s="0" t="inlineStr">
        <is>
          <t>인천시</t>
        </is>
      </c>
      <c r="AC26" s="0" t="inlineStr">
        <is>
          <t>계양구</t>
        </is>
      </c>
      <c r="AD26" s="0" t="inlineStr">
        <is>
          <t>계산동</t>
        </is>
      </c>
      <c r="AG26" s="0" t="inlineStr">
        <is>
          <t>인천시 계양구 경명대로1045번길 21-12</t>
        </is>
      </c>
      <c r="AH26" s="0" t="n">
        <v>0</v>
      </c>
      <c r="AI26" s="0" t="n">
        <v>142</v>
      </c>
      <c r="AJ26" s="0" t="n">
        <v>23</v>
      </c>
      <c r="AK26" s="0" t="n">
        <v>60</v>
      </c>
      <c r="AL26" s="0" t="n">
        <v>0.42</v>
      </c>
    </row>
    <row r="27">
      <c r="A27" s="0" t="inlineStr">
        <is>
          <t>[계산동]</t>
        </is>
      </c>
      <c r="B27" s="0" t="n">
        <v>8516</v>
      </c>
      <c r="C27" s="0" t="n">
        <v>4</v>
      </c>
      <c r="D27" s="0" t="inlineStr">
        <is>
          <t>삼환2차</t>
        </is>
      </c>
      <c r="E27" s="0" t="inlineStr">
        <is>
          <t>1989.12.</t>
        </is>
      </c>
      <c r="F27" s="0" t="n">
        <v>144</v>
      </c>
      <c r="G27" s="0" t="n">
        <v>26.54</v>
      </c>
      <c r="H27" s="0" t="n">
        <v>87.76000000000001</v>
      </c>
      <c r="I27" s="0" t="n">
        <v>22.22</v>
      </c>
      <c r="J27" s="0" t="n">
        <v>73.48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87</v>
      </c>
      <c r="X27" s="0" t="n">
        <v>6</v>
      </c>
      <c r="Y27" s="0" t="n">
        <v>6</v>
      </c>
      <c r="Z27" s="0" t="inlineStr">
        <is>
          <t>https://new.land.naver.com/complexes/8516?tab=detail&amp;rf=Y</t>
        </is>
      </c>
      <c r="AA27" s="0" t="inlineStr">
        <is>
          <t>인천시 계양구 계산동 898-4</t>
        </is>
      </c>
      <c r="AB27" s="0" t="inlineStr">
        <is>
          <t>인천시</t>
        </is>
      </c>
      <c r="AC27" s="0" t="inlineStr">
        <is>
          <t>계양구</t>
        </is>
      </c>
      <c r="AD27" s="0" t="inlineStr">
        <is>
          <t>계산동</t>
        </is>
      </c>
      <c r="AG27" s="0" t="inlineStr">
        <is>
          <t>인천시 계양구 경명대로1045번길 21-12</t>
        </is>
      </c>
      <c r="AH27" s="0" t="n">
        <v>0</v>
      </c>
      <c r="AI27" s="0" t="n">
        <v>142</v>
      </c>
      <c r="AJ27" s="0" t="n">
        <v>23</v>
      </c>
      <c r="AK27" s="0" t="n">
        <v>60</v>
      </c>
      <c r="AL27" s="0" t="n">
        <v>0.42</v>
      </c>
    </row>
    <row r="28">
      <c r="A28" s="0" t="inlineStr">
        <is>
          <t>[계산동]</t>
        </is>
      </c>
      <c r="B28" s="0" t="n">
        <v>8503</v>
      </c>
      <c r="C28" s="0" t="n">
        <v>1</v>
      </c>
      <c r="D28" s="0" t="inlineStr">
        <is>
          <t>기산</t>
        </is>
      </c>
      <c r="E28" s="0" t="inlineStr">
        <is>
          <t>1996.07.</t>
        </is>
      </c>
      <c r="F28" s="0" t="n">
        <v>142</v>
      </c>
      <c r="G28" s="0" t="n">
        <v>24.61</v>
      </c>
      <c r="H28" s="0" t="n">
        <v>81.36</v>
      </c>
      <c r="I28" s="0" t="n">
        <v>18.05</v>
      </c>
      <c r="J28" s="0" t="n">
        <v>59.67</v>
      </c>
      <c r="K28" s="0" t="n">
        <v>76</v>
      </c>
      <c r="T28" s="0" t="n">
        <v>3</v>
      </c>
      <c r="U28" s="0" t="n">
        <v>1</v>
      </c>
      <c r="V28" s="0" t="inlineStr">
        <is>
          <t>복도식</t>
        </is>
      </c>
      <c r="W28" s="0" t="n">
        <v>81</v>
      </c>
      <c r="X28" s="0" t="n">
        <v>18</v>
      </c>
      <c r="Y28" s="0" t="n">
        <v>8</v>
      </c>
      <c r="Z28" s="0" t="inlineStr">
        <is>
          <t>https://new.land.naver.com/complexes/8503?tab=detail&amp;rf=Y</t>
        </is>
      </c>
      <c r="AA28" s="0" t="inlineStr">
        <is>
          <t>인천시 계양구 계산동 949-4</t>
        </is>
      </c>
      <c r="AB28" s="0" t="inlineStr">
        <is>
          <t>인천시</t>
        </is>
      </c>
      <c r="AC28" s="0" t="inlineStr">
        <is>
          <t>계양구</t>
        </is>
      </c>
      <c r="AD28" s="0" t="inlineStr">
        <is>
          <t>계산동</t>
        </is>
      </c>
      <c r="AG28" s="0" t="inlineStr">
        <is>
          <t>인천시 계양구 어사대로 39</t>
        </is>
      </c>
      <c r="AH28" s="0" t="n">
        <v>0</v>
      </c>
      <c r="AI28" s="0" t="n">
        <v>330</v>
      </c>
      <c r="AJ28" s="0" t="n">
        <v>28</v>
      </c>
      <c r="AK28" s="0" t="n">
        <v>86</v>
      </c>
      <c r="AL28" s="0" t="n">
        <v>0.61</v>
      </c>
    </row>
    <row r="29">
      <c r="A29" s="0" t="inlineStr">
        <is>
          <t>[계산동]</t>
        </is>
      </c>
      <c r="B29" s="0" t="n">
        <v>8503</v>
      </c>
      <c r="C29" s="0" t="n">
        <v>2</v>
      </c>
      <c r="D29" s="0" t="inlineStr">
        <is>
          <t>기산</t>
        </is>
      </c>
      <c r="E29" s="0" t="inlineStr">
        <is>
          <t>1996.07.</t>
        </is>
      </c>
      <c r="F29" s="0" t="n">
        <v>142</v>
      </c>
      <c r="G29" s="0" t="n">
        <v>28.21</v>
      </c>
      <c r="H29" s="0" t="n">
        <v>93.26000000000001</v>
      </c>
      <c r="I29" s="0" t="n">
        <v>20.69</v>
      </c>
      <c r="J29" s="0" t="n">
        <v>68.40000000000001</v>
      </c>
      <c r="K29" s="0" t="n">
        <v>66</v>
      </c>
      <c r="T29" s="0" t="n">
        <v>3</v>
      </c>
      <c r="U29" s="0" t="n">
        <v>1</v>
      </c>
      <c r="V29" s="0" t="inlineStr">
        <is>
          <t>복도식</t>
        </is>
      </c>
      <c r="W29" s="0" t="n">
        <v>93</v>
      </c>
      <c r="X29" s="0" t="n">
        <v>18</v>
      </c>
      <c r="Y29" s="0" t="n">
        <v>8</v>
      </c>
      <c r="Z29" s="0" t="inlineStr">
        <is>
          <t>https://new.land.naver.com/complexes/8503?tab=detail&amp;rf=Y</t>
        </is>
      </c>
      <c r="AA29" s="0" t="inlineStr">
        <is>
          <t>인천시 계양구 계산동 949-4</t>
        </is>
      </c>
      <c r="AB29" s="0" t="inlineStr">
        <is>
          <t>인천시</t>
        </is>
      </c>
      <c r="AC29" s="0" t="inlineStr">
        <is>
          <t>계양구</t>
        </is>
      </c>
      <c r="AD29" s="0" t="inlineStr">
        <is>
          <t>계산동</t>
        </is>
      </c>
      <c r="AG29" s="0" t="inlineStr">
        <is>
          <t>인천시 계양구 어사대로 39</t>
        </is>
      </c>
      <c r="AH29" s="0" t="n">
        <v>0</v>
      </c>
      <c r="AI29" s="0" t="n">
        <v>330</v>
      </c>
      <c r="AJ29" s="0" t="n">
        <v>28</v>
      </c>
      <c r="AK29" s="0" t="n">
        <v>86</v>
      </c>
      <c r="AL29" s="0" t="n">
        <v>0.61</v>
      </c>
    </row>
    <row r="30">
      <c r="A30" s="0" t="inlineStr">
        <is>
          <t>[계산동]</t>
        </is>
      </c>
      <c r="B30" s="0" t="n">
        <v>2256</v>
      </c>
      <c r="C30" s="0" t="n">
        <v>1</v>
      </c>
      <c r="D30" s="0" t="inlineStr">
        <is>
          <t>삼보3차</t>
        </is>
      </c>
      <c r="E30" s="0" t="inlineStr">
        <is>
          <t>1988.10.</t>
        </is>
      </c>
      <c r="F30" s="0" t="n">
        <v>366</v>
      </c>
      <c r="G30" s="0" t="n">
        <v>16.28</v>
      </c>
      <c r="H30" s="0" t="n">
        <v>53.83</v>
      </c>
      <c r="I30" s="0" t="n">
        <v>12.6</v>
      </c>
      <c r="J30" s="0" t="n">
        <v>41.67</v>
      </c>
      <c r="K30" s="0" t="n">
        <v>60</v>
      </c>
      <c r="T30" s="0" t="n">
        <v>2</v>
      </c>
      <c r="U30" s="0" t="n">
        <v>1</v>
      </c>
      <c r="V30" s="0" t="inlineStr">
        <is>
          <t>계단식</t>
        </is>
      </c>
      <c r="W30" s="0" t="n">
        <v>53</v>
      </c>
      <c r="X30" s="0" t="n">
        <v>6</v>
      </c>
      <c r="Y30" s="0" t="n">
        <v>6</v>
      </c>
      <c r="Z30" s="0" t="inlineStr">
        <is>
          <t>https://new.land.naver.com/complexes/2256?tab=detail&amp;rf=Y</t>
        </is>
      </c>
      <c r="AA30" s="0" t="inlineStr">
        <is>
          <t>인천시 계양구 계산동 12-4</t>
        </is>
      </c>
      <c r="AB30" s="0" t="inlineStr">
        <is>
          <t>인천시</t>
        </is>
      </c>
      <c r="AC30" s="0" t="inlineStr">
        <is>
          <t>계양구</t>
        </is>
      </c>
      <c r="AD30" s="0" t="inlineStr">
        <is>
          <t>계산동</t>
        </is>
      </c>
      <c r="AG30" s="0" t="inlineStr">
        <is>
          <t>인천시 계양구 경명대로 1126</t>
        </is>
      </c>
      <c r="AH30" s="0" t="n">
        <v>0</v>
      </c>
      <c r="AI30" s="0" t="n">
        <v>179</v>
      </c>
      <c r="AJ30" s="0" t="n">
        <v>30</v>
      </c>
      <c r="AK30" s="0" t="n">
        <v>366</v>
      </c>
      <c r="AL30" s="0" t="n">
        <v>1</v>
      </c>
    </row>
    <row r="31">
      <c r="A31" s="0" t="inlineStr">
        <is>
          <t>[계산동]</t>
        </is>
      </c>
      <c r="B31" s="0" t="n">
        <v>2256</v>
      </c>
      <c r="C31" s="0" t="n">
        <v>2</v>
      </c>
      <c r="D31" s="0" t="inlineStr">
        <is>
          <t>삼보3차</t>
        </is>
      </c>
      <c r="E31" s="0" t="inlineStr">
        <is>
          <t>1988.10.</t>
        </is>
      </c>
      <c r="F31" s="0" t="n">
        <v>366</v>
      </c>
      <c r="G31" s="0" t="n">
        <v>19.13</v>
      </c>
      <c r="H31" s="0" t="n">
        <v>63.27</v>
      </c>
      <c r="I31" s="0" t="n">
        <v>15</v>
      </c>
      <c r="J31" s="0" t="n">
        <v>49.59</v>
      </c>
      <c r="K31" s="0" t="n">
        <v>181</v>
      </c>
      <c r="T31" s="0" t="n">
        <v>3</v>
      </c>
      <c r="U31" s="0" t="n">
        <v>1</v>
      </c>
      <c r="V31" s="0" t="inlineStr">
        <is>
          <t>계단식</t>
        </is>
      </c>
      <c r="W31" s="0" t="n">
        <v>63</v>
      </c>
      <c r="X31" s="0" t="n">
        <v>6</v>
      </c>
      <c r="Y31" s="0" t="n">
        <v>6</v>
      </c>
      <c r="Z31" s="0" t="inlineStr">
        <is>
          <t>https://new.land.naver.com/complexes/2256?tab=detail&amp;rf=Y</t>
        </is>
      </c>
      <c r="AA31" s="0" t="inlineStr">
        <is>
          <t>인천시 계양구 계산동 12-4</t>
        </is>
      </c>
      <c r="AB31" s="0" t="inlineStr">
        <is>
          <t>인천시</t>
        </is>
      </c>
      <c r="AC31" s="0" t="inlineStr">
        <is>
          <t>계양구</t>
        </is>
      </c>
      <c r="AD31" s="0" t="inlineStr">
        <is>
          <t>계산동</t>
        </is>
      </c>
      <c r="AG31" s="0" t="inlineStr">
        <is>
          <t>인천시 계양구 경명대로 1126</t>
        </is>
      </c>
      <c r="AH31" s="0" t="n">
        <v>0</v>
      </c>
      <c r="AI31" s="0" t="n">
        <v>179</v>
      </c>
      <c r="AJ31" s="0" t="n">
        <v>30</v>
      </c>
      <c r="AK31" s="0" t="n">
        <v>366</v>
      </c>
      <c r="AL31" s="0" t="n">
        <v>1</v>
      </c>
    </row>
    <row r="32">
      <c r="A32" s="0" t="inlineStr">
        <is>
          <t>[계산동]</t>
        </is>
      </c>
      <c r="B32" s="0" t="n">
        <v>2256</v>
      </c>
      <c r="C32" s="0" t="n">
        <v>3</v>
      </c>
      <c r="D32" s="0" t="inlineStr">
        <is>
          <t>삼보3차</t>
        </is>
      </c>
      <c r="E32" s="0" t="inlineStr">
        <is>
          <t>1988.10.</t>
        </is>
      </c>
      <c r="F32" s="0" t="n">
        <v>366</v>
      </c>
      <c r="G32" s="0" t="n">
        <v>22.07</v>
      </c>
      <c r="H32" s="0" t="n">
        <v>72.95999999999999</v>
      </c>
      <c r="I32" s="0" t="n">
        <v>17.53</v>
      </c>
      <c r="J32" s="0" t="n">
        <v>57.96</v>
      </c>
      <c r="K32" s="0" t="n">
        <v>120</v>
      </c>
      <c r="T32" s="0" t="n">
        <v>3</v>
      </c>
      <c r="U32" s="0" t="n">
        <v>1</v>
      </c>
      <c r="V32" s="0" t="inlineStr">
        <is>
          <t>계단식</t>
        </is>
      </c>
      <c r="W32" s="0" t="n">
        <v>72</v>
      </c>
      <c r="X32" s="0" t="n">
        <v>6</v>
      </c>
      <c r="Y32" s="0" t="n">
        <v>6</v>
      </c>
      <c r="Z32" s="0" t="inlineStr">
        <is>
          <t>https://new.land.naver.com/complexes/2256?tab=detail&amp;rf=Y</t>
        </is>
      </c>
      <c r="AA32" s="0" t="inlineStr">
        <is>
          <t>인천시 계양구 계산동 12-4</t>
        </is>
      </c>
      <c r="AB32" s="0" t="inlineStr">
        <is>
          <t>인천시</t>
        </is>
      </c>
      <c r="AC32" s="0" t="inlineStr">
        <is>
          <t>계양구</t>
        </is>
      </c>
      <c r="AD32" s="0" t="inlineStr">
        <is>
          <t>계산동</t>
        </is>
      </c>
      <c r="AG32" s="0" t="inlineStr">
        <is>
          <t>인천시 계양구 경명대로 1126</t>
        </is>
      </c>
      <c r="AH32" s="0" t="n">
        <v>0</v>
      </c>
      <c r="AI32" s="0" t="n">
        <v>179</v>
      </c>
      <c r="AJ32" s="0" t="n">
        <v>30</v>
      </c>
      <c r="AK32" s="0" t="n">
        <v>366</v>
      </c>
      <c r="AL32" s="0" t="n">
        <v>1</v>
      </c>
    </row>
    <row r="33">
      <c r="A33" s="0" t="inlineStr">
        <is>
          <t>[계산동]</t>
        </is>
      </c>
      <c r="B33" s="0" t="n">
        <v>2256</v>
      </c>
      <c r="C33" s="0" t="n">
        <v>4</v>
      </c>
      <c r="D33" s="0" t="inlineStr">
        <is>
          <t>삼보3차</t>
        </is>
      </c>
      <c r="E33" s="0" t="inlineStr">
        <is>
          <t>1988.10.</t>
        </is>
      </c>
      <c r="F33" s="0" t="n">
        <v>366</v>
      </c>
      <c r="G33" s="0" t="n">
        <v>23.15</v>
      </c>
      <c r="H33" s="0" t="n">
        <v>76.54000000000001</v>
      </c>
      <c r="I33" s="0" t="n">
        <v>16.85</v>
      </c>
      <c r="J33" s="0" t="n">
        <v>55.71</v>
      </c>
      <c r="K33" s="0" t="n">
        <v>5</v>
      </c>
      <c r="T33" s="0" t="n">
        <v>3</v>
      </c>
      <c r="U33" s="0" t="n">
        <v>1</v>
      </c>
      <c r="V33" s="0" t="inlineStr">
        <is>
          <t>계단식</t>
        </is>
      </c>
      <c r="W33" s="0" t="n">
        <v>76</v>
      </c>
      <c r="X33" s="0" t="n">
        <v>6</v>
      </c>
      <c r="Y33" s="0" t="n">
        <v>6</v>
      </c>
      <c r="Z33" s="0" t="inlineStr">
        <is>
          <t>https://new.land.naver.com/complexes/2256?tab=detail&amp;rf=Y</t>
        </is>
      </c>
      <c r="AA33" s="0" t="inlineStr">
        <is>
          <t>인천시 계양구 계산동 12-4</t>
        </is>
      </c>
      <c r="AB33" s="0" t="inlineStr">
        <is>
          <t>인천시</t>
        </is>
      </c>
      <c r="AC33" s="0" t="inlineStr">
        <is>
          <t>계양구</t>
        </is>
      </c>
      <c r="AD33" s="0" t="inlineStr">
        <is>
          <t>계산동</t>
        </is>
      </c>
      <c r="AG33" s="0" t="inlineStr">
        <is>
          <t>인천시 계양구 경명대로 1126</t>
        </is>
      </c>
      <c r="AH33" s="0" t="n">
        <v>0</v>
      </c>
      <c r="AI33" s="0" t="n">
        <v>179</v>
      </c>
      <c r="AJ33" s="0" t="n">
        <v>30</v>
      </c>
      <c r="AK33" s="0" t="n">
        <v>366</v>
      </c>
      <c r="AL33" s="0" t="n">
        <v>1</v>
      </c>
    </row>
    <row r="34">
      <c r="A34" s="0" t="inlineStr">
        <is>
          <t>[계산동]</t>
        </is>
      </c>
      <c r="B34" s="0" t="n">
        <v>8522</v>
      </c>
      <c r="C34" s="0" t="n">
        <v>1</v>
      </c>
      <c r="D34" s="0" t="inlineStr">
        <is>
          <t>일신</t>
        </is>
      </c>
      <c r="E34" s="0" t="inlineStr">
        <is>
          <t>1986.11.</t>
        </is>
      </c>
      <c r="F34" s="0" t="n">
        <v>80</v>
      </c>
      <c r="G34" s="0" t="n">
        <v>14.13</v>
      </c>
      <c r="H34" s="0" t="n">
        <v>46.72</v>
      </c>
      <c r="I34" s="0" t="n">
        <v>11.18</v>
      </c>
      <c r="J34" s="0" t="n">
        <v>36.99</v>
      </c>
      <c r="K34" s="0" t="n">
        <v>40</v>
      </c>
      <c r="T34" s="0" t="n">
        <v>2</v>
      </c>
      <c r="U34" s="0" t="n">
        <v>1</v>
      </c>
      <c r="V34" s="0" t="inlineStr">
        <is>
          <t>계단식</t>
        </is>
      </c>
      <c r="W34" s="0" t="n">
        <v>46</v>
      </c>
      <c r="X34" s="0" t="n">
        <v>5</v>
      </c>
      <c r="Y34" s="0" t="n">
        <v>5</v>
      </c>
      <c r="Z34" s="0" t="inlineStr">
        <is>
          <t>https://new.land.naver.com/complexes/8522?tab=detail&amp;rf=Y</t>
        </is>
      </c>
      <c r="AA34" s="0" t="inlineStr">
        <is>
          <t>인천시 계양구 계산동 931-39</t>
        </is>
      </c>
      <c r="AB34" s="0" t="inlineStr">
        <is>
          <t>인천시</t>
        </is>
      </c>
      <c r="AC34" s="0" t="inlineStr">
        <is>
          <t>계양구</t>
        </is>
      </c>
      <c r="AD34" s="0" t="inlineStr">
        <is>
          <t>계산동</t>
        </is>
      </c>
      <c r="AG34" s="0" t="inlineStr">
        <is>
          <t>인천시 계양구 경명대로1045번길 8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[계산동]</t>
        </is>
      </c>
      <c r="B35" s="0" t="n">
        <v>8522</v>
      </c>
      <c r="C35" s="0" t="n">
        <v>2</v>
      </c>
      <c r="D35" s="0" t="inlineStr">
        <is>
          <t>일신</t>
        </is>
      </c>
      <c r="E35" s="0" t="inlineStr">
        <is>
          <t>1986.11.</t>
        </is>
      </c>
      <c r="F35" s="0" t="n">
        <v>80</v>
      </c>
      <c r="G35" s="0" t="n">
        <v>16.95</v>
      </c>
      <c r="H35" s="0" t="n">
        <v>56.04</v>
      </c>
      <c r="I35" s="0" t="n">
        <v>13.72</v>
      </c>
      <c r="J35" s="0" t="n">
        <v>45.36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56</v>
      </c>
      <c r="X35" s="0" t="n">
        <v>5</v>
      </c>
      <c r="Y35" s="0" t="n">
        <v>5</v>
      </c>
      <c r="Z35" s="0" t="inlineStr">
        <is>
          <t>https://new.land.naver.com/complexes/8522?tab=detail&amp;rf=Y</t>
        </is>
      </c>
      <c r="AA35" s="0" t="inlineStr">
        <is>
          <t>인천시 계양구 계산동 931-39</t>
        </is>
      </c>
      <c r="AB35" s="0" t="inlineStr">
        <is>
          <t>인천시</t>
        </is>
      </c>
      <c r="AC35" s="0" t="inlineStr">
        <is>
          <t>계양구</t>
        </is>
      </c>
      <c r="AD35" s="0" t="inlineStr">
        <is>
          <t>계산동</t>
        </is>
      </c>
      <c r="AG35" s="0" t="inlineStr">
        <is>
          <t>인천시 계양구 경명대로1045번길 8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[계산동]</t>
        </is>
      </c>
      <c r="B36" s="0" t="n">
        <v>8528</v>
      </c>
      <c r="C36" s="0" t="n">
        <v>1</v>
      </c>
      <c r="D36" s="0" t="inlineStr">
        <is>
          <t>태평</t>
        </is>
      </c>
      <c r="E36" s="0" t="inlineStr">
        <is>
          <t>1990.12.</t>
        </is>
      </c>
      <c r="F36" s="0" t="n">
        <v>432</v>
      </c>
      <c r="G36" s="0" t="n">
        <v>17.52</v>
      </c>
      <c r="H36" s="0" t="n">
        <v>57.94</v>
      </c>
      <c r="I36" s="0" t="n">
        <v>13.55</v>
      </c>
      <c r="J36" s="0" t="n">
        <v>44.81</v>
      </c>
      <c r="K36" s="0" t="n">
        <v>168</v>
      </c>
      <c r="T36" s="0" t="n">
        <v>2</v>
      </c>
      <c r="U36" s="0" t="n">
        <v>1</v>
      </c>
      <c r="V36" s="0" t="inlineStr">
        <is>
          <t>계단식</t>
        </is>
      </c>
      <c r="W36" s="0" t="n">
        <v>57</v>
      </c>
      <c r="X36" s="0" t="n">
        <v>6</v>
      </c>
      <c r="Y36" s="0" t="n">
        <v>6</v>
      </c>
      <c r="Z36" s="0" t="inlineStr">
        <is>
          <t>https://new.land.naver.com/complexes/8528?tab=detail&amp;rf=Y</t>
        </is>
      </c>
      <c r="AA36" s="0" t="inlineStr">
        <is>
          <t>인천시 계양구 계산동 49-4</t>
        </is>
      </c>
      <c r="AB36" s="0" t="inlineStr">
        <is>
          <t>인천시</t>
        </is>
      </c>
      <c r="AC36" s="0" t="inlineStr">
        <is>
          <t>계양구</t>
        </is>
      </c>
      <c r="AD36" s="0" t="inlineStr">
        <is>
          <t>계산동</t>
        </is>
      </c>
      <c r="AG36" s="0" t="inlineStr">
        <is>
          <t>인천시 계양구 주부토로532번길 42</t>
        </is>
      </c>
      <c r="AH36" s="0" t="n">
        <v>0</v>
      </c>
      <c r="AI36" s="0" t="n">
        <v>191</v>
      </c>
      <c r="AJ36" s="0" t="n">
        <v>32</v>
      </c>
      <c r="AK36" s="0" t="n">
        <v>97</v>
      </c>
      <c r="AL36" s="0" t="n">
        <v>0.22</v>
      </c>
    </row>
    <row r="37">
      <c r="A37" s="0" t="inlineStr">
        <is>
          <t>[계산동]</t>
        </is>
      </c>
      <c r="B37" s="0" t="n">
        <v>8528</v>
      </c>
      <c r="C37" s="0" t="n">
        <v>2</v>
      </c>
      <c r="D37" s="0" t="inlineStr">
        <is>
          <t>태평</t>
        </is>
      </c>
      <c r="E37" s="0" t="inlineStr">
        <is>
          <t>1990.12.</t>
        </is>
      </c>
      <c r="F37" s="0" t="n">
        <v>432</v>
      </c>
      <c r="G37" s="0" t="n">
        <v>21.86</v>
      </c>
      <c r="H37" s="0" t="n">
        <v>72.27</v>
      </c>
      <c r="I37" s="0" t="n">
        <v>17.25</v>
      </c>
      <c r="J37" s="0" t="n">
        <v>57.03</v>
      </c>
      <c r="K37" s="0" t="n">
        <v>168</v>
      </c>
      <c r="T37" s="0" t="n">
        <v>3</v>
      </c>
      <c r="U37" s="0" t="n">
        <v>1</v>
      </c>
      <c r="V37" s="0" t="inlineStr">
        <is>
          <t>계단식</t>
        </is>
      </c>
      <c r="W37" s="0" t="n">
        <v>72</v>
      </c>
      <c r="X37" s="0" t="n">
        <v>6</v>
      </c>
      <c r="Y37" s="0" t="n">
        <v>6</v>
      </c>
      <c r="Z37" s="0" t="inlineStr">
        <is>
          <t>https://new.land.naver.com/complexes/8528?tab=detail&amp;rf=Y</t>
        </is>
      </c>
      <c r="AA37" s="0" t="inlineStr">
        <is>
          <t>인천시 계양구 계산동 49-4</t>
        </is>
      </c>
      <c r="AB37" s="0" t="inlineStr">
        <is>
          <t>인천시</t>
        </is>
      </c>
      <c r="AC37" s="0" t="inlineStr">
        <is>
          <t>계양구</t>
        </is>
      </c>
      <c r="AD37" s="0" t="inlineStr">
        <is>
          <t>계산동</t>
        </is>
      </c>
      <c r="AG37" s="0" t="inlineStr">
        <is>
          <t>인천시 계양구 주부토로532번길 42</t>
        </is>
      </c>
      <c r="AH37" s="0" t="n">
        <v>0</v>
      </c>
      <c r="AI37" s="0" t="n">
        <v>191</v>
      </c>
      <c r="AJ37" s="0" t="n">
        <v>32</v>
      </c>
      <c r="AK37" s="0" t="n">
        <v>97</v>
      </c>
      <c r="AL37" s="0" t="n">
        <v>0.22</v>
      </c>
    </row>
    <row r="38">
      <c r="A38" s="0" t="inlineStr">
        <is>
          <t>[계산동]</t>
        </is>
      </c>
      <c r="B38" s="0" t="n">
        <v>8528</v>
      </c>
      <c r="C38" s="0" t="n">
        <v>3</v>
      </c>
      <c r="D38" s="0" t="inlineStr">
        <is>
          <t>태평</t>
        </is>
      </c>
      <c r="E38" s="0" t="inlineStr">
        <is>
          <t>1990.12.</t>
        </is>
      </c>
      <c r="F38" s="0" t="n">
        <v>432</v>
      </c>
      <c r="G38" s="0" t="n">
        <v>22.82</v>
      </c>
      <c r="H38" s="0" t="n">
        <v>75.45999999999999</v>
      </c>
      <c r="I38" s="0" t="n">
        <v>18.09</v>
      </c>
      <c r="J38" s="0" t="n">
        <v>59.82</v>
      </c>
      <c r="K38" s="0" t="n">
        <v>48</v>
      </c>
      <c r="T38" s="0" t="n">
        <v>3</v>
      </c>
      <c r="U38" s="0" t="n">
        <v>1</v>
      </c>
      <c r="V38" s="0" t="inlineStr">
        <is>
          <t>계단식</t>
        </is>
      </c>
      <c r="W38" s="0" t="n">
        <v>75</v>
      </c>
      <c r="X38" s="0" t="n">
        <v>6</v>
      </c>
      <c r="Y38" s="0" t="n">
        <v>6</v>
      </c>
      <c r="Z38" s="0" t="inlineStr">
        <is>
          <t>https://new.land.naver.com/complexes/8528?tab=detail&amp;rf=Y</t>
        </is>
      </c>
      <c r="AA38" s="0" t="inlineStr">
        <is>
          <t>인천시 계양구 계산동 49-4</t>
        </is>
      </c>
      <c r="AB38" s="0" t="inlineStr">
        <is>
          <t>인천시</t>
        </is>
      </c>
      <c r="AC38" s="0" t="inlineStr">
        <is>
          <t>계양구</t>
        </is>
      </c>
      <c r="AD38" s="0" t="inlineStr">
        <is>
          <t>계산동</t>
        </is>
      </c>
      <c r="AG38" s="0" t="inlineStr">
        <is>
          <t>인천시 계양구 주부토로532번길 42</t>
        </is>
      </c>
      <c r="AH38" s="0" t="n">
        <v>0</v>
      </c>
      <c r="AI38" s="0" t="n">
        <v>191</v>
      </c>
      <c r="AJ38" s="0" t="n">
        <v>32</v>
      </c>
      <c r="AK38" s="0" t="n">
        <v>97</v>
      </c>
      <c r="AL38" s="0" t="n">
        <v>0.22</v>
      </c>
    </row>
    <row r="39">
      <c r="A39" s="0" t="inlineStr">
        <is>
          <t>[계산동]</t>
        </is>
      </c>
      <c r="B39" s="0" t="n">
        <v>8528</v>
      </c>
      <c r="C39" s="0" t="n">
        <v>4</v>
      </c>
      <c r="D39" s="0" t="inlineStr">
        <is>
          <t>태평</t>
        </is>
      </c>
      <c r="E39" s="0" t="inlineStr">
        <is>
          <t>1990.12.</t>
        </is>
      </c>
      <c r="F39" s="0" t="n">
        <v>432</v>
      </c>
      <c r="G39" s="0" t="n">
        <v>24.16</v>
      </c>
      <c r="H39" s="0" t="n">
        <v>79.88</v>
      </c>
      <c r="I39" s="0" t="n">
        <v>19.25</v>
      </c>
      <c r="J39" s="0" t="n">
        <v>63.66</v>
      </c>
      <c r="K39" s="0" t="n">
        <v>48</v>
      </c>
      <c r="T39" s="0" t="n">
        <v>3</v>
      </c>
      <c r="U39" s="0" t="n">
        <v>1</v>
      </c>
      <c r="V39" s="0" t="inlineStr">
        <is>
          <t>계단식</t>
        </is>
      </c>
      <c r="W39" s="0" t="n">
        <v>79</v>
      </c>
      <c r="X39" s="0" t="n">
        <v>6</v>
      </c>
      <c r="Y39" s="0" t="n">
        <v>6</v>
      </c>
      <c r="Z39" s="0" t="inlineStr">
        <is>
          <t>https://new.land.naver.com/complexes/8528?tab=detail&amp;rf=Y</t>
        </is>
      </c>
      <c r="AA39" s="0" t="inlineStr">
        <is>
          <t>인천시 계양구 계산동 49-4</t>
        </is>
      </c>
      <c r="AB39" s="0" t="inlineStr">
        <is>
          <t>인천시</t>
        </is>
      </c>
      <c r="AC39" s="0" t="inlineStr">
        <is>
          <t>계양구</t>
        </is>
      </c>
      <c r="AD39" s="0" t="inlineStr">
        <is>
          <t>계산동</t>
        </is>
      </c>
      <c r="AG39" s="0" t="inlineStr">
        <is>
          <t>인천시 계양구 주부토로532번길 42</t>
        </is>
      </c>
      <c r="AH39" s="0" t="n">
        <v>0</v>
      </c>
      <c r="AI39" s="0" t="n">
        <v>191</v>
      </c>
      <c r="AJ39" s="0" t="n">
        <v>32</v>
      </c>
      <c r="AK39" s="0" t="n">
        <v>97</v>
      </c>
      <c r="AL39" s="0" t="n">
        <v>0.22</v>
      </c>
    </row>
    <row r="40">
      <c r="A40" s="0" t="inlineStr">
        <is>
          <t>[계산동]</t>
        </is>
      </c>
      <c r="B40" s="0" t="n">
        <v>124979</v>
      </c>
      <c r="C40" s="0" t="n">
        <v>1</v>
      </c>
      <c r="D40" s="0" t="inlineStr">
        <is>
          <t>행복</t>
        </is>
      </c>
      <c r="E40" s="0" t="inlineStr">
        <is>
          <t>2003.01.</t>
        </is>
      </c>
      <c r="F40" s="0" t="n">
        <v>16</v>
      </c>
      <c r="G40" s="0" t="n">
        <v>13.11</v>
      </c>
      <c r="H40" s="0" t="n">
        <v>43.35</v>
      </c>
      <c r="I40" s="0" t="n">
        <v>11.85</v>
      </c>
      <c r="J40" s="0" t="n">
        <v>39.19</v>
      </c>
      <c r="K40" s="0" t="n">
        <v>1</v>
      </c>
      <c r="T40" s="0" t="n">
        <v>1</v>
      </c>
      <c r="U40" s="0" t="n">
        <v>1</v>
      </c>
      <c r="V40" s="0" t="inlineStr">
        <is>
          <t>계단식</t>
        </is>
      </c>
      <c r="W40" s="0" t="n">
        <v>43</v>
      </c>
      <c r="X40" s="0" t="n">
        <v>6</v>
      </c>
      <c r="Y40" s="0" t="n">
        <v>6</v>
      </c>
      <c r="Z40" s="0" t="inlineStr">
        <is>
          <t>https://new.land.naver.com/complexes/124979?tab=detail&amp;rf=Y</t>
        </is>
      </c>
      <c r="AA40" s="0" t="inlineStr">
        <is>
          <t>인천시 계양구 계산동 958-29</t>
        </is>
      </c>
      <c r="AB40" s="0" t="inlineStr">
        <is>
          <t>인천시</t>
        </is>
      </c>
      <c r="AC40" s="0" t="inlineStr">
        <is>
          <t>계양구</t>
        </is>
      </c>
      <c r="AD40" s="0" t="inlineStr">
        <is>
          <t>계산동</t>
        </is>
      </c>
      <c r="AG40" s="0" t="inlineStr">
        <is>
          <t>인천시 계양구 계산시장길 7-12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[계산동]</t>
        </is>
      </c>
      <c r="B41" s="0" t="n">
        <v>124979</v>
      </c>
      <c r="C41" s="0" t="n">
        <v>2</v>
      </c>
      <c r="D41" s="0" t="inlineStr">
        <is>
          <t>행복</t>
        </is>
      </c>
      <c r="E41" s="0" t="inlineStr">
        <is>
          <t>2003.01.</t>
        </is>
      </c>
      <c r="F41" s="0" t="n">
        <v>16</v>
      </c>
      <c r="G41" s="0" t="n">
        <v>14.7</v>
      </c>
      <c r="H41" s="0" t="n">
        <v>48.61</v>
      </c>
      <c r="I41" s="0" t="n">
        <v>13.24</v>
      </c>
      <c r="J41" s="0" t="n">
        <v>43.77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n">
        <v>48</v>
      </c>
      <c r="X41" s="0" t="n">
        <v>6</v>
      </c>
      <c r="Y41" s="0" t="n">
        <v>6</v>
      </c>
      <c r="Z41" s="0" t="inlineStr">
        <is>
          <t>https://new.land.naver.com/complexes/124979?tab=detail&amp;rf=Y</t>
        </is>
      </c>
      <c r="AA41" s="0" t="inlineStr">
        <is>
          <t>인천시 계양구 계산동 958-29</t>
        </is>
      </c>
      <c r="AB41" s="0" t="inlineStr">
        <is>
          <t>인천시</t>
        </is>
      </c>
      <c r="AC41" s="0" t="inlineStr">
        <is>
          <t>계양구</t>
        </is>
      </c>
      <c r="AD41" s="0" t="inlineStr">
        <is>
          <t>계산동</t>
        </is>
      </c>
      <c r="AG41" s="0" t="inlineStr">
        <is>
          <t>인천시 계양구 계산시장길 7-12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[계산동]</t>
        </is>
      </c>
      <c r="B42" s="0" t="n">
        <v>124979</v>
      </c>
      <c r="C42" s="0" t="n">
        <v>3</v>
      </c>
      <c r="D42" s="0" t="inlineStr">
        <is>
          <t>행복</t>
        </is>
      </c>
      <c r="E42" s="0" t="inlineStr">
        <is>
          <t>2003.01.</t>
        </is>
      </c>
      <c r="F42" s="0" t="n">
        <v>16</v>
      </c>
      <c r="G42" s="0" t="n">
        <v>20.03</v>
      </c>
      <c r="H42" s="0" t="n">
        <v>66.22</v>
      </c>
      <c r="I42" s="0" t="n">
        <v>18.11</v>
      </c>
      <c r="J42" s="0" t="n">
        <v>59.87</v>
      </c>
      <c r="K42" s="0" t="n">
        <v>1</v>
      </c>
      <c r="T42" s="0" t="n">
        <v>3</v>
      </c>
      <c r="U42" s="0" t="n">
        <v>1</v>
      </c>
      <c r="V42" s="0" t="inlineStr">
        <is>
          <t>계단식</t>
        </is>
      </c>
      <c r="W42" s="0" t="n">
        <v>66</v>
      </c>
      <c r="X42" s="0" t="n">
        <v>6</v>
      </c>
      <c r="Y42" s="0" t="n">
        <v>6</v>
      </c>
      <c r="Z42" s="0" t="inlineStr">
        <is>
          <t>https://new.land.naver.com/complexes/124979?tab=detail&amp;rf=Y</t>
        </is>
      </c>
      <c r="AA42" s="0" t="inlineStr">
        <is>
          <t>인천시 계양구 계산동 958-29</t>
        </is>
      </c>
      <c r="AB42" s="0" t="inlineStr">
        <is>
          <t>인천시</t>
        </is>
      </c>
      <c r="AC42" s="0" t="inlineStr">
        <is>
          <t>계양구</t>
        </is>
      </c>
      <c r="AD42" s="0" t="inlineStr">
        <is>
          <t>계산동</t>
        </is>
      </c>
      <c r="AG42" s="0" t="inlineStr">
        <is>
          <t>인천시 계양구 계산시장길 7-12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[계산동]</t>
        </is>
      </c>
      <c r="B43" s="0" t="n">
        <v>124979</v>
      </c>
      <c r="C43" s="0" t="n">
        <v>4</v>
      </c>
      <c r="D43" s="0" t="inlineStr">
        <is>
          <t>행복</t>
        </is>
      </c>
      <c r="E43" s="0" t="inlineStr">
        <is>
          <t>2003.01.</t>
        </is>
      </c>
      <c r="F43" s="0" t="n">
        <v>16</v>
      </c>
      <c r="G43" s="0" t="n">
        <v>21.42</v>
      </c>
      <c r="H43" s="0" t="n">
        <v>70.84</v>
      </c>
      <c r="I43" s="0" t="n">
        <v>19.37</v>
      </c>
      <c r="J43" s="0" t="n">
        <v>64.05</v>
      </c>
      <c r="K43" s="0" t="n">
        <v>3</v>
      </c>
      <c r="T43" s="0" t="n">
        <v>3</v>
      </c>
      <c r="U43" s="0" t="n">
        <v>1</v>
      </c>
      <c r="V43" s="0" t="inlineStr">
        <is>
          <t>계단식</t>
        </is>
      </c>
      <c r="W43" s="0" t="n">
        <v>70</v>
      </c>
      <c r="X43" s="0" t="n">
        <v>6</v>
      </c>
      <c r="Y43" s="0" t="n">
        <v>6</v>
      </c>
      <c r="Z43" s="0" t="inlineStr">
        <is>
          <t>https://new.land.naver.com/complexes/124979?tab=detail&amp;rf=Y</t>
        </is>
      </c>
      <c r="AA43" s="0" t="inlineStr">
        <is>
          <t>인천시 계양구 계산동 958-29</t>
        </is>
      </c>
      <c r="AB43" s="0" t="inlineStr">
        <is>
          <t>인천시</t>
        </is>
      </c>
      <c r="AC43" s="0" t="inlineStr">
        <is>
          <t>계양구</t>
        </is>
      </c>
      <c r="AD43" s="0" t="inlineStr">
        <is>
          <t>계산동</t>
        </is>
      </c>
      <c r="AG43" s="0" t="inlineStr">
        <is>
          <t>인천시 계양구 계산시장길 7-12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[계산동]</t>
        </is>
      </c>
      <c r="B44" s="0" t="n">
        <v>124979</v>
      </c>
      <c r="C44" s="0" t="n">
        <v>5</v>
      </c>
      <c r="D44" s="0" t="inlineStr">
        <is>
          <t>행복</t>
        </is>
      </c>
      <c r="E44" s="0" t="inlineStr">
        <is>
          <t>2003.01.</t>
        </is>
      </c>
      <c r="F44" s="0" t="n">
        <v>16</v>
      </c>
      <c r="G44" s="0" t="n">
        <v>21.81</v>
      </c>
      <c r="H44" s="0" t="n">
        <v>72.09999999999999</v>
      </c>
      <c r="I44" s="0" t="n">
        <v>19.64</v>
      </c>
      <c r="J44" s="0" t="n">
        <v>64.93000000000001</v>
      </c>
      <c r="K44" s="0" t="n">
        <v>7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72A</t>
        </is>
      </c>
      <c r="X44" s="0" t="n">
        <v>6</v>
      </c>
      <c r="Y44" s="0" t="n">
        <v>6</v>
      </c>
      <c r="Z44" s="0" t="inlineStr">
        <is>
          <t>https://new.land.naver.com/complexes/124979?tab=detail&amp;rf=Y</t>
        </is>
      </c>
      <c r="AA44" s="0" t="inlineStr">
        <is>
          <t>인천시 계양구 계산동 958-29</t>
        </is>
      </c>
      <c r="AB44" s="0" t="inlineStr">
        <is>
          <t>인천시</t>
        </is>
      </c>
      <c r="AC44" s="0" t="inlineStr">
        <is>
          <t>계양구</t>
        </is>
      </c>
      <c r="AD44" s="0" t="inlineStr">
        <is>
          <t>계산동</t>
        </is>
      </c>
      <c r="AG44" s="0" t="inlineStr">
        <is>
          <t>인천시 계양구 계산시장길 7-12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[계산동]</t>
        </is>
      </c>
      <c r="B45" s="0" t="n">
        <v>124979</v>
      </c>
      <c r="C45" s="0" t="n">
        <v>6</v>
      </c>
      <c r="D45" s="0" t="inlineStr">
        <is>
          <t>행복</t>
        </is>
      </c>
      <c r="E45" s="0" t="inlineStr">
        <is>
          <t>2003.01.</t>
        </is>
      </c>
      <c r="F45" s="0" t="n">
        <v>16</v>
      </c>
      <c r="G45" s="0" t="n">
        <v>22.01</v>
      </c>
      <c r="H45" s="0" t="n">
        <v>72.78</v>
      </c>
      <c r="I45" s="0" t="n">
        <v>19.9</v>
      </c>
      <c r="J45" s="0" t="n">
        <v>65.8</v>
      </c>
      <c r="K45" s="0" t="n">
        <v>3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72B</t>
        </is>
      </c>
      <c r="X45" s="0" t="n">
        <v>6</v>
      </c>
      <c r="Y45" s="0" t="n">
        <v>6</v>
      </c>
      <c r="Z45" s="0" t="inlineStr">
        <is>
          <t>https://new.land.naver.com/complexes/124979?tab=detail&amp;rf=Y</t>
        </is>
      </c>
      <c r="AA45" s="0" t="inlineStr">
        <is>
          <t>인천시 계양구 계산동 958-29</t>
        </is>
      </c>
      <c r="AB45" s="0" t="inlineStr">
        <is>
          <t>인천시</t>
        </is>
      </c>
      <c r="AC45" s="0" t="inlineStr">
        <is>
          <t>계양구</t>
        </is>
      </c>
      <c r="AD45" s="0" t="inlineStr">
        <is>
          <t>계산동</t>
        </is>
      </c>
      <c r="AG45" s="0" t="inlineStr">
        <is>
          <t>인천시 계양구 계산시장길 7-12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[계산동]</t>
        </is>
      </c>
      <c r="B46" s="0" t="n">
        <v>11386</v>
      </c>
      <c r="C46" s="0" t="n">
        <v>1</v>
      </c>
      <c r="D46" s="0" t="inlineStr">
        <is>
          <t>신도브래뉴</t>
        </is>
      </c>
      <c r="E46" s="0" t="inlineStr">
        <is>
          <t>2005.05.</t>
        </is>
      </c>
      <c r="F46" s="0" t="n">
        <v>481</v>
      </c>
      <c r="G46" s="0" t="n">
        <v>24.08</v>
      </c>
      <c r="H46" s="0" t="n">
        <v>79.63</v>
      </c>
      <c r="I46" s="0" t="n">
        <v>17.44</v>
      </c>
      <c r="J46" s="0" t="n">
        <v>57.68</v>
      </c>
      <c r="K46" s="0" t="n">
        <v>234</v>
      </c>
      <c r="T46" s="0" t="n">
        <v>3</v>
      </c>
      <c r="U46" s="0" t="n">
        <v>1</v>
      </c>
      <c r="V46" s="0" t="inlineStr">
        <is>
          <t>복도식</t>
        </is>
      </c>
      <c r="W46" s="0" t="n">
        <v>79</v>
      </c>
      <c r="X46" s="0" t="n">
        <v>21</v>
      </c>
      <c r="Y46" s="0" t="n">
        <v>12</v>
      </c>
      <c r="Z46" s="0" t="inlineStr">
        <is>
          <t>https://new.land.naver.com/complexes/11386?tab=detail&amp;rf=Y</t>
        </is>
      </c>
      <c r="AA46" s="0" t="inlineStr">
        <is>
          <t>인천시 계양구 계산동 941</t>
        </is>
      </c>
      <c r="AB46" s="0" t="inlineStr">
        <is>
          <t>인천시</t>
        </is>
      </c>
      <c r="AC46" s="0" t="inlineStr">
        <is>
          <t>계양구</t>
        </is>
      </c>
      <c r="AD46" s="0" t="inlineStr">
        <is>
          <t>계산동</t>
        </is>
      </c>
      <c r="AG46" s="0" t="inlineStr">
        <is>
          <t>인천시 계양구 계양대로 215</t>
        </is>
      </c>
      <c r="AH46" s="0" t="n">
        <v>0</v>
      </c>
      <c r="AI46" s="0" t="n">
        <v>336</v>
      </c>
      <c r="AJ46" s="0" t="n">
        <v>25</v>
      </c>
      <c r="AK46" s="0" t="n">
        <v>497</v>
      </c>
      <c r="AL46" s="0" t="n">
        <v>1.03</v>
      </c>
    </row>
    <row r="47">
      <c r="A47" s="0" t="inlineStr">
        <is>
          <t>[계산동]</t>
        </is>
      </c>
      <c r="B47" s="0" t="n">
        <v>11386</v>
      </c>
      <c r="C47" s="0" t="n">
        <v>2</v>
      </c>
      <c r="D47" s="0" t="inlineStr">
        <is>
          <t>신도브래뉴</t>
        </is>
      </c>
      <c r="E47" s="0" t="inlineStr">
        <is>
          <t>2005.05.</t>
        </is>
      </c>
      <c r="F47" s="0" t="n">
        <v>481</v>
      </c>
      <c r="G47" s="0" t="n">
        <v>31.91</v>
      </c>
      <c r="H47" s="0" t="n">
        <v>105.49</v>
      </c>
      <c r="I47" s="0" t="n">
        <v>25.67</v>
      </c>
      <c r="J47" s="0" t="n">
        <v>84.87</v>
      </c>
      <c r="K47" s="0" t="n">
        <v>207</v>
      </c>
      <c r="T47" s="0" t="n">
        <v>3</v>
      </c>
      <c r="U47" s="0" t="n">
        <v>2</v>
      </c>
      <c r="V47" s="0" t="inlineStr">
        <is>
          <t>계단식</t>
        </is>
      </c>
      <c r="W47" s="0" t="n">
        <v>105</v>
      </c>
      <c r="X47" s="0" t="n">
        <v>21</v>
      </c>
      <c r="Y47" s="0" t="n">
        <v>12</v>
      </c>
      <c r="Z47" s="0" t="inlineStr">
        <is>
          <t>https://new.land.naver.com/complexes/11386?tab=detail&amp;rf=Y</t>
        </is>
      </c>
      <c r="AA47" s="0" t="inlineStr">
        <is>
          <t>인천시 계양구 계산동 941</t>
        </is>
      </c>
      <c r="AB47" s="0" t="inlineStr">
        <is>
          <t>인천시</t>
        </is>
      </c>
      <c r="AC47" s="0" t="inlineStr">
        <is>
          <t>계양구</t>
        </is>
      </c>
      <c r="AD47" s="0" t="inlineStr">
        <is>
          <t>계산동</t>
        </is>
      </c>
      <c r="AG47" s="0" t="inlineStr">
        <is>
          <t>인천시 계양구 계양대로 215</t>
        </is>
      </c>
      <c r="AH47" s="0" t="n">
        <v>0</v>
      </c>
      <c r="AI47" s="0" t="n">
        <v>336</v>
      </c>
      <c r="AJ47" s="0" t="n">
        <v>25</v>
      </c>
      <c r="AK47" s="0" t="n">
        <v>497</v>
      </c>
      <c r="AL47" s="0" t="n">
        <v>1.03</v>
      </c>
    </row>
    <row r="48">
      <c r="A48" s="0" t="inlineStr">
        <is>
          <t>[계산동]</t>
        </is>
      </c>
      <c r="B48" s="0" t="n">
        <v>11386</v>
      </c>
      <c r="C48" s="0" t="n">
        <v>3</v>
      </c>
      <c r="D48" s="0" t="inlineStr">
        <is>
          <t>신도브래뉴</t>
        </is>
      </c>
      <c r="E48" s="0" t="inlineStr">
        <is>
          <t>2005.05.</t>
        </is>
      </c>
      <c r="F48" s="0" t="n">
        <v>481</v>
      </c>
      <c r="G48" s="0" t="n">
        <v>35.04</v>
      </c>
      <c r="H48" s="0" t="n">
        <v>115.84</v>
      </c>
      <c r="I48" s="0" t="n">
        <v>25.69</v>
      </c>
      <c r="J48" s="0" t="n">
        <v>84.95</v>
      </c>
      <c r="K48" s="0" t="n">
        <v>40</v>
      </c>
      <c r="T48" s="0" t="n">
        <v>3</v>
      </c>
      <c r="U48" s="0" t="n">
        <v>2</v>
      </c>
      <c r="V48" s="0" t="inlineStr">
        <is>
          <t>계단식</t>
        </is>
      </c>
      <c r="W48" s="0" t="n">
        <v>115</v>
      </c>
      <c r="X48" s="0" t="n">
        <v>21</v>
      </c>
      <c r="Y48" s="0" t="n">
        <v>12</v>
      </c>
      <c r="Z48" s="0" t="inlineStr">
        <is>
          <t>https://new.land.naver.com/complexes/11386?tab=detail&amp;rf=Y</t>
        </is>
      </c>
      <c r="AA48" s="0" t="inlineStr">
        <is>
          <t>인천시 계양구 계산동 941</t>
        </is>
      </c>
      <c r="AB48" s="0" t="inlineStr">
        <is>
          <t>인천시</t>
        </is>
      </c>
      <c r="AC48" s="0" t="inlineStr">
        <is>
          <t>계양구</t>
        </is>
      </c>
      <c r="AD48" s="0" t="inlineStr">
        <is>
          <t>계산동</t>
        </is>
      </c>
      <c r="AG48" s="0" t="inlineStr">
        <is>
          <t>인천시 계양구 계양대로 215</t>
        </is>
      </c>
      <c r="AH48" s="0" t="n">
        <v>0</v>
      </c>
      <c r="AI48" s="0" t="n">
        <v>336</v>
      </c>
      <c r="AJ48" s="0" t="n">
        <v>25</v>
      </c>
      <c r="AK48" s="0" t="n">
        <v>497</v>
      </c>
      <c r="AL48" s="0" t="n">
        <v>1.03</v>
      </c>
    </row>
    <row r="49">
      <c r="A49" s="0" t="inlineStr">
        <is>
          <t>[계산동]</t>
        </is>
      </c>
      <c r="B49" s="0" t="n">
        <v>8506</v>
      </c>
      <c r="C49" s="0" t="n">
        <v>1</v>
      </c>
      <c r="D49" s="0" t="inlineStr">
        <is>
          <t>동남(975-8)</t>
        </is>
      </c>
      <c r="E49" s="0" t="inlineStr">
        <is>
          <t>1987.05.</t>
        </is>
      </c>
      <c r="F49" s="0" t="n">
        <v>100</v>
      </c>
      <c r="G49" s="0" t="n">
        <v>16.26</v>
      </c>
      <c r="H49" s="0" t="n">
        <v>53.76</v>
      </c>
      <c r="I49" s="0" t="n">
        <v>12.57</v>
      </c>
      <c r="J49" s="0" t="n">
        <v>41.56</v>
      </c>
      <c r="K49" s="0" t="n">
        <v>30</v>
      </c>
      <c r="T49" s="0" t="n">
        <v>2</v>
      </c>
      <c r="U49" s="0" t="n">
        <v>1</v>
      </c>
      <c r="V49" s="0" t="inlineStr">
        <is>
          <t>계단식</t>
        </is>
      </c>
      <c r="W49" s="0" t="n">
        <v>53</v>
      </c>
      <c r="X49" s="0" t="n">
        <v>5</v>
      </c>
      <c r="Y49" s="0" t="n">
        <v>5</v>
      </c>
      <c r="Z49" s="0" t="inlineStr">
        <is>
          <t>https://new.land.naver.com/complexes/8506?tab=detail&amp;rf=Y</t>
        </is>
      </c>
      <c r="AA49" s="0" t="inlineStr">
        <is>
          <t>인천시 계양구 계산동 975-8</t>
        </is>
      </c>
      <c r="AB49" s="0" t="inlineStr">
        <is>
          <t>인천시</t>
        </is>
      </c>
      <c r="AC49" s="0" t="inlineStr">
        <is>
          <t>계양구</t>
        </is>
      </c>
      <c r="AD49" s="0" t="inlineStr">
        <is>
          <t>계산동</t>
        </is>
      </c>
      <c r="AG49" s="0" t="inlineStr">
        <is>
          <t>인천시 계양구 향교로 23</t>
        </is>
      </c>
      <c r="AH49" s="0" t="n">
        <v>0</v>
      </c>
      <c r="AI49" s="0" t="n">
        <v>157</v>
      </c>
      <c r="AJ49" s="0" t="n">
        <v>31</v>
      </c>
      <c r="AK49" s="0" t="n">
        <v>0</v>
      </c>
      <c r="AL49" s="0" t="n">
        <v>0</v>
      </c>
    </row>
    <row r="50">
      <c r="A50" s="0" t="inlineStr">
        <is>
          <t>[계산동]</t>
        </is>
      </c>
      <c r="B50" s="0" t="n">
        <v>8506</v>
      </c>
      <c r="C50" s="0" t="n">
        <v>2</v>
      </c>
      <c r="D50" s="0" t="inlineStr">
        <is>
          <t>동남(975-8)</t>
        </is>
      </c>
      <c r="E50" s="0" t="inlineStr">
        <is>
          <t>1987.05.</t>
        </is>
      </c>
      <c r="F50" s="0" t="n">
        <v>100</v>
      </c>
      <c r="G50" s="0" t="n">
        <v>17.36</v>
      </c>
      <c r="H50" s="0" t="n">
        <v>57.42</v>
      </c>
      <c r="I50" s="0" t="n">
        <v>13.52</v>
      </c>
      <c r="J50" s="0" t="n">
        <v>44.7</v>
      </c>
      <c r="K50" s="0" t="n">
        <v>20</v>
      </c>
      <c r="T50" s="0" t="n">
        <v>2</v>
      </c>
      <c r="U50" s="0" t="n">
        <v>1</v>
      </c>
      <c r="V50" s="0" t="inlineStr">
        <is>
          <t>계단식</t>
        </is>
      </c>
      <c r="W50" s="0" t="n">
        <v>57</v>
      </c>
      <c r="X50" s="0" t="n">
        <v>5</v>
      </c>
      <c r="Y50" s="0" t="n">
        <v>5</v>
      </c>
      <c r="Z50" s="0" t="inlineStr">
        <is>
          <t>https://new.land.naver.com/complexes/8506?tab=detail&amp;rf=Y</t>
        </is>
      </c>
      <c r="AA50" s="0" t="inlineStr">
        <is>
          <t>인천시 계양구 계산동 975-8</t>
        </is>
      </c>
      <c r="AB50" s="0" t="inlineStr">
        <is>
          <t>인천시</t>
        </is>
      </c>
      <c r="AC50" s="0" t="inlineStr">
        <is>
          <t>계양구</t>
        </is>
      </c>
      <c r="AD50" s="0" t="inlineStr">
        <is>
          <t>계산동</t>
        </is>
      </c>
      <c r="AG50" s="0" t="inlineStr">
        <is>
          <t>인천시 계양구 향교로 23</t>
        </is>
      </c>
      <c r="AH50" s="0" t="n">
        <v>0</v>
      </c>
      <c r="AI50" s="0" t="n">
        <v>157</v>
      </c>
      <c r="AJ50" s="0" t="n">
        <v>31</v>
      </c>
      <c r="AK50" s="0" t="n">
        <v>0</v>
      </c>
      <c r="AL50" s="0" t="n">
        <v>0</v>
      </c>
    </row>
    <row r="51">
      <c r="A51" s="0" t="inlineStr">
        <is>
          <t>[계산동]</t>
        </is>
      </c>
      <c r="B51" s="0" t="n">
        <v>8506</v>
      </c>
      <c r="C51" s="0" t="n">
        <v>3</v>
      </c>
      <c r="D51" s="0" t="inlineStr">
        <is>
          <t>동남(975-8)</t>
        </is>
      </c>
      <c r="E51" s="0" t="inlineStr">
        <is>
          <t>1987.05.</t>
        </is>
      </c>
      <c r="F51" s="0" t="n">
        <v>100</v>
      </c>
      <c r="G51" s="0" t="n">
        <v>18.84</v>
      </c>
      <c r="H51" s="0" t="n">
        <v>62.29</v>
      </c>
      <c r="I51" s="0" t="n">
        <v>14.78</v>
      </c>
      <c r="J51" s="0" t="n">
        <v>48.87</v>
      </c>
      <c r="K51" s="0" t="n">
        <v>50</v>
      </c>
      <c r="T51" s="0" t="n">
        <v>3</v>
      </c>
      <c r="U51" s="0" t="n">
        <v>1</v>
      </c>
      <c r="V51" s="0" t="inlineStr">
        <is>
          <t>계단식</t>
        </is>
      </c>
      <c r="W51" s="0" t="n">
        <v>62</v>
      </c>
      <c r="X51" s="0" t="n">
        <v>5</v>
      </c>
      <c r="Y51" s="0" t="n">
        <v>5</v>
      </c>
      <c r="Z51" s="0" t="inlineStr">
        <is>
          <t>https://new.land.naver.com/complexes/8506?tab=detail&amp;rf=Y</t>
        </is>
      </c>
      <c r="AA51" s="0" t="inlineStr">
        <is>
          <t>인천시 계양구 계산동 975-8</t>
        </is>
      </c>
      <c r="AB51" s="0" t="inlineStr">
        <is>
          <t>인천시</t>
        </is>
      </c>
      <c r="AC51" s="0" t="inlineStr">
        <is>
          <t>계양구</t>
        </is>
      </c>
      <c r="AD51" s="0" t="inlineStr">
        <is>
          <t>계산동</t>
        </is>
      </c>
      <c r="AG51" s="0" t="inlineStr">
        <is>
          <t>인천시 계양구 향교로 23</t>
        </is>
      </c>
      <c r="AH51" s="0" t="n">
        <v>0</v>
      </c>
      <c r="AI51" s="0" t="n">
        <v>157</v>
      </c>
      <c r="AJ51" s="0" t="n">
        <v>31</v>
      </c>
      <c r="AK51" s="0" t="n">
        <v>0</v>
      </c>
      <c r="AL51" s="0" t="n">
        <v>0</v>
      </c>
    </row>
    <row r="52">
      <c r="A52" s="0" t="inlineStr">
        <is>
          <t>[계산동]</t>
        </is>
      </c>
      <c r="B52" s="0" t="n">
        <v>8527</v>
      </c>
      <c r="C52" s="0" t="n">
        <v>1</v>
      </c>
      <c r="D52" s="0" t="inlineStr">
        <is>
          <t>신동양</t>
        </is>
      </c>
      <c r="E52" s="0" t="inlineStr">
        <is>
          <t>1985.05.</t>
        </is>
      </c>
      <c r="F52" s="0" t="n">
        <v>90</v>
      </c>
      <c r="G52" s="0" t="n">
        <v>16.17</v>
      </c>
      <c r="H52" s="0" t="n">
        <v>53.46</v>
      </c>
      <c r="I52" s="0" t="n">
        <v>11.84</v>
      </c>
      <c r="J52" s="0" t="n">
        <v>39.15</v>
      </c>
      <c r="K52" s="0" t="n">
        <v>50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53A</t>
        </is>
      </c>
      <c r="X52" s="0" t="n">
        <v>5</v>
      </c>
      <c r="Y52" s="0" t="n">
        <v>5</v>
      </c>
      <c r="Z52" s="0" t="inlineStr">
        <is>
          <t>https://new.land.naver.com/complexes/8527?tab=detail&amp;rf=Y</t>
        </is>
      </c>
      <c r="AA52" s="0" t="inlineStr">
        <is>
          <t>인천시 계양구 계산동 935-5</t>
        </is>
      </c>
      <c r="AB52" s="0" t="inlineStr">
        <is>
          <t>인천시</t>
        </is>
      </c>
      <c r="AC52" s="0" t="inlineStr">
        <is>
          <t>계양구</t>
        </is>
      </c>
      <c r="AD52" s="0" t="inlineStr">
        <is>
          <t>계산동</t>
        </is>
      </c>
      <c r="AG52" s="0" t="inlineStr">
        <is>
          <t>인천시 계양구 계양산로 14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[계산동]</t>
        </is>
      </c>
      <c r="B53" s="0" t="n">
        <v>8527</v>
      </c>
      <c r="C53" s="0" t="n">
        <v>2</v>
      </c>
      <c r="D53" s="0" t="inlineStr">
        <is>
          <t>신동양</t>
        </is>
      </c>
      <c r="E53" s="0" t="inlineStr">
        <is>
          <t>1985.05.</t>
        </is>
      </c>
      <c r="F53" s="0" t="n">
        <v>90</v>
      </c>
      <c r="G53" s="0" t="n">
        <v>16.56</v>
      </c>
      <c r="H53" s="0" t="n">
        <v>54.75</v>
      </c>
      <c r="I53" s="0" t="n">
        <v>12.16</v>
      </c>
      <c r="J53" s="0" t="n">
        <v>40.23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n">
        <v>54</v>
      </c>
      <c r="X53" s="0" t="n">
        <v>5</v>
      </c>
      <c r="Y53" s="0" t="n">
        <v>5</v>
      </c>
      <c r="Z53" s="0" t="inlineStr">
        <is>
          <t>https://new.land.naver.com/complexes/8527?tab=detail&amp;rf=Y</t>
        </is>
      </c>
      <c r="AA53" s="0" t="inlineStr">
        <is>
          <t>인천시 계양구 계산동 935-5</t>
        </is>
      </c>
      <c r="AB53" s="0" t="inlineStr">
        <is>
          <t>인천시</t>
        </is>
      </c>
      <c r="AC53" s="0" t="inlineStr">
        <is>
          <t>계양구</t>
        </is>
      </c>
      <c r="AD53" s="0" t="inlineStr">
        <is>
          <t>계산동</t>
        </is>
      </c>
      <c r="AG53" s="0" t="inlineStr">
        <is>
          <t>인천시 계양구 계양산로 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[계산동]</t>
        </is>
      </c>
      <c r="B54" s="0" t="n">
        <v>2259</v>
      </c>
      <c r="C54" s="0" t="n">
        <v>1</v>
      </c>
      <c r="D54" s="0" t="inlineStr">
        <is>
          <t>영남</t>
        </is>
      </c>
      <c r="E54" s="0" t="inlineStr">
        <is>
          <t>1990.12.</t>
        </is>
      </c>
      <c r="F54" s="0" t="n">
        <v>360</v>
      </c>
      <c r="G54" s="0" t="n">
        <v>18.83</v>
      </c>
      <c r="H54" s="0" t="n">
        <v>62.25</v>
      </c>
      <c r="I54" s="0" t="n">
        <v>14.6</v>
      </c>
      <c r="J54" s="0" t="n">
        <v>48.27</v>
      </c>
      <c r="K54" s="0" t="n">
        <v>60</v>
      </c>
      <c r="T54" s="0" t="n">
        <v>2</v>
      </c>
      <c r="U54" s="0" t="n">
        <v>1</v>
      </c>
      <c r="V54" s="0" t="inlineStr">
        <is>
          <t>계단식</t>
        </is>
      </c>
      <c r="W54" s="0" t="n">
        <v>62</v>
      </c>
      <c r="X54" s="0" t="n">
        <v>6</v>
      </c>
      <c r="Y54" s="0" t="n">
        <v>6</v>
      </c>
      <c r="Z54" s="0" t="inlineStr">
        <is>
          <t>https://new.land.naver.com/complexes/2259?tab=detail&amp;rf=Y</t>
        </is>
      </c>
      <c r="AA54" s="0" t="inlineStr">
        <is>
          <t>인천시 계양구 계산동 76</t>
        </is>
      </c>
      <c r="AB54" s="0" t="inlineStr">
        <is>
          <t>인천시</t>
        </is>
      </c>
      <c r="AC54" s="0" t="inlineStr">
        <is>
          <t>계양구</t>
        </is>
      </c>
      <c r="AD54" s="0" t="inlineStr">
        <is>
          <t>계산동</t>
        </is>
      </c>
      <c r="AG54" s="0" t="inlineStr">
        <is>
          <t>인천시 계양구 주부토로532번길 52</t>
        </is>
      </c>
      <c r="AH54" s="0" t="n">
        <v>0</v>
      </c>
      <c r="AI54" s="0" t="n">
        <v>198</v>
      </c>
      <c r="AJ54" s="0" t="n">
        <v>32</v>
      </c>
      <c r="AK54" s="0" t="n">
        <v>78</v>
      </c>
      <c r="AL54" s="0" t="n">
        <v>0.22</v>
      </c>
    </row>
    <row r="55">
      <c r="A55" s="0" t="inlineStr">
        <is>
          <t>[계산동]</t>
        </is>
      </c>
      <c r="B55" s="0" t="n">
        <v>2259</v>
      </c>
      <c r="C55" s="0" t="n">
        <v>2</v>
      </c>
      <c r="D55" s="0" t="inlineStr">
        <is>
          <t>영남</t>
        </is>
      </c>
      <c r="E55" s="0" t="inlineStr">
        <is>
          <t>1990.12.</t>
        </is>
      </c>
      <c r="F55" s="0" t="n">
        <v>360</v>
      </c>
      <c r="G55" s="0" t="n">
        <v>21.04</v>
      </c>
      <c r="H55" s="0" t="n">
        <v>69.56999999999999</v>
      </c>
      <c r="I55" s="0" t="n">
        <v>16.49</v>
      </c>
      <c r="J55" s="0" t="n">
        <v>54.54</v>
      </c>
      <c r="K55" s="0" t="n">
        <v>60</v>
      </c>
      <c r="T55" s="0" t="n">
        <v>3</v>
      </c>
      <c r="U55" s="0" t="n">
        <v>1</v>
      </c>
      <c r="V55" s="0" t="inlineStr">
        <is>
          <t>계단식</t>
        </is>
      </c>
      <c r="W55" s="0" t="n">
        <v>69</v>
      </c>
      <c r="X55" s="0" t="n">
        <v>6</v>
      </c>
      <c r="Y55" s="0" t="n">
        <v>6</v>
      </c>
      <c r="Z55" s="0" t="inlineStr">
        <is>
          <t>https://new.land.naver.com/complexes/2259?tab=detail&amp;rf=Y</t>
        </is>
      </c>
      <c r="AA55" s="0" t="inlineStr">
        <is>
          <t>인천시 계양구 계산동 76</t>
        </is>
      </c>
      <c r="AB55" s="0" t="inlineStr">
        <is>
          <t>인천시</t>
        </is>
      </c>
      <c r="AC55" s="0" t="inlineStr">
        <is>
          <t>계양구</t>
        </is>
      </c>
      <c r="AD55" s="0" t="inlineStr">
        <is>
          <t>계산동</t>
        </is>
      </c>
      <c r="AG55" s="0" t="inlineStr">
        <is>
          <t>인천시 계양구 주부토로532번길 52</t>
        </is>
      </c>
      <c r="AH55" s="0" t="n">
        <v>0</v>
      </c>
      <c r="AI55" s="0" t="n">
        <v>198</v>
      </c>
      <c r="AJ55" s="0" t="n">
        <v>32</v>
      </c>
      <c r="AK55" s="0" t="n">
        <v>78</v>
      </c>
      <c r="AL55" s="0" t="n">
        <v>0.22</v>
      </c>
    </row>
    <row r="56">
      <c r="A56" s="0" t="inlineStr">
        <is>
          <t>[계산동]</t>
        </is>
      </c>
      <c r="B56" s="0" t="n">
        <v>2259</v>
      </c>
      <c r="C56" s="0" t="n">
        <v>3</v>
      </c>
      <c r="D56" s="0" t="inlineStr">
        <is>
          <t>영남</t>
        </is>
      </c>
      <c r="E56" s="0" t="inlineStr">
        <is>
          <t>1990.12.</t>
        </is>
      </c>
      <c r="F56" s="0" t="n">
        <v>360</v>
      </c>
      <c r="G56" s="0" t="n">
        <v>22.22</v>
      </c>
      <c r="H56" s="0" t="n">
        <v>73.45999999999999</v>
      </c>
      <c r="I56" s="0" t="n">
        <v>17.5</v>
      </c>
      <c r="J56" s="0" t="n">
        <v>57.87</v>
      </c>
      <c r="K56" s="0" t="n">
        <v>180</v>
      </c>
      <c r="T56" s="0" t="n">
        <v>3</v>
      </c>
      <c r="U56" s="0" t="n">
        <v>1</v>
      </c>
      <c r="V56" s="0" t="inlineStr">
        <is>
          <t>계단식</t>
        </is>
      </c>
      <c r="W56" s="0" t="n">
        <v>73</v>
      </c>
      <c r="X56" s="0" t="n">
        <v>6</v>
      </c>
      <c r="Y56" s="0" t="n">
        <v>6</v>
      </c>
      <c r="Z56" s="0" t="inlineStr">
        <is>
          <t>https://new.land.naver.com/complexes/2259?tab=detail&amp;rf=Y</t>
        </is>
      </c>
      <c r="AA56" s="0" t="inlineStr">
        <is>
          <t>인천시 계양구 계산동 76</t>
        </is>
      </c>
      <c r="AB56" s="0" t="inlineStr">
        <is>
          <t>인천시</t>
        </is>
      </c>
      <c r="AC56" s="0" t="inlineStr">
        <is>
          <t>계양구</t>
        </is>
      </c>
      <c r="AD56" s="0" t="inlineStr">
        <is>
          <t>계산동</t>
        </is>
      </c>
      <c r="AG56" s="0" t="inlineStr">
        <is>
          <t>인천시 계양구 주부토로532번길 52</t>
        </is>
      </c>
      <c r="AH56" s="0" t="n">
        <v>0</v>
      </c>
      <c r="AI56" s="0" t="n">
        <v>198</v>
      </c>
      <c r="AJ56" s="0" t="n">
        <v>32</v>
      </c>
      <c r="AK56" s="0" t="n">
        <v>78</v>
      </c>
      <c r="AL56" s="0" t="n">
        <v>0.22</v>
      </c>
    </row>
    <row r="57">
      <c r="A57" s="0" t="inlineStr">
        <is>
          <t>[계산동]</t>
        </is>
      </c>
      <c r="B57" s="0" t="n">
        <v>2259</v>
      </c>
      <c r="C57" s="0" t="n">
        <v>4</v>
      </c>
      <c r="D57" s="0" t="inlineStr">
        <is>
          <t>영남</t>
        </is>
      </c>
      <c r="E57" s="0" t="inlineStr">
        <is>
          <t>1990.12.</t>
        </is>
      </c>
      <c r="F57" s="0" t="n">
        <v>360</v>
      </c>
      <c r="G57" s="0" t="n">
        <v>22.94</v>
      </c>
      <c r="H57" s="0" t="n">
        <v>75.86</v>
      </c>
      <c r="I57" s="0" t="n">
        <v>18.12</v>
      </c>
      <c r="J57" s="0" t="n">
        <v>59.92</v>
      </c>
      <c r="K57" s="0" t="n">
        <v>60</v>
      </c>
      <c r="T57" s="0" t="n">
        <v>3</v>
      </c>
      <c r="U57" s="0" t="n">
        <v>1</v>
      </c>
      <c r="V57" s="0" t="inlineStr">
        <is>
          <t>계단식</t>
        </is>
      </c>
      <c r="W57" s="0" t="n">
        <v>75</v>
      </c>
      <c r="X57" s="0" t="n">
        <v>6</v>
      </c>
      <c r="Y57" s="0" t="n">
        <v>6</v>
      </c>
      <c r="Z57" s="0" t="inlineStr">
        <is>
          <t>https://new.land.naver.com/complexes/2259?tab=detail&amp;rf=Y</t>
        </is>
      </c>
      <c r="AA57" s="0" t="inlineStr">
        <is>
          <t>인천시 계양구 계산동 76</t>
        </is>
      </c>
      <c r="AB57" s="0" t="inlineStr">
        <is>
          <t>인천시</t>
        </is>
      </c>
      <c r="AC57" s="0" t="inlineStr">
        <is>
          <t>계양구</t>
        </is>
      </c>
      <c r="AD57" s="0" t="inlineStr">
        <is>
          <t>계산동</t>
        </is>
      </c>
      <c r="AG57" s="0" t="inlineStr">
        <is>
          <t>인천시 계양구 주부토로532번길 52</t>
        </is>
      </c>
      <c r="AH57" s="0" t="n">
        <v>0</v>
      </c>
      <c r="AI57" s="0" t="n">
        <v>198</v>
      </c>
      <c r="AJ57" s="0" t="n">
        <v>32</v>
      </c>
      <c r="AK57" s="0" t="n">
        <v>78</v>
      </c>
      <c r="AL57" s="0" t="n">
        <v>0.22</v>
      </c>
    </row>
    <row r="58">
      <c r="A58" s="0" t="inlineStr">
        <is>
          <t>[계산동]</t>
        </is>
      </c>
      <c r="B58" s="0" t="n">
        <v>120493</v>
      </c>
      <c r="C58" s="0" t="n">
        <v>1</v>
      </c>
      <c r="D58" s="0" t="inlineStr">
        <is>
          <t>계양산파크트루엘</t>
        </is>
      </c>
      <c r="E58" s="0" t="inlineStr">
        <is>
          <t>2020.02.</t>
        </is>
      </c>
      <c r="F58" s="0" t="n">
        <v>369</v>
      </c>
      <c r="G58" s="0" t="n">
        <v>24.85</v>
      </c>
      <c r="H58" s="0" t="n">
        <v>82.16</v>
      </c>
      <c r="I58" s="0" t="n">
        <v>18.14</v>
      </c>
      <c r="J58" s="0" t="n">
        <v>59.99</v>
      </c>
      <c r="K58" s="0" t="n">
        <v>80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82E</t>
        </is>
      </c>
      <c r="X58" s="0" t="n">
        <v>14</v>
      </c>
      <c r="Y58" s="0" t="n">
        <v>10</v>
      </c>
      <c r="Z58" s="0" t="inlineStr">
        <is>
          <t>https://new.land.naver.com/complexes/120493?tab=detail&amp;rf=Y</t>
        </is>
      </c>
      <c r="AA58" s="0" t="inlineStr">
        <is>
          <t>인천시 계양구 계산동 1110</t>
        </is>
      </c>
      <c r="AB58" s="0" t="inlineStr">
        <is>
          <t>인천시</t>
        </is>
      </c>
      <c r="AC58" s="0" t="inlineStr">
        <is>
          <t>계양구</t>
        </is>
      </c>
      <c r="AD58" s="0" t="inlineStr">
        <is>
          <t>계산동</t>
        </is>
      </c>
      <c r="AG58" s="0" t="inlineStr">
        <is>
          <t>인천시 계양구 경명대로1045번길 31</t>
        </is>
      </c>
      <c r="AH58" s="0" t="n">
        <v>0</v>
      </c>
      <c r="AI58" s="0" t="n">
        <v>222</v>
      </c>
      <c r="AJ58" s="0" t="n">
        <v>24</v>
      </c>
      <c r="AK58" s="0" t="n">
        <v>375</v>
      </c>
      <c r="AL58" s="0" t="n">
        <v>1.02</v>
      </c>
    </row>
    <row r="59">
      <c r="A59" s="0" t="inlineStr">
        <is>
          <t>[계산동]</t>
        </is>
      </c>
      <c r="B59" s="0" t="n">
        <v>120493</v>
      </c>
      <c r="C59" s="0" t="n">
        <v>2</v>
      </c>
      <c r="D59" s="0" t="inlineStr">
        <is>
          <t>계양산파크트루엘</t>
        </is>
      </c>
      <c r="E59" s="0" t="inlineStr">
        <is>
          <t>2020.02.</t>
        </is>
      </c>
      <c r="F59" s="0" t="n">
        <v>369</v>
      </c>
      <c r="G59" s="0" t="n">
        <v>24.95</v>
      </c>
      <c r="H59" s="0" t="n">
        <v>82.48</v>
      </c>
      <c r="I59" s="0" t="n">
        <v>18.14</v>
      </c>
      <c r="J59" s="0" t="n">
        <v>59.99</v>
      </c>
      <c r="K59" s="0" t="n">
        <v>36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82G</t>
        </is>
      </c>
      <c r="X59" s="0" t="n">
        <v>14</v>
      </c>
      <c r="Y59" s="0" t="n">
        <v>10</v>
      </c>
      <c r="Z59" s="0" t="inlineStr">
        <is>
          <t>https://new.land.naver.com/complexes/120493?tab=detail&amp;rf=Y</t>
        </is>
      </c>
      <c r="AA59" s="0" t="inlineStr">
        <is>
          <t>인천시 계양구 계산동 1110</t>
        </is>
      </c>
      <c r="AB59" s="0" t="inlineStr">
        <is>
          <t>인천시</t>
        </is>
      </c>
      <c r="AC59" s="0" t="inlineStr">
        <is>
          <t>계양구</t>
        </is>
      </c>
      <c r="AD59" s="0" t="inlineStr">
        <is>
          <t>계산동</t>
        </is>
      </c>
      <c r="AG59" s="0" t="inlineStr">
        <is>
          <t>인천시 계양구 경명대로1045번길 31</t>
        </is>
      </c>
      <c r="AH59" s="0" t="n">
        <v>0</v>
      </c>
      <c r="AI59" s="0" t="n">
        <v>222</v>
      </c>
      <c r="AJ59" s="0" t="n">
        <v>24</v>
      </c>
      <c r="AK59" s="0" t="n">
        <v>375</v>
      </c>
      <c r="AL59" s="0" t="n">
        <v>1.02</v>
      </c>
    </row>
    <row r="60">
      <c r="A60" s="0" t="inlineStr">
        <is>
          <t>[계산동]</t>
        </is>
      </c>
      <c r="B60" s="0" t="n">
        <v>120493</v>
      </c>
      <c r="C60" s="0" t="n">
        <v>3</v>
      </c>
      <c r="D60" s="0" t="inlineStr">
        <is>
          <t>계양산파크트루엘</t>
        </is>
      </c>
      <c r="E60" s="0" t="inlineStr">
        <is>
          <t>2020.02.</t>
        </is>
      </c>
      <c r="F60" s="0" t="n">
        <v>369</v>
      </c>
      <c r="G60" s="0" t="n">
        <v>25.01</v>
      </c>
      <c r="H60" s="0" t="n">
        <v>82.70999999999999</v>
      </c>
      <c r="I60" s="0" t="n">
        <v>18.14</v>
      </c>
      <c r="J60" s="0" t="n">
        <v>59.99</v>
      </c>
      <c r="K60" s="0" t="n">
        <v>13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82D</t>
        </is>
      </c>
      <c r="X60" s="0" t="n">
        <v>14</v>
      </c>
      <c r="Y60" s="0" t="n">
        <v>10</v>
      </c>
      <c r="Z60" s="0" t="inlineStr">
        <is>
          <t>https://new.land.naver.com/complexes/120493?tab=detail&amp;rf=Y</t>
        </is>
      </c>
      <c r="AA60" s="0" t="inlineStr">
        <is>
          <t>인천시 계양구 계산동 1110</t>
        </is>
      </c>
      <c r="AB60" s="0" t="inlineStr">
        <is>
          <t>인천시</t>
        </is>
      </c>
      <c r="AC60" s="0" t="inlineStr">
        <is>
          <t>계양구</t>
        </is>
      </c>
      <c r="AD60" s="0" t="inlineStr">
        <is>
          <t>계산동</t>
        </is>
      </c>
      <c r="AG60" s="0" t="inlineStr">
        <is>
          <t>인천시 계양구 경명대로1045번길 31</t>
        </is>
      </c>
      <c r="AH60" s="0" t="n">
        <v>0</v>
      </c>
      <c r="AI60" s="0" t="n">
        <v>222</v>
      </c>
      <c r="AJ60" s="0" t="n">
        <v>24</v>
      </c>
      <c r="AK60" s="0" t="n">
        <v>375</v>
      </c>
      <c r="AL60" s="0" t="n">
        <v>1.02</v>
      </c>
    </row>
    <row r="61">
      <c r="A61" s="0" t="inlineStr">
        <is>
          <t>[계산동]</t>
        </is>
      </c>
      <c r="B61" s="0" t="n">
        <v>120493</v>
      </c>
      <c r="C61" s="0" t="n">
        <v>4</v>
      </c>
      <c r="D61" s="0" t="inlineStr">
        <is>
          <t>계양산파크트루엘</t>
        </is>
      </c>
      <c r="E61" s="0" t="inlineStr">
        <is>
          <t>2020.02.</t>
        </is>
      </c>
      <c r="F61" s="0" t="n">
        <v>369</v>
      </c>
      <c r="G61" s="0" t="n">
        <v>25.17</v>
      </c>
      <c r="H61" s="0" t="n">
        <v>83.22</v>
      </c>
      <c r="I61" s="0" t="n">
        <v>18.14</v>
      </c>
      <c r="J61" s="0" t="n">
        <v>59.99</v>
      </c>
      <c r="K61" s="0" t="n">
        <v>156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83A</t>
        </is>
      </c>
      <c r="X61" s="0" t="n">
        <v>14</v>
      </c>
      <c r="Y61" s="0" t="n">
        <v>10</v>
      </c>
      <c r="Z61" s="0" t="inlineStr">
        <is>
          <t>https://new.land.naver.com/complexes/120493?tab=detail&amp;rf=Y</t>
        </is>
      </c>
      <c r="AA61" s="0" t="inlineStr">
        <is>
          <t>인천시 계양구 계산동 1110</t>
        </is>
      </c>
      <c r="AB61" s="0" t="inlineStr">
        <is>
          <t>인천시</t>
        </is>
      </c>
      <c r="AC61" s="0" t="inlineStr">
        <is>
          <t>계양구</t>
        </is>
      </c>
      <c r="AD61" s="0" t="inlineStr">
        <is>
          <t>계산동</t>
        </is>
      </c>
      <c r="AG61" s="0" t="inlineStr">
        <is>
          <t>인천시 계양구 경명대로1045번길 31</t>
        </is>
      </c>
      <c r="AH61" s="0" t="n">
        <v>0</v>
      </c>
      <c r="AI61" s="0" t="n">
        <v>222</v>
      </c>
      <c r="AJ61" s="0" t="n">
        <v>24</v>
      </c>
      <c r="AK61" s="0" t="n">
        <v>375</v>
      </c>
      <c r="AL61" s="0" t="n">
        <v>1.02</v>
      </c>
    </row>
    <row r="62">
      <c r="A62" s="0" t="inlineStr">
        <is>
          <t>[계산동]</t>
        </is>
      </c>
      <c r="B62" s="0" t="n">
        <v>120493</v>
      </c>
      <c r="C62" s="0" t="n">
        <v>5</v>
      </c>
      <c r="D62" s="0" t="inlineStr">
        <is>
          <t>계양산파크트루엘</t>
        </is>
      </c>
      <c r="E62" s="0" t="inlineStr">
        <is>
          <t>2020.02.</t>
        </is>
      </c>
      <c r="F62" s="0" t="n">
        <v>369</v>
      </c>
      <c r="G62" s="0" t="n">
        <v>25.37</v>
      </c>
      <c r="H62" s="0" t="n">
        <v>83.90000000000001</v>
      </c>
      <c r="I62" s="0" t="n">
        <v>18.14</v>
      </c>
      <c r="J62" s="0" t="n">
        <v>59.99</v>
      </c>
      <c r="K62" s="0" t="n">
        <v>38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83F</t>
        </is>
      </c>
      <c r="X62" s="0" t="n">
        <v>14</v>
      </c>
      <c r="Y62" s="0" t="n">
        <v>10</v>
      </c>
      <c r="Z62" s="0" t="inlineStr">
        <is>
          <t>https://new.land.naver.com/complexes/120493?tab=detail&amp;rf=Y</t>
        </is>
      </c>
      <c r="AA62" s="0" t="inlineStr">
        <is>
          <t>인천시 계양구 계산동 1110</t>
        </is>
      </c>
      <c r="AB62" s="0" t="inlineStr">
        <is>
          <t>인천시</t>
        </is>
      </c>
      <c r="AC62" s="0" t="inlineStr">
        <is>
          <t>계양구</t>
        </is>
      </c>
      <c r="AD62" s="0" t="inlineStr">
        <is>
          <t>계산동</t>
        </is>
      </c>
      <c r="AG62" s="0" t="inlineStr">
        <is>
          <t>인천시 계양구 경명대로1045번길 31</t>
        </is>
      </c>
      <c r="AH62" s="0" t="n">
        <v>0</v>
      </c>
      <c r="AI62" s="0" t="n">
        <v>222</v>
      </c>
      <c r="AJ62" s="0" t="n">
        <v>24</v>
      </c>
      <c r="AK62" s="0" t="n">
        <v>375</v>
      </c>
      <c r="AL62" s="0" t="n">
        <v>1.02</v>
      </c>
    </row>
    <row r="63">
      <c r="A63" s="0" t="inlineStr">
        <is>
          <t>[계산동]</t>
        </is>
      </c>
      <c r="B63" s="0" t="n">
        <v>120493</v>
      </c>
      <c r="C63" s="0" t="n">
        <v>6</v>
      </c>
      <c r="D63" s="0" t="inlineStr">
        <is>
          <t>계양산파크트루엘</t>
        </is>
      </c>
      <c r="E63" s="0" t="inlineStr">
        <is>
          <t>2020.02.</t>
        </is>
      </c>
      <c r="F63" s="0" t="n">
        <v>369</v>
      </c>
      <c r="G63" s="0" t="n">
        <v>25.35</v>
      </c>
      <c r="H63" s="0" t="n">
        <v>83.83</v>
      </c>
      <c r="I63" s="0" t="n">
        <v>18.14</v>
      </c>
      <c r="J63" s="0" t="n">
        <v>59.99</v>
      </c>
      <c r="K63" s="0" t="n">
        <v>35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83B</t>
        </is>
      </c>
      <c r="X63" s="0" t="n">
        <v>14</v>
      </c>
      <c r="Y63" s="0" t="n">
        <v>10</v>
      </c>
      <c r="Z63" s="0" t="inlineStr">
        <is>
          <t>https://new.land.naver.com/complexes/120493?tab=detail&amp;rf=Y</t>
        </is>
      </c>
      <c r="AA63" s="0" t="inlineStr">
        <is>
          <t>인천시 계양구 계산동 1110</t>
        </is>
      </c>
      <c r="AB63" s="0" t="inlineStr">
        <is>
          <t>인천시</t>
        </is>
      </c>
      <c r="AC63" s="0" t="inlineStr">
        <is>
          <t>계양구</t>
        </is>
      </c>
      <c r="AD63" s="0" t="inlineStr">
        <is>
          <t>계산동</t>
        </is>
      </c>
      <c r="AG63" s="0" t="inlineStr">
        <is>
          <t>인천시 계양구 경명대로1045번길 31</t>
        </is>
      </c>
      <c r="AH63" s="0" t="n">
        <v>0</v>
      </c>
      <c r="AI63" s="0" t="n">
        <v>222</v>
      </c>
      <c r="AJ63" s="0" t="n">
        <v>24</v>
      </c>
      <c r="AK63" s="0" t="n">
        <v>375</v>
      </c>
      <c r="AL63" s="0" t="n">
        <v>1.02</v>
      </c>
    </row>
    <row r="64">
      <c r="A64" s="0" t="inlineStr">
        <is>
          <t>[계산동]</t>
        </is>
      </c>
      <c r="B64" s="0" t="n">
        <v>120493</v>
      </c>
      <c r="C64" s="0" t="n">
        <v>7</v>
      </c>
      <c r="D64" s="0" t="inlineStr">
        <is>
          <t>계양산파크트루엘</t>
        </is>
      </c>
      <c r="E64" s="0" t="inlineStr">
        <is>
          <t>2020.02.</t>
        </is>
      </c>
      <c r="F64" s="0" t="n">
        <v>369</v>
      </c>
      <c r="G64" s="0" t="n">
        <v>25.21</v>
      </c>
      <c r="H64" s="0" t="n">
        <v>83.37</v>
      </c>
      <c r="I64" s="0" t="n">
        <v>18.14</v>
      </c>
      <c r="J64" s="0" t="n">
        <v>59.99</v>
      </c>
      <c r="K64" s="0" t="n">
        <v>11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83C</t>
        </is>
      </c>
      <c r="X64" s="0" t="n">
        <v>14</v>
      </c>
      <c r="Y64" s="0" t="n">
        <v>10</v>
      </c>
      <c r="Z64" s="0" t="inlineStr">
        <is>
          <t>https://new.land.naver.com/complexes/120493?tab=detail&amp;rf=Y</t>
        </is>
      </c>
      <c r="AA64" s="0" t="inlineStr">
        <is>
          <t>인천시 계양구 계산동 1110</t>
        </is>
      </c>
      <c r="AB64" s="0" t="inlineStr">
        <is>
          <t>인천시</t>
        </is>
      </c>
      <c r="AC64" s="0" t="inlineStr">
        <is>
          <t>계양구</t>
        </is>
      </c>
      <c r="AD64" s="0" t="inlineStr">
        <is>
          <t>계산동</t>
        </is>
      </c>
      <c r="AG64" s="0" t="inlineStr">
        <is>
          <t>인천시 계양구 경명대로1045번길 31</t>
        </is>
      </c>
      <c r="AH64" s="0" t="n">
        <v>0</v>
      </c>
      <c r="AI64" s="0" t="n">
        <v>222</v>
      </c>
      <c r="AJ64" s="0" t="n">
        <v>24</v>
      </c>
      <c r="AK64" s="0" t="n">
        <v>375</v>
      </c>
      <c r="AL64" s="0" t="n">
        <v>1.02</v>
      </c>
    </row>
    <row r="65">
      <c r="A65" s="0" t="inlineStr">
        <is>
          <t>[계산동]</t>
        </is>
      </c>
      <c r="B65" s="0" t="n">
        <v>2264</v>
      </c>
      <c r="C65" s="0" t="n">
        <v>1</v>
      </c>
      <c r="D65" s="0" t="inlineStr">
        <is>
          <t>팬더(857-3)</t>
        </is>
      </c>
      <c r="E65" s="0" t="inlineStr">
        <is>
          <t>1987.10.</t>
        </is>
      </c>
      <c r="F65" s="0" t="n">
        <v>126</v>
      </c>
      <c r="G65" s="0" t="n">
        <v>14.56</v>
      </c>
      <c r="H65" s="0" t="n">
        <v>48.15</v>
      </c>
      <c r="I65" s="0" t="n">
        <v>11.7</v>
      </c>
      <c r="J65" s="0" t="n">
        <v>38.7</v>
      </c>
      <c r="K65" s="0" t="n">
        <v>126</v>
      </c>
      <c r="T65" s="0" t="n">
        <v>2</v>
      </c>
      <c r="U65" s="0" t="n">
        <v>1</v>
      </c>
      <c r="V65" s="0" t="inlineStr">
        <is>
          <t>계단식</t>
        </is>
      </c>
      <c r="W65" s="0" t="n">
        <v>48</v>
      </c>
      <c r="X65" s="0" t="n">
        <v>6</v>
      </c>
      <c r="Y65" s="0" t="n">
        <v>6</v>
      </c>
      <c r="Z65" s="0" t="inlineStr">
        <is>
          <t>https://new.land.naver.com/complexes/2264?tab=detail&amp;rf=Y</t>
        </is>
      </c>
      <c r="AA65" s="0" t="inlineStr">
        <is>
          <t>인천시 계양구 계산동 857-3</t>
        </is>
      </c>
      <c r="AB65" s="0" t="inlineStr">
        <is>
          <t>인천시</t>
        </is>
      </c>
      <c r="AC65" s="0" t="inlineStr">
        <is>
          <t>계양구</t>
        </is>
      </c>
      <c r="AD65" s="0" t="inlineStr">
        <is>
          <t>계산동</t>
        </is>
      </c>
      <c r="AG65" s="0" t="inlineStr">
        <is>
          <t>인천시 계양구 계산로 50-1</t>
        </is>
      </c>
      <c r="AH65" s="0" t="n">
        <v>0</v>
      </c>
      <c r="AI65" s="0" t="n">
        <v>156</v>
      </c>
      <c r="AJ65" s="0" t="n">
        <v>26</v>
      </c>
      <c r="AK65" s="0" t="n">
        <v>0</v>
      </c>
      <c r="AL65" s="0" t="n">
        <v>0</v>
      </c>
    </row>
    <row r="66">
      <c r="A66" s="0" t="inlineStr">
        <is>
          <t>[계산동]</t>
        </is>
      </c>
      <c r="B66" s="0" t="n">
        <v>8507</v>
      </c>
      <c r="C66" s="0" t="n">
        <v>1</v>
      </c>
      <c r="D66" s="0" t="inlineStr">
        <is>
          <t>삼우</t>
        </is>
      </c>
      <c r="E66" s="0" t="inlineStr">
        <is>
          <t>1985.05.</t>
        </is>
      </c>
      <c r="F66" s="0" t="n">
        <v>25</v>
      </c>
      <c r="G66" s="0" t="n">
        <v>24.93</v>
      </c>
      <c r="H66" s="0" t="n">
        <v>82.42</v>
      </c>
      <c r="I66" s="0" t="n">
        <v>20.96</v>
      </c>
      <c r="J66" s="0" t="n">
        <v>69.3</v>
      </c>
      <c r="K66" s="0" t="n">
        <v>20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82A</t>
        </is>
      </c>
      <c r="X66" s="0" t="n">
        <v>5</v>
      </c>
      <c r="Y66" s="0" t="n">
        <v>5</v>
      </c>
      <c r="Z66" s="0" t="inlineStr">
        <is>
          <t>https://new.land.naver.com/complexes/8507?tab=detail&amp;rf=Y</t>
        </is>
      </c>
      <c r="AA66" s="0" t="inlineStr">
        <is>
          <t>인천시 계양구 계산동 987-14</t>
        </is>
      </c>
      <c r="AB66" s="0" t="inlineStr">
        <is>
          <t>인천시</t>
        </is>
      </c>
      <c r="AC66" s="0" t="inlineStr">
        <is>
          <t>계양구</t>
        </is>
      </c>
      <c r="AD66" s="0" t="inlineStr">
        <is>
          <t>계산동</t>
        </is>
      </c>
      <c r="AG66" s="0" t="inlineStr">
        <is>
          <t>인천시 계양구 계산로86번길 5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[계산동]</t>
        </is>
      </c>
      <c r="B67" s="0" t="n">
        <v>8507</v>
      </c>
      <c r="C67" s="0" t="n">
        <v>2</v>
      </c>
      <c r="D67" s="0" t="inlineStr">
        <is>
          <t>삼우</t>
        </is>
      </c>
      <c r="E67" s="0" t="inlineStr">
        <is>
          <t>1985.05.</t>
        </is>
      </c>
      <c r="F67" s="0" t="n">
        <v>25</v>
      </c>
      <c r="G67" s="0" t="n">
        <v>24.98</v>
      </c>
      <c r="H67" s="0" t="n">
        <v>82.61</v>
      </c>
      <c r="I67" s="0" t="n">
        <v>21.28</v>
      </c>
      <c r="J67" s="0" t="n">
        <v>70.38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82B</t>
        </is>
      </c>
      <c r="X67" s="0" t="n">
        <v>5</v>
      </c>
      <c r="Y67" s="0" t="n">
        <v>5</v>
      </c>
      <c r="Z67" s="0" t="inlineStr">
        <is>
          <t>https://new.land.naver.com/complexes/8507?tab=detail&amp;rf=Y</t>
        </is>
      </c>
      <c r="AA67" s="0" t="inlineStr">
        <is>
          <t>인천시 계양구 계산동 987-14</t>
        </is>
      </c>
      <c r="AB67" s="0" t="inlineStr">
        <is>
          <t>인천시</t>
        </is>
      </c>
      <c r="AC67" s="0" t="inlineStr">
        <is>
          <t>계양구</t>
        </is>
      </c>
      <c r="AD67" s="0" t="inlineStr">
        <is>
          <t>계산동</t>
        </is>
      </c>
      <c r="AG67" s="0" t="inlineStr">
        <is>
          <t>인천시 계양구 계산로86번길 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[계산동]</t>
        </is>
      </c>
      <c r="B68" s="0" t="n">
        <v>8450</v>
      </c>
      <c r="C68" s="0" t="n">
        <v>1</v>
      </c>
      <c r="D68" s="0" t="inlineStr">
        <is>
          <t>태산</t>
        </is>
      </c>
      <c r="E68" s="0" t="inlineStr">
        <is>
          <t>1990.07.</t>
        </is>
      </c>
      <c r="F68" s="0" t="n">
        <v>408</v>
      </c>
      <c r="G68" s="0" t="n">
        <v>16.67</v>
      </c>
      <c r="H68" s="0" t="n">
        <v>55.11</v>
      </c>
      <c r="I68" s="0" t="n">
        <v>12.8</v>
      </c>
      <c r="J68" s="0" t="n">
        <v>42.33</v>
      </c>
      <c r="K68" s="0" t="n">
        <v>119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55B</t>
        </is>
      </c>
      <c r="X68" s="0" t="n">
        <v>6</v>
      </c>
      <c r="Y68" s="0" t="n">
        <v>6</v>
      </c>
      <c r="Z68" s="0" t="inlineStr">
        <is>
          <t>https://new.land.naver.com/complexes/8450?tab=detail&amp;rf=Y</t>
        </is>
      </c>
      <c r="AA68" s="0" t="inlineStr">
        <is>
          <t>인천시 계양구 계산동 36</t>
        </is>
      </c>
      <c r="AB68" s="0" t="inlineStr">
        <is>
          <t>인천시</t>
        </is>
      </c>
      <c r="AC68" s="0" t="inlineStr">
        <is>
          <t>계양구</t>
        </is>
      </c>
      <c r="AD68" s="0" t="inlineStr">
        <is>
          <t>계산동</t>
        </is>
      </c>
      <c r="AG68" s="0" t="inlineStr">
        <is>
          <t>인천시 계양구 계산새로33번길 26</t>
        </is>
      </c>
      <c r="AH68" s="0" t="n">
        <v>0</v>
      </c>
      <c r="AI68" s="0" t="n">
        <v>186</v>
      </c>
      <c r="AJ68" s="0" t="n">
        <v>32</v>
      </c>
      <c r="AK68" s="0" t="n">
        <v>82</v>
      </c>
      <c r="AL68" s="0" t="n">
        <v>0.2</v>
      </c>
    </row>
    <row r="69">
      <c r="A69" s="0" t="inlineStr">
        <is>
          <t>[계산동]</t>
        </is>
      </c>
      <c r="B69" s="0" t="n">
        <v>8450</v>
      </c>
      <c r="C69" s="0" t="n">
        <v>2</v>
      </c>
      <c r="D69" s="0" t="inlineStr">
        <is>
          <t>태산</t>
        </is>
      </c>
      <c r="E69" s="0" t="inlineStr">
        <is>
          <t>1990.07.</t>
        </is>
      </c>
      <c r="F69" s="0" t="n">
        <v>408</v>
      </c>
      <c r="G69" s="0" t="n">
        <v>16.66</v>
      </c>
      <c r="H69" s="0" t="n">
        <v>55.08</v>
      </c>
      <c r="I69" s="0" t="n">
        <v>12.79</v>
      </c>
      <c r="J69" s="0" t="n">
        <v>42.3</v>
      </c>
      <c r="K69" s="0" t="n">
        <v>1</v>
      </c>
      <c r="T69" s="0" t="n">
        <v>2</v>
      </c>
      <c r="U69" s="0" t="n">
        <v>1</v>
      </c>
      <c r="V69" s="0" t="inlineStr">
        <is>
          <t>계단식</t>
        </is>
      </c>
      <c r="W69" s="0" t="inlineStr">
        <is>
          <t>55A</t>
        </is>
      </c>
      <c r="X69" s="0" t="n">
        <v>6</v>
      </c>
      <c r="Y69" s="0" t="n">
        <v>6</v>
      </c>
      <c r="Z69" s="0" t="inlineStr">
        <is>
          <t>https://new.land.naver.com/complexes/8450?tab=detail&amp;rf=Y</t>
        </is>
      </c>
      <c r="AA69" s="0" t="inlineStr">
        <is>
          <t>인천시 계양구 계산동 36</t>
        </is>
      </c>
      <c r="AB69" s="0" t="inlineStr">
        <is>
          <t>인천시</t>
        </is>
      </c>
      <c r="AC69" s="0" t="inlineStr">
        <is>
          <t>계양구</t>
        </is>
      </c>
      <c r="AD69" s="0" t="inlineStr">
        <is>
          <t>계산동</t>
        </is>
      </c>
      <c r="AG69" s="0" t="inlineStr">
        <is>
          <t>인천시 계양구 계산새로33번길 26</t>
        </is>
      </c>
      <c r="AH69" s="0" t="n">
        <v>0</v>
      </c>
      <c r="AI69" s="0" t="n">
        <v>186</v>
      </c>
      <c r="AJ69" s="0" t="n">
        <v>32</v>
      </c>
      <c r="AK69" s="0" t="n">
        <v>82</v>
      </c>
      <c r="AL69" s="0" t="n">
        <v>0.2</v>
      </c>
    </row>
    <row r="70">
      <c r="A70" s="0" t="inlineStr">
        <is>
          <t>[계산동]</t>
        </is>
      </c>
      <c r="B70" s="0" t="n">
        <v>8450</v>
      </c>
      <c r="C70" s="0" t="n">
        <v>3</v>
      </c>
      <c r="D70" s="0" t="inlineStr">
        <is>
          <t>태산</t>
        </is>
      </c>
      <c r="E70" s="0" t="inlineStr">
        <is>
          <t>1990.07.</t>
        </is>
      </c>
      <c r="F70" s="0" t="n">
        <v>408</v>
      </c>
      <c r="G70" s="0" t="n">
        <v>17.69</v>
      </c>
      <c r="H70" s="0" t="n">
        <v>58.51</v>
      </c>
      <c r="I70" s="0" t="n">
        <v>13.7</v>
      </c>
      <c r="J70" s="0" t="n">
        <v>45.3</v>
      </c>
      <c r="K70" s="0" t="n">
        <v>180</v>
      </c>
      <c r="T70" s="0" t="n">
        <v>2</v>
      </c>
      <c r="U70" s="0" t="n">
        <v>1</v>
      </c>
      <c r="V70" s="0" t="inlineStr">
        <is>
          <t>계단식</t>
        </is>
      </c>
      <c r="W70" s="0" t="n">
        <v>58</v>
      </c>
      <c r="X70" s="0" t="n">
        <v>6</v>
      </c>
      <c r="Y70" s="0" t="n">
        <v>6</v>
      </c>
      <c r="Z70" s="0" t="inlineStr">
        <is>
          <t>https://new.land.naver.com/complexes/8450?tab=detail&amp;rf=Y</t>
        </is>
      </c>
      <c r="AA70" s="0" t="inlineStr">
        <is>
          <t>인천시 계양구 계산동 36</t>
        </is>
      </c>
      <c r="AB70" s="0" t="inlineStr">
        <is>
          <t>인천시</t>
        </is>
      </c>
      <c r="AC70" s="0" t="inlineStr">
        <is>
          <t>계양구</t>
        </is>
      </c>
      <c r="AD70" s="0" t="inlineStr">
        <is>
          <t>계산동</t>
        </is>
      </c>
      <c r="AG70" s="0" t="inlineStr">
        <is>
          <t>인천시 계양구 계산새로33번길 26</t>
        </is>
      </c>
      <c r="AH70" s="0" t="n">
        <v>0</v>
      </c>
      <c r="AI70" s="0" t="n">
        <v>186</v>
      </c>
      <c r="AJ70" s="0" t="n">
        <v>32</v>
      </c>
      <c r="AK70" s="0" t="n">
        <v>82</v>
      </c>
      <c r="AL70" s="0" t="n">
        <v>0.2</v>
      </c>
    </row>
    <row r="71">
      <c r="A71" s="0" t="inlineStr">
        <is>
          <t>[계산동]</t>
        </is>
      </c>
      <c r="B71" s="0" t="n">
        <v>8450</v>
      </c>
      <c r="C71" s="0" t="n">
        <v>4</v>
      </c>
      <c r="D71" s="0" t="inlineStr">
        <is>
          <t>태산</t>
        </is>
      </c>
      <c r="E71" s="0" t="inlineStr">
        <is>
          <t>1990.07.</t>
        </is>
      </c>
      <c r="F71" s="0" t="n">
        <v>408</v>
      </c>
      <c r="G71" s="0" t="n">
        <v>18.02</v>
      </c>
      <c r="H71" s="0" t="n">
        <v>59.6</v>
      </c>
      <c r="I71" s="0" t="n">
        <v>13.91</v>
      </c>
      <c r="J71" s="0" t="n">
        <v>45.99</v>
      </c>
      <c r="K71" s="0" t="n">
        <v>36</v>
      </c>
      <c r="T71" s="0" t="n">
        <v>3</v>
      </c>
      <c r="U71" s="0" t="n">
        <v>1</v>
      </c>
      <c r="V71" s="0" t="inlineStr">
        <is>
          <t>계단식</t>
        </is>
      </c>
      <c r="W71" s="0" t="n">
        <v>59</v>
      </c>
      <c r="X71" s="0" t="n">
        <v>6</v>
      </c>
      <c r="Y71" s="0" t="n">
        <v>6</v>
      </c>
      <c r="Z71" s="0" t="inlineStr">
        <is>
          <t>https://new.land.naver.com/complexes/8450?tab=detail&amp;rf=Y</t>
        </is>
      </c>
      <c r="AA71" s="0" t="inlineStr">
        <is>
          <t>인천시 계양구 계산동 36</t>
        </is>
      </c>
      <c r="AB71" s="0" t="inlineStr">
        <is>
          <t>인천시</t>
        </is>
      </c>
      <c r="AC71" s="0" t="inlineStr">
        <is>
          <t>계양구</t>
        </is>
      </c>
      <c r="AD71" s="0" t="inlineStr">
        <is>
          <t>계산동</t>
        </is>
      </c>
      <c r="AG71" s="0" t="inlineStr">
        <is>
          <t>인천시 계양구 계산새로33번길 26</t>
        </is>
      </c>
      <c r="AH71" s="0" t="n">
        <v>0</v>
      </c>
      <c r="AI71" s="0" t="n">
        <v>186</v>
      </c>
      <c r="AJ71" s="0" t="n">
        <v>32</v>
      </c>
      <c r="AK71" s="0" t="n">
        <v>82</v>
      </c>
      <c r="AL71" s="0" t="n">
        <v>0.2</v>
      </c>
    </row>
    <row r="72">
      <c r="A72" s="0" t="inlineStr">
        <is>
          <t>[계산동]</t>
        </is>
      </c>
      <c r="B72" s="0" t="n">
        <v>8450</v>
      </c>
      <c r="C72" s="0" t="n">
        <v>5</v>
      </c>
      <c r="D72" s="0" t="inlineStr">
        <is>
          <t>태산</t>
        </is>
      </c>
      <c r="E72" s="0" t="inlineStr">
        <is>
          <t>1990.07.</t>
        </is>
      </c>
      <c r="F72" s="0" t="n">
        <v>408</v>
      </c>
      <c r="G72" s="0" t="n">
        <v>21.04</v>
      </c>
      <c r="H72" s="0" t="n">
        <v>69.56999999999999</v>
      </c>
      <c r="I72" s="0" t="n">
        <v>16.49</v>
      </c>
      <c r="J72" s="0" t="n">
        <v>54.54</v>
      </c>
      <c r="K72" s="0" t="n">
        <v>72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6</v>
      </c>
      <c r="Y72" s="0" t="n">
        <v>6</v>
      </c>
      <c r="Z72" s="0" t="inlineStr">
        <is>
          <t>https://new.land.naver.com/complexes/8450?tab=detail&amp;rf=Y</t>
        </is>
      </c>
      <c r="AA72" s="0" t="inlineStr">
        <is>
          <t>인천시 계양구 계산동 36</t>
        </is>
      </c>
      <c r="AB72" s="0" t="inlineStr">
        <is>
          <t>인천시</t>
        </is>
      </c>
      <c r="AC72" s="0" t="inlineStr">
        <is>
          <t>계양구</t>
        </is>
      </c>
      <c r="AD72" s="0" t="inlineStr">
        <is>
          <t>계산동</t>
        </is>
      </c>
      <c r="AG72" s="0" t="inlineStr">
        <is>
          <t>인천시 계양구 계산새로33번길 26</t>
        </is>
      </c>
      <c r="AH72" s="0" t="n">
        <v>0</v>
      </c>
      <c r="AI72" s="0" t="n">
        <v>186</v>
      </c>
      <c r="AJ72" s="0" t="n">
        <v>32</v>
      </c>
      <c r="AK72" s="0" t="n">
        <v>82</v>
      </c>
      <c r="AL72" s="0" t="n">
        <v>0.2</v>
      </c>
    </row>
    <row r="73">
      <c r="A73" s="0" t="inlineStr">
        <is>
          <t>[계산동]</t>
        </is>
      </c>
      <c r="B73" s="0" t="n">
        <v>2263</v>
      </c>
      <c r="C73" s="0" t="n">
        <v>1</v>
      </c>
      <c r="D73" s="0" t="inlineStr">
        <is>
          <t>은행마을태평</t>
        </is>
      </c>
      <c r="E73" s="0" t="inlineStr">
        <is>
          <t>1997.06.</t>
        </is>
      </c>
      <c r="F73" s="0" t="n">
        <v>574</v>
      </c>
      <c r="G73" s="0" t="n">
        <v>26.3</v>
      </c>
      <c r="H73" s="0" t="n">
        <v>86.97</v>
      </c>
      <c r="I73" s="0" t="n">
        <v>20.58</v>
      </c>
      <c r="J73" s="0" t="n">
        <v>68.05</v>
      </c>
      <c r="K73" s="0" t="n">
        <v>460</v>
      </c>
      <c r="T73" s="0" t="n">
        <v>3</v>
      </c>
      <c r="U73" s="0" t="n">
        <v>1</v>
      </c>
      <c r="V73" s="0" t="inlineStr">
        <is>
          <t>계단식</t>
        </is>
      </c>
      <c r="W73" s="0" t="n">
        <v>86</v>
      </c>
      <c r="X73" s="0" t="n">
        <v>24</v>
      </c>
      <c r="Y73" s="0" t="n">
        <v>19</v>
      </c>
      <c r="Z73" s="0" t="inlineStr">
        <is>
          <t>https://new.land.naver.com/complexes/2263?tab=detail&amp;rf=Y</t>
        </is>
      </c>
      <c r="AA73" s="0" t="inlineStr">
        <is>
          <t>인천시 계양구 계산동 1085-2</t>
        </is>
      </c>
      <c r="AB73" s="0" t="inlineStr">
        <is>
          <t>인천시</t>
        </is>
      </c>
      <c r="AC73" s="0" t="inlineStr">
        <is>
          <t>계양구</t>
        </is>
      </c>
      <c r="AD73" s="0" t="inlineStr">
        <is>
          <t>계산동</t>
        </is>
      </c>
      <c r="AG73" s="0" t="inlineStr">
        <is>
          <t>인천시 계양구 용종로 26</t>
        </is>
      </c>
      <c r="AH73" s="0" t="n">
        <v>0</v>
      </c>
      <c r="AI73" s="0" t="n">
        <v>249</v>
      </c>
      <c r="AJ73" s="0" t="n">
        <v>20</v>
      </c>
      <c r="AK73" s="0" t="n">
        <v>628</v>
      </c>
      <c r="AL73" s="0" t="n">
        <v>1.09</v>
      </c>
    </row>
    <row r="74">
      <c r="A74" s="0" t="inlineStr">
        <is>
          <t>[계산동]</t>
        </is>
      </c>
      <c r="B74" s="0" t="n">
        <v>2263</v>
      </c>
      <c r="C74" s="0" t="n">
        <v>2</v>
      </c>
      <c r="D74" s="0" t="inlineStr">
        <is>
          <t>은행마을태평</t>
        </is>
      </c>
      <c r="E74" s="0" t="inlineStr">
        <is>
          <t>1997.06.</t>
        </is>
      </c>
      <c r="F74" s="0" t="n">
        <v>574</v>
      </c>
      <c r="G74" s="0" t="n">
        <v>31.45</v>
      </c>
      <c r="H74" s="0" t="n">
        <v>103.98</v>
      </c>
      <c r="I74" s="0" t="n">
        <v>25.45</v>
      </c>
      <c r="J74" s="0" t="n">
        <v>84.16</v>
      </c>
      <c r="K74" s="0" t="n">
        <v>114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24</v>
      </c>
      <c r="Y74" s="0" t="n">
        <v>19</v>
      </c>
      <c r="Z74" s="0" t="inlineStr">
        <is>
          <t>https://new.land.naver.com/complexes/2263?tab=detail&amp;rf=Y</t>
        </is>
      </c>
      <c r="AA74" s="0" t="inlineStr">
        <is>
          <t>인천시 계양구 계산동 1085-2</t>
        </is>
      </c>
      <c r="AB74" s="0" t="inlineStr">
        <is>
          <t>인천시</t>
        </is>
      </c>
      <c r="AC74" s="0" t="inlineStr">
        <is>
          <t>계양구</t>
        </is>
      </c>
      <c r="AD74" s="0" t="inlineStr">
        <is>
          <t>계산동</t>
        </is>
      </c>
      <c r="AG74" s="0" t="inlineStr">
        <is>
          <t>인천시 계양구 용종로 26</t>
        </is>
      </c>
      <c r="AH74" s="0" t="n">
        <v>0</v>
      </c>
      <c r="AI74" s="0" t="n">
        <v>249</v>
      </c>
      <c r="AJ74" s="0" t="n">
        <v>20</v>
      </c>
      <c r="AK74" s="0" t="n">
        <v>628</v>
      </c>
      <c r="AL74" s="0" t="n">
        <v>1.09</v>
      </c>
    </row>
    <row r="75">
      <c r="A75" s="0" t="inlineStr">
        <is>
          <t>[계산동]</t>
        </is>
      </c>
      <c r="B75" s="0" t="n">
        <v>9695</v>
      </c>
      <c r="C75" s="0" t="n">
        <v>1</v>
      </c>
      <c r="D75" s="0" t="inlineStr">
        <is>
          <t>지산그라띠아</t>
        </is>
      </c>
      <c r="E75" s="0" t="inlineStr">
        <is>
          <t>2003.09.</t>
        </is>
      </c>
      <c r="F75" s="0" t="n">
        <v>137</v>
      </c>
      <c r="G75" s="0" t="n">
        <v>15.35</v>
      </c>
      <c r="H75" s="0" t="n">
        <v>50.76</v>
      </c>
      <c r="I75" s="0" t="n">
        <v>11.8</v>
      </c>
      <c r="J75" s="0" t="n">
        <v>39.04</v>
      </c>
      <c r="K75" s="0" t="n">
        <v>10</v>
      </c>
      <c r="T75" s="0" t="n">
        <v>1</v>
      </c>
      <c r="U75" s="0" t="n">
        <v>1</v>
      </c>
      <c r="V75" s="0" t="inlineStr">
        <is>
          <t>계단식</t>
        </is>
      </c>
      <c r="W75" s="0" t="n">
        <v>50</v>
      </c>
      <c r="X75" s="0" t="n">
        <v>12</v>
      </c>
      <c r="Y75" s="0" t="n">
        <v>7</v>
      </c>
      <c r="Z75" s="0" t="inlineStr">
        <is>
          <t>https://new.land.naver.com/complexes/9695?tab=detail&amp;rf=Y</t>
        </is>
      </c>
      <c r="AA75" s="0" t="inlineStr">
        <is>
          <t>인천시 계양구 계산동 931-28</t>
        </is>
      </c>
      <c r="AB75" s="0" t="inlineStr">
        <is>
          <t>인천시</t>
        </is>
      </c>
      <c r="AC75" s="0" t="inlineStr">
        <is>
          <t>계양구</t>
        </is>
      </c>
      <c r="AD75" s="0" t="inlineStr">
        <is>
          <t>계산동</t>
        </is>
      </c>
      <c r="AG75" s="0" t="inlineStr">
        <is>
          <t>인천시 계양구 경명대로1045번길 9-9</t>
        </is>
      </c>
      <c r="AH75" s="0" t="n">
        <v>0</v>
      </c>
      <c r="AI75" s="0" t="n">
        <v>345</v>
      </c>
      <c r="AJ75" s="0" t="n">
        <v>33</v>
      </c>
      <c r="AK75" s="0" t="n">
        <v>144</v>
      </c>
      <c r="AL75" s="0" t="n">
        <v>1.05</v>
      </c>
    </row>
    <row r="76">
      <c r="A76" s="0" t="inlineStr">
        <is>
          <t>[계산동]</t>
        </is>
      </c>
      <c r="B76" s="0" t="n">
        <v>9695</v>
      </c>
      <c r="C76" s="0" t="n">
        <v>2</v>
      </c>
      <c r="D76" s="0" t="inlineStr">
        <is>
          <t>지산그라띠아</t>
        </is>
      </c>
      <c r="E76" s="0" t="inlineStr">
        <is>
          <t>2003.09.</t>
        </is>
      </c>
      <c r="F76" s="0" t="n">
        <v>137</v>
      </c>
      <c r="G76" s="0" t="n">
        <v>24.85</v>
      </c>
      <c r="H76" s="0" t="n">
        <v>82.17</v>
      </c>
      <c r="I76" s="0" t="n">
        <v>19.11</v>
      </c>
      <c r="J76" s="0" t="n">
        <v>63.2</v>
      </c>
      <c r="K76" s="0" t="n">
        <v>48</v>
      </c>
      <c r="T76" s="0" t="n">
        <v>3</v>
      </c>
      <c r="U76" s="0" t="n">
        <v>2</v>
      </c>
      <c r="V76" s="0" t="inlineStr">
        <is>
          <t>계단식</t>
        </is>
      </c>
      <c r="W76" s="0" t="n">
        <v>82</v>
      </c>
      <c r="X76" s="0" t="n">
        <v>12</v>
      </c>
      <c r="Y76" s="0" t="n">
        <v>7</v>
      </c>
      <c r="Z76" s="0" t="inlineStr">
        <is>
          <t>https://new.land.naver.com/complexes/9695?tab=detail&amp;rf=Y</t>
        </is>
      </c>
      <c r="AA76" s="0" t="inlineStr">
        <is>
          <t>인천시 계양구 계산동 931-28</t>
        </is>
      </c>
      <c r="AB76" s="0" t="inlineStr">
        <is>
          <t>인천시</t>
        </is>
      </c>
      <c r="AC76" s="0" t="inlineStr">
        <is>
          <t>계양구</t>
        </is>
      </c>
      <c r="AD76" s="0" t="inlineStr">
        <is>
          <t>계산동</t>
        </is>
      </c>
      <c r="AG76" s="0" t="inlineStr">
        <is>
          <t>인천시 계양구 경명대로1045번길 9-9</t>
        </is>
      </c>
      <c r="AH76" s="0" t="n">
        <v>0</v>
      </c>
      <c r="AI76" s="0" t="n">
        <v>345</v>
      </c>
      <c r="AJ76" s="0" t="n">
        <v>33</v>
      </c>
      <c r="AK76" s="0" t="n">
        <v>144</v>
      </c>
      <c r="AL76" s="0" t="n">
        <v>1.05</v>
      </c>
    </row>
    <row r="77">
      <c r="A77" s="0" t="inlineStr">
        <is>
          <t>[계산동]</t>
        </is>
      </c>
      <c r="B77" s="0" t="n">
        <v>9695</v>
      </c>
      <c r="C77" s="0" t="n">
        <v>3</v>
      </c>
      <c r="D77" s="0" t="inlineStr">
        <is>
          <t>지산그라띠아</t>
        </is>
      </c>
      <c r="E77" s="0" t="inlineStr">
        <is>
          <t>2003.09.</t>
        </is>
      </c>
      <c r="F77" s="0" t="n">
        <v>137</v>
      </c>
      <c r="G77" s="0" t="n">
        <v>33.16</v>
      </c>
      <c r="H77" s="0" t="n">
        <v>109.62</v>
      </c>
      <c r="I77" s="0" t="n">
        <v>25.5</v>
      </c>
      <c r="J77" s="0" t="n">
        <v>84.31</v>
      </c>
      <c r="K77" s="0" t="n">
        <v>69</v>
      </c>
      <c r="T77" s="0" t="n">
        <v>3</v>
      </c>
      <c r="U77" s="0" t="n">
        <v>2</v>
      </c>
      <c r="V77" s="0" t="inlineStr">
        <is>
          <t>계단식</t>
        </is>
      </c>
      <c r="W77" s="0" t="n">
        <v>109</v>
      </c>
      <c r="X77" s="0" t="n">
        <v>12</v>
      </c>
      <c r="Y77" s="0" t="n">
        <v>7</v>
      </c>
      <c r="Z77" s="0" t="inlineStr">
        <is>
          <t>https://new.land.naver.com/complexes/9695?tab=detail&amp;rf=Y</t>
        </is>
      </c>
      <c r="AA77" s="0" t="inlineStr">
        <is>
          <t>인천시 계양구 계산동 931-28</t>
        </is>
      </c>
      <c r="AB77" s="0" t="inlineStr">
        <is>
          <t>인천시</t>
        </is>
      </c>
      <c r="AC77" s="0" t="inlineStr">
        <is>
          <t>계양구</t>
        </is>
      </c>
      <c r="AD77" s="0" t="inlineStr">
        <is>
          <t>계산동</t>
        </is>
      </c>
      <c r="AG77" s="0" t="inlineStr">
        <is>
          <t>인천시 계양구 경명대로1045번길 9-9</t>
        </is>
      </c>
      <c r="AH77" s="0" t="n">
        <v>0</v>
      </c>
      <c r="AI77" s="0" t="n">
        <v>345</v>
      </c>
      <c r="AJ77" s="0" t="n">
        <v>33</v>
      </c>
      <c r="AK77" s="0" t="n">
        <v>144</v>
      </c>
      <c r="AL77" s="0" t="n">
        <v>1.05</v>
      </c>
    </row>
    <row r="78">
      <c r="A78" s="0" t="inlineStr">
        <is>
          <t>[계산동]</t>
        </is>
      </c>
      <c r="B78" s="0" t="n">
        <v>9695</v>
      </c>
      <c r="C78" s="0" t="n">
        <v>4</v>
      </c>
      <c r="D78" s="0" t="inlineStr">
        <is>
          <t>지산그라띠아</t>
        </is>
      </c>
      <c r="E78" s="0" t="inlineStr">
        <is>
          <t>2003.09.</t>
        </is>
      </c>
      <c r="F78" s="0" t="n">
        <v>137</v>
      </c>
      <c r="G78" s="0" t="n">
        <v>36.12</v>
      </c>
      <c r="H78" s="0" t="n">
        <v>119.43</v>
      </c>
      <c r="I78" s="0" t="n">
        <v>27.78</v>
      </c>
      <c r="J78" s="0" t="n">
        <v>91.86</v>
      </c>
      <c r="K78" s="0" t="n">
        <v>10</v>
      </c>
      <c r="T78" s="0" t="n">
        <v>3</v>
      </c>
      <c r="U78" s="0" t="n">
        <v>2</v>
      </c>
      <c r="V78" s="0" t="inlineStr">
        <is>
          <t>계단식</t>
        </is>
      </c>
      <c r="W78" s="0" t="n">
        <v>119</v>
      </c>
      <c r="X78" s="0" t="n">
        <v>12</v>
      </c>
      <c r="Y78" s="0" t="n">
        <v>7</v>
      </c>
      <c r="Z78" s="0" t="inlineStr">
        <is>
          <t>https://new.land.naver.com/complexes/9695?tab=detail&amp;rf=Y</t>
        </is>
      </c>
      <c r="AA78" s="0" t="inlineStr">
        <is>
          <t>인천시 계양구 계산동 931-28</t>
        </is>
      </c>
      <c r="AB78" s="0" t="inlineStr">
        <is>
          <t>인천시</t>
        </is>
      </c>
      <c r="AC78" s="0" t="inlineStr">
        <is>
          <t>계양구</t>
        </is>
      </c>
      <c r="AD78" s="0" t="inlineStr">
        <is>
          <t>계산동</t>
        </is>
      </c>
      <c r="AG78" s="0" t="inlineStr">
        <is>
          <t>인천시 계양구 경명대로1045번길 9-9</t>
        </is>
      </c>
      <c r="AH78" s="0" t="n">
        <v>0</v>
      </c>
      <c r="AI78" s="0" t="n">
        <v>345</v>
      </c>
      <c r="AJ78" s="0" t="n">
        <v>33</v>
      </c>
      <c r="AK78" s="0" t="n">
        <v>144</v>
      </c>
      <c r="AL78" s="0" t="n">
        <v>1.05</v>
      </c>
    </row>
    <row r="79">
      <c r="A79" s="0" t="inlineStr">
        <is>
          <t>[계산동]</t>
        </is>
      </c>
      <c r="B79" s="0" t="n">
        <v>141839</v>
      </c>
      <c r="C79" s="0" t="n">
        <v>1</v>
      </c>
      <c r="D79" s="0" t="inlineStr">
        <is>
          <t>상보</t>
        </is>
      </c>
      <c r="E79" s="0" t="inlineStr">
        <is>
          <t>2002.08.</t>
        </is>
      </c>
      <c r="F79" s="0" t="n">
        <v>32</v>
      </c>
      <c r="G79" s="0" t="n">
        <v>11.29</v>
      </c>
      <c r="H79" s="0" t="n">
        <v>37.33</v>
      </c>
      <c r="I79" s="0" t="n">
        <v>10.12</v>
      </c>
      <c r="J79" s="0" t="n">
        <v>33.48</v>
      </c>
      <c r="K79" s="0" t="n">
        <v>4</v>
      </c>
      <c r="T79" s="0" t="n">
        <v>1</v>
      </c>
      <c r="U79" s="0" t="n">
        <v>1</v>
      </c>
      <c r="V79" s="0" t="inlineStr">
        <is>
          <t>계단식</t>
        </is>
      </c>
      <c r="W79" s="0" t="n">
        <v>37</v>
      </c>
      <c r="X79" s="0" t="n">
        <v>5</v>
      </c>
      <c r="Y79" s="0" t="n">
        <v>5</v>
      </c>
      <c r="Z79" s="0" t="inlineStr">
        <is>
          <t>https://new.land.naver.com/complexes/141839?tab=detail&amp;rf=Y</t>
        </is>
      </c>
      <c r="AA79" s="0" t="inlineStr">
        <is>
          <t>인천시 계양구 계산동 957-7</t>
        </is>
      </c>
      <c r="AB79" s="0" t="inlineStr">
        <is>
          <t>인천시</t>
        </is>
      </c>
      <c r="AC79" s="0" t="inlineStr">
        <is>
          <t>계양구</t>
        </is>
      </c>
      <c r="AD79" s="0" t="inlineStr">
        <is>
          <t>계산동</t>
        </is>
      </c>
      <c r="AG79" s="0" t="inlineStr">
        <is>
          <t>인천시 계양구 계산천동로7번길 6-1</t>
        </is>
      </c>
      <c r="AH79" s="0" t="n">
        <v>0</v>
      </c>
      <c r="AI79" s="0" t="n">
        <v>0</v>
      </c>
      <c r="AJ79" s="0" t="n">
        <v>0</v>
      </c>
      <c r="AK79" s="0" t="n">
        <v>14</v>
      </c>
      <c r="AL79" s="0" t="n">
        <v>0.44</v>
      </c>
    </row>
    <row r="80">
      <c r="A80" s="0" t="inlineStr">
        <is>
          <t>[계산동]</t>
        </is>
      </c>
      <c r="B80" s="0" t="n">
        <v>141839</v>
      </c>
      <c r="C80" s="0" t="n">
        <v>2</v>
      </c>
      <c r="D80" s="0" t="inlineStr">
        <is>
          <t>상보</t>
        </is>
      </c>
      <c r="E80" s="0" t="inlineStr">
        <is>
          <t>2002.08.</t>
        </is>
      </c>
      <c r="F80" s="0" t="n">
        <v>32</v>
      </c>
      <c r="G80" s="0" t="n">
        <v>13.99</v>
      </c>
      <c r="H80" s="0" t="n">
        <v>46.26</v>
      </c>
      <c r="I80" s="0" t="n">
        <v>12.54</v>
      </c>
      <c r="J80" s="0" t="n">
        <v>41.48</v>
      </c>
      <c r="K80" s="0" t="n">
        <v>4</v>
      </c>
      <c r="T80" s="0" t="n">
        <v>1</v>
      </c>
      <c r="U80" s="0" t="n">
        <v>1</v>
      </c>
      <c r="V80" s="0" t="inlineStr">
        <is>
          <t>계단식</t>
        </is>
      </c>
      <c r="W80" s="0" t="inlineStr">
        <is>
          <t>46A</t>
        </is>
      </c>
      <c r="X80" s="0" t="n">
        <v>5</v>
      </c>
      <c r="Y80" s="0" t="n">
        <v>5</v>
      </c>
      <c r="Z80" s="0" t="inlineStr">
        <is>
          <t>https://new.land.naver.com/complexes/141839?tab=detail&amp;rf=Y</t>
        </is>
      </c>
      <c r="AA80" s="0" t="inlineStr">
        <is>
          <t>인천시 계양구 계산동 957-7</t>
        </is>
      </c>
      <c r="AB80" s="0" t="inlineStr">
        <is>
          <t>인천시</t>
        </is>
      </c>
      <c r="AC80" s="0" t="inlineStr">
        <is>
          <t>계양구</t>
        </is>
      </c>
      <c r="AD80" s="0" t="inlineStr">
        <is>
          <t>계산동</t>
        </is>
      </c>
      <c r="AG80" s="0" t="inlineStr">
        <is>
          <t>인천시 계양구 계산천동로7번길 6-1</t>
        </is>
      </c>
      <c r="AH80" s="0" t="n">
        <v>0</v>
      </c>
      <c r="AI80" s="0" t="n">
        <v>0</v>
      </c>
      <c r="AJ80" s="0" t="n">
        <v>0</v>
      </c>
      <c r="AK80" s="0" t="n">
        <v>14</v>
      </c>
      <c r="AL80" s="0" t="n">
        <v>0.44</v>
      </c>
    </row>
    <row r="81">
      <c r="A81" s="0" t="inlineStr">
        <is>
          <t>[계산동]</t>
        </is>
      </c>
      <c r="B81" s="0" t="n">
        <v>141839</v>
      </c>
      <c r="C81" s="0" t="n">
        <v>3</v>
      </c>
      <c r="D81" s="0" t="inlineStr">
        <is>
          <t>상보</t>
        </is>
      </c>
      <c r="E81" s="0" t="inlineStr">
        <is>
          <t>2002.08.</t>
        </is>
      </c>
      <c r="F81" s="0" t="n">
        <v>32</v>
      </c>
      <c r="G81" s="0" t="n">
        <v>14.27</v>
      </c>
      <c r="H81" s="0" t="n">
        <v>47.19</v>
      </c>
      <c r="I81" s="0" t="n">
        <v>12.79</v>
      </c>
      <c r="J81" s="0" t="n">
        <v>42.31</v>
      </c>
      <c r="K81" s="0" t="n">
        <v>8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47B</t>
        </is>
      </c>
      <c r="X81" s="0" t="n">
        <v>5</v>
      </c>
      <c r="Y81" s="0" t="n">
        <v>5</v>
      </c>
      <c r="Z81" s="0" t="inlineStr">
        <is>
          <t>https://new.land.naver.com/complexes/141839?tab=detail&amp;rf=Y</t>
        </is>
      </c>
      <c r="AA81" s="0" t="inlineStr">
        <is>
          <t>인천시 계양구 계산동 957-7</t>
        </is>
      </c>
      <c r="AB81" s="0" t="inlineStr">
        <is>
          <t>인천시</t>
        </is>
      </c>
      <c r="AC81" s="0" t="inlineStr">
        <is>
          <t>계양구</t>
        </is>
      </c>
      <c r="AD81" s="0" t="inlineStr">
        <is>
          <t>계산동</t>
        </is>
      </c>
      <c r="AG81" s="0" t="inlineStr">
        <is>
          <t>인천시 계양구 계산천동로7번길 6-1</t>
        </is>
      </c>
      <c r="AH81" s="0" t="n">
        <v>0</v>
      </c>
      <c r="AI81" s="0" t="n">
        <v>0</v>
      </c>
      <c r="AJ81" s="0" t="n">
        <v>0</v>
      </c>
      <c r="AK81" s="0" t="n">
        <v>14</v>
      </c>
      <c r="AL81" s="0" t="n">
        <v>0.44</v>
      </c>
    </row>
    <row r="82">
      <c r="A82" s="0" t="inlineStr">
        <is>
          <t>[계산동]</t>
        </is>
      </c>
      <c r="B82" s="0" t="n">
        <v>141839</v>
      </c>
      <c r="C82" s="0" t="n">
        <v>4</v>
      </c>
      <c r="D82" s="0" t="inlineStr">
        <is>
          <t>상보</t>
        </is>
      </c>
      <c r="E82" s="0" t="inlineStr">
        <is>
          <t>2002.08.</t>
        </is>
      </c>
      <c r="F82" s="0" t="n">
        <v>32</v>
      </c>
      <c r="G82" s="0" t="n">
        <v>15.91</v>
      </c>
      <c r="H82" s="0" t="n">
        <v>52.61</v>
      </c>
      <c r="I82" s="0" t="n">
        <v>14.41</v>
      </c>
      <c r="J82" s="0" t="n">
        <v>47.64</v>
      </c>
      <c r="K82" s="0" t="n">
        <v>16</v>
      </c>
      <c r="T82" s="0" t="n">
        <v>2</v>
      </c>
      <c r="U82" s="0" t="n">
        <v>1</v>
      </c>
      <c r="V82" s="0" t="inlineStr">
        <is>
          <t>계단식</t>
        </is>
      </c>
      <c r="W82" s="0" t="n">
        <v>52</v>
      </c>
      <c r="X82" s="0" t="n">
        <v>5</v>
      </c>
      <c r="Y82" s="0" t="n">
        <v>5</v>
      </c>
      <c r="Z82" s="0" t="inlineStr">
        <is>
          <t>https://new.land.naver.com/complexes/141839?tab=detail&amp;rf=Y</t>
        </is>
      </c>
      <c r="AA82" s="0" t="inlineStr">
        <is>
          <t>인천시 계양구 계산동 957-7</t>
        </is>
      </c>
      <c r="AB82" s="0" t="inlineStr">
        <is>
          <t>인천시</t>
        </is>
      </c>
      <c r="AC82" s="0" t="inlineStr">
        <is>
          <t>계양구</t>
        </is>
      </c>
      <c r="AD82" s="0" t="inlineStr">
        <is>
          <t>계산동</t>
        </is>
      </c>
      <c r="AG82" s="0" t="inlineStr">
        <is>
          <t>인천시 계양구 계산천동로7번길 6-1</t>
        </is>
      </c>
      <c r="AH82" s="0" t="n">
        <v>0</v>
      </c>
      <c r="AI82" s="0" t="n">
        <v>0</v>
      </c>
      <c r="AJ82" s="0" t="n">
        <v>0</v>
      </c>
      <c r="AK82" s="0" t="n">
        <v>14</v>
      </c>
      <c r="AL82" s="0" t="n">
        <v>0.44</v>
      </c>
    </row>
    <row r="83">
      <c r="A83" s="0" t="inlineStr">
        <is>
          <t>[계산동]</t>
        </is>
      </c>
      <c r="B83" s="0" t="n">
        <v>8509</v>
      </c>
      <c r="C83" s="0" t="n">
        <v>1</v>
      </c>
      <c r="D83" s="0" t="inlineStr">
        <is>
          <t>삼천리열망</t>
        </is>
      </c>
      <c r="E83" s="0" t="inlineStr">
        <is>
          <t>1986.07.</t>
        </is>
      </c>
      <c r="F83" s="0" t="n">
        <v>460</v>
      </c>
      <c r="G83" s="0" t="n">
        <v>15.59</v>
      </c>
      <c r="H83" s="0" t="n">
        <v>51.56</v>
      </c>
      <c r="I83" s="0" t="n">
        <v>11.37</v>
      </c>
      <c r="J83" s="0" t="n">
        <v>37.61</v>
      </c>
      <c r="K83" s="0" t="n">
        <v>90</v>
      </c>
      <c r="T83" s="0" t="n">
        <v>2</v>
      </c>
      <c r="U83" s="0" t="n">
        <v>1</v>
      </c>
      <c r="V83" s="0" t="inlineStr">
        <is>
          <t>계단식</t>
        </is>
      </c>
      <c r="W83" s="0" t="n">
        <v>51</v>
      </c>
      <c r="X83" s="0" t="n">
        <v>5</v>
      </c>
      <c r="Y83" s="0" t="n">
        <v>5</v>
      </c>
      <c r="Z83" s="0" t="inlineStr">
        <is>
          <t>https://new.land.naver.com/complexes/8509?tab=detail&amp;rf=Y</t>
        </is>
      </c>
      <c r="AA83" s="0" t="inlineStr">
        <is>
          <t>인천시 계양구 계산동 321-2</t>
        </is>
      </c>
      <c r="AB83" s="0" t="inlineStr">
        <is>
          <t>인천시</t>
        </is>
      </c>
      <c r="AC83" s="0" t="inlineStr">
        <is>
          <t>계양구</t>
        </is>
      </c>
      <c r="AD83" s="0" t="inlineStr">
        <is>
          <t>계산동</t>
        </is>
      </c>
      <c r="AG83" s="0" t="inlineStr">
        <is>
          <t>인천시 계양구 주부토로 507</t>
        </is>
      </c>
      <c r="AH83" s="0" t="n">
        <v>0</v>
      </c>
      <c r="AI83" s="0" t="n">
        <v>150</v>
      </c>
      <c r="AJ83" s="0" t="n">
        <v>30</v>
      </c>
      <c r="AK83" s="0" t="n">
        <v>230</v>
      </c>
      <c r="AL83" s="0" t="n">
        <v>0.5</v>
      </c>
    </row>
    <row r="84">
      <c r="A84" s="0" t="inlineStr">
        <is>
          <t>[계산동]</t>
        </is>
      </c>
      <c r="B84" s="0" t="n">
        <v>8509</v>
      </c>
      <c r="C84" s="0" t="n">
        <v>2</v>
      </c>
      <c r="D84" s="0" t="inlineStr">
        <is>
          <t>삼천리열망</t>
        </is>
      </c>
      <c r="E84" s="0" t="inlineStr">
        <is>
          <t>1986.07.</t>
        </is>
      </c>
      <c r="F84" s="0" t="n">
        <v>460</v>
      </c>
      <c r="G84" s="0" t="n">
        <v>16.59</v>
      </c>
      <c r="H84" s="0" t="n">
        <v>54.85</v>
      </c>
      <c r="I84" s="0" t="n">
        <v>12.2</v>
      </c>
      <c r="J84" s="0" t="n">
        <v>40.36</v>
      </c>
      <c r="K84" s="0" t="n">
        <v>80</v>
      </c>
      <c r="T84" s="0" t="n">
        <v>2</v>
      </c>
      <c r="U84" s="0" t="n">
        <v>1</v>
      </c>
      <c r="V84" s="0" t="inlineStr">
        <is>
          <t>계단식</t>
        </is>
      </c>
      <c r="W84" s="0" t="n">
        <v>54</v>
      </c>
      <c r="X84" s="0" t="n">
        <v>5</v>
      </c>
      <c r="Y84" s="0" t="n">
        <v>5</v>
      </c>
      <c r="Z84" s="0" t="inlineStr">
        <is>
          <t>https://new.land.naver.com/complexes/8509?tab=detail&amp;rf=Y</t>
        </is>
      </c>
      <c r="AA84" s="0" t="inlineStr">
        <is>
          <t>인천시 계양구 계산동 321-2</t>
        </is>
      </c>
      <c r="AB84" s="0" t="inlineStr">
        <is>
          <t>인천시</t>
        </is>
      </c>
      <c r="AC84" s="0" t="inlineStr">
        <is>
          <t>계양구</t>
        </is>
      </c>
      <c r="AD84" s="0" t="inlineStr">
        <is>
          <t>계산동</t>
        </is>
      </c>
      <c r="AG84" s="0" t="inlineStr">
        <is>
          <t>인천시 계양구 주부토로 507</t>
        </is>
      </c>
      <c r="AH84" s="0" t="n">
        <v>0</v>
      </c>
      <c r="AI84" s="0" t="n">
        <v>150</v>
      </c>
      <c r="AJ84" s="0" t="n">
        <v>30</v>
      </c>
      <c r="AK84" s="0" t="n">
        <v>230</v>
      </c>
      <c r="AL84" s="0" t="n">
        <v>0.5</v>
      </c>
    </row>
    <row r="85">
      <c r="A85" s="0" t="inlineStr">
        <is>
          <t>[계산동]</t>
        </is>
      </c>
      <c r="B85" s="0" t="n">
        <v>8509</v>
      </c>
      <c r="C85" s="0" t="n">
        <v>3</v>
      </c>
      <c r="D85" s="0" t="inlineStr">
        <is>
          <t>삼천리열망</t>
        </is>
      </c>
      <c r="E85" s="0" t="inlineStr">
        <is>
          <t>1986.07.</t>
        </is>
      </c>
      <c r="F85" s="0" t="n">
        <v>460</v>
      </c>
      <c r="G85" s="0" t="n">
        <v>17.58</v>
      </c>
      <c r="H85" s="0" t="n">
        <v>58.14</v>
      </c>
      <c r="I85" s="0" t="n">
        <v>13.03</v>
      </c>
      <c r="J85" s="0" t="n">
        <v>43.1</v>
      </c>
      <c r="K85" s="0" t="n">
        <v>80</v>
      </c>
      <c r="T85" s="0" t="n">
        <v>2</v>
      </c>
      <c r="U85" s="0" t="n">
        <v>1</v>
      </c>
      <c r="V85" s="0" t="inlineStr">
        <is>
          <t>계단식</t>
        </is>
      </c>
      <c r="W85" s="0" t="n">
        <v>58</v>
      </c>
      <c r="X85" s="0" t="n">
        <v>5</v>
      </c>
      <c r="Y85" s="0" t="n">
        <v>5</v>
      </c>
      <c r="Z85" s="0" t="inlineStr">
        <is>
          <t>https://new.land.naver.com/complexes/8509?tab=detail&amp;rf=Y</t>
        </is>
      </c>
      <c r="AA85" s="0" t="inlineStr">
        <is>
          <t>인천시 계양구 계산동 321-2</t>
        </is>
      </c>
      <c r="AB85" s="0" t="inlineStr">
        <is>
          <t>인천시</t>
        </is>
      </c>
      <c r="AC85" s="0" t="inlineStr">
        <is>
          <t>계양구</t>
        </is>
      </c>
      <c r="AD85" s="0" t="inlineStr">
        <is>
          <t>계산동</t>
        </is>
      </c>
      <c r="AG85" s="0" t="inlineStr">
        <is>
          <t>인천시 계양구 주부토로 507</t>
        </is>
      </c>
      <c r="AH85" s="0" t="n">
        <v>0</v>
      </c>
      <c r="AI85" s="0" t="n">
        <v>150</v>
      </c>
      <c r="AJ85" s="0" t="n">
        <v>30</v>
      </c>
      <c r="AK85" s="0" t="n">
        <v>230</v>
      </c>
      <c r="AL85" s="0" t="n">
        <v>0.5</v>
      </c>
    </row>
    <row r="86">
      <c r="A86" s="0" t="inlineStr">
        <is>
          <t>[계산동]</t>
        </is>
      </c>
      <c r="B86" s="0" t="n">
        <v>8509</v>
      </c>
      <c r="C86" s="0" t="n">
        <v>4</v>
      </c>
      <c r="D86" s="0" t="inlineStr">
        <is>
          <t>삼천리열망</t>
        </is>
      </c>
      <c r="E86" s="0" t="inlineStr">
        <is>
          <t>1986.07.</t>
        </is>
      </c>
      <c r="F86" s="0" t="n">
        <v>460</v>
      </c>
      <c r="G86" s="0" t="n">
        <v>18.86</v>
      </c>
      <c r="H86" s="0" t="n">
        <v>62.36</v>
      </c>
      <c r="I86" s="0" t="n">
        <v>14.09</v>
      </c>
      <c r="J86" s="0" t="n">
        <v>46.61</v>
      </c>
      <c r="K86" s="0" t="n">
        <v>80</v>
      </c>
      <c r="T86" s="0" t="n">
        <v>3</v>
      </c>
      <c r="U86" s="0" t="n">
        <v>1</v>
      </c>
      <c r="V86" s="0" t="inlineStr">
        <is>
          <t>계단식</t>
        </is>
      </c>
      <c r="W86" s="0" t="n">
        <v>62</v>
      </c>
      <c r="X86" s="0" t="n">
        <v>5</v>
      </c>
      <c r="Y86" s="0" t="n">
        <v>5</v>
      </c>
      <c r="Z86" s="0" t="inlineStr">
        <is>
          <t>https://new.land.naver.com/complexes/8509?tab=detail&amp;rf=Y</t>
        </is>
      </c>
      <c r="AA86" s="0" t="inlineStr">
        <is>
          <t>인천시 계양구 계산동 321-2</t>
        </is>
      </c>
      <c r="AB86" s="0" t="inlineStr">
        <is>
          <t>인천시</t>
        </is>
      </c>
      <c r="AC86" s="0" t="inlineStr">
        <is>
          <t>계양구</t>
        </is>
      </c>
      <c r="AD86" s="0" t="inlineStr">
        <is>
          <t>계산동</t>
        </is>
      </c>
      <c r="AG86" s="0" t="inlineStr">
        <is>
          <t>인천시 계양구 주부토로 507</t>
        </is>
      </c>
      <c r="AH86" s="0" t="n">
        <v>0</v>
      </c>
      <c r="AI86" s="0" t="n">
        <v>150</v>
      </c>
      <c r="AJ86" s="0" t="n">
        <v>30</v>
      </c>
      <c r="AK86" s="0" t="n">
        <v>230</v>
      </c>
      <c r="AL86" s="0" t="n">
        <v>0.5</v>
      </c>
    </row>
    <row r="87">
      <c r="A87" s="0" t="inlineStr">
        <is>
          <t>[계산동]</t>
        </is>
      </c>
      <c r="B87" s="0" t="n">
        <v>8509</v>
      </c>
      <c r="C87" s="0" t="n">
        <v>5</v>
      </c>
      <c r="D87" s="0" t="inlineStr">
        <is>
          <t>삼천리열망</t>
        </is>
      </c>
      <c r="E87" s="0" t="inlineStr">
        <is>
          <t>1986.07.</t>
        </is>
      </c>
      <c r="F87" s="0" t="n">
        <v>460</v>
      </c>
      <c r="G87" s="0" t="n">
        <v>19.82</v>
      </c>
      <c r="H87" s="0" t="n">
        <v>65.54000000000001</v>
      </c>
      <c r="I87" s="0" t="n">
        <v>14.9</v>
      </c>
      <c r="J87" s="0" t="n">
        <v>49.27</v>
      </c>
      <c r="K87" s="0" t="n">
        <v>100</v>
      </c>
      <c r="T87" s="0" t="n">
        <v>3</v>
      </c>
      <c r="U87" s="0" t="n">
        <v>1</v>
      </c>
      <c r="V87" s="0" t="inlineStr">
        <is>
          <t>계단식</t>
        </is>
      </c>
      <c r="W87" s="0" t="n">
        <v>65</v>
      </c>
      <c r="X87" s="0" t="n">
        <v>5</v>
      </c>
      <c r="Y87" s="0" t="n">
        <v>5</v>
      </c>
      <c r="Z87" s="0" t="inlineStr">
        <is>
          <t>https://new.land.naver.com/complexes/8509?tab=detail&amp;rf=Y</t>
        </is>
      </c>
      <c r="AA87" s="0" t="inlineStr">
        <is>
          <t>인천시 계양구 계산동 321-2</t>
        </is>
      </c>
      <c r="AB87" s="0" t="inlineStr">
        <is>
          <t>인천시</t>
        </is>
      </c>
      <c r="AC87" s="0" t="inlineStr">
        <is>
          <t>계양구</t>
        </is>
      </c>
      <c r="AD87" s="0" t="inlineStr">
        <is>
          <t>계산동</t>
        </is>
      </c>
      <c r="AG87" s="0" t="inlineStr">
        <is>
          <t>인천시 계양구 주부토로 507</t>
        </is>
      </c>
      <c r="AH87" s="0" t="n">
        <v>0</v>
      </c>
      <c r="AI87" s="0" t="n">
        <v>150</v>
      </c>
      <c r="AJ87" s="0" t="n">
        <v>30</v>
      </c>
      <c r="AK87" s="0" t="n">
        <v>230</v>
      </c>
      <c r="AL87" s="0" t="n">
        <v>0.5</v>
      </c>
    </row>
    <row r="88">
      <c r="A88" s="0" t="inlineStr">
        <is>
          <t>[계산동]</t>
        </is>
      </c>
      <c r="B88" s="0" t="n">
        <v>8509</v>
      </c>
      <c r="C88" s="0" t="n">
        <v>6</v>
      </c>
      <c r="D88" s="0" t="inlineStr">
        <is>
          <t>삼천리열망</t>
        </is>
      </c>
      <c r="E88" s="0" t="inlineStr">
        <is>
          <t>1986.07.</t>
        </is>
      </c>
      <c r="F88" s="0" t="n">
        <v>460</v>
      </c>
      <c r="G88" s="0" t="n">
        <v>20.79</v>
      </c>
      <c r="H88" s="0" t="n">
        <v>68.73</v>
      </c>
      <c r="I88" s="0" t="n">
        <v>15.7</v>
      </c>
      <c r="J88" s="0" t="n">
        <v>51.92</v>
      </c>
      <c r="K88" s="0" t="n">
        <v>30</v>
      </c>
      <c r="T88" s="0" t="n">
        <v>3</v>
      </c>
      <c r="U88" s="0" t="n">
        <v>1</v>
      </c>
      <c r="V88" s="0" t="inlineStr">
        <is>
          <t>계단식</t>
        </is>
      </c>
      <c r="W88" s="0" t="n">
        <v>68</v>
      </c>
      <c r="X88" s="0" t="n">
        <v>5</v>
      </c>
      <c r="Y88" s="0" t="n">
        <v>5</v>
      </c>
      <c r="Z88" s="0" t="inlineStr">
        <is>
          <t>https://new.land.naver.com/complexes/8509?tab=detail&amp;rf=Y</t>
        </is>
      </c>
      <c r="AA88" s="0" t="inlineStr">
        <is>
          <t>인천시 계양구 계산동 321-2</t>
        </is>
      </c>
      <c r="AB88" s="0" t="inlineStr">
        <is>
          <t>인천시</t>
        </is>
      </c>
      <c r="AC88" s="0" t="inlineStr">
        <is>
          <t>계양구</t>
        </is>
      </c>
      <c r="AD88" s="0" t="inlineStr">
        <is>
          <t>계산동</t>
        </is>
      </c>
      <c r="AG88" s="0" t="inlineStr">
        <is>
          <t>인천시 계양구 주부토로 507</t>
        </is>
      </c>
      <c r="AH88" s="0" t="n">
        <v>0</v>
      </c>
      <c r="AI88" s="0" t="n">
        <v>150</v>
      </c>
      <c r="AJ88" s="0" t="n">
        <v>30</v>
      </c>
      <c r="AK88" s="0" t="n">
        <v>230</v>
      </c>
      <c r="AL88" s="0" t="n">
        <v>0.5</v>
      </c>
    </row>
    <row r="89">
      <c r="A89" s="0" t="inlineStr">
        <is>
          <t>[계산동]</t>
        </is>
      </c>
      <c r="B89" s="0" t="n">
        <v>8521</v>
      </c>
      <c r="C89" s="0" t="n">
        <v>1</v>
      </c>
      <c r="D89" s="0" t="inlineStr">
        <is>
          <t>에덴</t>
        </is>
      </c>
      <c r="E89" s="0" t="inlineStr">
        <is>
          <t>1988.05.</t>
        </is>
      </c>
      <c r="F89" s="0" t="n">
        <v>40</v>
      </c>
      <c r="G89" s="0" t="n">
        <v>18.97</v>
      </c>
      <c r="H89" s="0" t="n">
        <v>62.72</v>
      </c>
      <c r="I89" s="0" t="n">
        <v>14.22</v>
      </c>
      <c r="J89" s="0" t="n">
        <v>47.03</v>
      </c>
      <c r="K89" s="0" t="n">
        <v>40</v>
      </c>
      <c r="T89" s="0" t="n">
        <v>2</v>
      </c>
      <c r="U89" s="0" t="n">
        <v>1</v>
      </c>
      <c r="V89" s="0" t="inlineStr">
        <is>
          <t>계단식</t>
        </is>
      </c>
      <c r="W89" s="0" t="n">
        <v>62</v>
      </c>
      <c r="X89" s="0" t="n">
        <v>5</v>
      </c>
      <c r="Y89" s="0" t="n">
        <v>5</v>
      </c>
      <c r="Z89" s="0" t="inlineStr">
        <is>
          <t>https://new.land.naver.com/complexes/8521?tab=detail&amp;rf=Y</t>
        </is>
      </c>
      <c r="AA89" s="0" t="inlineStr">
        <is>
          <t>인천시 계양구 계산동 931-14</t>
        </is>
      </c>
      <c r="AB89" s="0" t="inlineStr">
        <is>
          <t>인천시</t>
        </is>
      </c>
      <c r="AC89" s="0" t="inlineStr">
        <is>
          <t>계양구</t>
        </is>
      </c>
      <c r="AD89" s="0" t="inlineStr">
        <is>
          <t>계산동</t>
        </is>
      </c>
      <c r="AG89" s="0" t="inlineStr">
        <is>
          <t>인천시 계양구 경명대로1029번길 12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[계산동]</t>
        </is>
      </c>
      <c r="B90" s="0" t="n">
        <v>8530</v>
      </c>
      <c r="C90" s="0" t="n">
        <v>1</v>
      </c>
      <c r="D90" s="0" t="inlineStr">
        <is>
          <t>경신</t>
        </is>
      </c>
      <c r="E90" s="0" t="inlineStr">
        <is>
          <t>1987.08.</t>
        </is>
      </c>
      <c r="F90" s="0" t="n">
        <v>110</v>
      </c>
      <c r="G90" s="0" t="n">
        <v>15.02</v>
      </c>
      <c r="H90" s="0" t="n">
        <v>49.68</v>
      </c>
      <c r="I90" s="0" t="n">
        <v>11.76</v>
      </c>
      <c r="J90" s="0" t="n">
        <v>38.88</v>
      </c>
      <c r="K90" s="0" t="n">
        <v>5</v>
      </c>
      <c r="T90" s="0" t="n">
        <v>2</v>
      </c>
      <c r="U90" s="0" t="n">
        <v>1</v>
      </c>
      <c r="V90" s="0" t="inlineStr">
        <is>
          <t>계단식</t>
        </is>
      </c>
      <c r="W90" s="0" t="n">
        <v>49</v>
      </c>
      <c r="X90" s="0" t="n">
        <v>5</v>
      </c>
      <c r="Y90" s="0" t="n">
        <v>5</v>
      </c>
      <c r="Z90" s="0" t="inlineStr">
        <is>
          <t>https://new.land.naver.com/complexes/8530?tab=detail&amp;rf=Y</t>
        </is>
      </c>
      <c r="AA90" s="0" t="inlineStr">
        <is>
          <t>인천시 계양구 계산동 산37-6</t>
        </is>
      </c>
      <c r="AB90" s="0" t="inlineStr">
        <is>
          <t>인천시</t>
        </is>
      </c>
      <c r="AC90" s="0" t="inlineStr">
        <is>
          <t>계양구</t>
        </is>
      </c>
      <c r="AD90" s="0" t="inlineStr">
        <is>
          <t>계산동</t>
        </is>
      </c>
      <c r="AG90" s="0" t="inlineStr">
        <is>
          <t>인천시 계양구 계양산로 17</t>
        </is>
      </c>
      <c r="AH90" s="0" t="n">
        <v>0</v>
      </c>
      <c r="AI90" s="0" t="n">
        <v>118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[계산동]</t>
        </is>
      </c>
      <c r="B91" s="0" t="n">
        <v>8530</v>
      </c>
      <c r="C91" s="0" t="n">
        <v>2</v>
      </c>
      <c r="D91" s="0" t="inlineStr">
        <is>
          <t>경신</t>
        </is>
      </c>
      <c r="E91" s="0" t="inlineStr">
        <is>
          <t>1987.08.</t>
        </is>
      </c>
      <c r="F91" s="0" t="n">
        <v>110</v>
      </c>
      <c r="G91" s="0" t="n">
        <v>16.11</v>
      </c>
      <c r="H91" s="0" t="n">
        <v>53.28</v>
      </c>
      <c r="I91" s="0" t="n">
        <v>12.85</v>
      </c>
      <c r="J91" s="0" t="n">
        <v>42.48</v>
      </c>
      <c r="K91" s="0" t="n">
        <v>25</v>
      </c>
      <c r="T91" s="0" t="n">
        <v>2</v>
      </c>
      <c r="U91" s="0" t="n">
        <v>1</v>
      </c>
      <c r="V91" s="0" t="inlineStr">
        <is>
          <t>계단식</t>
        </is>
      </c>
      <c r="W91" s="0" t="n">
        <v>53</v>
      </c>
      <c r="X91" s="0" t="n">
        <v>5</v>
      </c>
      <c r="Y91" s="0" t="n">
        <v>5</v>
      </c>
      <c r="Z91" s="0" t="inlineStr">
        <is>
          <t>https://new.land.naver.com/complexes/8530?tab=detail&amp;rf=Y</t>
        </is>
      </c>
      <c r="AA91" s="0" t="inlineStr">
        <is>
          <t>인천시 계양구 계산동 산37-6</t>
        </is>
      </c>
      <c r="AB91" s="0" t="inlineStr">
        <is>
          <t>인천시</t>
        </is>
      </c>
      <c r="AC91" s="0" t="inlineStr">
        <is>
          <t>계양구</t>
        </is>
      </c>
      <c r="AD91" s="0" t="inlineStr">
        <is>
          <t>계산동</t>
        </is>
      </c>
      <c r="AG91" s="0" t="inlineStr">
        <is>
          <t>인천시 계양구 계양산로 17</t>
        </is>
      </c>
      <c r="AH91" s="0" t="n">
        <v>0</v>
      </c>
      <c r="AI91" s="0" t="n">
        <v>118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[계산동]</t>
        </is>
      </c>
      <c r="B92" s="0" t="n">
        <v>8530</v>
      </c>
      <c r="C92" s="0" t="n">
        <v>3</v>
      </c>
      <c r="D92" s="0" t="inlineStr">
        <is>
          <t>경신</t>
        </is>
      </c>
      <c r="E92" s="0" t="inlineStr">
        <is>
          <t>1987.08.</t>
        </is>
      </c>
      <c r="F92" s="0" t="n">
        <v>110</v>
      </c>
      <c r="G92" s="0" t="n">
        <v>16.94</v>
      </c>
      <c r="H92" s="0" t="n">
        <v>56.03</v>
      </c>
      <c r="I92" s="0" t="n">
        <v>13.66</v>
      </c>
      <c r="J92" s="0" t="n">
        <v>45.18</v>
      </c>
      <c r="K92" s="0" t="n">
        <v>30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56B</t>
        </is>
      </c>
      <c r="X92" s="0" t="n">
        <v>5</v>
      </c>
      <c r="Y92" s="0" t="n">
        <v>5</v>
      </c>
      <c r="Z92" s="0" t="inlineStr">
        <is>
          <t>https://new.land.naver.com/complexes/8530?tab=detail&amp;rf=Y</t>
        </is>
      </c>
      <c r="AA92" s="0" t="inlineStr">
        <is>
          <t>인천시 계양구 계산동 산37-6</t>
        </is>
      </c>
      <c r="AB92" s="0" t="inlineStr">
        <is>
          <t>인천시</t>
        </is>
      </c>
      <c r="AC92" s="0" t="inlineStr">
        <is>
          <t>계양구</t>
        </is>
      </c>
      <c r="AD92" s="0" t="inlineStr">
        <is>
          <t>계산동</t>
        </is>
      </c>
      <c r="AG92" s="0" t="inlineStr">
        <is>
          <t>인천시 계양구 계양산로 17</t>
        </is>
      </c>
      <c r="AH92" s="0" t="n">
        <v>0</v>
      </c>
      <c r="AI92" s="0" t="n">
        <v>118</v>
      </c>
      <c r="AJ92" s="0" t="n">
        <v>23</v>
      </c>
      <c r="AK92" s="0" t="n">
        <v>0</v>
      </c>
      <c r="AL92" s="0" t="n">
        <v>0</v>
      </c>
    </row>
    <row r="93">
      <c r="A93" s="0" t="inlineStr">
        <is>
          <t>[계산동]</t>
        </is>
      </c>
      <c r="B93" s="0" t="n">
        <v>8530</v>
      </c>
      <c r="C93" s="0" t="n">
        <v>4</v>
      </c>
      <c r="D93" s="0" t="inlineStr">
        <is>
          <t>경신</t>
        </is>
      </c>
      <c r="E93" s="0" t="inlineStr">
        <is>
          <t>1987.08.</t>
        </is>
      </c>
      <c r="F93" s="0" t="n">
        <v>110</v>
      </c>
      <c r="G93" s="0" t="n">
        <v>17.06</v>
      </c>
      <c r="H93" s="0" t="n">
        <v>56.4</v>
      </c>
      <c r="I93" s="0" t="n">
        <v>12.14</v>
      </c>
      <c r="J93" s="0" t="n">
        <v>40.14</v>
      </c>
      <c r="K93" s="0" t="n">
        <v>5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56A</t>
        </is>
      </c>
      <c r="X93" s="0" t="n">
        <v>5</v>
      </c>
      <c r="Y93" s="0" t="n">
        <v>5</v>
      </c>
      <c r="Z93" s="0" t="inlineStr">
        <is>
          <t>https://new.land.naver.com/complexes/8530?tab=detail&amp;rf=Y</t>
        </is>
      </c>
      <c r="AA93" s="0" t="inlineStr">
        <is>
          <t>인천시 계양구 계산동 산37-6</t>
        </is>
      </c>
      <c r="AB93" s="0" t="inlineStr">
        <is>
          <t>인천시</t>
        </is>
      </c>
      <c r="AC93" s="0" t="inlineStr">
        <is>
          <t>계양구</t>
        </is>
      </c>
      <c r="AD93" s="0" t="inlineStr">
        <is>
          <t>계산동</t>
        </is>
      </c>
      <c r="AG93" s="0" t="inlineStr">
        <is>
          <t>인천시 계양구 계양산로 17</t>
        </is>
      </c>
      <c r="AH93" s="0" t="n">
        <v>0</v>
      </c>
      <c r="AI93" s="0" t="n">
        <v>118</v>
      </c>
      <c r="AJ93" s="0" t="n">
        <v>23</v>
      </c>
      <c r="AK93" s="0" t="n">
        <v>0</v>
      </c>
      <c r="AL93" s="0" t="n">
        <v>0</v>
      </c>
    </row>
    <row r="94">
      <c r="A94" s="0" t="inlineStr">
        <is>
          <t>[계산동]</t>
        </is>
      </c>
      <c r="B94" s="0" t="n">
        <v>8530</v>
      </c>
      <c r="C94" s="0" t="n">
        <v>5</v>
      </c>
      <c r="D94" s="0" t="inlineStr">
        <is>
          <t>경신</t>
        </is>
      </c>
      <c r="E94" s="0" t="inlineStr">
        <is>
          <t>1987.08.</t>
        </is>
      </c>
      <c r="F94" s="0" t="n">
        <v>110</v>
      </c>
      <c r="G94" s="0" t="n">
        <v>17.98</v>
      </c>
      <c r="H94" s="0" t="n">
        <v>59.47</v>
      </c>
      <c r="I94" s="0" t="n">
        <v>14.81</v>
      </c>
      <c r="J94" s="0" t="n">
        <v>48.96</v>
      </c>
      <c r="K94" s="0" t="n">
        <v>30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59E</t>
        </is>
      </c>
      <c r="X94" s="0" t="n">
        <v>5</v>
      </c>
      <c r="Y94" s="0" t="n">
        <v>5</v>
      </c>
      <c r="Z94" s="0" t="inlineStr">
        <is>
          <t>https://new.land.naver.com/complexes/8530?tab=detail&amp;rf=Y</t>
        </is>
      </c>
      <c r="AA94" s="0" t="inlineStr">
        <is>
          <t>인천시 계양구 계산동 산37-6</t>
        </is>
      </c>
      <c r="AB94" s="0" t="inlineStr">
        <is>
          <t>인천시</t>
        </is>
      </c>
      <c r="AC94" s="0" t="inlineStr">
        <is>
          <t>계양구</t>
        </is>
      </c>
      <c r="AD94" s="0" t="inlineStr">
        <is>
          <t>계산동</t>
        </is>
      </c>
      <c r="AG94" s="0" t="inlineStr">
        <is>
          <t>인천시 계양구 계양산로 17</t>
        </is>
      </c>
      <c r="AH94" s="0" t="n">
        <v>0</v>
      </c>
      <c r="AI94" s="0" t="n">
        <v>118</v>
      </c>
      <c r="AJ94" s="0" t="n">
        <v>23</v>
      </c>
      <c r="AK94" s="0" t="n">
        <v>0</v>
      </c>
      <c r="AL94" s="0" t="n">
        <v>0</v>
      </c>
    </row>
    <row r="95">
      <c r="A95" s="0" t="inlineStr">
        <is>
          <t>[계산동]</t>
        </is>
      </c>
      <c r="B95" s="0" t="n">
        <v>8530</v>
      </c>
      <c r="C95" s="0" t="n">
        <v>6</v>
      </c>
      <c r="D95" s="0" t="inlineStr">
        <is>
          <t>경신</t>
        </is>
      </c>
      <c r="E95" s="0" t="inlineStr">
        <is>
          <t>1987.08.</t>
        </is>
      </c>
      <c r="F95" s="0" t="n">
        <v>110</v>
      </c>
      <c r="G95" s="0" t="n">
        <v>17.91</v>
      </c>
      <c r="H95" s="0" t="n">
        <v>59.22</v>
      </c>
      <c r="I95" s="0" t="n">
        <v>14.64</v>
      </c>
      <c r="J95" s="0" t="n">
        <v>48.42</v>
      </c>
      <c r="K95" s="0" t="n">
        <v>9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59D</t>
        </is>
      </c>
      <c r="X95" s="0" t="n">
        <v>5</v>
      </c>
      <c r="Y95" s="0" t="n">
        <v>5</v>
      </c>
      <c r="Z95" s="0" t="inlineStr">
        <is>
          <t>https://new.land.naver.com/complexes/8530?tab=detail&amp;rf=Y</t>
        </is>
      </c>
      <c r="AA95" s="0" t="inlineStr">
        <is>
          <t>인천시 계양구 계산동 산37-6</t>
        </is>
      </c>
      <c r="AB95" s="0" t="inlineStr">
        <is>
          <t>인천시</t>
        </is>
      </c>
      <c r="AC95" s="0" t="inlineStr">
        <is>
          <t>계양구</t>
        </is>
      </c>
      <c r="AD95" s="0" t="inlineStr">
        <is>
          <t>계산동</t>
        </is>
      </c>
      <c r="AG95" s="0" t="inlineStr">
        <is>
          <t>인천시 계양구 계양산로 17</t>
        </is>
      </c>
      <c r="AH95" s="0" t="n">
        <v>0</v>
      </c>
      <c r="AI95" s="0" t="n">
        <v>118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[계산동]</t>
        </is>
      </c>
      <c r="B96" s="0" t="n">
        <v>8530</v>
      </c>
      <c r="C96" s="0" t="n">
        <v>7</v>
      </c>
      <c r="D96" s="0" t="inlineStr">
        <is>
          <t>경신</t>
        </is>
      </c>
      <c r="E96" s="0" t="inlineStr">
        <is>
          <t>1987.08.</t>
        </is>
      </c>
      <c r="F96" s="0" t="n">
        <v>110</v>
      </c>
      <c r="G96" s="0" t="n">
        <v>18.02</v>
      </c>
      <c r="H96" s="0" t="n">
        <v>59.58</v>
      </c>
      <c r="I96" s="0" t="n">
        <v>13.12</v>
      </c>
      <c r="J96" s="0" t="n">
        <v>43.38</v>
      </c>
      <c r="K96" s="0" t="n">
        <v>4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59B</t>
        </is>
      </c>
      <c r="X96" s="0" t="n">
        <v>5</v>
      </c>
      <c r="Y96" s="0" t="n">
        <v>5</v>
      </c>
      <c r="Z96" s="0" t="inlineStr">
        <is>
          <t>https://new.land.naver.com/complexes/8530?tab=detail&amp;rf=Y</t>
        </is>
      </c>
      <c r="AA96" s="0" t="inlineStr">
        <is>
          <t>인천시 계양구 계산동 산37-6</t>
        </is>
      </c>
      <c r="AB96" s="0" t="inlineStr">
        <is>
          <t>인천시</t>
        </is>
      </c>
      <c r="AC96" s="0" t="inlineStr">
        <is>
          <t>계양구</t>
        </is>
      </c>
      <c r="AD96" s="0" t="inlineStr">
        <is>
          <t>계산동</t>
        </is>
      </c>
      <c r="AG96" s="0" t="inlineStr">
        <is>
          <t>인천시 계양구 계양산로 17</t>
        </is>
      </c>
      <c r="AH96" s="0" t="n">
        <v>0</v>
      </c>
      <c r="AI96" s="0" t="n">
        <v>118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[계산동]</t>
        </is>
      </c>
      <c r="B97" s="0" t="n">
        <v>8530</v>
      </c>
      <c r="C97" s="0" t="n">
        <v>8</v>
      </c>
      <c r="D97" s="0" t="inlineStr">
        <is>
          <t>경신</t>
        </is>
      </c>
      <c r="E97" s="0" t="inlineStr">
        <is>
          <t>1987.08.</t>
        </is>
      </c>
      <c r="F97" s="0" t="n">
        <v>110</v>
      </c>
      <c r="G97" s="0" t="n">
        <v>17.99</v>
      </c>
      <c r="H97" s="0" t="n">
        <v>59.5</v>
      </c>
      <c r="I97" s="0" t="n">
        <v>13.09</v>
      </c>
      <c r="J97" s="0" t="n">
        <v>43.3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59A</t>
        </is>
      </c>
      <c r="X97" s="0" t="n">
        <v>5</v>
      </c>
      <c r="Y97" s="0" t="n">
        <v>5</v>
      </c>
      <c r="Z97" s="0" t="inlineStr">
        <is>
          <t>https://new.land.naver.com/complexes/8530?tab=detail&amp;rf=Y</t>
        </is>
      </c>
      <c r="AA97" s="0" t="inlineStr">
        <is>
          <t>인천시 계양구 계산동 산37-6</t>
        </is>
      </c>
      <c r="AB97" s="0" t="inlineStr">
        <is>
          <t>인천시</t>
        </is>
      </c>
      <c r="AC97" s="0" t="inlineStr">
        <is>
          <t>계양구</t>
        </is>
      </c>
      <c r="AD97" s="0" t="inlineStr">
        <is>
          <t>계산동</t>
        </is>
      </c>
      <c r="AG97" s="0" t="inlineStr">
        <is>
          <t>인천시 계양구 계양산로 17</t>
        </is>
      </c>
      <c r="AH97" s="0" t="n">
        <v>0</v>
      </c>
      <c r="AI97" s="0" t="n">
        <v>118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[계산동]</t>
        </is>
      </c>
      <c r="B98" s="0" t="n">
        <v>8530</v>
      </c>
      <c r="C98" s="0" t="n">
        <v>9</v>
      </c>
      <c r="D98" s="0" t="inlineStr">
        <is>
          <t>경신</t>
        </is>
      </c>
      <c r="E98" s="0" t="inlineStr">
        <is>
          <t>1987.08.</t>
        </is>
      </c>
      <c r="F98" s="0" t="n">
        <v>110</v>
      </c>
      <c r="G98" s="0" t="n">
        <v>17.9</v>
      </c>
      <c r="H98" s="0" t="n">
        <v>59.2</v>
      </c>
      <c r="I98" s="0" t="n">
        <v>14.64</v>
      </c>
      <c r="J98" s="0" t="n">
        <v>48.4</v>
      </c>
      <c r="K98" s="0" t="n">
        <v>1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59C</t>
        </is>
      </c>
      <c r="X98" s="0" t="n">
        <v>5</v>
      </c>
      <c r="Y98" s="0" t="n">
        <v>5</v>
      </c>
      <c r="Z98" s="0" t="inlineStr">
        <is>
          <t>https://new.land.naver.com/complexes/8530?tab=detail&amp;rf=Y</t>
        </is>
      </c>
      <c r="AA98" s="0" t="inlineStr">
        <is>
          <t>인천시 계양구 계산동 산37-6</t>
        </is>
      </c>
      <c r="AB98" s="0" t="inlineStr">
        <is>
          <t>인천시</t>
        </is>
      </c>
      <c r="AC98" s="0" t="inlineStr">
        <is>
          <t>계양구</t>
        </is>
      </c>
      <c r="AD98" s="0" t="inlineStr">
        <is>
          <t>계산동</t>
        </is>
      </c>
      <c r="AG98" s="0" t="inlineStr">
        <is>
          <t>인천시 계양구 계양산로 17</t>
        </is>
      </c>
      <c r="AH98" s="0" t="n">
        <v>0</v>
      </c>
      <c r="AI98" s="0" t="n">
        <v>118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[계산동]</t>
        </is>
      </c>
      <c r="B99" s="0" t="n">
        <v>2261</v>
      </c>
      <c r="C99" s="0" t="n">
        <v>1</v>
      </c>
      <c r="D99" s="0" t="inlineStr">
        <is>
          <t>인정프린스</t>
        </is>
      </c>
      <c r="E99" s="0" t="inlineStr">
        <is>
          <t>1992.04.</t>
        </is>
      </c>
      <c r="F99" s="0" t="n">
        <v>299</v>
      </c>
      <c r="G99" s="0" t="n">
        <v>25.88</v>
      </c>
      <c r="H99" s="0" t="n">
        <v>85.58</v>
      </c>
      <c r="I99" s="0" t="n">
        <v>19.88</v>
      </c>
      <c r="J99" s="0" t="n">
        <v>65.75</v>
      </c>
      <c r="K99" s="0" t="n">
        <v>22</v>
      </c>
      <c r="T99" s="0" t="n">
        <v>2</v>
      </c>
      <c r="U99" s="0" t="n">
        <v>1</v>
      </c>
      <c r="V99" s="0" t="inlineStr">
        <is>
          <t>계단식</t>
        </is>
      </c>
      <c r="W99" s="0" t="n">
        <v>85</v>
      </c>
      <c r="X99" s="0" t="n">
        <v>18</v>
      </c>
      <c r="Y99" s="0" t="n">
        <v>10</v>
      </c>
      <c r="Z99" s="0" t="inlineStr">
        <is>
          <t>https://new.land.naver.com/complexes/2261?tab=detail&amp;rf=Y</t>
        </is>
      </c>
      <c r="AA99" s="0" t="inlineStr">
        <is>
          <t>인천시 계양구 계산동 57-2</t>
        </is>
      </c>
      <c r="AB99" s="0" t="inlineStr">
        <is>
          <t>인천시</t>
        </is>
      </c>
      <c r="AC99" s="0" t="inlineStr">
        <is>
          <t>계양구</t>
        </is>
      </c>
      <c r="AD99" s="0" t="inlineStr">
        <is>
          <t>계산동</t>
        </is>
      </c>
      <c r="AG99" s="0" t="inlineStr">
        <is>
          <t>인천시 계양구 계산새로5번길 14</t>
        </is>
      </c>
      <c r="AH99" s="0" t="n">
        <v>0</v>
      </c>
      <c r="AI99" s="0" t="n">
        <v>293</v>
      </c>
      <c r="AJ99" s="0" t="n">
        <v>21</v>
      </c>
      <c r="AK99" s="0" t="n">
        <v>133</v>
      </c>
      <c r="AL99" s="0" t="n">
        <v>0.44</v>
      </c>
    </row>
    <row r="100">
      <c r="A100" s="0" t="inlineStr">
        <is>
          <t>[계산동]</t>
        </is>
      </c>
      <c r="B100" s="0" t="n">
        <v>2261</v>
      </c>
      <c r="C100" s="0" t="n">
        <v>2</v>
      </c>
      <c r="D100" s="0" t="inlineStr">
        <is>
          <t>인정프린스</t>
        </is>
      </c>
      <c r="E100" s="0" t="inlineStr">
        <is>
          <t>1992.04.</t>
        </is>
      </c>
      <c r="F100" s="0" t="n">
        <v>299</v>
      </c>
      <c r="G100" s="0" t="n">
        <v>28.35</v>
      </c>
      <c r="H100" s="0" t="n">
        <v>93.73</v>
      </c>
      <c r="I100" s="0" t="n">
        <v>20.73</v>
      </c>
      <c r="J100" s="0" t="n">
        <v>68.53</v>
      </c>
      <c r="K100" s="0" t="n">
        <v>31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93</v>
      </c>
      <c r="X100" s="0" t="n">
        <v>18</v>
      </c>
      <c r="Y100" s="0" t="n">
        <v>10</v>
      </c>
      <c r="Z100" s="0" t="inlineStr">
        <is>
          <t>https://new.land.naver.com/complexes/2261?tab=detail&amp;rf=Y</t>
        </is>
      </c>
      <c r="AA100" s="0" t="inlineStr">
        <is>
          <t>인천시 계양구 계산동 57-2</t>
        </is>
      </c>
      <c r="AB100" s="0" t="inlineStr">
        <is>
          <t>인천시</t>
        </is>
      </c>
      <c r="AC100" s="0" t="inlineStr">
        <is>
          <t>계양구</t>
        </is>
      </c>
      <c r="AD100" s="0" t="inlineStr">
        <is>
          <t>계산동</t>
        </is>
      </c>
      <c r="AG100" s="0" t="inlineStr">
        <is>
          <t>인천시 계양구 계산새로5번길 14</t>
        </is>
      </c>
      <c r="AH100" s="0" t="n">
        <v>0</v>
      </c>
      <c r="AI100" s="0" t="n">
        <v>293</v>
      </c>
      <c r="AJ100" s="0" t="n">
        <v>21</v>
      </c>
      <c r="AK100" s="0" t="n">
        <v>133</v>
      </c>
      <c r="AL100" s="0" t="n">
        <v>0.44</v>
      </c>
    </row>
    <row r="101">
      <c r="A101" s="0" t="inlineStr">
        <is>
          <t>[계산동]</t>
        </is>
      </c>
      <c r="B101" s="0" t="n">
        <v>2261</v>
      </c>
      <c r="C101" s="0" t="n">
        <v>3</v>
      </c>
      <c r="D101" s="0" t="inlineStr">
        <is>
          <t>인정프린스</t>
        </is>
      </c>
      <c r="E101" s="0" t="inlineStr">
        <is>
          <t>1992.04.</t>
        </is>
      </c>
      <c r="F101" s="0" t="n">
        <v>299</v>
      </c>
      <c r="G101" s="0" t="n">
        <v>29.6</v>
      </c>
      <c r="H101" s="0" t="n">
        <v>97.87</v>
      </c>
      <c r="I101" s="0" t="n">
        <v>22.75</v>
      </c>
      <c r="J101" s="0" t="n">
        <v>75.22</v>
      </c>
      <c r="K101" s="0" t="n">
        <v>22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97</v>
      </c>
      <c r="X101" s="0" t="n">
        <v>18</v>
      </c>
      <c r="Y101" s="0" t="n">
        <v>10</v>
      </c>
      <c r="Z101" s="0" t="inlineStr">
        <is>
          <t>https://new.land.naver.com/complexes/2261?tab=detail&amp;rf=Y</t>
        </is>
      </c>
      <c r="AA101" s="0" t="inlineStr">
        <is>
          <t>인천시 계양구 계산동 57-2</t>
        </is>
      </c>
      <c r="AB101" s="0" t="inlineStr">
        <is>
          <t>인천시</t>
        </is>
      </c>
      <c r="AC101" s="0" t="inlineStr">
        <is>
          <t>계양구</t>
        </is>
      </c>
      <c r="AD101" s="0" t="inlineStr">
        <is>
          <t>계산동</t>
        </is>
      </c>
      <c r="AG101" s="0" t="inlineStr">
        <is>
          <t>인천시 계양구 계산새로5번길 14</t>
        </is>
      </c>
      <c r="AH101" s="0" t="n">
        <v>0</v>
      </c>
      <c r="AI101" s="0" t="n">
        <v>293</v>
      </c>
      <c r="AJ101" s="0" t="n">
        <v>21</v>
      </c>
      <c r="AK101" s="0" t="n">
        <v>133</v>
      </c>
      <c r="AL101" s="0" t="n">
        <v>0.44</v>
      </c>
    </row>
    <row r="102">
      <c r="A102" s="0" t="inlineStr">
        <is>
          <t>[계산동]</t>
        </is>
      </c>
      <c r="B102" s="0" t="n">
        <v>2261</v>
      </c>
      <c r="C102" s="0" t="n">
        <v>4</v>
      </c>
      <c r="D102" s="0" t="inlineStr">
        <is>
          <t>인정프린스</t>
        </is>
      </c>
      <c r="E102" s="0" t="inlineStr">
        <is>
          <t>1992.04.</t>
        </is>
      </c>
      <c r="F102" s="0" t="n">
        <v>299</v>
      </c>
      <c r="G102" s="0" t="n">
        <v>30.59</v>
      </c>
      <c r="H102" s="0" t="n">
        <v>101.14</v>
      </c>
      <c r="I102" s="0" t="n">
        <v>23.21</v>
      </c>
      <c r="J102" s="0" t="n">
        <v>76.73999999999999</v>
      </c>
      <c r="K102" s="0" t="n">
        <v>61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101</v>
      </c>
      <c r="X102" s="0" t="n">
        <v>18</v>
      </c>
      <c r="Y102" s="0" t="n">
        <v>10</v>
      </c>
      <c r="Z102" s="0" t="inlineStr">
        <is>
          <t>https://new.land.naver.com/complexes/2261?tab=detail&amp;rf=Y</t>
        </is>
      </c>
      <c r="AA102" s="0" t="inlineStr">
        <is>
          <t>인천시 계양구 계산동 57-2</t>
        </is>
      </c>
      <c r="AB102" s="0" t="inlineStr">
        <is>
          <t>인천시</t>
        </is>
      </c>
      <c r="AC102" s="0" t="inlineStr">
        <is>
          <t>계양구</t>
        </is>
      </c>
      <c r="AD102" s="0" t="inlineStr">
        <is>
          <t>계산동</t>
        </is>
      </c>
      <c r="AG102" s="0" t="inlineStr">
        <is>
          <t>인천시 계양구 계산새로5번길 14</t>
        </is>
      </c>
      <c r="AH102" s="0" t="n">
        <v>0</v>
      </c>
      <c r="AI102" s="0" t="n">
        <v>293</v>
      </c>
      <c r="AJ102" s="0" t="n">
        <v>21</v>
      </c>
      <c r="AK102" s="0" t="n">
        <v>133</v>
      </c>
      <c r="AL102" s="0" t="n">
        <v>0.44</v>
      </c>
    </row>
    <row r="103">
      <c r="A103" s="0" t="inlineStr">
        <is>
          <t>[계산동]</t>
        </is>
      </c>
      <c r="B103" s="0" t="n">
        <v>2261</v>
      </c>
      <c r="C103" s="0" t="n">
        <v>5</v>
      </c>
      <c r="D103" s="0" t="inlineStr">
        <is>
          <t>인정프린스</t>
        </is>
      </c>
      <c r="E103" s="0" t="inlineStr">
        <is>
          <t>1992.04.</t>
        </is>
      </c>
      <c r="F103" s="0" t="n">
        <v>299</v>
      </c>
      <c r="G103" s="0" t="n">
        <v>32.74</v>
      </c>
      <c r="H103" s="0" t="n">
        <v>108.24</v>
      </c>
      <c r="I103" s="0" t="n">
        <v>25.66</v>
      </c>
      <c r="J103" s="0" t="n">
        <v>84.83</v>
      </c>
      <c r="K103" s="0" t="n">
        <v>72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108</v>
      </c>
      <c r="X103" s="0" t="n">
        <v>18</v>
      </c>
      <c r="Y103" s="0" t="n">
        <v>10</v>
      </c>
      <c r="Z103" s="0" t="inlineStr">
        <is>
          <t>https://new.land.naver.com/complexes/2261?tab=detail&amp;rf=Y</t>
        </is>
      </c>
      <c r="AA103" s="0" t="inlineStr">
        <is>
          <t>인천시 계양구 계산동 57-2</t>
        </is>
      </c>
      <c r="AB103" s="0" t="inlineStr">
        <is>
          <t>인천시</t>
        </is>
      </c>
      <c r="AC103" s="0" t="inlineStr">
        <is>
          <t>계양구</t>
        </is>
      </c>
      <c r="AD103" s="0" t="inlineStr">
        <is>
          <t>계산동</t>
        </is>
      </c>
      <c r="AG103" s="0" t="inlineStr">
        <is>
          <t>인천시 계양구 계산새로5번길 14</t>
        </is>
      </c>
      <c r="AH103" s="0" t="n">
        <v>0</v>
      </c>
      <c r="AI103" s="0" t="n">
        <v>293</v>
      </c>
      <c r="AJ103" s="0" t="n">
        <v>21</v>
      </c>
      <c r="AK103" s="0" t="n">
        <v>133</v>
      </c>
      <c r="AL103" s="0" t="n">
        <v>0.44</v>
      </c>
    </row>
    <row r="104">
      <c r="A104" s="0" t="inlineStr">
        <is>
          <t>[계산동]</t>
        </is>
      </c>
      <c r="B104" s="0" t="n">
        <v>2261</v>
      </c>
      <c r="C104" s="0" t="n">
        <v>6</v>
      </c>
      <c r="D104" s="0" t="inlineStr">
        <is>
          <t>인정프린스</t>
        </is>
      </c>
      <c r="E104" s="0" t="inlineStr">
        <is>
          <t>1992.04.</t>
        </is>
      </c>
      <c r="F104" s="0" t="n">
        <v>299</v>
      </c>
      <c r="G104" s="0" t="n">
        <v>34.01</v>
      </c>
      <c r="H104" s="0" t="n">
        <v>112.46</v>
      </c>
      <c r="I104" s="0" t="n">
        <v>25.51</v>
      </c>
      <c r="J104" s="0" t="n">
        <v>84.36</v>
      </c>
      <c r="K104" s="0" t="n">
        <v>28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112</v>
      </c>
      <c r="X104" s="0" t="n">
        <v>18</v>
      </c>
      <c r="Y104" s="0" t="n">
        <v>10</v>
      </c>
      <c r="Z104" s="0" t="inlineStr">
        <is>
          <t>https://new.land.naver.com/complexes/2261?tab=detail&amp;rf=Y</t>
        </is>
      </c>
      <c r="AA104" s="0" t="inlineStr">
        <is>
          <t>인천시 계양구 계산동 57-2</t>
        </is>
      </c>
      <c r="AB104" s="0" t="inlineStr">
        <is>
          <t>인천시</t>
        </is>
      </c>
      <c r="AC104" s="0" t="inlineStr">
        <is>
          <t>계양구</t>
        </is>
      </c>
      <c r="AD104" s="0" t="inlineStr">
        <is>
          <t>계산동</t>
        </is>
      </c>
      <c r="AG104" s="0" t="inlineStr">
        <is>
          <t>인천시 계양구 계산새로5번길 14</t>
        </is>
      </c>
      <c r="AH104" s="0" t="n">
        <v>0</v>
      </c>
      <c r="AI104" s="0" t="n">
        <v>293</v>
      </c>
      <c r="AJ104" s="0" t="n">
        <v>21</v>
      </c>
      <c r="AK104" s="0" t="n">
        <v>133</v>
      </c>
      <c r="AL104" s="0" t="n">
        <v>0.44</v>
      </c>
    </row>
    <row r="105">
      <c r="A105" s="0" t="inlineStr">
        <is>
          <t>[계산동]</t>
        </is>
      </c>
      <c r="B105" s="0" t="n">
        <v>2261</v>
      </c>
      <c r="C105" s="0" t="n">
        <v>7</v>
      </c>
      <c r="D105" s="0" t="inlineStr">
        <is>
          <t>인정프린스</t>
        </is>
      </c>
      <c r="E105" s="0" t="inlineStr">
        <is>
          <t>1992.04.</t>
        </is>
      </c>
      <c r="F105" s="0" t="n">
        <v>299</v>
      </c>
      <c r="G105" s="0" t="n">
        <v>39.75</v>
      </c>
      <c r="H105" s="0" t="n">
        <v>131.41</v>
      </c>
      <c r="I105" s="0" t="n">
        <v>31.62</v>
      </c>
      <c r="J105" s="0" t="n">
        <v>104.55</v>
      </c>
      <c r="K105" s="0" t="n">
        <v>63</v>
      </c>
      <c r="T105" s="0" t="n">
        <v>4</v>
      </c>
      <c r="U105" s="0" t="n">
        <v>2</v>
      </c>
      <c r="V105" s="0" t="inlineStr">
        <is>
          <t>계단식</t>
        </is>
      </c>
      <c r="W105" s="0" t="n">
        <v>131</v>
      </c>
      <c r="X105" s="0" t="n">
        <v>18</v>
      </c>
      <c r="Y105" s="0" t="n">
        <v>10</v>
      </c>
      <c r="Z105" s="0" t="inlineStr">
        <is>
          <t>https://new.land.naver.com/complexes/2261?tab=detail&amp;rf=Y</t>
        </is>
      </c>
      <c r="AA105" s="0" t="inlineStr">
        <is>
          <t>인천시 계양구 계산동 57-2</t>
        </is>
      </c>
      <c r="AB105" s="0" t="inlineStr">
        <is>
          <t>인천시</t>
        </is>
      </c>
      <c r="AC105" s="0" t="inlineStr">
        <is>
          <t>계양구</t>
        </is>
      </c>
      <c r="AD105" s="0" t="inlineStr">
        <is>
          <t>계산동</t>
        </is>
      </c>
      <c r="AG105" s="0" t="inlineStr">
        <is>
          <t>인천시 계양구 계산새로5번길 14</t>
        </is>
      </c>
      <c r="AH105" s="0" t="n">
        <v>0</v>
      </c>
      <c r="AI105" s="0" t="n">
        <v>293</v>
      </c>
      <c r="AJ105" s="0" t="n">
        <v>21</v>
      </c>
      <c r="AK105" s="0" t="n">
        <v>133</v>
      </c>
      <c r="AL105" s="0" t="n">
        <v>0.44</v>
      </c>
    </row>
    <row r="106">
      <c r="A106" s="0" t="inlineStr">
        <is>
          <t>[계산동]</t>
        </is>
      </c>
      <c r="B106" s="0" t="n">
        <v>8523</v>
      </c>
      <c r="C106" s="0" t="n">
        <v>1</v>
      </c>
      <c r="D106" s="0" t="inlineStr">
        <is>
          <t>뉴서울</t>
        </is>
      </c>
      <c r="E106" s="0" t="inlineStr">
        <is>
          <t>1993.11.</t>
        </is>
      </c>
      <c r="F106" s="0" t="n">
        <v>92</v>
      </c>
      <c r="G106" s="0" t="n">
        <v>20.54</v>
      </c>
      <c r="H106" s="0" t="n">
        <v>67.93000000000001</v>
      </c>
      <c r="I106" s="0" t="n">
        <v>15.93</v>
      </c>
      <c r="J106" s="0" t="n">
        <v>52.68</v>
      </c>
      <c r="K106" s="0" t="n">
        <v>46</v>
      </c>
      <c r="T106" s="0" t="n">
        <v>3</v>
      </c>
      <c r="U106" s="0" t="n">
        <v>1</v>
      </c>
      <c r="V106" s="0" t="inlineStr">
        <is>
          <t>복도식</t>
        </is>
      </c>
      <c r="W106" s="0" t="n">
        <v>67</v>
      </c>
      <c r="X106" s="0" t="n">
        <v>23</v>
      </c>
      <c r="Y106" s="0" t="n">
        <v>23</v>
      </c>
      <c r="Z106" s="0" t="inlineStr">
        <is>
          <t>https://new.land.naver.com/complexes/8523?tab=detail&amp;rf=Y</t>
        </is>
      </c>
      <c r="AA106" s="0" t="inlineStr">
        <is>
          <t>인천시 계양구 계산동 288-5</t>
        </is>
      </c>
      <c r="AB106" s="0" t="inlineStr">
        <is>
          <t>인천시</t>
        </is>
      </c>
      <c r="AC106" s="0" t="inlineStr">
        <is>
          <t>계양구</t>
        </is>
      </c>
      <c r="AD106" s="0" t="inlineStr">
        <is>
          <t>계산동</t>
        </is>
      </c>
      <c r="AG106" s="0" t="inlineStr">
        <is>
          <t>인천시 계양구 장제로755번길 6-10</t>
        </is>
      </c>
      <c r="AH106" s="0" t="n">
        <v>0</v>
      </c>
      <c r="AI106" s="0" t="n">
        <v>301</v>
      </c>
      <c r="AJ106" s="0" t="n">
        <v>15</v>
      </c>
      <c r="AK106" s="0" t="n">
        <v>48</v>
      </c>
      <c r="AL106" s="0" t="n">
        <v>0.52</v>
      </c>
    </row>
    <row r="107">
      <c r="A107" s="0" t="inlineStr">
        <is>
          <t>[계산동]</t>
        </is>
      </c>
      <c r="B107" s="0" t="n">
        <v>8523</v>
      </c>
      <c r="C107" s="0" t="n">
        <v>2</v>
      </c>
      <c r="D107" s="0" t="inlineStr">
        <is>
          <t>뉴서울</t>
        </is>
      </c>
      <c r="E107" s="0" t="inlineStr">
        <is>
          <t>1993.11.</t>
        </is>
      </c>
      <c r="F107" s="0" t="n">
        <v>92</v>
      </c>
      <c r="G107" s="0" t="n">
        <v>23.73</v>
      </c>
      <c r="H107" s="0" t="n">
        <v>78.45</v>
      </c>
      <c r="I107" s="0" t="n">
        <v>18.4</v>
      </c>
      <c r="J107" s="0" t="n">
        <v>60.84</v>
      </c>
      <c r="K107" s="0" t="n">
        <v>23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78</v>
      </c>
      <c r="X107" s="0" t="n">
        <v>23</v>
      </c>
      <c r="Y107" s="0" t="n">
        <v>23</v>
      </c>
      <c r="Z107" s="0" t="inlineStr">
        <is>
          <t>https://new.land.naver.com/complexes/8523?tab=detail&amp;rf=Y</t>
        </is>
      </c>
      <c r="AA107" s="0" t="inlineStr">
        <is>
          <t>인천시 계양구 계산동 288-5</t>
        </is>
      </c>
      <c r="AB107" s="0" t="inlineStr">
        <is>
          <t>인천시</t>
        </is>
      </c>
      <c r="AC107" s="0" t="inlineStr">
        <is>
          <t>계양구</t>
        </is>
      </c>
      <c r="AD107" s="0" t="inlineStr">
        <is>
          <t>계산동</t>
        </is>
      </c>
      <c r="AG107" s="0" t="inlineStr">
        <is>
          <t>인천시 계양구 장제로755번길 6-10</t>
        </is>
      </c>
      <c r="AH107" s="0" t="n">
        <v>0</v>
      </c>
      <c r="AI107" s="0" t="n">
        <v>301</v>
      </c>
      <c r="AJ107" s="0" t="n">
        <v>15</v>
      </c>
      <c r="AK107" s="0" t="n">
        <v>48</v>
      </c>
      <c r="AL107" s="0" t="n">
        <v>0.52</v>
      </c>
    </row>
    <row r="108">
      <c r="A108" s="0" t="inlineStr">
        <is>
          <t>[계산동]</t>
        </is>
      </c>
      <c r="B108" s="0" t="n">
        <v>8523</v>
      </c>
      <c r="C108" s="0" t="n">
        <v>3</v>
      </c>
      <c r="D108" s="0" t="inlineStr">
        <is>
          <t>뉴서울</t>
        </is>
      </c>
      <c r="E108" s="0" t="inlineStr">
        <is>
          <t>1993.11.</t>
        </is>
      </c>
      <c r="F108" s="0" t="n">
        <v>92</v>
      </c>
      <c r="G108" s="0" t="n">
        <v>29.09</v>
      </c>
      <c r="H108" s="0" t="n">
        <v>96.17</v>
      </c>
      <c r="I108" s="0" t="n">
        <v>22.56</v>
      </c>
      <c r="J108" s="0" t="n">
        <v>74.58</v>
      </c>
      <c r="K108" s="0" t="n">
        <v>23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96</v>
      </c>
      <c r="X108" s="0" t="n">
        <v>23</v>
      </c>
      <c r="Y108" s="0" t="n">
        <v>23</v>
      </c>
      <c r="Z108" s="0" t="inlineStr">
        <is>
          <t>https://new.land.naver.com/complexes/8523?tab=detail&amp;rf=Y</t>
        </is>
      </c>
      <c r="AA108" s="0" t="inlineStr">
        <is>
          <t>인천시 계양구 계산동 288-5</t>
        </is>
      </c>
      <c r="AB108" s="0" t="inlineStr">
        <is>
          <t>인천시</t>
        </is>
      </c>
      <c r="AC108" s="0" t="inlineStr">
        <is>
          <t>계양구</t>
        </is>
      </c>
      <c r="AD108" s="0" t="inlineStr">
        <is>
          <t>계산동</t>
        </is>
      </c>
      <c r="AG108" s="0" t="inlineStr">
        <is>
          <t>인천시 계양구 장제로755번길 6-10</t>
        </is>
      </c>
      <c r="AH108" s="0" t="n">
        <v>0</v>
      </c>
      <c r="AI108" s="0" t="n">
        <v>301</v>
      </c>
      <c r="AJ108" s="0" t="n">
        <v>15</v>
      </c>
      <c r="AK108" s="0" t="n">
        <v>48</v>
      </c>
      <c r="AL108" s="0" t="n">
        <v>0.52</v>
      </c>
    </row>
    <row r="109">
      <c r="A109" s="0" t="inlineStr">
        <is>
          <t>[계산동]</t>
        </is>
      </c>
      <c r="B109" s="0" t="n">
        <v>8524</v>
      </c>
      <c r="C109" s="0" t="n">
        <v>1</v>
      </c>
      <c r="D109" s="0" t="inlineStr">
        <is>
          <t>동남(55-1)</t>
        </is>
      </c>
      <c r="E109" s="0" t="inlineStr">
        <is>
          <t>1990.07.</t>
        </is>
      </c>
      <c r="F109" s="0" t="n">
        <v>336</v>
      </c>
      <c r="G109" s="0" t="n">
        <v>17.14</v>
      </c>
      <c r="H109" s="0" t="n">
        <v>56.68</v>
      </c>
      <c r="I109" s="0" t="n">
        <v>13.22</v>
      </c>
      <c r="J109" s="0" t="n">
        <v>43.71</v>
      </c>
      <c r="K109" s="0" t="n">
        <v>84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56</v>
      </c>
      <c r="X109" s="0" t="n">
        <v>6</v>
      </c>
      <c r="Y109" s="0" t="n">
        <v>6</v>
      </c>
      <c r="Z109" s="0" t="inlineStr">
        <is>
          <t>https://new.land.naver.com/complexes/8524?tab=detail&amp;rf=Y</t>
        </is>
      </c>
      <c r="AA109" s="0" t="inlineStr">
        <is>
          <t>인천시 계양구 계산동 55-1</t>
        </is>
      </c>
      <c r="AB109" s="0" t="inlineStr">
        <is>
          <t>인천시</t>
        </is>
      </c>
      <c r="AC109" s="0" t="inlineStr">
        <is>
          <t>계양구</t>
        </is>
      </c>
      <c r="AD109" s="0" t="inlineStr">
        <is>
          <t>계산동</t>
        </is>
      </c>
      <c r="AG109" s="0" t="inlineStr">
        <is>
          <t>인천시 계양구 주부토로532번길 38</t>
        </is>
      </c>
      <c r="AH109" s="0" t="n">
        <v>0</v>
      </c>
      <c r="AI109" s="0" t="n">
        <v>187</v>
      </c>
      <c r="AJ109" s="0" t="n">
        <v>31</v>
      </c>
      <c r="AK109" s="0" t="n">
        <v>86</v>
      </c>
      <c r="AL109" s="0" t="n">
        <v>0.26</v>
      </c>
    </row>
    <row r="110">
      <c r="A110" s="0" t="inlineStr">
        <is>
          <t>[계산동]</t>
        </is>
      </c>
      <c r="B110" s="0" t="n">
        <v>8524</v>
      </c>
      <c r="C110" s="0" t="n">
        <v>2</v>
      </c>
      <c r="D110" s="0" t="inlineStr">
        <is>
          <t>동남(55-1)</t>
        </is>
      </c>
      <c r="E110" s="0" t="inlineStr">
        <is>
          <t>1990.07.</t>
        </is>
      </c>
      <c r="F110" s="0" t="n">
        <v>336</v>
      </c>
      <c r="G110" s="0" t="n">
        <v>21.35</v>
      </c>
      <c r="H110" s="0" t="n">
        <v>70.61</v>
      </c>
      <c r="I110" s="0" t="n">
        <v>16.79</v>
      </c>
      <c r="J110" s="0" t="n">
        <v>55.53</v>
      </c>
      <c r="K110" s="0" t="n">
        <v>144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70</v>
      </c>
      <c r="X110" s="0" t="n">
        <v>6</v>
      </c>
      <c r="Y110" s="0" t="n">
        <v>6</v>
      </c>
      <c r="Z110" s="0" t="inlineStr">
        <is>
          <t>https://new.land.naver.com/complexes/8524?tab=detail&amp;rf=Y</t>
        </is>
      </c>
      <c r="AA110" s="0" t="inlineStr">
        <is>
          <t>인천시 계양구 계산동 55-1</t>
        </is>
      </c>
      <c r="AB110" s="0" t="inlineStr">
        <is>
          <t>인천시</t>
        </is>
      </c>
      <c r="AC110" s="0" t="inlineStr">
        <is>
          <t>계양구</t>
        </is>
      </c>
      <c r="AD110" s="0" t="inlineStr">
        <is>
          <t>계산동</t>
        </is>
      </c>
      <c r="AG110" s="0" t="inlineStr">
        <is>
          <t>인천시 계양구 주부토로532번길 38</t>
        </is>
      </c>
      <c r="AH110" s="0" t="n">
        <v>0</v>
      </c>
      <c r="AI110" s="0" t="n">
        <v>187</v>
      </c>
      <c r="AJ110" s="0" t="n">
        <v>31</v>
      </c>
      <c r="AK110" s="0" t="n">
        <v>86</v>
      </c>
      <c r="AL110" s="0" t="n">
        <v>0.26</v>
      </c>
    </row>
    <row r="111">
      <c r="A111" s="0" t="inlineStr">
        <is>
          <t>[계산동]</t>
        </is>
      </c>
      <c r="B111" s="0" t="n">
        <v>8524</v>
      </c>
      <c r="C111" s="0" t="n">
        <v>3</v>
      </c>
      <c r="D111" s="0" t="inlineStr">
        <is>
          <t>동남(55-1)</t>
        </is>
      </c>
      <c r="E111" s="0" t="inlineStr">
        <is>
          <t>1990.07.</t>
        </is>
      </c>
      <c r="F111" s="0" t="n">
        <v>336</v>
      </c>
      <c r="G111" s="0" t="n">
        <v>22.32</v>
      </c>
      <c r="H111" s="0" t="n">
        <v>73.79000000000001</v>
      </c>
      <c r="I111" s="0" t="n">
        <v>17.61</v>
      </c>
      <c r="J111" s="0" t="n">
        <v>58.23</v>
      </c>
      <c r="K111" s="0" t="n">
        <v>48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73</v>
      </c>
      <c r="X111" s="0" t="n">
        <v>6</v>
      </c>
      <c r="Y111" s="0" t="n">
        <v>6</v>
      </c>
      <c r="Z111" s="0" t="inlineStr">
        <is>
          <t>https://new.land.naver.com/complexes/8524?tab=detail&amp;rf=Y</t>
        </is>
      </c>
      <c r="AA111" s="0" t="inlineStr">
        <is>
          <t>인천시 계양구 계산동 55-1</t>
        </is>
      </c>
      <c r="AB111" s="0" t="inlineStr">
        <is>
          <t>인천시</t>
        </is>
      </c>
      <c r="AC111" s="0" t="inlineStr">
        <is>
          <t>계양구</t>
        </is>
      </c>
      <c r="AD111" s="0" t="inlineStr">
        <is>
          <t>계산동</t>
        </is>
      </c>
      <c r="AG111" s="0" t="inlineStr">
        <is>
          <t>인천시 계양구 주부토로532번길 38</t>
        </is>
      </c>
      <c r="AH111" s="0" t="n">
        <v>0</v>
      </c>
      <c r="AI111" s="0" t="n">
        <v>187</v>
      </c>
      <c r="AJ111" s="0" t="n">
        <v>31</v>
      </c>
      <c r="AK111" s="0" t="n">
        <v>86</v>
      </c>
      <c r="AL111" s="0" t="n">
        <v>0.26</v>
      </c>
    </row>
    <row r="112">
      <c r="A112" s="0" t="inlineStr">
        <is>
          <t>[계산동]</t>
        </is>
      </c>
      <c r="B112" s="0" t="n">
        <v>8524</v>
      </c>
      <c r="C112" s="0" t="n">
        <v>4</v>
      </c>
      <c r="D112" s="0" t="inlineStr">
        <is>
          <t>동남(55-1)</t>
        </is>
      </c>
      <c r="E112" s="0" t="inlineStr">
        <is>
          <t>1990.07.</t>
        </is>
      </c>
      <c r="F112" s="0" t="n">
        <v>336</v>
      </c>
      <c r="G112" s="0" t="n">
        <v>24.29</v>
      </c>
      <c r="H112" s="0" t="n">
        <v>80.3</v>
      </c>
      <c r="I112" s="0" t="n">
        <v>19.35</v>
      </c>
      <c r="J112" s="0" t="n">
        <v>63.99</v>
      </c>
      <c r="K112" s="0" t="n">
        <v>60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80</v>
      </c>
      <c r="X112" s="0" t="n">
        <v>6</v>
      </c>
      <c r="Y112" s="0" t="n">
        <v>6</v>
      </c>
      <c r="Z112" s="0" t="inlineStr">
        <is>
          <t>https://new.land.naver.com/complexes/8524?tab=detail&amp;rf=Y</t>
        </is>
      </c>
      <c r="AA112" s="0" t="inlineStr">
        <is>
          <t>인천시 계양구 계산동 55-1</t>
        </is>
      </c>
      <c r="AB112" s="0" t="inlineStr">
        <is>
          <t>인천시</t>
        </is>
      </c>
      <c r="AC112" s="0" t="inlineStr">
        <is>
          <t>계양구</t>
        </is>
      </c>
      <c r="AD112" s="0" t="inlineStr">
        <is>
          <t>계산동</t>
        </is>
      </c>
      <c r="AG112" s="0" t="inlineStr">
        <is>
          <t>인천시 계양구 주부토로532번길 38</t>
        </is>
      </c>
      <c r="AH112" s="0" t="n">
        <v>0</v>
      </c>
      <c r="AI112" s="0" t="n">
        <v>187</v>
      </c>
      <c r="AJ112" s="0" t="n">
        <v>31</v>
      </c>
      <c r="AK112" s="0" t="n">
        <v>86</v>
      </c>
      <c r="AL112" s="0" t="n">
        <v>0.26</v>
      </c>
    </row>
    <row r="113">
      <c r="A113" s="0" t="inlineStr">
        <is>
          <t>[계산동]</t>
        </is>
      </c>
      <c r="B113" s="0" t="n">
        <v>2253</v>
      </c>
      <c r="C113" s="0" t="n">
        <v>1</v>
      </c>
      <c r="D113" s="0" t="inlineStr">
        <is>
          <t>극동</t>
        </is>
      </c>
      <c r="E113" s="0" t="inlineStr">
        <is>
          <t>1985.07.</t>
        </is>
      </c>
      <c r="F113" s="0" t="n">
        <v>630</v>
      </c>
      <c r="G113" s="0" t="n">
        <v>14.64</v>
      </c>
      <c r="H113" s="0" t="n">
        <v>48.42</v>
      </c>
      <c r="I113" s="0" t="n">
        <v>11.53</v>
      </c>
      <c r="J113" s="0" t="n">
        <v>38.13</v>
      </c>
      <c r="K113" s="0" t="n">
        <v>60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48</v>
      </c>
      <c r="X113" s="0" t="n">
        <v>5</v>
      </c>
      <c r="Y113" s="0" t="n">
        <v>5</v>
      </c>
      <c r="Z113" s="0" t="inlineStr">
        <is>
          <t>https://new.land.naver.com/complexes/2253?tab=detail&amp;rf=Y</t>
        </is>
      </c>
      <c r="AA113" s="0" t="inlineStr">
        <is>
          <t>인천시 계양구 계산동 899</t>
        </is>
      </c>
      <c r="AB113" s="0" t="inlineStr">
        <is>
          <t>인천시</t>
        </is>
      </c>
      <c r="AC113" s="0" t="inlineStr">
        <is>
          <t>계양구</t>
        </is>
      </c>
      <c r="AD113" s="0" t="inlineStr">
        <is>
          <t>계산동</t>
        </is>
      </c>
      <c r="AG113" s="0" t="inlineStr">
        <is>
          <t>인천시 계양구 하느재로19번길 8</t>
        </is>
      </c>
      <c r="AH113" s="0" t="n">
        <v>0</v>
      </c>
      <c r="AI113" s="0" t="n">
        <v>118</v>
      </c>
      <c r="AJ113" s="0" t="n">
        <v>24</v>
      </c>
      <c r="AK113" s="0" t="n">
        <v>315</v>
      </c>
      <c r="AL113" s="0" t="n">
        <v>0.5</v>
      </c>
    </row>
    <row r="114">
      <c r="A114" s="0" t="inlineStr">
        <is>
          <t>[계산동]</t>
        </is>
      </c>
      <c r="B114" s="0" t="n">
        <v>2253</v>
      </c>
      <c r="C114" s="0" t="n">
        <v>2</v>
      </c>
      <c r="D114" s="0" t="inlineStr">
        <is>
          <t>극동</t>
        </is>
      </c>
      <c r="E114" s="0" t="inlineStr">
        <is>
          <t>1985.07.</t>
        </is>
      </c>
      <c r="F114" s="0" t="n">
        <v>630</v>
      </c>
      <c r="G114" s="0" t="n">
        <v>19.41</v>
      </c>
      <c r="H114" s="0" t="n">
        <v>64.17</v>
      </c>
      <c r="I114" s="0" t="n">
        <v>15.86</v>
      </c>
      <c r="J114" s="0" t="n">
        <v>52.45</v>
      </c>
      <c r="K114" s="0" t="n">
        <v>240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64</v>
      </c>
      <c r="X114" s="0" t="n">
        <v>5</v>
      </c>
      <c r="Y114" s="0" t="n">
        <v>5</v>
      </c>
      <c r="Z114" s="0" t="inlineStr">
        <is>
          <t>https://new.land.naver.com/complexes/2253?tab=detail&amp;rf=Y</t>
        </is>
      </c>
      <c r="AA114" s="0" t="inlineStr">
        <is>
          <t>인천시 계양구 계산동 899</t>
        </is>
      </c>
      <c r="AB114" s="0" t="inlineStr">
        <is>
          <t>인천시</t>
        </is>
      </c>
      <c r="AC114" s="0" t="inlineStr">
        <is>
          <t>계양구</t>
        </is>
      </c>
      <c r="AD114" s="0" t="inlineStr">
        <is>
          <t>계산동</t>
        </is>
      </c>
      <c r="AG114" s="0" t="inlineStr">
        <is>
          <t>인천시 계양구 하느재로19번길 8</t>
        </is>
      </c>
      <c r="AH114" s="0" t="n">
        <v>0</v>
      </c>
      <c r="AI114" s="0" t="n">
        <v>118</v>
      </c>
      <c r="AJ114" s="0" t="n">
        <v>24</v>
      </c>
      <c r="AK114" s="0" t="n">
        <v>315</v>
      </c>
      <c r="AL114" s="0" t="n">
        <v>0.5</v>
      </c>
    </row>
    <row r="115">
      <c r="A115" s="0" t="inlineStr">
        <is>
          <t>[계산동]</t>
        </is>
      </c>
      <c r="B115" s="0" t="n">
        <v>2253</v>
      </c>
      <c r="C115" s="0" t="n">
        <v>3</v>
      </c>
      <c r="D115" s="0" t="inlineStr">
        <is>
          <t>극동</t>
        </is>
      </c>
      <c r="E115" s="0" t="inlineStr">
        <is>
          <t>1985.07.</t>
        </is>
      </c>
      <c r="F115" s="0" t="n">
        <v>630</v>
      </c>
      <c r="G115" s="0" t="n">
        <v>21.5</v>
      </c>
      <c r="H115" s="0" t="n">
        <v>71.09999999999999</v>
      </c>
      <c r="I115" s="0" t="n">
        <v>17.25</v>
      </c>
      <c r="J115" s="0" t="n">
        <v>57.05</v>
      </c>
      <c r="K115" s="0" t="n">
        <v>140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71</v>
      </c>
      <c r="X115" s="0" t="n">
        <v>5</v>
      </c>
      <c r="Y115" s="0" t="n">
        <v>5</v>
      </c>
      <c r="Z115" s="0" t="inlineStr">
        <is>
          <t>https://new.land.naver.com/complexes/2253?tab=detail&amp;rf=Y</t>
        </is>
      </c>
      <c r="AA115" s="0" t="inlineStr">
        <is>
          <t>인천시 계양구 계산동 899</t>
        </is>
      </c>
      <c r="AB115" s="0" t="inlineStr">
        <is>
          <t>인천시</t>
        </is>
      </c>
      <c r="AC115" s="0" t="inlineStr">
        <is>
          <t>계양구</t>
        </is>
      </c>
      <c r="AD115" s="0" t="inlineStr">
        <is>
          <t>계산동</t>
        </is>
      </c>
      <c r="AG115" s="0" t="inlineStr">
        <is>
          <t>인천시 계양구 하느재로19번길 8</t>
        </is>
      </c>
      <c r="AH115" s="0" t="n">
        <v>0</v>
      </c>
      <c r="AI115" s="0" t="n">
        <v>118</v>
      </c>
      <c r="AJ115" s="0" t="n">
        <v>24</v>
      </c>
      <c r="AK115" s="0" t="n">
        <v>315</v>
      </c>
      <c r="AL115" s="0" t="n">
        <v>0.5</v>
      </c>
    </row>
    <row r="116">
      <c r="A116" s="0" t="inlineStr">
        <is>
          <t>[계산동]</t>
        </is>
      </c>
      <c r="B116" s="0" t="n">
        <v>2253</v>
      </c>
      <c r="C116" s="0" t="n">
        <v>4</v>
      </c>
      <c r="D116" s="0" t="inlineStr">
        <is>
          <t>극동</t>
        </is>
      </c>
      <c r="E116" s="0" t="inlineStr">
        <is>
          <t>1985.07.</t>
        </is>
      </c>
      <c r="F116" s="0" t="n">
        <v>630</v>
      </c>
      <c r="G116" s="0" t="n">
        <v>26.54</v>
      </c>
      <c r="H116" s="0" t="n">
        <v>87.73999999999999</v>
      </c>
      <c r="I116" s="0" t="n">
        <v>21.99</v>
      </c>
      <c r="J116" s="0" t="n">
        <v>72.72</v>
      </c>
      <c r="K116" s="0" t="n">
        <v>160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87</v>
      </c>
      <c r="X116" s="0" t="n">
        <v>5</v>
      </c>
      <c r="Y116" s="0" t="n">
        <v>5</v>
      </c>
      <c r="Z116" s="0" t="inlineStr">
        <is>
          <t>https://new.land.naver.com/complexes/2253?tab=detail&amp;rf=Y</t>
        </is>
      </c>
      <c r="AA116" s="0" t="inlineStr">
        <is>
          <t>인천시 계양구 계산동 899</t>
        </is>
      </c>
      <c r="AB116" s="0" t="inlineStr">
        <is>
          <t>인천시</t>
        </is>
      </c>
      <c r="AC116" s="0" t="inlineStr">
        <is>
          <t>계양구</t>
        </is>
      </c>
      <c r="AD116" s="0" t="inlineStr">
        <is>
          <t>계산동</t>
        </is>
      </c>
      <c r="AG116" s="0" t="inlineStr">
        <is>
          <t>인천시 계양구 하느재로19번길 8</t>
        </is>
      </c>
      <c r="AH116" s="0" t="n">
        <v>0</v>
      </c>
      <c r="AI116" s="0" t="n">
        <v>118</v>
      </c>
      <c r="AJ116" s="0" t="n">
        <v>24</v>
      </c>
      <c r="AK116" s="0" t="n">
        <v>315</v>
      </c>
      <c r="AL116" s="0" t="n">
        <v>0.5</v>
      </c>
    </row>
    <row r="117">
      <c r="A117" s="0" t="inlineStr">
        <is>
          <t>[계산동]</t>
        </is>
      </c>
      <c r="B117" s="0" t="n">
        <v>2253</v>
      </c>
      <c r="C117" s="0" t="n">
        <v>5</v>
      </c>
      <c r="D117" s="0" t="inlineStr">
        <is>
          <t>극동</t>
        </is>
      </c>
      <c r="E117" s="0" t="inlineStr">
        <is>
          <t>1985.07.</t>
        </is>
      </c>
      <c r="F117" s="0" t="n">
        <v>630</v>
      </c>
      <c r="G117" s="0" t="n">
        <v>30.73</v>
      </c>
      <c r="H117" s="0" t="n">
        <v>101.61</v>
      </c>
      <c r="I117" s="0" t="n">
        <v>25.7</v>
      </c>
      <c r="J117" s="0" t="n">
        <v>84.98999999999999</v>
      </c>
      <c r="K117" s="0" t="n">
        <v>30</v>
      </c>
      <c r="T117" s="0" t="n">
        <v>4</v>
      </c>
      <c r="U117" s="0" t="n">
        <v>1</v>
      </c>
      <c r="V117" s="0" t="inlineStr">
        <is>
          <t>계단식</t>
        </is>
      </c>
      <c r="W117" s="0" t="n">
        <v>101</v>
      </c>
      <c r="X117" s="0" t="n">
        <v>5</v>
      </c>
      <c r="Y117" s="0" t="n">
        <v>5</v>
      </c>
      <c r="Z117" s="0" t="inlineStr">
        <is>
          <t>https://new.land.naver.com/complexes/2253?tab=detail&amp;rf=Y</t>
        </is>
      </c>
      <c r="AA117" s="0" t="inlineStr">
        <is>
          <t>인천시 계양구 계산동 899</t>
        </is>
      </c>
      <c r="AB117" s="0" t="inlineStr">
        <is>
          <t>인천시</t>
        </is>
      </c>
      <c r="AC117" s="0" t="inlineStr">
        <is>
          <t>계양구</t>
        </is>
      </c>
      <c r="AD117" s="0" t="inlineStr">
        <is>
          <t>계산동</t>
        </is>
      </c>
      <c r="AG117" s="0" t="inlineStr">
        <is>
          <t>인천시 계양구 하느재로19번길 8</t>
        </is>
      </c>
      <c r="AH117" s="0" t="n">
        <v>0</v>
      </c>
      <c r="AI117" s="0" t="n">
        <v>118</v>
      </c>
      <c r="AJ117" s="0" t="n">
        <v>24</v>
      </c>
      <c r="AK117" s="0" t="n">
        <v>315</v>
      </c>
      <c r="AL117" s="0" t="n">
        <v>0.5</v>
      </c>
    </row>
    <row r="118">
      <c r="A118" s="0" t="inlineStr">
        <is>
          <t>[계산동]</t>
        </is>
      </c>
      <c r="B118" s="0" t="n">
        <v>2252</v>
      </c>
      <c r="C118" s="0" t="n">
        <v>1</v>
      </c>
      <c r="D118" s="0" t="inlineStr">
        <is>
          <t>현대</t>
        </is>
      </c>
      <c r="E118" s="0" t="inlineStr">
        <is>
          <t>1992.01.</t>
        </is>
      </c>
      <c r="F118" s="0" t="n">
        <v>1248</v>
      </c>
      <c r="G118" s="0" t="n">
        <v>26.47</v>
      </c>
      <c r="H118" s="0" t="n">
        <v>87.52</v>
      </c>
      <c r="I118" s="0" t="n">
        <v>21.52</v>
      </c>
      <c r="J118" s="0" t="n">
        <v>71.17</v>
      </c>
      <c r="K118" s="0" t="n">
        <v>306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87</v>
      </c>
      <c r="X118" s="0" t="n">
        <v>20</v>
      </c>
      <c r="Y118" s="0" t="n">
        <v>17</v>
      </c>
      <c r="Z118" s="0" t="inlineStr">
        <is>
          <t>https://new.land.naver.com/complexes/2252?tab=detail&amp;rf=Y</t>
        </is>
      </c>
      <c r="AA118" s="0" t="inlineStr">
        <is>
          <t>인천시 계양구 계산동 62-1</t>
        </is>
      </c>
      <c r="AB118" s="0" t="inlineStr">
        <is>
          <t>인천시</t>
        </is>
      </c>
      <c r="AC118" s="0" t="inlineStr">
        <is>
          <t>계양구</t>
        </is>
      </c>
      <c r="AD118" s="0" t="inlineStr">
        <is>
          <t>계산동</t>
        </is>
      </c>
      <c r="AG118" s="0" t="inlineStr">
        <is>
          <t>인천시 계양구 계산로 171</t>
        </is>
      </c>
      <c r="AH118" s="0" t="n">
        <v>0</v>
      </c>
      <c r="AI118" s="0" t="n">
        <v>259</v>
      </c>
      <c r="AJ118" s="0" t="n">
        <v>16</v>
      </c>
      <c r="AK118" s="0" t="n">
        <v>943</v>
      </c>
      <c r="AL118" s="0" t="n">
        <v>0.76</v>
      </c>
    </row>
    <row r="119">
      <c r="A119" s="0" t="inlineStr">
        <is>
          <t>[계산동]</t>
        </is>
      </c>
      <c r="B119" s="0" t="n">
        <v>2252</v>
      </c>
      <c r="C119" s="0" t="n">
        <v>2</v>
      </c>
      <c r="D119" s="0" t="inlineStr">
        <is>
          <t>현대</t>
        </is>
      </c>
      <c r="E119" s="0" t="inlineStr">
        <is>
          <t>1992.01.</t>
        </is>
      </c>
      <c r="F119" s="0" t="n">
        <v>1248</v>
      </c>
      <c r="G119" s="0" t="n">
        <v>31.59</v>
      </c>
      <c r="H119" s="0" t="n">
        <v>104.46</v>
      </c>
      <c r="I119" s="0" t="n">
        <v>25.69</v>
      </c>
      <c r="J119" s="0" t="n">
        <v>84.94</v>
      </c>
      <c r="K119" s="0" t="n">
        <v>806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104</v>
      </c>
      <c r="X119" s="0" t="n">
        <v>20</v>
      </c>
      <c r="Y119" s="0" t="n">
        <v>17</v>
      </c>
      <c r="Z119" s="0" t="inlineStr">
        <is>
          <t>https://new.land.naver.com/complexes/2252?tab=detail&amp;rf=Y</t>
        </is>
      </c>
      <c r="AA119" s="0" t="inlineStr">
        <is>
          <t>인천시 계양구 계산동 62-1</t>
        </is>
      </c>
      <c r="AB119" s="0" t="inlineStr">
        <is>
          <t>인천시</t>
        </is>
      </c>
      <c r="AC119" s="0" t="inlineStr">
        <is>
          <t>계양구</t>
        </is>
      </c>
      <c r="AD119" s="0" t="inlineStr">
        <is>
          <t>계산동</t>
        </is>
      </c>
      <c r="AG119" s="0" t="inlineStr">
        <is>
          <t>인천시 계양구 계산로 171</t>
        </is>
      </c>
      <c r="AH119" s="0" t="n">
        <v>0</v>
      </c>
      <c r="AI119" s="0" t="n">
        <v>259</v>
      </c>
      <c r="AJ119" s="0" t="n">
        <v>16</v>
      </c>
      <c r="AK119" s="0" t="n">
        <v>943</v>
      </c>
      <c r="AL119" s="0" t="n">
        <v>0.76</v>
      </c>
    </row>
    <row r="120">
      <c r="A120" s="0" t="inlineStr">
        <is>
          <t>[계산동]</t>
        </is>
      </c>
      <c r="B120" s="0" t="n">
        <v>2252</v>
      </c>
      <c r="C120" s="0" t="n">
        <v>3</v>
      </c>
      <c r="D120" s="0" t="inlineStr">
        <is>
          <t>현대</t>
        </is>
      </c>
      <c r="E120" s="0" t="inlineStr">
        <is>
          <t>1992.01.</t>
        </is>
      </c>
      <c r="F120" s="0" t="n">
        <v>1248</v>
      </c>
      <c r="G120" s="0" t="n">
        <v>48.25</v>
      </c>
      <c r="H120" s="0" t="n">
        <v>159.53</v>
      </c>
      <c r="I120" s="0" t="n">
        <v>39.24</v>
      </c>
      <c r="J120" s="0" t="n">
        <v>129.73</v>
      </c>
      <c r="K120" s="0" t="n">
        <v>136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159</v>
      </c>
      <c r="X120" s="0" t="n">
        <v>20</v>
      </c>
      <c r="Y120" s="0" t="n">
        <v>17</v>
      </c>
      <c r="Z120" s="0" t="inlineStr">
        <is>
          <t>https://new.land.naver.com/complexes/2252?tab=detail&amp;rf=Y</t>
        </is>
      </c>
      <c r="AA120" s="0" t="inlineStr">
        <is>
          <t>인천시 계양구 계산동 62-1</t>
        </is>
      </c>
      <c r="AB120" s="0" t="inlineStr">
        <is>
          <t>인천시</t>
        </is>
      </c>
      <c r="AC120" s="0" t="inlineStr">
        <is>
          <t>계양구</t>
        </is>
      </c>
      <c r="AD120" s="0" t="inlineStr">
        <is>
          <t>계산동</t>
        </is>
      </c>
      <c r="AG120" s="0" t="inlineStr">
        <is>
          <t>인천시 계양구 계산로 171</t>
        </is>
      </c>
      <c r="AH120" s="0" t="n">
        <v>0</v>
      </c>
      <c r="AI120" s="0" t="n">
        <v>259</v>
      </c>
      <c r="AJ120" s="0" t="n">
        <v>16</v>
      </c>
      <c r="AK120" s="0" t="n">
        <v>943</v>
      </c>
      <c r="AL120" s="0" t="n">
        <v>0.76</v>
      </c>
    </row>
    <row r="121">
      <c r="A121" s="0" t="inlineStr">
        <is>
          <t>[계산동]</t>
        </is>
      </c>
      <c r="B121" s="0" t="n">
        <v>2255</v>
      </c>
      <c r="C121" s="0" t="n">
        <v>1</v>
      </c>
      <c r="D121" s="0" t="inlineStr">
        <is>
          <t>은행마을삼보</t>
        </is>
      </c>
      <c r="E121" s="0" t="inlineStr">
        <is>
          <t>1997.07.</t>
        </is>
      </c>
      <c r="F121" s="0" t="n">
        <v>436</v>
      </c>
      <c r="G121" s="0" t="n">
        <v>34.82</v>
      </c>
      <c r="H121" s="0" t="n">
        <v>115.11</v>
      </c>
      <c r="I121" s="0" t="n">
        <v>27.27</v>
      </c>
      <c r="J121" s="0" t="n">
        <v>90.18000000000001</v>
      </c>
      <c r="K121" s="0" t="n">
        <v>260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115</v>
      </c>
      <c r="X121" s="0" t="n">
        <v>22</v>
      </c>
      <c r="Y121" s="0" t="n">
        <v>21</v>
      </c>
      <c r="Z121" s="0" t="inlineStr">
        <is>
          <t>https://new.land.naver.com/complexes/2255?tab=detail&amp;rf=Y</t>
        </is>
      </c>
      <c r="AA121" s="0" t="inlineStr">
        <is>
          <t>인천시 계양구 계산동 1084-2</t>
        </is>
      </c>
      <c r="AB121" s="0" t="inlineStr">
        <is>
          <t>인천시</t>
        </is>
      </c>
      <c r="AC121" s="0" t="inlineStr">
        <is>
          <t>계양구</t>
        </is>
      </c>
      <c r="AD121" s="0" t="inlineStr">
        <is>
          <t>계산동</t>
        </is>
      </c>
      <c r="AG121" s="0" t="inlineStr">
        <is>
          <t>인천시 계양구 계산새로 108</t>
        </is>
      </c>
      <c r="AH121" s="0" t="n">
        <v>0</v>
      </c>
      <c r="AI121" s="0" t="n">
        <v>249</v>
      </c>
      <c r="AJ121" s="0" t="n">
        <v>15</v>
      </c>
      <c r="AK121" s="0" t="n">
        <v>623</v>
      </c>
      <c r="AL121" s="0" t="n">
        <v>1.43</v>
      </c>
    </row>
    <row r="122">
      <c r="A122" s="0" t="inlineStr">
        <is>
          <t>[계산동]</t>
        </is>
      </c>
      <c r="B122" s="0" t="n">
        <v>2255</v>
      </c>
      <c r="C122" s="0" t="n">
        <v>2</v>
      </c>
      <c r="D122" s="0" t="inlineStr">
        <is>
          <t>은행마을삼보</t>
        </is>
      </c>
      <c r="E122" s="0" t="inlineStr">
        <is>
          <t>1997.07.</t>
        </is>
      </c>
      <c r="F122" s="0" t="n">
        <v>436</v>
      </c>
      <c r="G122" s="0" t="n">
        <v>38.74</v>
      </c>
      <c r="H122" s="0" t="n">
        <v>128.09</v>
      </c>
      <c r="I122" s="0" t="n">
        <v>30.81</v>
      </c>
      <c r="J122" s="0" t="n">
        <v>101.88</v>
      </c>
      <c r="K122" s="0" t="n">
        <v>88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128</v>
      </c>
      <c r="X122" s="0" t="n">
        <v>22</v>
      </c>
      <c r="Y122" s="0" t="n">
        <v>21</v>
      </c>
      <c r="Z122" s="0" t="inlineStr">
        <is>
          <t>https://new.land.naver.com/complexes/2255?tab=detail&amp;rf=Y</t>
        </is>
      </c>
      <c r="AA122" s="0" t="inlineStr">
        <is>
          <t>인천시 계양구 계산동 1084-2</t>
        </is>
      </c>
      <c r="AB122" s="0" t="inlineStr">
        <is>
          <t>인천시</t>
        </is>
      </c>
      <c r="AC122" s="0" t="inlineStr">
        <is>
          <t>계양구</t>
        </is>
      </c>
      <c r="AD122" s="0" t="inlineStr">
        <is>
          <t>계산동</t>
        </is>
      </c>
      <c r="AG122" s="0" t="inlineStr">
        <is>
          <t>인천시 계양구 계산새로 108</t>
        </is>
      </c>
      <c r="AH122" s="0" t="n">
        <v>0</v>
      </c>
      <c r="AI122" s="0" t="n">
        <v>249</v>
      </c>
      <c r="AJ122" s="0" t="n">
        <v>15</v>
      </c>
      <c r="AK122" s="0" t="n">
        <v>623</v>
      </c>
      <c r="AL122" s="0" t="n">
        <v>1.43</v>
      </c>
    </row>
    <row r="123">
      <c r="A123" s="0" t="inlineStr">
        <is>
          <t>[계산동]</t>
        </is>
      </c>
      <c r="B123" s="0" t="n">
        <v>2255</v>
      </c>
      <c r="C123" s="0" t="n">
        <v>3</v>
      </c>
      <c r="D123" s="0" t="inlineStr">
        <is>
          <t>은행마을삼보</t>
        </is>
      </c>
      <c r="E123" s="0" t="inlineStr">
        <is>
          <t>1997.07.</t>
        </is>
      </c>
      <c r="F123" s="0" t="n">
        <v>436</v>
      </c>
      <c r="G123" s="0" t="n">
        <v>43.02</v>
      </c>
      <c r="H123" s="0" t="n">
        <v>142.23</v>
      </c>
      <c r="I123" s="0" t="n">
        <v>34.67</v>
      </c>
      <c r="J123" s="0" t="n">
        <v>114.63</v>
      </c>
      <c r="K123" s="0" t="n">
        <v>88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142</v>
      </c>
      <c r="X123" s="0" t="n">
        <v>22</v>
      </c>
      <c r="Y123" s="0" t="n">
        <v>21</v>
      </c>
      <c r="Z123" s="0" t="inlineStr">
        <is>
          <t>https://new.land.naver.com/complexes/2255?tab=detail&amp;rf=Y</t>
        </is>
      </c>
      <c r="AA123" s="0" t="inlineStr">
        <is>
          <t>인천시 계양구 계산동 1084-2</t>
        </is>
      </c>
      <c r="AB123" s="0" t="inlineStr">
        <is>
          <t>인천시</t>
        </is>
      </c>
      <c r="AC123" s="0" t="inlineStr">
        <is>
          <t>계양구</t>
        </is>
      </c>
      <c r="AD123" s="0" t="inlineStr">
        <is>
          <t>계산동</t>
        </is>
      </c>
      <c r="AG123" s="0" t="inlineStr">
        <is>
          <t>인천시 계양구 계산새로 108</t>
        </is>
      </c>
      <c r="AH123" s="0" t="n">
        <v>0</v>
      </c>
      <c r="AI123" s="0" t="n">
        <v>249</v>
      </c>
      <c r="AJ123" s="0" t="n">
        <v>15</v>
      </c>
      <c r="AK123" s="0" t="n">
        <v>623</v>
      </c>
      <c r="AL123" s="0" t="n">
        <v>1.43</v>
      </c>
    </row>
    <row r="124">
      <c r="A124" s="0" t="inlineStr">
        <is>
          <t>[계산동]</t>
        </is>
      </c>
      <c r="B124" s="0" t="n">
        <v>12694</v>
      </c>
      <c r="C124" s="0" t="n">
        <v>1</v>
      </c>
      <c r="D124" s="0" t="inlineStr">
        <is>
          <t>제성</t>
        </is>
      </c>
      <c r="E124" s="0" t="inlineStr">
        <is>
          <t>1984.08.</t>
        </is>
      </c>
      <c r="F124" s="0" t="n">
        <v>40</v>
      </c>
      <c r="G124" s="0" t="n">
        <v>16.48</v>
      </c>
      <c r="H124" s="0" t="n">
        <v>54.48</v>
      </c>
      <c r="I124" s="0" t="n">
        <v>13.73</v>
      </c>
      <c r="J124" s="0" t="n">
        <v>45.4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54</v>
      </c>
      <c r="X124" s="0" t="n">
        <v>5</v>
      </c>
      <c r="Y124" s="0" t="n">
        <v>5</v>
      </c>
      <c r="Z124" s="0" t="inlineStr">
        <is>
          <t>https://new.land.naver.com/complexes/12694?tab=detail&amp;rf=Y</t>
        </is>
      </c>
      <c r="AA124" s="0" t="inlineStr">
        <is>
          <t>인천시 계양구 계산동 924-5</t>
        </is>
      </c>
      <c r="AB124" s="0" t="inlineStr">
        <is>
          <t>인천시</t>
        </is>
      </c>
      <c r="AC124" s="0" t="inlineStr">
        <is>
          <t>계양구</t>
        </is>
      </c>
      <c r="AD124" s="0" t="inlineStr">
        <is>
          <t>계산동</t>
        </is>
      </c>
      <c r="AG124" s="0" t="inlineStr">
        <is>
          <t>인천시 계양구 하느재로20번길 19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[계산동]</t>
        </is>
      </c>
      <c r="B125" s="0" t="n">
        <v>12694</v>
      </c>
      <c r="C125" s="0" t="n">
        <v>2</v>
      </c>
      <c r="D125" s="0" t="inlineStr">
        <is>
          <t>제성</t>
        </is>
      </c>
      <c r="E125" s="0" t="inlineStr">
        <is>
          <t>1984.08.</t>
        </is>
      </c>
      <c r="F125" s="0" t="n">
        <v>40</v>
      </c>
      <c r="G125" s="0" t="n">
        <v>17.16</v>
      </c>
      <c r="H125" s="0" t="n">
        <v>56.74</v>
      </c>
      <c r="I125" s="0" t="n">
        <v>14.3</v>
      </c>
      <c r="J125" s="0" t="n">
        <v>47.29</v>
      </c>
      <c r="K125" s="0" t="n">
        <v>4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56A</t>
        </is>
      </c>
      <c r="X125" s="0" t="n">
        <v>5</v>
      </c>
      <c r="Y125" s="0" t="n">
        <v>5</v>
      </c>
      <c r="Z125" s="0" t="inlineStr">
        <is>
          <t>https://new.land.naver.com/complexes/12694?tab=detail&amp;rf=Y</t>
        </is>
      </c>
      <c r="AA125" s="0" t="inlineStr">
        <is>
          <t>인천시 계양구 계산동 924-5</t>
        </is>
      </c>
      <c r="AB125" s="0" t="inlineStr">
        <is>
          <t>인천시</t>
        </is>
      </c>
      <c r="AC125" s="0" t="inlineStr">
        <is>
          <t>계양구</t>
        </is>
      </c>
      <c r="AD125" s="0" t="inlineStr">
        <is>
          <t>계산동</t>
        </is>
      </c>
      <c r="AG125" s="0" t="inlineStr">
        <is>
          <t>인천시 계양구 하느재로20번길 19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[계산동]</t>
        </is>
      </c>
      <c r="B126" s="0" t="n">
        <v>12694</v>
      </c>
      <c r="C126" s="0" t="n">
        <v>3</v>
      </c>
      <c r="D126" s="0" t="inlineStr">
        <is>
          <t>제성</t>
        </is>
      </c>
      <c r="E126" s="0" t="inlineStr">
        <is>
          <t>1984.08.</t>
        </is>
      </c>
      <c r="F126" s="0" t="n">
        <v>40</v>
      </c>
      <c r="G126" s="0" t="n">
        <v>17.28</v>
      </c>
      <c r="H126" s="0" t="n">
        <v>57.13</v>
      </c>
      <c r="I126" s="0" t="n">
        <v>14.4</v>
      </c>
      <c r="J126" s="0" t="n">
        <v>47.61</v>
      </c>
      <c r="K126" s="0" t="n">
        <v>15</v>
      </c>
      <c r="T126" s="0" t="n">
        <v>2</v>
      </c>
      <c r="U126" s="0" t="n">
        <v>1</v>
      </c>
      <c r="V126" s="0" t="inlineStr">
        <is>
          <t>계단식</t>
        </is>
      </c>
      <c r="W126" s="0" t="inlineStr">
        <is>
          <t>57B</t>
        </is>
      </c>
      <c r="X126" s="0" t="n">
        <v>5</v>
      </c>
      <c r="Y126" s="0" t="n">
        <v>5</v>
      </c>
      <c r="Z126" s="0" t="inlineStr">
        <is>
          <t>https://new.land.naver.com/complexes/12694?tab=detail&amp;rf=Y</t>
        </is>
      </c>
      <c r="AA126" s="0" t="inlineStr">
        <is>
          <t>인천시 계양구 계산동 924-5</t>
        </is>
      </c>
      <c r="AB126" s="0" t="inlineStr">
        <is>
          <t>인천시</t>
        </is>
      </c>
      <c r="AC126" s="0" t="inlineStr">
        <is>
          <t>계양구</t>
        </is>
      </c>
      <c r="AD126" s="0" t="inlineStr">
        <is>
          <t>계산동</t>
        </is>
      </c>
      <c r="AG126" s="0" t="inlineStr">
        <is>
          <t>인천시 계양구 하느재로20번길 19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[계산동]</t>
        </is>
      </c>
      <c r="B127" s="0" t="n">
        <v>12694</v>
      </c>
      <c r="C127" s="0" t="n">
        <v>4</v>
      </c>
      <c r="D127" s="0" t="inlineStr">
        <is>
          <t>제성</t>
        </is>
      </c>
      <c r="E127" s="0" t="inlineStr">
        <is>
          <t>1984.08.</t>
        </is>
      </c>
      <c r="F127" s="0" t="n">
        <v>40</v>
      </c>
      <c r="G127" s="0" t="n">
        <v>17.81</v>
      </c>
      <c r="H127" s="0" t="n">
        <v>58.9</v>
      </c>
      <c r="I127" s="0" t="n">
        <v>14.95</v>
      </c>
      <c r="J127" s="0" t="n">
        <v>49.45</v>
      </c>
      <c r="K127" s="0" t="n">
        <v>1</v>
      </c>
      <c r="T127" s="0" t="n">
        <v>2</v>
      </c>
      <c r="U127" s="0" t="n">
        <v>1</v>
      </c>
      <c r="V127" s="0" t="inlineStr">
        <is>
          <t>계단식</t>
        </is>
      </c>
      <c r="W127" s="0" t="n">
        <v>58</v>
      </c>
      <c r="X127" s="0" t="n">
        <v>5</v>
      </c>
      <c r="Y127" s="0" t="n">
        <v>5</v>
      </c>
      <c r="Z127" s="0" t="inlineStr">
        <is>
          <t>https://new.land.naver.com/complexes/12694?tab=detail&amp;rf=Y</t>
        </is>
      </c>
      <c r="AA127" s="0" t="inlineStr">
        <is>
          <t>인천시 계양구 계산동 924-5</t>
        </is>
      </c>
      <c r="AB127" s="0" t="inlineStr">
        <is>
          <t>인천시</t>
        </is>
      </c>
      <c r="AC127" s="0" t="inlineStr">
        <is>
          <t>계양구</t>
        </is>
      </c>
      <c r="AD127" s="0" t="inlineStr">
        <is>
          <t>계산동</t>
        </is>
      </c>
      <c r="AG127" s="0" t="inlineStr">
        <is>
          <t>인천시 계양구 하느재로20번길 19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[계산동]</t>
        </is>
      </c>
      <c r="B128" s="0" t="n">
        <v>12694</v>
      </c>
      <c r="C128" s="0" t="n">
        <v>5</v>
      </c>
      <c r="D128" s="0" t="inlineStr">
        <is>
          <t>제성</t>
        </is>
      </c>
      <c r="E128" s="0" t="inlineStr">
        <is>
          <t>1984.08.</t>
        </is>
      </c>
      <c r="F128" s="0" t="n">
        <v>40</v>
      </c>
      <c r="G128" s="0" t="n">
        <v>18.84</v>
      </c>
      <c r="H128" s="0" t="n">
        <v>62.31</v>
      </c>
      <c r="I128" s="0" t="n">
        <v>15.7</v>
      </c>
      <c r="J128" s="0" t="n">
        <v>51.93</v>
      </c>
      <c r="K128" s="0" t="n">
        <v>4</v>
      </c>
      <c r="T128" s="0" t="n">
        <v>2</v>
      </c>
      <c r="U128" s="0" t="n">
        <v>1</v>
      </c>
      <c r="V128" s="0" t="inlineStr">
        <is>
          <t>계단식</t>
        </is>
      </c>
      <c r="W128" s="0" t="inlineStr">
        <is>
          <t>62A</t>
        </is>
      </c>
      <c r="X128" s="0" t="n">
        <v>5</v>
      </c>
      <c r="Y128" s="0" t="n">
        <v>5</v>
      </c>
      <c r="Z128" s="0" t="inlineStr">
        <is>
          <t>https://new.land.naver.com/complexes/12694?tab=detail&amp;rf=Y</t>
        </is>
      </c>
      <c r="AA128" s="0" t="inlineStr">
        <is>
          <t>인천시 계양구 계산동 924-5</t>
        </is>
      </c>
      <c r="AB128" s="0" t="inlineStr">
        <is>
          <t>인천시</t>
        </is>
      </c>
      <c r="AC128" s="0" t="inlineStr">
        <is>
          <t>계양구</t>
        </is>
      </c>
      <c r="AD128" s="0" t="inlineStr">
        <is>
          <t>계산동</t>
        </is>
      </c>
      <c r="AG128" s="0" t="inlineStr">
        <is>
          <t>인천시 계양구 하느재로20번길 19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[계산동]</t>
        </is>
      </c>
      <c r="B129" s="0" t="n">
        <v>12694</v>
      </c>
      <c r="C129" s="0" t="n">
        <v>6</v>
      </c>
      <c r="D129" s="0" t="inlineStr">
        <is>
          <t>제성</t>
        </is>
      </c>
      <c r="E129" s="0" t="inlineStr">
        <is>
          <t>1984.08.</t>
        </is>
      </c>
      <c r="F129" s="0" t="n">
        <v>40</v>
      </c>
      <c r="G129" s="0" t="n">
        <v>19.23</v>
      </c>
      <c r="H129" s="0" t="n">
        <v>63.58</v>
      </c>
      <c r="I129" s="0" t="n">
        <v>15.77</v>
      </c>
      <c r="J129" s="0" t="n">
        <v>52.16</v>
      </c>
      <c r="K129" s="0" t="n">
        <v>1</v>
      </c>
      <c r="T129" s="0" t="n">
        <v>2</v>
      </c>
      <c r="U129" s="0" t="n">
        <v>1</v>
      </c>
      <c r="V129" s="0" t="inlineStr">
        <is>
          <t>계단식</t>
        </is>
      </c>
      <c r="W129" s="0" t="inlineStr">
        <is>
          <t>63B</t>
        </is>
      </c>
      <c r="X129" s="0" t="n">
        <v>5</v>
      </c>
      <c r="Y129" s="0" t="n">
        <v>5</v>
      </c>
      <c r="Z129" s="0" t="inlineStr">
        <is>
          <t>https://new.land.naver.com/complexes/12694?tab=detail&amp;rf=Y</t>
        </is>
      </c>
      <c r="AA129" s="0" t="inlineStr">
        <is>
          <t>인천시 계양구 계산동 924-5</t>
        </is>
      </c>
      <c r="AB129" s="0" t="inlineStr">
        <is>
          <t>인천시</t>
        </is>
      </c>
      <c r="AC129" s="0" t="inlineStr">
        <is>
          <t>계양구</t>
        </is>
      </c>
      <c r="AD129" s="0" t="inlineStr">
        <is>
          <t>계산동</t>
        </is>
      </c>
      <c r="AG129" s="0" t="inlineStr">
        <is>
          <t>인천시 계양구 하느재로20번길 19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[계산동]</t>
        </is>
      </c>
      <c r="B130" s="0" t="n">
        <v>12694</v>
      </c>
      <c r="C130" s="0" t="n">
        <v>7</v>
      </c>
      <c r="D130" s="0" t="inlineStr">
        <is>
          <t>제성</t>
        </is>
      </c>
      <c r="E130" s="0" t="inlineStr">
        <is>
          <t>1984.08.</t>
        </is>
      </c>
      <c r="F130" s="0" t="n">
        <v>40</v>
      </c>
      <c r="G130" s="0" t="n">
        <v>19.5</v>
      </c>
      <c r="H130" s="0" t="n">
        <v>64.47</v>
      </c>
      <c r="I130" s="0" t="n">
        <v>16.36</v>
      </c>
      <c r="J130" s="0" t="n">
        <v>54.09</v>
      </c>
      <c r="K130" s="0" t="n">
        <v>1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64A</t>
        </is>
      </c>
      <c r="X130" s="0" t="n">
        <v>5</v>
      </c>
      <c r="Y130" s="0" t="n">
        <v>5</v>
      </c>
      <c r="Z130" s="0" t="inlineStr">
        <is>
          <t>https://new.land.naver.com/complexes/12694?tab=detail&amp;rf=Y</t>
        </is>
      </c>
      <c r="AA130" s="0" t="inlineStr">
        <is>
          <t>인천시 계양구 계산동 924-5</t>
        </is>
      </c>
      <c r="AB130" s="0" t="inlineStr">
        <is>
          <t>인천시</t>
        </is>
      </c>
      <c r="AC130" s="0" t="inlineStr">
        <is>
          <t>계양구</t>
        </is>
      </c>
      <c r="AD130" s="0" t="inlineStr">
        <is>
          <t>계산동</t>
        </is>
      </c>
      <c r="AG130" s="0" t="inlineStr">
        <is>
          <t>인천시 계양구 하느재로20번길 19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[계산동]</t>
        </is>
      </c>
      <c r="B131" s="0" t="n">
        <v>12694</v>
      </c>
      <c r="C131" s="0" t="n">
        <v>8</v>
      </c>
      <c r="D131" s="0" t="inlineStr">
        <is>
          <t>제성</t>
        </is>
      </c>
      <c r="E131" s="0" t="inlineStr">
        <is>
          <t>1984.08.</t>
        </is>
      </c>
      <c r="F131" s="0" t="n">
        <v>40</v>
      </c>
      <c r="G131" s="0" t="n">
        <v>20.48</v>
      </c>
      <c r="H131" s="0" t="n">
        <v>67.70999999999999</v>
      </c>
      <c r="I131" s="0" t="n">
        <v>17.07</v>
      </c>
      <c r="J131" s="0" t="n">
        <v>56.43</v>
      </c>
      <c r="K131" s="0" t="n">
        <v>4</v>
      </c>
      <c r="T131" s="0" t="n">
        <v>2</v>
      </c>
      <c r="U131" s="0" t="n">
        <v>1</v>
      </c>
      <c r="V131" s="0" t="inlineStr">
        <is>
          <t>계단식</t>
        </is>
      </c>
      <c r="W131" s="0" t="inlineStr">
        <is>
          <t>67B</t>
        </is>
      </c>
      <c r="X131" s="0" t="n">
        <v>5</v>
      </c>
      <c r="Y131" s="0" t="n">
        <v>5</v>
      </c>
      <c r="Z131" s="0" t="inlineStr">
        <is>
          <t>https://new.land.naver.com/complexes/12694?tab=detail&amp;rf=Y</t>
        </is>
      </c>
      <c r="AA131" s="0" t="inlineStr">
        <is>
          <t>인천시 계양구 계산동 924-5</t>
        </is>
      </c>
      <c r="AB131" s="0" t="inlineStr">
        <is>
          <t>인천시</t>
        </is>
      </c>
      <c r="AC131" s="0" t="inlineStr">
        <is>
          <t>계양구</t>
        </is>
      </c>
      <c r="AD131" s="0" t="inlineStr">
        <is>
          <t>계산동</t>
        </is>
      </c>
      <c r="AG131" s="0" t="inlineStr">
        <is>
          <t>인천시 계양구 하느재로20번길 19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[계산동]</t>
        </is>
      </c>
      <c r="B132" s="0" t="n">
        <v>12694</v>
      </c>
      <c r="C132" s="0" t="n">
        <v>9</v>
      </c>
      <c r="D132" s="0" t="inlineStr">
        <is>
          <t>제성</t>
        </is>
      </c>
      <c r="E132" s="0" t="inlineStr">
        <is>
          <t>1984.08.</t>
        </is>
      </c>
      <c r="F132" s="0" t="n">
        <v>40</v>
      </c>
      <c r="G132" s="0" t="n">
        <v>22.05</v>
      </c>
      <c r="H132" s="0" t="n">
        <v>72.90000000000001</v>
      </c>
      <c r="I132" s="0" t="n">
        <v>18.37</v>
      </c>
      <c r="J132" s="0" t="n">
        <v>60.75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72</v>
      </c>
      <c r="X132" s="0" t="n">
        <v>5</v>
      </c>
      <c r="Y132" s="0" t="n">
        <v>5</v>
      </c>
      <c r="Z132" s="0" t="inlineStr">
        <is>
          <t>https://new.land.naver.com/complexes/12694?tab=detail&amp;rf=Y</t>
        </is>
      </c>
      <c r="AA132" s="0" t="inlineStr">
        <is>
          <t>인천시 계양구 계산동 924-5</t>
        </is>
      </c>
      <c r="AB132" s="0" t="inlineStr">
        <is>
          <t>인천시</t>
        </is>
      </c>
      <c r="AC132" s="0" t="inlineStr">
        <is>
          <t>계양구</t>
        </is>
      </c>
      <c r="AD132" s="0" t="inlineStr">
        <is>
          <t>계산동</t>
        </is>
      </c>
      <c r="AG132" s="0" t="inlineStr">
        <is>
          <t>인천시 계양구 하느재로20번길 19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[계산동]</t>
        </is>
      </c>
      <c r="B133" s="0" t="n">
        <v>8517</v>
      </c>
      <c r="C133" s="0" t="n">
        <v>1</v>
      </c>
      <c r="D133" s="0" t="inlineStr">
        <is>
          <t>세경</t>
        </is>
      </c>
      <c r="E133" s="0" t="inlineStr">
        <is>
          <t>1984.06.</t>
        </is>
      </c>
      <c r="F133" s="0" t="n">
        <v>80</v>
      </c>
      <c r="G133" s="0" t="n">
        <v>19.01</v>
      </c>
      <c r="H133" s="0" t="n">
        <v>62.85</v>
      </c>
      <c r="I133" s="0" t="n">
        <v>17.28</v>
      </c>
      <c r="J133" s="0" t="n">
        <v>57.14</v>
      </c>
      <c r="K133" s="0" t="n">
        <v>80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62</v>
      </c>
      <c r="X133" s="0" t="n">
        <v>5</v>
      </c>
      <c r="Y133" s="0" t="n">
        <v>5</v>
      </c>
      <c r="Z133" s="0" t="inlineStr">
        <is>
          <t>https://new.land.naver.com/complexes/8517?tab=detail&amp;rf=Y</t>
        </is>
      </c>
      <c r="AA133" s="0" t="inlineStr">
        <is>
          <t>인천시 계양구 계산동 927-1</t>
        </is>
      </c>
      <c r="AB133" s="0" t="inlineStr">
        <is>
          <t>인천시</t>
        </is>
      </c>
      <c r="AC133" s="0" t="inlineStr">
        <is>
          <t>계양구</t>
        </is>
      </c>
      <c r="AD133" s="0" t="inlineStr">
        <is>
          <t>계산동</t>
        </is>
      </c>
      <c r="AG133" s="0" t="inlineStr">
        <is>
          <t>인천시 계양구 하느재로6번길 14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[계산동]</t>
        </is>
      </c>
      <c r="B134" s="0" t="n">
        <v>135505</v>
      </c>
      <c r="C134" s="0" t="n">
        <v>1</v>
      </c>
      <c r="D134" s="0" t="inlineStr">
        <is>
          <t>더써밋(도시형)</t>
        </is>
      </c>
      <c r="E134" s="0" t="inlineStr">
        <is>
          <t>2020.01.</t>
        </is>
      </c>
      <c r="F134" s="0" t="n">
        <v>15</v>
      </c>
      <c r="G134" s="0" t="n">
        <v>12.28</v>
      </c>
      <c r="H134" s="0" t="n">
        <v>40.61</v>
      </c>
      <c r="I134" s="0" t="n">
        <v>9.01</v>
      </c>
      <c r="J134" s="0" t="n">
        <v>29.79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40</v>
      </c>
      <c r="X134" s="0" t="n">
        <v>5</v>
      </c>
      <c r="Y134" s="0" t="n">
        <v>4</v>
      </c>
      <c r="Z134" s="0" t="inlineStr">
        <is>
          <t>https://new.land.naver.com/complexes/135505?tab=detail&amp;rf=Y</t>
        </is>
      </c>
      <c r="AA134" s="0" t="inlineStr">
        <is>
          <t>인천시 계양구 계산동 320-9</t>
        </is>
      </c>
      <c r="AB134" s="0" t="inlineStr">
        <is>
          <t>인천시</t>
        </is>
      </c>
      <c r="AC134" s="0" t="inlineStr">
        <is>
          <t>계양구</t>
        </is>
      </c>
      <c r="AD134" s="0" t="inlineStr">
        <is>
          <t>계산동</t>
        </is>
      </c>
      <c r="AG134" s="0" t="inlineStr">
        <is>
          <t>인천시 계양구 계산새로5번길 5</t>
        </is>
      </c>
      <c r="AH134" s="0" t="n">
        <v>0</v>
      </c>
      <c r="AI134" s="0" t="n">
        <v>227</v>
      </c>
      <c r="AJ134" s="0" t="n">
        <v>48</v>
      </c>
      <c r="AK134" s="0" t="n">
        <v>15</v>
      </c>
      <c r="AL134" s="0" t="n">
        <v>1</v>
      </c>
    </row>
    <row r="135">
      <c r="A135" s="0" t="inlineStr">
        <is>
          <t>[계산동]</t>
        </is>
      </c>
      <c r="B135" s="0" t="n">
        <v>135505</v>
      </c>
      <c r="C135" s="0" t="n">
        <v>2</v>
      </c>
      <c r="D135" s="0" t="inlineStr">
        <is>
          <t>더써밋(도시형)</t>
        </is>
      </c>
      <c r="E135" s="0" t="inlineStr">
        <is>
          <t>2020.01.</t>
        </is>
      </c>
      <c r="F135" s="0" t="n">
        <v>15</v>
      </c>
      <c r="G135" s="0" t="n">
        <v>16.84</v>
      </c>
      <c r="H135" s="0" t="n">
        <v>55.7</v>
      </c>
      <c r="I135" s="0" t="n">
        <v>13</v>
      </c>
      <c r="J135" s="0" t="n">
        <v>42.98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55</v>
      </c>
      <c r="X135" s="0" t="n">
        <v>5</v>
      </c>
      <c r="Y135" s="0" t="n">
        <v>4</v>
      </c>
      <c r="Z135" s="0" t="inlineStr">
        <is>
          <t>https://new.land.naver.com/complexes/135505?tab=detail&amp;rf=Y</t>
        </is>
      </c>
      <c r="AA135" s="0" t="inlineStr">
        <is>
          <t>인천시 계양구 계산동 320-9</t>
        </is>
      </c>
      <c r="AB135" s="0" t="inlineStr">
        <is>
          <t>인천시</t>
        </is>
      </c>
      <c r="AC135" s="0" t="inlineStr">
        <is>
          <t>계양구</t>
        </is>
      </c>
      <c r="AD135" s="0" t="inlineStr">
        <is>
          <t>계산동</t>
        </is>
      </c>
      <c r="AG135" s="0" t="inlineStr">
        <is>
          <t>인천시 계양구 계산새로5번길 5</t>
        </is>
      </c>
      <c r="AH135" s="0" t="n">
        <v>0</v>
      </c>
      <c r="AI135" s="0" t="n">
        <v>227</v>
      </c>
      <c r="AJ135" s="0" t="n">
        <v>48</v>
      </c>
      <c r="AK135" s="0" t="n">
        <v>15</v>
      </c>
      <c r="AL135" s="0" t="n">
        <v>1</v>
      </c>
    </row>
    <row r="136">
      <c r="A136" s="0" t="inlineStr">
        <is>
          <t>[계산동]</t>
        </is>
      </c>
      <c r="B136" s="0" t="n">
        <v>135505</v>
      </c>
      <c r="C136" s="0" t="n">
        <v>3</v>
      </c>
      <c r="D136" s="0" t="inlineStr">
        <is>
          <t>더써밋(도시형)</t>
        </is>
      </c>
      <c r="E136" s="0" t="inlineStr">
        <is>
          <t>2020.01.</t>
        </is>
      </c>
      <c r="F136" s="0" t="n">
        <v>15</v>
      </c>
      <c r="G136" s="0" t="n">
        <v>19.62</v>
      </c>
      <c r="H136" s="0" t="n">
        <v>64.89</v>
      </c>
      <c r="I136" s="0" t="n">
        <v>14.34</v>
      </c>
      <c r="J136" s="0" t="n">
        <v>47.41</v>
      </c>
      <c r="K136" s="0" t="n">
        <v>1</v>
      </c>
      <c r="T136" s="0" t="n">
        <v>2</v>
      </c>
      <c r="U136" s="0" t="n">
        <v>1</v>
      </c>
      <c r="V136" s="0" t="inlineStr">
        <is>
          <t>계단식</t>
        </is>
      </c>
      <c r="W136" s="0" t="inlineStr">
        <is>
          <t>64A</t>
        </is>
      </c>
      <c r="X136" s="0" t="n">
        <v>5</v>
      </c>
      <c r="Y136" s="0" t="n">
        <v>4</v>
      </c>
      <c r="Z136" s="0" t="inlineStr">
        <is>
          <t>https://new.land.naver.com/complexes/135505?tab=detail&amp;rf=Y</t>
        </is>
      </c>
      <c r="AA136" s="0" t="inlineStr">
        <is>
          <t>인천시 계양구 계산동 320-9</t>
        </is>
      </c>
      <c r="AB136" s="0" t="inlineStr">
        <is>
          <t>인천시</t>
        </is>
      </c>
      <c r="AC136" s="0" t="inlineStr">
        <is>
          <t>계양구</t>
        </is>
      </c>
      <c r="AD136" s="0" t="inlineStr">
        <is>
          <t>계산동</t>
        </is>
      </c>
      <c r="AG136" s="0" t="inlineStr">
        <is>
          <t>인천시 계양구 계산새로5번길 5</t>
        </is>
      </c>
      <c r="AH136" s="0" t="n">
        <v>0</v>
      </c>
      <c r="AI136" s="0" t="n">
        <v>227</v>
      </c>
      <c r="AJ136" s="0" t="n">
        <v>48</v>
      </c>
      <c r="AK136" s="0" t="n">
        <v>15</v>
      </c>
      <c r="AL136" s="0" t="n">
        <v>1</v>
      </c>
    </row>
    <row r="137">
      <c r="A137" s="0" t="inlineStr">
        <is>
          <t>[계산동]</t>
        </is>
      </c>
      <c r="B137" s="0" t="n">
        <v>135505</v>
      </c>
      <c r="C137" s="0" t="n">
        <v>4</v>
      </c>
      <c r="D137" s="0" t="inlineStr">
        <is>
          <t>더써밋(도시형)</t>
        </is>
      </c>
      <c r="E137" s="0" t="inlineStr">
        <is>
          <t>2020.01.</t>
        </is>
      </c>
      <c r="F137" s="0" t="n">
        <v>15</v>
      </c>
      <c r="G137" s="0" t="n">
        <v>19.73</v>
      </c>
      <c r="H137" s="0" t="n">
        <v>65.23</v>
      </c>
      <c r="I137" s="0" t="n">
        <v>14.65</v>
      </c>
      <c r="J137" s="0" t="n">
        <v>48.43</v>
      </c>
      <c r="K137" s="0" t="n">
        <v>2</v>
      </c>
      <c r="T137" s="0" t="n">
        <v>2</v>
      </c>
      <c r="U137" s="0" t="n">
        <v>1</v>
      </c>
      <c r="V137" s="0" t="inlineStr">
        <is>
          <t>계단식</t>
        </is>
      </c>
      <c r="W137" s="0" t="inlineStr">
        <is>
          <t>65B</t>
        </is>
      </c>
      <c r="X137" s="0" t="n">
        <v>5</v>
      </c>
      <c r="Y137" s="0" t="n">
        <v>4</v>
      </c>
      <c r="Z137" s="0" t="inlineStr">
        <is>
          <t>https://new.land.naver.com/complexes/135505?tab=detail&amp;rf=Y</t>
        </is>
      </c>
      <c r="AA137" s="0" t="inlineStr">
        <is>
          <t>인천시 계양구 계산동 320-9</t>
        </is>
      </c>
      <c r="AB137" s="0" t="inlineStr">
        <is>
          <t>인천시</t>
        </is>
      </c>
      <c r="AC137" s="0" t="inlineStr">
        <is>
          <t>계양구</t>
        </is>
      </c>
      <c r="AD137" s="0" t="inlineStr">
        <is>
          <t>계산동</t>
        </is>
      </c>
      <c r="AG137" s="0" t="inlineStr">
        <is>
          <t>인천시 계양구 계산새로5번길 5</t>
        </is>
      </c>
      <c r="AH137" s="0" t="n">
        <v>0</v>
      </c>
      <c r="AI137" s="0" t="n">
        <v>227</v>
      </c>
      <c r="AJ137" s="0" t="n">
        <v>48</v>
      </c>
      <c r="AK137" s="0" t="n">
        <v>15</v>
      </c>
      <c r="AL137" s="0" t="n">
        <v>1</v>
      </c>
    </row>
    <row r="138">
      <c r="A138" s="0" t="inlineStr">
        <is>
          <t>[계산동]</t>
        </is>
      </c>
      <c r="B138" s="0" t="n">
        <v>135505</v>
      </c>
      <c r="C138" s="0" t="n">
        <v>5</v>
      </c>
      <c r="D138" s="0" t="inlineStr">
        <is>
          <t>더써밋(도시형)</t>
        </is>
      </c>
      <c r="E138" s="0" t="inlineStr">
        <is>
          <t>2020.01.</t>
        </is>
      </c>
      <c r="F138" s="0" t="n">
        <v>15</v>
      </c>
      <c r="G138" s="0" t="n">
        <v>21.78</v>
      </c>
      <c r="H138" s="0" t="n">
        <v>72.03</v>
      </c>
      <c r="I138" s="0" t="n">
        <v>17.11</v>
      </c>
      <c r="J138" s="0" t="n">
        <v>56.58</v>
      </c>
      <c r="K138" s="0" t="n">
        <v>2</v>
      </c>
      <c r="T138" s="0" t="n">
        <v>3</v>
      </c>
      <c r="U138" s="0" t="n">
        <v>1</v>
      </c>
      <c r="V138" s="0" t="inlineStr">
        <is>
          <t>계단식</t>
        </is>
      </c>
      <c r="W138" s="0" t="inlineStr">
        <is>
          <t>72B</t>
        </is>
      </c>
      <c r="X138" s="0" t="n">
        <v>5</v>
      </c>
      <c r="Y138" s="0" t="n">
        <v>4</v>
      </c>
      <c r="Z138" s="0" t="inlineStr">
        <is>
          <t>https://new.land.naver.com/complexes/135505?tab=detail&amp;rf=Y</t>
        </is>
      </c>
      <c r="AA138" s="0" t="inlineStr">
        <is>
          <t>인천시 계양구 계산동 320-9</t>
        </is>
      </c>
      <c r="AB138" s="0" t="inlineStr">
        <is>
          <t>인천시</t>
        </is>
      </c>
      <c r="AC138" s="0" t="inlineStr">
        <is>
          <t>계양구</t>
        </is>
      </c>
      <c r="AD138" s="0" t="inlineStr">
        <is>
          <t>계산동</t>
        </is>
      </c>
      <c r="AG138" s="0" t="inlineStr">
        <is>
          <t>인천시 계양구 계산새로5번길 5</t>
        </is>
      </c>
      <c r="AH138" s="0" t="n">
        <v>0</v>
      </c>
      <c r="AI138" s="0" t="n">
        <v>227</v>
      </c>
      <c r="AJ138" s="0" t="n">
        <v>48</v>
      </c>
      <c r="AK138" s="0" t="n">
        <v>15</v>
      </c>
      <c r="AL138" s="0" t="n">
        <v>1</v>
      </c>
    </row>
    <row r="139">
      <c r="A139" s="0" t="inlineStr">
        <is>
          <t>[계산동]</t>
        </is>
      </c>
      <c r="B139" s="0" t="n">
        <v>135505</v>
      </c>
      <c r="C139" s="0" t="n">
        <v>6</v>
      </c>
      <c r="D139" s="0" t="inlineStr">
        <is>
          <t>더써밋(도시형)</t>
        </is>
      </c>
      <c r="E139" s="0" t="inlineStr">
        <is>
          <t>2020.01.</t>
        </is>
      </c>
      <c r="F139" s="0" t="n">
        <v>15</v>
      </c>
      <c r="G139" s="0" t="n">
        <v>21.78</v>
      </c>
      <c r="H139" s="0" t="n">
        <v>72.02</v>
      </c>
      <c r="I139" s="0" t="n">
        <v>17.17</v>
      </c>
      <c r="J139" s="0" t="n">
        <v>56.79</v>
      </c>
      <c r="K139" s="0" t="n">
        <v>1</v>
      </c>
      <c r="T139" s="0" t="n">
        <v>3</v>
      </c>
      <c r="U139" s="0" t="n">
        <v>1</v>
      </c>
      <c r="V139" s="0" t="inlineStr">
        <is>
          <t>계단식</t>
        </is>
      </c>
      <c r="W139" s="0" t="inlineStr">
        <is>
          <t>72C</t>
        </is>
      </c>
      <c r="X139" s="0" t="n">
        <v>5</v>
      </c>
      <c r="Y139" s="0" t="n">
        <v>4</v>
      </c>
      <c r="Z139" s="0" t="inlineStr">
        <is>
          <t>https://new.land.naver.com/complexes/135505?tab=detail&amp;rf=Y</t>
        </is>
      </c>
      <c r="AA139" s="0" t="inlineStr">
        <is>
          <t>인천시 계양구 계산동 320-9</t>
        </is>
      </c>
      <c r="AB139" s="0" t="inlineStr">
        <is>
          <t>인천시</t>
        </is>
      </c>
      <c r="AC139" s="0" t="inlineStr">
        <is>
          <t>계양구</t>
        </is>
      </c>
      <c r="AD139" s="0" t="inlineStr">
        <is>
          <t>계산동</t>
        </is>
      </c>
      <c r="AG139" s="0" t="inlineStr">
        <is>
          <t>인천시 계양구 계산새로5번길 5</t>
        </is>
      </c>
      <c r="AH139" s="0" t="n">
        <v>0</v>
      </c>
      <c r="AI139" s="0" t="n">
        <v>227</v>
      </c>
      <c r="AJ139" s="0" t="n">
        <v>48</v>
      </c>
      <c r="AK139" s="0" t="n">
        <v>15</v>
      </c>
      <c r="AL139" s="0" t="n">
        <v>1</v>
      </c>
    </row>
    <row r="140">
      <c r="A140" s="0" t="inlineStr">
        <is>
          <t>[계산동]</t>
        </is>
      </c>
      <c r="B140" s="0" t="n">
        <v>135505</v>
      </c>
      <c r="C140" s="0" t="n">
        <v>7</v>
      </c>
      <c r="D140" s="0" t="inlineStr">
        <is>
          <t>더써밋(도시형)</t>
        </is>
      </c>
      <c r="E140" s="0" t="inlineStr">
        <is>
          <t>2020.01.</t>
        </is>
      </c>
      <c r="F140" s="0" t="n">
        <v>15</v>
      </c>
      <c r="G140" s="0" t="n">
        <v>21.95</v>
      </c>
      <c r="H140" s="0" t="n">
        <v>72.58</v>
      </c>
      <c r="I140" s="0" t="n">
        <v>17.2</v>
      </c>
      <c r="J140" s="0" t="n">
        <v>56.89</v>
      </c>
      <c r="K140" s="0" t="n">
        <v>1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72D</t>
        </is>
      </c>
      <c r="X140" s="0" t="n">
        <v>5</v>
      </c>
      <c r="Y140" s="0" t="n">
        <v>4</v>
      </c>
      <c r="Z140" s="0" t="inlineStr">
        <is>
          <t>https://new.land.naver.com/complexes/135505?tab=detail&amp;rf=Y</t>
        </is>
      </c>
      <c r="AA140" s="0" t="inlineStr">
        <is>
          <t>인천시 계양구 계산동 320-9</t>
        </is>
      </c>
      <c r="AB140" s="0" t="inlineStr">
        <is>
          <t>인천시</t>
        </is>
      </c>
      <c r="AC140" s="0" t="inlineStr">
        <is>
          <t>계양구</t>
        </is>
      </c>
      <c r="AD140" s="0" t="inlineStr">
        <is>
          <t>계산동</t>
        </is>
      </c>
      <c r="AG140" s="0" t="inlineStr">
        <is>
          <t>인천시 계양구 계산새로5번길 5</t>
        </is>
      </c>
      <c r="AH140" s="0" t="n">
        <v>0</v>
      </c>
      <c r="AI140" s="0" t="n">
        <v>227</v>
      </c>
      <c r="AJ140" s="0" t="n">
        <v>48</v>
      </c>
      <c r="AK140" s="0" t="n">
        <v>15</v>
      </c>
      <c r="AL140" s="0" t="n">
        <v>1</v>
      </c>
    </row>
    <row r="141">
      <c r="A141" s="0" t="inlineStr">
        <is>
          <t>[계산동]</t>
        </is>
      </c>
      <c r="B141" s="0" t="n">
        <v>135505</v>
      </c>
      <c r="C141" s="0" t="n">
        <v>8</v>
      </c>
      <c r="D141" s="0" t="inlineStr">
        <is>
          <t>더써밋(도시형)</t>
        </is>
      </c>
      <c r="E141" s="0" t="inlineStr">
        <is>
          <t>2020.01.</t>
        </is>
      </c>
      <c r="F141" s="0" t="n">
        <v>15</v>
      </c>
      <c r="G141" s="0" t="n">
        <v>22.22</v>
      </c>
      <c r="H141" s="0" t="n">
        <v>73.47</v>
      </c>
      <c r="I141" s="0" t="n">
        <v>16.28</v>
      </c>
      <c r="J141" s="0" t="n">
        <v>53.84</v>
      </c>
      <c r="K141" s="0" t="n">
        <v>2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73A</t>
        </is>
      </c>
      <c r="X141" s="0" t="n">
        <v>5</v>
      </c>
      <c r="Y141" s="0" t="n">
        <v>4</v>
      </c>
      <c r="Z141" s="0" t="inlineStr">
        <is>
          <t>https://new.land.naver.com/complexes/135505?tab=detail&amp;rf=Y</t>
        </is>
      </c>
      <c r="AA141" s="0" t="inlineStr">
        <is>
          <t>인천시 계양구 계산동 320-9</t>
        </is>
      </c>
      <c r="AB141" s="0" t="inlineStr">
        <is>
          <t>인천시</t>
        </is>
      </c>
      <c r="AC141" s="0" t="inlineStr">
        <is>
          <t>계양구</t>
        </is>
      </c>
      <c r="AD141" s="0" t="inlineStr">
        <is>
          <t>계산동</t>
        </is>
      </c>
      <c r="AG141" s="0" t="inlineStr">
        <is>
          <t>인천시 계양구 계산새로5번길 5</t>
        </is>
      </c>
      <c r="AH141" s="0" t="n">
        <v>0</v>
      </c>
      <c r="AI141" s="0" t="n">
        <v>227</v>
      </c>
      <c r="AJ141" s="0" t="n">
        <v>48</v>
      </c>
      <c r="AK141" s="0" t="n">
        <v>15</v>
      </c>
      <c r="AL141" s="0" t="n">
        <v>1</v>
      </c>
    </row>
    <row r="142">
      <c r="A142" s="0" t="inlineStr">
        <is>
          <t>[계산동]</t>
        </is>
      </c>
      <c r="B142" s="0" t="n">
        <v>135505</v>
      </c>
      <c r="C142" s="0" t="n">
        <v>9</v>
      </c>
      <c r="D142" s="0" t="inlineStr">
        <is>
          <t>더써밋(도시형)</t>
        </is>
      </c>
      <c r="E142" s="0" t="inlineStr">
        <is>
          <t>2020.01.</t>
        </is>
      </c>
      <c r="F142" s="0" t="n">
        <v>15</v>
      </c>
      <c r="G142" s="0" t="n">
        <v>22.36</v>
      </c>
      <c r="H142" s="0" t="n">
        <v>73.94</v>
      </c>
      <c r="I142" s="0" t="n">
        <v>17.29</v>
      </c>
      <c r="J142" s="0" t="n">
        <v>57.19</v>
      </c>
      <c r="K142" s="0" t="n">
        <v>1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73E</t>
        </is>
      </c>
      <c r="X142" s="0" t="n">
        <v>5</v>
      </c>
      <c r="Y142" s="0" t="n">
        <v>4</v>
      </c>
      <c r="Z142" s="0" t="inlineStr">
        <is>
          <t>https://new.land.naver.com/complexes/135505?tab=detail&amp;rf=Y</t>
        </is>
      </c>
      <c r="AA142" s="0" t="inlineStr">
        <is>
          <t>인천시 계양구 계산동 320-9</t>
        </is>
      </c>
      <c r="AB142" s="0" t="inlineStr">
        <is>
          <t>인천시</t>
        </is>
      </c>
      <c r="AC142" s="0" t="inlineStr">
        <is>
          <t>계양구</t>
        </is>
      </c>
      <c r="AD142" s="0" t="inlineStr">
        <is>
          <t>계산동</t>
        </is>
      </c>
      <c r="AG142" s="0" t="inlineStr">
        <is>
          <t>인천시 계양구 계산새로5번길 5</t>
        </is>
      </c>
      <c r="AH142" s="0" t="n">
        <v>0</v>
      </c>
      <c r="AI142" s="0" t="n">
        <v>227</v>
      </c>
      <c r="AJ142" s="0" t="n">
        <v>48</v>
      </c>
      <c r="AK142" s="0" t="n">
        <v>15</v>
      </c>
      <c r="AL142" s="0" t="n">
        <v>1</v>
      </c>
    </row>
    <row r="143">
      <c r="A143" s="0" t="inlineStr">
        <is>
          <t>[계산동]</t>
        </is>
      </c>
      <c r="B143" s="0" t="n">
        <v>135505</v>
      </c>
      <c r="C143" s="0" t="n">
        <v>10</v>
      </c>
      <c r="D143" s="0" t="inlineStr">
        <is>
          <t>더써밋(도시형)</t>
        </is>
      </c>
      <c r="E143" s="0" t="inlineStr">
        <is>
          <t>2020.01.</t>
        </is>
      </c>
      <c r="F143" s="0" t="n">
        <v>15</v>
      </c>
      <c r="G143" s="0" t="n">
        <v>22.64</v>
      </c>
      <c r="H143" s="0" t="n">
        <v>74.87</v>
      </c>
      <c r="I143" s="0" t="n">
        <v>17.59</v>
      </c>
      <c r="J143" s="0" t="n">
        <v>58.16</v>
      </c>
      <c r="K143" s="0" t="n">
        <v>2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74</v>
      </c>
      <c r="X143" s="0" t="n">
        <v>5</v>
      </c>
      <c r="Y143" s="0" t="n">
        <v>4</v>
      </c>
      <c r="Z143" s="0" t="inlineStr">
        <is>
          <t>https://new.land.naver.com/complexes/135505?tab=detail&amp;rf=Y</t>
        </is>
      </c>
      <c r="AA143" s="0" t="inlineStr">
        <is>
          <t>인천시 계양구 계산동 320-9</t>
        </is>
      </c>
      <c r="AB143" s="0" t="inlineStr">
        <is>
          <t>인천시</t>
        </is>
      </c>
      <c r="AC143" s="0" t="inlineStr">
        <is>
          <t>계양구</t>
        </is>
      </c>
      <c r="AD143" s="0" t="inlineStr">
        <is>
          <t>계산동</t>
        </is>
      </c>
      <c r="AG143" s="0" t="inlineStr">
        <is>
          <t>인천시 계양구 계산새로5번길 5</t>
        </is>
      </c>
      <c r="AH143" s="0" t="n">
        <v>0</v>
      </c>
      <c r="AI143" s="0" t="n">
        <v>227</v>
      </c>
      <c r="AJ143" s="0" t="n">
        <v>48</v>
      </c>
      <c r="AK143" s="0" t="n">
        <v>15</v>
      </c>
      <c r="AL143" s="0" t="n">
        <v>1</v>
      </c>
    </row>
    <row r="144">
      <c r="A144" s="0" t="inlineStr">
        <is>
          <t>[계산동]</t>
        </is>
      </c>
      <c r="B144" s="0" t="n">
        <v>135505</v>
      </c>
      <c r="C144" s="0" t="n">
        <v>11</v>
      </c>
      <c r="D144" s="0" t="inlineStr">
        <is>
          <t>더써밋(도시형)</t>
        </is>
      </c>
      <c r="E144" s="0" t="inlineStr">
        <is>
          <t>2020.01.</t>
        </is>
      </c>
      <c r="F144" s="0" t="n">
        <v>15</v>
      </c>
      <c r="G144" s="0" t="n">
        <v>28.69</v>
      </c>
      <c r="H144" s="0" t="n">
        <v>94.87</v>
      </c>
      <c r="I144" s="0" t="n">
        <v>21.3</v>
      </c>
      <c r="J144" s="0" t="n">
        <v>70.42</v>
      </c>
      <c r="K144" s="0" t="n">
        <v>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94</v>
      </c>
      <c r="X144" s="0" t="n">
        <v>5</v>
      </c>
      <c r="Y144" s="0" t="n">
        <v>4</v>
      </c>
      <c r="Z144" s="0" t="inlineStr">
        <is>
          <t>https://new.land.naver.com/complexes/135505?tab=detail&amp;rf=Y</t>
        </is>
      </c>
      <c r="AA144" s="0" t="inlineStr">
        <is>
          <t>인천시 계양구 계산동 320-9</t>
        </is>
      </c>
      <c r="AB144" s="0" t="inlineStr">
        <is>
          <t>인천시</t>
        </is>
      </c>
      <c r="AC144" s="0" t="inlineStr">
        <is>
          <t>계양구</t>
        </is>
      </c>
      <c r="AD144" s="0" t="inlineStr">
        <is>
          <t>계산동</t>
        </is>
      </c>
      <c r="AG144" s="0" t="inlineStr">
        <is>
          <t>인천시 계양구 계산새로5번길 5</t>
        </is>
      </c>
      <c r="AH144" s="0" t="n">
        <v>0</v>
      </c>
      <c r="AI144" s="0" t="n">
        <v>227</v>
      </c>
      <c r="AJ144" s="0" t="n">
        <v>48</v>
      </c>
      <c r="AK144" s="0" t="n">
        <v>15</v>
      </c>
      <c r="AL144" s="0" t="n">
        <v>1</v>
      </c>
    </row>
    <row r="145">
      <c r="A145" s="0" t="inlineStr">
        <is>
          <t>[계산동]</t>
        </is>
      </c>
      <c r="B145" s="0" t="n">
        <v>2266</v>
      </c>
      <c r="C145" s="0" t="n">
        <v>1</v>
      </c>
      <c r="D145" s="0" t="inlineStr">
        <is>
          <t>한국</t>
        </is>
      </c>
      <c r="E145" s="0" t="inlineStr">
        <is>
          <t>1991.05.</t>
        </is>
      </c>
      <c r="F145" s="0" t="n">
        <v>416</v>
      </c>
      <c r="G145" s="0" t="n">
        <v>29.97</v>
      </c>
      <c r="H145" s="0" t="n">
        <v>99.09</v>
      </c>
      <c r="I145" s="0" t="n">
        <v>25.07</v>
      </c>
      <c r="J145" s="0" t="n">
        <v>82.88</v>
      </c>
      <c r="K145" s="0" t="n">
        <v>386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99A</t>
        </is>
      </c>
      <c r="X145" s="0" t="n">
        <v>15</v>
      </c>
      <c r="Y145" s="0" t="n">
        <v>13</v>
      </c>
      <c r="Z145" s="0" t="inlineStr">
        <is>
          <t>https://new.land.naver.com/complexes/2266?tab=detail&amp;rf=Y</t>
        </is>
      </c>
      <c r="AA145" s="0" t="inlineStr">
        <is>
          <t>인천시 계양구 계산동 355-1</t>
        </is>
      </c>
      <c r="AB145" s="0" t="inlineStr">
        <is>
          <t>인천시</t>
        </is>
      </c>
      <c r="AC145" s="0" t="inlineStr">
        <is>
          <t>계양구</t>
        </is>
      </c>
      <c r="AD145" s="0" t="inlineStr">
        <is>
          <t>계산동</t>
        </is>
      </c>
      <c r="AG145" s="0" t="inlineStr">
        <is>
          <t>인천시 계양구 주부토로 538</t>
        </is>
      </c>
      <c r="AH145" s="0" t="n">
        <v>0</v>
      </c>
      <c r="AI145" s="0" t="n">
        <v>328</v>
      </c>
      <c r="AJ145" s="0" t="n">
        <v>24</v>
      </c>
      <c r="AK145" s="0" t="n">
        <v>416</v>
      </c>
      <c r="AL145" s="0" t="n">
        <v>1</v>
      </c>
    </row>
    <row r="146">
      <c r="A146" s="0" t="inlineStr">
        <is>
          <t>[계산동]</t>
        </is>
      </c>
      <c r="B146" s="0" t="n">
        <v>2266</v>
      </c>
      <c r="C146" s="0" t="n">
        <v>2</v>
      </c>
      <c r="D146" s="0" t="inlineStr">
        <is>
          <t>한국</t>
        </is>
      </c>
      <c r="E146" s="0" t="inlineStr">
        <is>
          <t>1991.05.</t>
        </is>
      </c>
      <c r="F146" s="0" t="n">
        <v>416</v>
      </c>
      <c r="G146" s="0" t="n">
        <v>29.94</v>
      </c>
      <c r="H146" s="0" t="n">
        <v>99</v>
      </c>
      <c r="I146" s="0" t="n">
        <v>25.32</v>
      </c>
      <c r="J146" s="0" t="n">
        <v>83.72</v>
      </c>
      <c r="K146" s="0" t="n">
        <v>30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99B</t>
        </is>
      </c>
      <c r="X146" s="0" t="n">
        <v>15</v>
      </c>
      <c r="Y146" s="0" t="n">
        <v>13</v>
      </c>
      <c r="Z146" s="0" t="inlineStr">
        <is>
          <t>https://new.land.naver.com/complexes/2266?tab=detail&amp;rf=Y</t>
        </is>
      </c>
      <c r="AA146" s="0" t="inlineStr">
        <is>
          <t>인천시 계양구 계산동 355-1</t>
        </is>
      </c>
      <c r="AB146" s="0" t="inlineStr">
        <is>
          <t>인천시</t>
        </is>
      </c>
      <c r="AC146" s="0" t="inlineStr">
        <is>
          <t>계양구</t>
        </is>
      </c>
      <c r="AD146" s="0" t="inlineStr">
        <is>
          <t>계산동</t>
        </is>
      </c>
      <c r="AG146" s="0" t="inlineStr">
        <is>
          <t>인천시 계양구 주부토로 538</t>
        </is>
      </c>
      <c r="AH146" s="0" t="n">
        <v>0</v>
      </c>
      <c r="AI146" s="0" t="n">
        <v>328</v>
      </c>
      <c r="AJ146" s="0" t="n">
        <v>24</v>
      </c>
      <c r="AK146" s="0" t="n">
        <v>416</v>
      </c>
      <c r="AL146" s="0" t="n">
        <v>1</v>
      </c>
    </row>
    <row r="147">
      <c r="A147" s="0" t="inlineStr">
        <is>
          <t>[계산동]</t>
        </is>
      </c>
      <c r="B147" s="0" t="n">
        <v>2262</v>
      </c>
      <c r="C147" s="0" t="n">
        <v>1</v>
      </c>
      <c r="D147" s="0" t="inlineStr">
        <is>
          <t>은행마을태산</t>
        </is>
      </c>
      <c r="E147" s="0" t="inlineStr">
        <is>
          <t>1997.08.</t>
        </is>
      </c>
      <c r="F147" s="0" t="n">
        <v>544</v>
      </c>
      <c r="G147" s="0" t="n">
        <v>37.95</v>
      </c>
      <c r="H147" s="0" t="n">
        <v>125.46</v>
      </c>
      <c r="I147" s="0" t="n">
        <v>30.42</v>
      </c>
      <c r="J147" s="0" t="n">
        <v>100.59</v>
      </c>
      <c r="K147" s="0" t="n">
        <v>544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125</v>
      </c>
      <c r="X147" s="0" t="n">
        <v>20</v>
      </c>
      <c r="Y147" s="0" t="n">
        <v>19</v>
      </c>
      <c r="Z147" s="0" t="inlineStr">
        <is>
          <t>https://new.land.naver.com/complexes/2262?tab=detail&amp;rf=Y</t>
        </is>
      </c>
      <c r="AA147" s="0" t="inlineStr">
        <is>
          <t>인천시 계양구 계산동 1084-3</t>
        </is>
      </c>
      <c r="AB147" s="0" t="inlineStr">
        <is>
          <t>인천시</t>
        </is>
      </c>
      <c r="AC147" s="0" t="inlineStr">
        <is>
          <t>계양구</t>
        </is>
      </c>
      <c r="AD147" s="0" t="inlineStr">
        <is>
          <t>계산동</t>
        </is>
      </c>
      <c r="AG147" s="0" t="inlineStr">
        <is>
          <t>인천시 계양구 오조산로62번길 10</t>
        </is>
      </c>
      <c r="AH147" s="0" t="n">
        <v>0</v>
      </c>
      <c r="AI147" s="0" t="n">
        <v>0</v>
      </c>
      <c r="AJ147" s="0" t="n">
        <v>19</v>
      </c>
      <c r="AK147" s="0" t="n">
        <v>843</v>
      </c>
      <c r="AL147" s="0" t="n">
        <v>1.55</v>
      </c>
    </row>
    <row r="148">
      <c r="A148" s="0" t="inlineStr">
        <is>
          <t>[계산동]</t>
        </is>
      </c>
      <c r="B148" s="0" t="n">
        <v>134764</v>
      </c>
      <c r="C148" s="0" t="n">
        <v>1</v>
      </c>
      <c r="D148" s="0" t="inlineStr">
        <is>
          <t>스카이포인트</t>
        </is>
      </c>
      <c r="E148" s="0" t="inlineStr">
        <is>
          <t>2019.12.</t>
        </is>
      </c>
      <c r="F148" s="0" t="n">
        <v>7</v>
      </c>
      <c r="G148" s="0" t="n">
        <v>26.82</v>
      </c>
      <c r="H148" s="0" t="n">
        <v>88.67</v>
      </c>
      <c r="I148" s="0" t="n">
        <v>20.73</v>
      </c>
      <c r="J148" s="0" t="n">
        <v>68.55</v>
      </c>
      <c r="K148" s="0" t="n">
        <v>6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88</v>
      </c>
      <c r="X148" s="0" t="n">
        <v>11</v>
      </c>
      <c r="Y148" s="0" t="n">
        <v>10</v>
      </c>
      <c r="Z148" s="0" t="inlineStr">
        <is>
          <t>https://new.land.naver.com/complexes/134764?tab=detail&amp;rf=Y</t>
        </is>
      </c>
      <c r="AA148" s="0" t="inlineStr">
        <is>
          <t>인천시 계양구 계산동 917-5</t>
        </is>
      </c>
      <c r="AB148" s="0" t="inlineStr">
        <is>
          <t>인천시</t>
        </is>
      </c>
      <c r="AC148" s="0" t="inlineStr">
        <is>
          <t>계양구</t>
        </is>
      </c>
      <c r="AD148" s="0" t="inlineStr">
        <is>
          <t>계산동</t>
        </is>
      </c>
      <c r="AG148" s="0" t="inlineStr">
        <is>
          <t>인천시 계양구 안산로 38</t>
        </is>
      </c>
      <c r="AH148" s="0" t="n">
        <v>0</v>
      </c>
      <c r="AI148" s="0" t="n">
        <v>308</v>
      </c>
      <c r="AJ148" s="0" t="n">
        <v>43</v>
      </c>
      <c r="AK148" s="0" t="n">
        <v>7</v>
      </c>
      <c r="AL148" s="0" t="n">
        <v>1</v>
      </c>
    </row>
    <row r="149">
      <c r="A149" s="0" t="inlineStr">
        <is>
          <t>[계산동]</t>
        </is>
      </c>
      <c r="B149" s="0" t="n">
        <v>134764</v>
      </c>
      <c r="C149" s="0" t="n">
        <v>2</v>
      </c>
      <c r="D149" s="0" t="inlineStr">
        <is>
          <t>스카이포인트</t>
        </is>
      </c>
      <c r="E149" s="0" t="inlineStr">
        <is>
          <t>2019.12.</t>
        </is>
      </c>
      <c r="F149" s="0" t="n">
        <v>7</v>
      </c>
      <c r="G149" s="0" t="n">
        <v>35.42</v>
      </c>
      <c r="H149" s="0" t="n">
        <v>117.12</v>
      </c>
      <c r="I149" s="0" t="n">
        <v>26.49</v>
      </c>
      <c r="J149" s="0" t="n">
        <v>87.59999999999999</v>
      </c>
      <c r="K149" s="0" t="n">
        <v>1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117</v>
      </c>
      <c r="X149" s="0" t="n">
        <v>11</v>
      </c>
      <c r="Y149" s="0" t="n">
        <v>10</v>
      </c>
      <c r="Z149" s="0" t="inlineStr">
        <is>
          <t>https://new.land.naver.com/complexes/134764?tab=detail&amp;rf=Y</t>
        </is>
      </c>
      <c r="AA149" s="0" t="inlineStr">
        <is>
          <t>인천시 계양구 계산동 917-5</t>
        </is>
      </c>
      <c r="AB149" s="0" t="inlineStr">
        <is>
          <t>인천시</t>
        </is>
      </c>
      <c r="AC149" s="0" t="inlineStr">
        <is>
          <t>계양구</t>
        </is>
      </c>
      <c r="AD149" s="0" t="inlineStr">
        <is>
          <t>계산동</t>
        </is>
      </c>
      <c r="AG149" s="0" t="inlineStr">
        <is>
          <t>인천시 계양구 안산로 38</t>
        </is>
      </c>
      <c r="AH149" s="0" t="n">
        <v>0</v>
      </c>
      <c r="AI149" s="0" t="n">
        <v>308</v>
      </c>
      <c r="AJ149" s="0" t="n">
        <v>43</v>
      </c>
      <c r="AK149" s="0" t="n">
        <v>7</v>
      </c>
      <c r="AL149" s="0" t="n">
        <v>1</v>
      </c>
    </row>
    <row r="150">
      <c r="A150" s="0" t="inlineStr">
        <is>
          <t>[계산동]</t>
        </is>
      </c>
      <c r="B150" s="0" t="n">
        <v>9558</v>
      </c>
      <c r="C150" s="0" t="n">
        <v>1</v>
      </c>
      <c r="D150" s="0" t="inlineStr">
        <is>
          <t>대양</t>
        </is>
      </c>
      <c r="E150" s="0" t="inlineStr">
        <is>
          <t>1984.05.</t>
        </is>
      </c>
      <c r="F150" s="0" t="n">
        <v>48</v>
      </c>
      <c r="G150" s="0" t="n">
        <v>16.77</v>
      </c>
      <c r="H150" s="0" t="n">
        <v>55.44</v>
      </c>
      <c r="I150" s="0" t="n">
        <v>15.23</v>
      </c>
      <c r="J150" s="0" t="n">
        <v>50.37</v>
      </c>
      <c r="K150" s="0" t="n">
        <v>16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55</v>
      </c>
      <c r="X150" s="0" t="n">
        <v>4</v>
      </c>
      <c r="Y150" s="0" t="n">
        <v>4</v>
      </c>
      <c r="Z150" s="0" t="inlineStr">
        <is>
          <t>https://new.land.naver.com/complexes/9558?tab=detail&amp;rf=Y</t>
        </is>
      </c>
      <c r="AA150" s="0" t="inlineStr">
        <is>
          <t>인천시 계양구 계산동 987-5</t>
        </is>
      </c>
      <c r="AB150" s="0" t="inlineStr">
        <is>
          <t>인천시</t>
        </is>
      </c>
      <c r="AC150" s="0" t="inlineStr">
        <is>
          <t>계양구</t>
        </is>
      </c>
      <c r="AD150" s="0" t="inlineStr">
        <is>
          <t>계산동</t>
        </is>
      </c>
      <c r="AG150" s="0" t="inlineStr">
        <is>
          <t>인천시 계양구 계산로80번길 9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[계산동]</t>
        </is>
      </c>
      <c r="B151" s="0" t="n">
        <v>9558</v>
      </c>
      <c r="C151" s="0" t="n">
        <v>2</v>
      </c>
      <c r="D151" s="0" t="inlineStr">
        <is>
          <t>대양</t>
        </is>
      </c>
      <c r="E151" s="0" t="inlineStr">
        <is>
          <t>1984.05.</t>
        </is>
      </c>
      <c r="F151" s="0" t="n">
        <v>48</v>
      </c>
      <c r="G151" s="0" t="n">
        <v>17.53</v>
      </c>
      <c r="H151" s="0" t="n">
        <v>57.96</v>
      </c>
      <c r="I151" s="0" t="n">
        <v>15.48</v>
      </c>
      <c r="J151" s="0" t="n">
        <v>51.19</v>
      </c>
      <c r="K151" s="0" t="n">
        <v>16</v>
      </c>
      <c r="T151" s="0" t="n">
        <v>3</v>
      </c>
      <c r="U151" s="0" t="n">
        <v>1</v>
      </c>
      <c r="V151" s="0" t="inlineStr">
        <is>
          <t>계단식</t>
        </is>
      </c>
      <c r="W151" s="0" t="inlineStr">
        <is>
          <t>57A</t>
        </is>
      </c>
      <c r="X151" s="0" t="n">
        <v>4</v>
      </c>
      <c r="Y151" s="0" t="n">
        <v>4</v>
      </c>
      <c r="Z151" s="0" t="inlineStr">
        <is>
          <t>https://new.land.naver.com/complexes/9558?tab=detail&amp;rf=Y</t>
        </is>
      </c>
      <c r="AA151" s="0" t="inlineStr">
        <is>
          <t>인천시 계양구 계산동 987-5</t>
        </is>
      </c>
      <c r="AB151" s="0" t="inlineStr">
        <is>
          <t>인천시</t>
        </is>
      </c>
      <c r="AC151" s="0" t="inlineStr">
        <is>
          <t>계양구</t>
        </is>
      </c>
      <c r="AD151" s="0" t="inlineStr">
        <is>
          <t>계산동</t>
        </is>
      </c>
      <c r="AG151" s="0" t="inlineStr">
        <is>
          <t>인천시 계양구 계산로80번길 9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[계산동]</t>
        </is>
      </c>
      <c r="B152" s="0" t="n">
        <v>9558</v>
      </c>
      <c r="C152" s="0" t="n">
        <v>3</v>
      </c>
      <c r="D152" s="0" t="inlineStr">
        <is>
          <t>대양</t>
        </is>
      </c>
      <c r="E152" s="0" t="inlineStr">
        <is>
          <t>1984.05.</t>
        </is>
      </c>
      <c r="F152" s="0" t="n">
        <v>48</v>
      </c>
      <c r="G152" s="0" t="n">
        <v>17.69</v>
      </c>
      <c r="H152" s="0" t="n">
        <v>58.51</v>
      </c>
      <c r="I152" s="0" t="n">
        <v>15.65</v>
      </c>
      <c r="J152" s="0" t="n">
        <v>51.74</v>
      </c>
      <c r="K152" s="0" t="n">
        <v>16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58B</t>
        </is>
      </c>
      <c r="X152" s="0" t="n">
        <v>4</v>
      </c>
      <c r="Y152" s="0" t="n">
        <v>4</v>
      </c>
      <c r="Z152" s="0" t="inlineStr">
        <is>
          <t>https://new.land.naver.com/complexes/9558?tab=detail&amp;rf=Y</t>
        </is>
      </c>
      <c r="AA152" s="0" t="inlineStr">
        <is>
          <t>인천시 계양구 계산동 987-5</t>
        </is>
      </c>
      <c r="AB152" s="0" t="inlineStr">
        <is>
          <t>인천시</t>
        </is>
      </c>
      <c r="AC152" s="0" t="inlineStr">
        <is>
          <t>계양구</t>
        </is>
      </c>
      <c r="AD152" s="0" t="inlineStr">
        <is>
          <t>계산동</t>
        </is>
      </c>
      <c r="AG152" s="0" t="inlineStr">
        <is>
          <t>인천시 계양구 계산로80번길 9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[계산동]</t>
        </is>
      </c>
      <c r="B153" s="0" t="n">
        <v>8531</v>
      </c>
      <c r="C153" s="0" t="n">
        <v>1</v>
      </c>
      <c r="D153" s="0" t="inlineStr">
        <is>
          <t>정광</t>
        </is>
      </c>
      <c r="E153" s="0" t="inlineStr">
        <is>
          <t>1987.06.</t>
        </is>
      </c>
      <c r="F153" s="0" t="n">
        <v>70</v>
      </c>
      <c r="G153" s="0" t="n">
        <v>14.63</v>
      </c>
      <c r="H153" s="0" t="n">
        <v>48.37</v>
      </c>
      <c r="I153" s="0" t="n">
        <v>11.51</v>
      </c>
      <c r="J153" s="0" t="n">
        <v>38.07</v>
      </c>
      <c r="K153" s="0" t="n">
        <v>20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48</v>
      </c>
      <c r="X153" s="0" t="n">
        <v>5</v>
      </c>
      <c r="Y153" s="0" t="n">
        <v>5</v>
      </c>
      <c r="Z153" s="0" t="inlineStr">
        <is>
          <t>https://new.land.naver.com/complexes/8531?tab=detail&amp;rf=Y</t>
        </is>
      </c>
      <c r="AA153" s="0" t="inlineStr">
        <is>
          <t>인천시 계양구 계산동 731</t>
        </is>
      </c>
      <c r="AB153" s="0" t="inlineStr">
        <is>
          <t>인천시</t>
        </is>
      </c>
      <c r="AC153" s="0" t="inlineStr">
        <is>
          <t>계양구</t>
        </is>
      </c>
      <c r="AD153" s="0" t="inlineStr">
        <is>
          <t>계산동</t>
        </is>
      </c>
      <c r="AG153" s="0" t="inlineStr">
        <is>
          <t>인천시 계양구 경명대로 993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[계산동]</t>
        </is>
      </c>
      <c r="B154" s="0" t="n">
        <v>8531</v>
      </c>
      <c r="C154" s="0" t="n">
        <v>2</v>
      </c>
      <c r="D154" s="0" t="inlineStr">
        <is>
          <t>정광</t>
        </is>
      </c>
      <c r="E154" s="0" t="inlineStr">
        <is>
          <t>1987.06.</t>
        </is>
      </c>
      <c r="F154" s="0" t="n">
        <v>70</v>
      </c>
      <c r="G154" s="0" t="n">
        <v>15.65</v>
      </c>
      <c r="H154" s="0" t="n">
        <v>51.75</v>
      </c>
      <c r="I154" s="0" t="n">
        <v>12.37</v>
      </c>
      <c r="J154" s="0" t="n">
        <v>40.92</v>
      </c>
      <c r="K154" s="0" t="n">
        <v>50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51</v>
      </c>
      <c r="X154" s="0" t="n">
        <v>5</v>
      </c>
      <c r="Y154" s="0" t="n">
        <v>5</v>
      </c>
      <c r="Z154" s="0" t="inlineStr">
        <is>
          <t>https://new.land.naver.com/complexes/8531?tab=detail&amp;rf=Y</t>
        </is>
      </c>
      <c r="AA154" s="0" t="inlineStr">
        <is>
          <t>인천시 계양구 계산동 731</t>
        </is>
      </c>
      <c r="AB154" s="0" t="inlineStr">
        <is>
          <t>인천시</t>
        </is>
      </c>
      <c r="AC154" s="0" t="inlineStr">
        <is>
          <t>계양구</t>
        </is>
      </c>
      <c r="AD154" s="0" t="inlineStr">
        <is>
          <t>계산동</t>
        </is>
      </c>
      <c r="AG154" s="0" t="inlineStr">
        <is>
          <t>인천시 계양구 경명대로 993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[계산동]</t>
        </is>
      </c>
      <c r="B155" s="0" t="n">
        <v>26240</v>
      </c>
      <c r="C155" s="0" t="n">
        <v>1</v>
      </c>
      <c r="D155" s="0" t="inlineStr">
        <is>
          <t>흥인아이젠</t>
        </is>
      </c>
      <c r="E155" s="0" t="inlineStr">
        <is>
          <t>2006.11.</t>
        </is>
      </c>
      <c r="F155" s="0" t="n">
        <v>42</v>
      </c>
      <c r="G155" s="0" t="n">
        <v>25.03</v>
      </c>
      <c r="H155" s="0" t="n">
        <v>82.76000000000001</v>
      </c>
      <c r="I155" s="0" t="n">
        <v>18.13</v>
      </c>
      <c r="J155" s="0" t="n">
        <v>59.96</v>
      </c>
      <c r="K155" s="0" t="n">
        <v>28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82</v>
      </c>
      <c r="X155" s="0" t="n">
        <v>9</v>
      </c>
      <c r="Y155" s="0" t="n">
        <v>5</v>
      </c>
      <c r="Z155" s="0" t="inlineStr">
        <is>
          <t>https://new.land.naver.com/complexes/26240?tab=detail&amp;rf=Y</t>
        </is>
      </c>
      <c r="AA155" s="0" t="inlineStr">
        <is>
          <t>인천시 계양구 계산동 299-2</t>
        </is>
      </c>
      <c r="AB155" s="0" t="inlineStr">
        <is>
          <t>인천시</t>
        </is>
      </c>
      <c r="AC155" s="0" t="inlineStr">
        <is>
          <t>계양구</t>
        </is>
      </c>
      <c r="AD155" s="0" t="inlineStr">
        <is>
          <t>계산동</t>
        </is>
      </c>
      <c r="AG155" s="0" t="inlineStr">
        <is>
          <t>인천시 계양구 주부토로472번길 17</t>
        </is>
      </c>
      <c r="AH155" s="0" t="n">
        <v>0</v>
      </c>
      <c r="AI155" s="0" t="n">
        <v>199</v>
      </c>
      <c r="AJ155" s="0" t="n">
        <v>40</v>
      </c>
      <c r="AK155" s="0" t="n">
        <v>36</v>
      </c>
      <c r="AL155" s="0" t="n">
        <v>0.86</v>
      </c>
    </row>
    <row r="156">
      <c r="A156" s="0" t="inlineStr">
        <is>
          <t>[계산동]</t>
        </is>
      </c>
      <c r="B156" s="0" t="n">
        <v>26240</v>
      </c>
      <c r="C156" s="0" t="n">
        <v>2</v>
      </c>
      <c r="D156" s="0" t="inlineStr">
        <is>
          <t>흥인아이젠</t>
        </is>
      </c>
      <c r="E156" s="0" t="inlineStr">
        <is>
          <t>2006.11.</t>
        </is>
      </c>
      <c r="F156" s="0" t="n">
        <v>42</v>
      </c>
      <c r="G156" s="0" t="n">
        <v>27.06</v>
      </c>
      <c r="H156" s="0" t="n">
        <v>89.48</v>
      </c>
      <c r="I156" s="0" t="n">
        <v>19.63</v>
      </c>
      <c r="J156" s="0" t="n">
        <v>64.92</v>
      </c>
      <c r="K156" s="0" t="n">
        <v>4</v>
      </c>
      <c r="T156" s="0" t="n">
        <v>3</v>
      </c>
      <c r="U156" s="0" t="n">
        <v>1</v>
      </c>
      <c r="V156" s="0" t="inlineStr">
        <is>
          <t>복합식</t>
        </is>
      </c>
      <c r="W156" s="0" t="n">
        <v>89</v>
      </c>
      <c r="X156" s="0" t="n">
        <v>9</v>
      </c>
      <c r="Y156" s="0" t="n">
        <v>5</v>
      </c>
      <c r="Z156" s="0" t="inlineStr">
        <is>
          <t>https://new.land.naver.com/complexes/26240?tab=detail&amp;rf=Y</t>
        </is>
      </c>
      <c r="AA156" s="0" t="inlineStr">
        <is>
          <t>인천시 계양구 계산동 299-2</t>
        </is>
      </c>
      <c r="AB156" s="0" t="inlineStr">
        <is>
          <t>인천시</t>
        </is>
      </c>
      <c r="AC156" s="0" t="inlineStr">
        <is>
          <t>계양구</t>
        </is>
      </c>
      <c r="AD156" s="0" t="inlineStr">
        <is>
          <t>계산동</t>
        </is>
      </c>
      <c r="AG156" s="0" t="inlineStr">
        <is>
          <t>인천시 계양구 주부토로472번길 17</t>
        </is>
      </c>
      <c r="AH156" s="0" t="n">
        <v>0</v>
      </c>
      <c r="AI156" s="0" t="n">
        <v>199</v>
      </c>
      <c r="AJ156" s="0" t="n">
        <v>40</v>
      </c>
      <c r="AK156" s="0" t="n">
        <v>36</v>
      </c>
      <c r="AL156" s="0" t="n">
        <v>0.86</v>
      </c>
    </row>
    <row r="157">
      <c r="A157" s="0" t="inlineStr">
        <is>
          <t>[계산동]</t>
        </is>
      </c>
      <c r="B157" s="0" t="n">
        <v>26240</v>
      </c>
      <c r="C157" s="0" t="n">
        <v>3</v>
      </c>
      <c r="D157" s="0" t="inlineStr">
        <is>
          <t>흥인아이젠</t>
        </is>
      </c>
      <c r="E157" s="0" t="inlineStr">
        <is>
          <t>2006.11.</t>
        </is>
      </c>
      <c r="F157" s="0" t="n">
        <v>42</v>
      </c>
      <c r="G157" s="0" t="n">
        <v>33.54</v>
      </c>
      <c r="H157" s="0" t="n">
        <v>110.9</v>
      </c>
      <c r="I157" s="0" t="n">
        <v>24.14</v>
      </c>
      <c r="J157" s="0" t="n">
        <v>79.81999999999999</v>
      </c>
      <c r="K157" s="0" t="n">
        <v>10</v>
      </c>
      <c r="T157" s="0" t="n">
        <v>3</v>
      </c>
      <c r="U157" s="0" t="n">
        <v>2</v>
      </c>
      <c r="V157" s="0" t="inlineStr">
        <is>
          <t>복합식</t>
        </is>
      </c>
      <c r="W157" s="0" t="n">
        <v>110</v>
      </c>
      <c r="X157" s="0" t="n">
        <v>9</v>
      </c>
      <c r="Y157" s="0" t="n">
        <v>5</v>
      </c>
      <c r="Z157" s="0" t="inlineStr">
        <is>
          <t>https://new.land.naver.com/complexes/26240?tab=detail&amp;rf=Y</t>
        </is>
      </c>
      <c r="AA157" s="0" t="inlineStr">
        <is>
          <t>인천시 계양구 계산동 299-2</t>
        </is>
      </c>
      <c r="AB157" s="0" t="inlineStr">
        <is>
          <t>인천시</t>
        </is>
      </c>
      <c r="AC157" s="0" t="inlineStr">
        <is>
          <t>계양구</t>
        </is>
      </c>
      <c r="AD157" s="0" t="inlineStr">
        <is>
          <t>계산동</t>
        </is>
      </c>
      <c r="AG157" s="0" t="inlineStr">
        <is>
          <t>인천시 계양구 주부토로472번길 17</t>
        </is>
      </c>
      <c r="AH157" s="0" t="n">
        <v>0</v>
      </c>
      <c r="AI157" s="0" t="n">
        <v>199</v>
      </c>
      <c r="AJ157" s="0" t="n">
        <v>40</v>
      </c>
      <c r="AK157" s="0" t="n">
        <v>36</v>
      </c>
      <c r="AL157" s="0" t="n">
        <v>0.86</v>
      </c>
    </row>
    <row r="158">
      <c r="A158" s="0" t="inlineStr">
        <is>
          <t>[계산동]</t>
        </is>
      </c>
      <c r="B158" s="0" t="n">
        <v>8525</v>
      </c>
      <c r="C158" s="0" t="n">
        <v>1</v>
      </c>
      <c r="D158" s="0" t="inlineStr">
        <is>
          <t>삼보1,2차</t>
        </is>
      </c>
      <c r="E158" s="0" t="inlineStr">
        <is>
          <t>1987.10.</t>
        </is>
      </c>
      <c r="F158" s="0" t="n">
        <v>474</v>
      </c>
      <c r="G158" s="0" t="n">
        <v>15.59</v>
      </c>
      <c r="H158" s="0" t="n">
        <v>51.57</v>
      </c>
      <c r="I158" s="0" t="n">
        <v>12.27</v>
      </c>
      <c r="J158" s="0" t="n">
        <v>40.59</v>
      </c>
      <c r="K158" s="0" t="n">
        <v>360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51</v>
      </c>
      <c r="X158" s="0" t="n">
        <v>6</v>
      </c>
      <c r="Y158" s="0" t="n">
        <v>6</v>
      </c>
      <c r="Z158" s="0" t="inlineStr">
        <is>
          <t>https://new.land.naver.com/complexes/8525?tab=detail&amp;rf=Y</t>
        </is>
      </c>
      <c r="AA158" s="0" t="inlineStr">
        <is>
          <t>인천시 계양구 계산동 342-1</t>
        </is>
      </c>
      <c r="AB158" s="0" t="inlineStr">
        <is>
          <t>인천시</t>
        </is>
      </c>
      <c r="AC158" s="0" t="inlineStr">
        <is>
          <t>계양구</t>
        </is>
      </c>
      <c r="AD158" s="0" t="inlineStr">
        <is>
          <t>계산동</t>
        </is>
      </c>
      <c r="AG158" s="0" t="inlineStr">
        <is>
          <t>인천시 계양구 주부토로 528</t>
        </is>
      </c>
      <c r="AH158" s="0" t="n">
        <v>0</v>
      </c>
      <c r="AI158" s="0" t="n">
        <v>175</v>
      </c>
      <c r="AJ158" s="0" t="n">
        <v>29</v>
      </c>
      <c r="AK158" s="0" t="n">
        <v>474</v>
      </c>
      <c r="AL158" s="0" t="n">
        <v>1</v>
      </c>
    </row>
    <row r="159">
      <c r="A159" s="0" t="inlineStr">
        <is>
          <t>[계산동]</t>
        </is>
      </c>
      <c r="B159" s="0" t="n">
        <v>8525</v>
      </c>
      <c r="C159" s="0" t="n">
        <v>2</v>
      </c>
      <c r="D159" s="0" t="inlineStr">
        <is>
          <t>삼보1,2차</t>
        </is>
      </c>
      <c r="E159" s="0" t="inlineStr">
        <is>
          <t>1987.10.</t>
        </is>
      </c>
      <c r="F159" s="0" t="n">
        <v>474</v>
      </c>
      <c r="G159" s="0" t="n">
        <v>18.62</v>
      </c>
      <c r="H159" s="0" t="n">
        <v>61.57</v>
      </c>
      <c r="I159" s="0" t="n">
        <v>15</v>
      </c>
      <c r="J159" s="0" t="n">
        <v>49.59</v>
      </c>
      <c r="K159" s="0" t="n">
        <v>72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61</v>
      </c>
      <c r="X159" s="0" t="n">
        <v>6</v>
      </c>
      <c r="Y159" s="0" t="n">
        <v>6</v>
      </c>
      <c r="Z159" s="0" t="inlineStr">
        <is>
          <t>https://new.land.naver.com/complexes/8525?tab=detail&amp;rf=Y</t>
        </is>
      </c>
      <c r="AA159" s="0" t="inlineStr">
        <is>
          <t>인천시 계양구 계산동 342-1</t>
        </is>
      </c>
      <c r="AB159" s="0" t="inlineStr">
        <is>
          <t>인천시</t>
        </is>
      </c>
      <c r="AC159" s="0" t="inlineStr">
        <is>
          <t>계양구</t>
        </is>
      </c>
      <c r="AD159" s="0" t="inlineStr">
        <is>
          <t>계산동</t>
        </is>
      </c>
      <c r="AG159" s="0" t="inlineStr">
        <is>
          <t>인천시 계양구 주부토로 528</t>
        </is>
      </c>
      <c r="AH159" s="0" t="n">
        <v>0</v>
      </c>
      <c r="AI159" s="0" t="n">
        <v>175</v>
      </c>
      <c r="AJ159" s="0" t="n">
        <v>29</v>
      </c>
      <c r="AK159" s="0" t="n">
        <v>474</v>
      </c>
      <c r="AL159" s="0" t="n">
        <v>1</v>
      </c>
    </row>
    <row r="160">
      <c r="A160" s="0" t="inlineStr">
        <is>
          <t>[계산동]</t>
        </is>
      </c>
      <c r="B160" s="0" t="n">
        <v>8525</v>
      </c>
      <c r="C160" s="0" t="n">
        <v>3</v>
      </c>
      <c r="D160" s="0" t="inlineStr">
        <is>
          <t>삼보1,2차</t>
        </is>
      </c>
      <c r="E160" s="0" t="inlineStr">
        <is>
          <t>1987.10.</t>
        </is>
      </c>
      <c r="F160" s="0" t="n">
        <v>474</v>
      </c>
      <c r="G160" s="0" t="n">
        <v>21.66</v>
      </c>
      <c r="H160" s="0" t="n">
        <v>71.61</v>
      </c>
      <c r="I160" s="0" t="n">
        <v>17.59</v>
      </c>
      <c r="J160" s="0" t="n">
        <v>58.17</v>
      </c>
      <c r="K160" s="0" t="n">
        <v>36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71</v>
      </c>
      <c r="X160" s="0" t="n">
        <v>6</v>
      </c>
      <c r="Y160" s="0" t="n">
        <v>6</v>
      </c>
      <c r="Z160" s="0" t="inlineStr">
        <is>
          <t>https://new.land.naver.com/complexes/8525?tab=detail&amp;rf=Y</t>
        </is>
      </c>
      <c r="AA160" s="0" t="inlineStr">
        <is>
          <t>인천시 계양구 계산동 342-1</t>
        </is>
      </c>
      <c r="AB160" s="0" t="inlineStr">
        <is>
          <t>인천시</t>
        </is>
      </c>
      <c r="AC160" s="0" t="inlineStr">
        <is>
          <t>계양구</t>
        </is>
      </c>
      <c r="AD160" s="0" t="inlineStr">
        <is>
          <t>계산동</t>
        </is>
      </c>
      <c r="AG160" s="0" t="inlineStr">
        <is>
          <t>인천시 계양구 주부토로 528</t>
        </is>
      </c>
      <c r="AH160" s="0" t="n">
        <v>0</v>
      </c>
      <c r="AI160" s="0" t="n">
        <v>175</v>
      </c>
      <c r="AJ160" s="0" t="n">
        <v>29</v>
      </c>
      <c r="AK160" s="0" t="n">
        <v>474</v>
      </c>
      <c r="AL160" s="0" t="n">
        <v>1</v>
      </c>
    </row>
    <row r="161">
      <c r="A161" s="0" t="inlineStr">
        <is>
          <t>[계산동]</t>
        </is>
      </c>
      <c r="B161" s="0" t="n">
        <v>8525</v>
      </c>
      <c r="C161" s="0" t="n">
        <v>4</v>
      </c>
      <c r="D161" s="0" t="inlineStr">
        <is>
          <t>삼보1,2차</t>
        </is>
      </c>
      <c r="E161" s="0" t="inlineStr">
        <is>
          <t>1987.10.</t>
        </is>
      </c>
      <c r="F161" s="0" t="n">
        <v>474</v>
      </c>
      <c r="G161" s="0" t="n">
        <v>25.97</v>
      </c>
      <c r="H161" s="0" t="n">
        <v>85.86</v>
      </c>
      <c r="I161" s="0" t="n">
        <v>20.06</v>
      </c>
      <c r="J161" s="0" t="n">
        <v>66.33</v>
      </c>
      <c r="K161" s="0" t="n">
        <v>6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85</v>
      </c>
      <c r="X161" s="0" t="n">
        <v>6</v>
      </c>
      <c r="Y161" s="0" t="n">
        <v>6</v>
      </c>
      <c r="Z161" s="0" t="inlineStr">
        <is>
          <t>https://new.land.naver.com/complexes/8525?tab=detail&amp;rf=Y</t>
        </is>
      </c>
      <c r="AA161" s="0" t="inlineStr">
        <is>
          <t>인천시 계양구 계산동 342-1</t>
        </is>
      </c>
      <c r="AB161" s="0" t="inlineStr">
        <is>
          <t>인천시</t>
        </is>
      </c>
      <c r="AC161" s="0" t="inlineStr">
        <is>
          <t>계양구</t>
        </is>
      </c>
      <c r="AD161" s="0" t="inlineStr">
        <is>
          <t>계산동</t>
        </is>
      </c>
      <c r="AG161" s="0" t="inlineStr">
        <is>
          <t>인천시 계양구 주부토로 528</t>
        </is>
      </c>
      <c r="AH161" s="0" t="n">
        <v>0</v>
      </c>
      <c r="AI161" s="0" t="n">
        <v>175</v>
      </c>
      <c r="AJ161" s="0" t="n">
        <v>29</v>
      </c>
      <c r="AK161" s="0" t="n">
        <v>474</v>
      </c>
      <c r="AL161" s="0" t="n">
        <v>1</v>
      </c>
    </row>
    <row r="162">
      <c r="A162" s="0" t="inlineStr">
        <is>
          <t>[계산동]</t>
        </is>
      </c>
      <c r="B162" s="0" t="n">
        <v>8515</v>
      </c>
      <c r="C162" s="0" t="n">
        <v>1</v>
      </c>
      <c r="D162" s="0" t="inlineStr">
        <is>
          <t>삼환1차</t>
        </is>
      </c>
      <c r="E162" s="0" t="inlineStr">
        <is>
          <t>1989.12.</t>
        </is>
      </c>
      <c r="F162" s="0" t="n">
        <v>276</v>
      </c>
      <c r="G162" s="0" t="n">
        <v>21.29</v>
      </c>
      <c r="H162" s="0" t="n">
        <v>70.39</v>
      </c>
      <c r="I162" s="0" t="n">
        <v>17.47</v>
      </c>
      <c r="J162" s="0" t="n">
        <v>57.78</v>
      </c>
      <c r="K162" s="0" t="n">
        <v>84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70</v>
      </c>
      <c r="X162" s="0" t="n">
        <v>6</v>
      </c>
      <c r="Y162" s="0" t="n">
        <v>6</v>
      </c>
      <c r="Z162" s="0" t="inlineStr">
        <is>
          <t>https://new.land.naver.com/complexes/8515?tab=detail&amp;rf=Y</t>
        </is>
      </c>
      <c r="AA162" s="0" t="inlineStr">
        <is>
          <t>인천시 계양구 계산동 930</t>
        </is>
      </c>
      <c r="AB162" s="0" t="inlineStr">
        <is>
          <t>인천시</t>
        </is>
      </c>
      <c r="AC162" s="0" t="inlineStr">
        <is>
          <t>계양구</t>
        </is>
      </c>
      <c r="AD162" s="0" t="inlineStr">
        <is>
          <t>계산동</t>
        </is>
      </c>
      <c r="AG162" s="0" t="inlineStr">
        <is>
          <t>인천시 계양구 하느재로 15</t>
        </is>
      </c>
      <c r="AH162" s="0" t="n">
        <v>0</v>
      </c>
      <c r="AI162" s="0" t="n">
        <v>152</v>
      </c>
      <c r="AJ162" s="0" t="n">
        <v>28</v>
      </c>
      <c r="AK162" s="0" t="n">
        <v>112</v>
      </c>
      <c r="AL162" s="0" t="n">
        <v>0.41</v>
      </c>
    </row>
    <row r="163">
      <c r="A163" s="0" t="inlineStr">
        <is>
          <t>[계산동]</t>
        </is>
      </c>
      <c r="B163" s="0" t="n">
        <v>8515</v>
      </c>
      <c r="C163" s="0" t="n">
        <v>2</v>
      </c>
      <c r="D163" s="0" t="inlineStr">
        <is>
          <t>삼환1차</t>
        </is>
      </c>
      <c r="E163" s="0" t="inlineStr">
        <is>
          <t>1989.12.</t>
        </is>
      </c>
      <c r="F163" s="0" t="n">
        <v>276</v>
      </c>
      <c r="G163" s="0" t="n">
        <v>23.96</v>
      </c>
      <c r="H163" s="0" t="n">
        <v>79.22</v>
      </c>
      <c r="I163" s="0" t="n">
        <v>19.92</v>
      </c>
      <c r="J163" s="0" t="n">
        <v>65.88</v>
      </c>
      <c r="K163" s="0" t="n">
        <v>84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79</v>
      </c>
      <c r="X163" s="0" t="n">
        <v>6</v>
      </c>
      <c r="Y163" s="0" t="n">
        <v>6</v>
      </c>
      <c r="Z163" s="0" t="inlineStr">
        <is>
          <t>https://new.land.naver.com/complexes/8515?tab=detail&amp;rf=Y</t>
        </is>
      </c>
      <c r="AA163" s="0" t="inlineStr">
        <is>
          <t>인천시 계양구 계산동 930</t>
        </is>
      </c>
      <c r="AB163" s="0" t="inlineStr">
        <is>
          <t>인천시</t>
        </is>
      </c>
      <c r="AC163" s="0" t="inlineStr">
        <is>
          <t>계양구</t>
        </is>
      </c>
      <c r="AD163" s="0" t="inlineStr">
        <is>
          <t>계산동</t>
        </is>
      </c>
      <c r="AG163" s="0" t="inlineStr">
        <is>
          <t>인천시 계양구 하느재로 15</t>
        </is>
      </c>
      <c r="AH163" s="0" t="n">
        <v>0</v>
      </c>
      <c r="AI163" s="0" t="n">
        <v>152</v>
      </c>
      <c r="AJ163" s="0" t="n">
        <v>28</v>
      </c>
      <c r="AK163" s="0" t="n">
        <v>112</v>
      </c>
      <c r="AL163" s="0" t="n">
        <v>0.41</v>
      </c>
    </row>
    <row r="164">
      <c r="A164" s="0" t="inlineStr">
        <is>
          <t>[계산동]</t>
        </is>
      </c>
      <c r="B164" s="0" t="n">
        <v>8515</v>
      </c>
      <c r="C164" s="0" t="n">
        <v>3</v>
      </c>
      <c r="D164" s="0" t="inlineStr">
        <is>
          <t>삼환1차</t>
        </is>
      </c>
      <c r="E164" s="0" t="inlineStr">
        <is>
          <t>1989.12.</t>
        </is>
      </c>
      <c r="F164" s="0" t="n">
        <v>276</v>
      </c>
      <c r="G164" s="0" t="n">
        <v>26.54</v>
      </c>
      <c r="H164" s="0" t="n">
        <v>87.76000000000001</v>
      </c>
      <c r="I164" s="0" t="n">
        <v>22.22</v>
      </c>
      <c r="J164" s="0" t="n">
        <v>73.48</v>
      </c>
      <c r="K164" s="0" t="n">
        <v>108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87</v>
      </c>
      <c r="X164" s="0" t="n">
        <v>6</v>
      </c>
      <c r="Y164" s="0" t="n">
        <v>6</v>
      </c>
      <c r="Z164" s="0" t="inlineStr">
        <is>
          <t>https://new.land.naver.com/complexes/8515?tab=detail&amp;rf=Y</t>
        </is>
      </c>
      <c r="AA164" s="0" t="inlineStr">
        <is>
          <t>인천시 계양구 계산동 930</t>
        </is>
      </c>
      <c r="AB164" s="0" t="inlineStr">
        <is>
          <t>인천시</t>
        </is>
      </c>
      <c r="AC164" s="0" t="inlineStr">
        <is>
          <t>계양구</t>
        </is>
      </c>
      <c r="AD164" s="0" t="inlineStr">
        <is>
          <t>계산동</t>
        </is>
      </c>
      <c r="AG164" s="0" t="inlineStr">
        <is>
          <t>인천시 계양구 하느재로 15</t>
        </is>
      </c>
      <c r="AH164" s="0" t="n">
        <v>0</v>
      </c>
      <c r="AI164" s="0" t="n">
        <v>152</v>
      </c>
      <c r="AJ164" s="0" t="n">
        <v>28</v>
      </c>
      <c r="AK164" s="0" t="n">
        <v>112</v>
      </c>
      <c r="AL164" s="0" t="n">
        <v>0.41</v>
      </c>
    </row>
    <row r="165">
      <c r="A165" s="0" t="inlineStr">
        <is>
          <t>[계산동]</t>
        </is>
      </c>
      <c r="B165" s="0" t="n">
        <v>27018</v>
      </c>
      <c r="C165" s="0" t="n">
        <v>1</v>
      </c>
      <c r="D165" s="0" t="inlineStr">
        <is>
          <t>팬더1,2차</t>
        </is>
      </c>
      <c r="E165" s="0" t="inlineStr">
        <is>
          <t>1989.09.</t>
        </is>
      </c>
      <c r="F165" s="0" t="n">
        <v>504</v>
      </c>
      <c r="G165" s="0" t="n">
        <v>16.23</v>
      </c>
      <c r="H165" s="0" t="n">
        <v>53.67</v>
      </c>
      <c r="I165" s="0" t="n">
        <v>12.32</v>
      </c>
      <c r="J165" s="0" t="n">
        <v>40.76</v>
      </c>
      <c r="K165" s="0" t="n">
        <v>204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53A</t>
        </is>
      </c>
      <c r="X165" s="0" t="n">
        <v>6</v>
      </c>
      <c r="Y165" s="0" t="n">
        <v>6</v>
      </c>
      <c r="Z165" s="0" t="inlineStr">
        <is>
          <t>https://new.land.naver.com/complexes/27018?tab=detail&amp;rf=Y</t>
        </is>
      </c>
      <c r="AA165" s="0" t="inlineStr">
        <is>
          <t>인천시 계양구 계산동 18-13</t>
        </is>
      </c>
      <c r="AB165" s="0" t="inlineStr">
        <is>
          <t>인천시</t>
        </is>
      </c>
      <c r="AC165" s="0" t="inlineStr">
        <is>
          <t>계양구</t>
        </is>
      </c>
      <c r="AD165" s="0" t="inlineStr">
        <is>
          <t>계산동</t>
        </is>
      </c>
      <c r="AG165" s="0" t="inlineStr">
        <is>
          <t>인천시 계양구 경명대로1142번길 7</t>
        </is>
      </c>
      <c r="AH165" s="0" t="n">
        <v>0</v>
      </c>
      <c r="AI165" s="0" t="n">
        <v>192</v>
      </c>
      <c r="AJ165" s="0" t="n">
        <v>32</v>
      </c>
      <c r="AK165" s="0" t="n">
        <v>0</v>
      </c>
      <c r="AL165" s="0" t="n">
        <v>0</v>
      </c>
    </row>
    <row r="166">
      <c r="A166" s="0" t="inlineStr">
        <is>
          <t>[계산동]</t>
        </is>
      </c>
      <c r="B166" s="0" t="n">
        <v>27018</v>
      </c>
      <c r="C166" s="0" t="n">
        <v>2</v>
      </c>
      <c r="D166" s="0" t="inlineStr">
        <is>
          <t>팬더1,2차</t>
        </is>
      </c>
      <c r="E166" s="0" t="inlineStr">
        <is>
          <t>1989.09.</t>
        </is>
      </c>
      <c r="F166" s="0" t="n">
        <v>504</v>
      </c>
      <c r="G166" s="0" t="n">
        <v>16.39</v>
      </c>
      <c r="H166" s="0" t="n">
        <v>54.19</v>
      </c>
      <c r="I166" s="0" t="n">
        <v>12.46</v>
      </c>
      <c r="J166" s="0" t="n">
        <v>41.21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54B</t>
        </is>
      </c>
      <c r="X166" s="0" t="n">
        <v>6</v>
      </c>
      <c r="Y166" s="0" t="n">
        <v>6</v>
      </c>
      <c r="Z166" s="0" t="inlineStr">
        <is>
          <t>https://new.land.naver.com/complexes/27018?tab=detail&amp;rf=Y</t>
        </is>
      </c>
      <c r="AA166" s="0" t="inlineStr">
        <is>
          <t>인천시 계양구 계산동 18-13</t>
        </is>
      </c>
      <c r="AB166" s="0" t="inlineStr">
        <is>
          <t>인천시</t>
        </is>
      </c>
      <c r="AC166" s="0" t="inlineStr">
        <is>
          <t>계양구</t>
        </is>
      </c>
      <c r="AD166" s="0" t="inlineStr">
        <is>
          <t>계산동</t>
        </is>
      </c>
      <c r="AG166" s="0" t="inlineStr">
        <is>
          <t>인천시 계양구 경명대로1142번길 7</t>
        </is>
      </c>
      <c r="AH166" s="0" t="n">
        <v>0</v>
      </c>
      <c r="AI166" s="0" t="n">
        <v>192</v>
      </c>
      <c r="AJ166" s="0" t="n">
        <v>32</v>
      </c>
      <c r="AK166" s="0" t="n">
        <v>0</v>
      </c>
      <c r="AL166" s="0" t="n">
        <v>0</v>
      </c>
    </row>
    <row r="167">
      <c r="A167" s="0" t="inlineStr">
        <is>
          <t>[계산동]</t>
        </is>
      </c>
      <c r="B167" s="0" t="n">
        <v>27018</v>
      </c>
      <c r="C167" s="0" t="n">
        <v>3</v>
      </c>
      <c r="D167" s="0" t="inlineStr">
        <is>
          <t>팬더1,2차</t>
        </is>
      </c>
      <c r="E167" s="0" t="inlineStr">
        <is>
          <t>1989.09.</t>
        </is>
      </c>
      <c r="F167" s="0" t="n">
        <v>504</v>
      </c>
      <c r="G167" s="0" t="n">
        <v>19.19</v>
      </c>
      <c r="H167" s="0" t="n">
        <v>63.46</v>
      </c>
      <c r="I167" s="0" t="n">
        <v>14.86</v>
      </c>
      <c r="J167" s="0" t="n">
        <v>49.13</v>
      </c>
      <c r="K167" s="0" t="n">
        <v>150</v>
      </c>
      <c r="T167" s="0" t="n">
        <v>3</v>
      </c>
      <c r="U167" s="0" t="n">
        <v>1</v>
      </c>
      <c r="V167" s="0" t="inlineStr">
        <is>
          <t>계단식</t>
        </is>
      </c>
      <c r="W167" s="0" t="n">
        <v>63</v>
      </c>
      <c r="X167" s="0" t="n">
        <v>6</v>
      </c>
      <c r="Y167" s="0" t="n">
        <v>6</v>
      </c>
      <c r="Z167" s="0" t="inlineStr">
        <is>
          <t>https://new.land.naver.com/complexes/27018?tab=detail&amp;rf=Y</t>
        </is>
      </c>
      <c r="AA167" s="0" t="inlineStr">
        <is>
          <t>인천시 계양구 계산동 18-13</t>
        </is>
      </c>
      <c r="AB167" s="0" t="inlineStr">
        <is>
          <t>인천시</t>
        </is>
      </c>
      <c r="AC167" s="0" t="inlineStr">
        <is>
          <t>계양구</t>
        </is>
      </c>
      <c r="AD167" s="0" t="inlineStr">
        <is>
          <t>계산동</t>
        </is>
      </c>
      <c r="AG167" s="0" t="inlineStr">
        <is>
          <t>인천시 계양구 경명대로1142번길 7</t>
        </is>
      </c>
      <c r="AH167" s="0" t="n">
        <v>0</v>
      </c>
      <c r="AI167" s="0" t="n">
        <v>192</v>
      </c>
      <c r="AJ167" s="0" t="n">
        <v>32</v>
      </c>
      <c r="AK167" s="0" t="n">
        <v>0</v>
      </c>
      <c r="AL167" s="0" t="n">
        <v>0</v>
      </c>
    </row>
    <row r="168">
      <c r="A168" s="0" t="inlineStr">
        <is>
          <t>[계산동]</t>
        </is>
      </c>
      <c r="B168" s="0" t="n">
        <v>27018</v>
      </c>
      <c r="C168" s="0" t="n">
        <v>4</v>
      </c>
      <c r="D168" s="0" t="inlineStr">
        <is>
          <t>팬더1,2차</t>
        </is>
      </c>
      <c r="E168" s="0" t="inlineStr">
        <is>
          <t>1989.09.</t>
        </is>
      </c>
      <c r="F168" s="0" t="n">
        <v>504</v>
      </c>
      <c r="G168" s="0" t="n">
        <v>20.87</v>
      </c>
      <c r="H168" s="0" t="n">
        <v>69.01000000000001</v>
      </c>
      <c r="I168" s="0" t="n">
        <v>16.29</v>
      </c>
      <c r="J168" s="0" t="n">
        <v>53.87</v>
      </c>
      <c r="K168" s="0" t="n">
        <v>36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69</v>
      </c>
      <c r="X168" s="0" t="n">
        <v>6</v>
      </c>
      <c r="Y168" s="0" t="n">
        <v>6</v>
      </c>
      <c r="Z168" s="0" t="inlineStr">
        <is>
          <t>https://new.land.naver.com/complexes/27018?tab=detail&amp;rf=Y</t>
        </is>
      </c>
      <c r="AA168" s="0" t="inlineStr">
        <is>
          <t>인천시 계양구 계산동 18-13</t>
        </is>
      </c>
      <c r="AB168" s="0" t="inlineStr">
        <is>
          <t>인천시</t>
        </is>
      </c>
      <c r="AC168" s="0" t="inlineStr">
        <is>
          <t>계양구</t>
        </is>
      </c>
      <c r="AD168" s="0" t="inlineStr">
        <is>
          <t>계산동</t>
        </is>
      </c>
      <c r="AG168" s="0" t="inlineStr">
        <is>
          <t>인천시 계양구 경명대로1142번길 7</t>
        </is>
      </c>
      <c r="AH168" s="0" t="n">
        <v>0</v>
      </c>
      <c r="AI168" s="0" t="n">
        <v>192</v>
      </c>
      <c r="AJ168" s="0" t="n">
        <v>32</v>
      </c>
      <c r="AK168" s="0" t="n">
        <v>0</v>
      </c>
      <c r="AL168" s="0" t="n">
        <v>0</v>
      </c>
    </row>
    <row r="169">
      <c r="A169" s="0" t="inlineStr">
        <is>
          <t>[계산동]</t>
        </is>
      </c>
      <c r="B169" s="0" t="n">
        <v>27018</v>
      </c>
      <c r="C169" s="0" t="n">
        <v>5</v>
      </c>
      <c r="D169" s="0" t="inlineStr">
        <is>
          <t>팬더1,2차</t>
        </is>
      </c>
      <c r="E169" s="0" t="inlineStr">
        <is>
          <t>1989.09.</t>
        </is>
      </c>
      <c r="F169" s="0" t="n">
        <v>504</v>
      </c>
      <c r="G169" s="0" t="n">
        <v>21.83</v>
      </c>
      <c r="H169" s="0" t="n">
        <v>72.17</v>
      </c>
      <c r="I169" s="0" t="n">
        <v>15.56</v>
      </c>
      <c r="J169" s="0" t="n">
        <v>51.46</v>
      </c>
      <c r="K169" s="0" t="n">
        <v>6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72A</t>
        </is>
      </c>
      <c r="X169" s="0" t="n">
        <v>6</v>
      </c>
      <c r="Y169" s="0" t="n">
        <v>6</v>
      </c>
      <c r="Z169" s="0" t="inlineStr">
        <is>
          <t>https://new.land.naver.com/complexes/27018?tab=detail&amp;rf=Y</t>
        </is>
      </c>
      <c r="AA169" s="0" t="inlineStr">
        <is>
          <t>인천시 계양구 계산동 18-13</t>
        </is>
      </c>
      <c r="AB169" s="0" t="inlineStr">
        <is>
          <t>인천시</t>
        </is>
      </c>
      <c r="AC169" s="0" t="inlineStr">
        <is>
          <t>계양구</t>
        </is>
      </c>
      <c r="AD169" s="0" t="inlineStr">
        <is>
          <t>계산동</t>
        </is>
      </c>
      <c r="AG169" s="0" t="inlineStr">
        <is>
          <t>인천시 계양구 경명대로1142번길 7</t>
        </is>
      </c>
      <c r="AH169" s="0" t="n">
        <v>0</v>
      </c>
      <c r="AI169" s="0" t="n">
        <v>192</v>
      </c>
      <c r="AJ169" s="0" t="n">
        <v>32</v>
      </c>
      <c r="AK169" s="0" t="n">
        <v>0</v>
      </c>
      <c r="AL169" s="0" t="n">
        <v>0</v>
      </c>
    </row>
    <row r="170">
      <c r="A170" s="0" t="inlineStr">
        <is>
          <t>[계산동]</t>
        </is>
      </c>
      <c r="B170" s="0" t="n">
        <v>27018</v>
      </c>
      <c r="C170" s="0" t="n">
        <v>6</v>
      </c>
      <c r="D170" s="0" t="inlineStr">
        <is>
          <t>팬더1,2차</t>
        </is>
      </c>
      <c r="E170" s="0" t="inlineStr">
        <is>
          <t>1989.09.</t>
        </is>
      </c>
      <c r="F170" s="0" t="n">
        <v>504</v>
      </c>
      <c r="G170" s="0" t="n">
        <v>22.48</v>
      </c>
      <c r="H170" s="0" t="n">
        <v>74.34</v>
      </c>
      <c r="I170" s="0" t="n">
        <v>17.67</v>
      </c>
      <c r="J170" s="0" t="n">
        <v>58.43</v>
      </c>
      <c r="K170" s="0" t="n">
        <v>60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74B</t>
        </is>
      </c>
      <c r="X170" s="0" t="n">
        <v>6</v>
      </c>
      <c r="Y170" s="0" t="n">
        <v>6</v>
      </c>
      <c r="Z170" s="0" t="inlineStr">
        <is>
          <t>https://new.land.naver.com/complexes/27018?tab=detail&amp;rf=Y</t>
        </is>
      </c>
      <c r="AA170" s="0" t="inlineStr">
        <is>
          <t>인천시 계양구 계산동 18-13</t>
        </is>
      </c>
      <c r="AB170" s="0" t="inlineStr">
        <is>
          <t>인천시</t>
        </is>
      </c>
      <c r="AC170" s="0" t="inlineStr">
        <is>
          <t>계양구</t>
        </is>
      </c>
      <c r="AD170" s="0" t="inlineStr">
        <is>
          <t>계산동</t>
        </is>
      </c>
      <c r="AG170" s="0" t="inlineStr">
        <is>
          <t>인천시 계양구 경명대로1142번길 7</t>
        </is>
      </c>
      <c r="AH170" s="0" t="n">
        <v>0</v>
      </c>
      <c r="AI170" s="0" t="n">
        <v>192</v>
      </c>
      <c r="AJ170" s="0" t="n">
        <v>32</v>
      </c>
      <c r="AK170" s="0" t="n">
        <v>0</v>
      </c>
      <c r="AL170" s="0" t="n">
        <v>0</v>
      </c>
    </row>
    <row r="171">
      <c r="A171" s="0" t="inlineStr">
        <is>
          <t>[계산동]</t>
        </is>
      </c>
      <c r="B171" s="0" t="n">
        <v>27018</v>
      </c>
      <c r="C171" s="0" t="n">
        <v>7</v>
      </c>
      <c r="D171" s="0" t="inlineStr">
        <is>
          <t>팬더1,2차</t>
        </is>
      </c>
      <c r="E171" s="0" t="inlineStr">
        <is>
          <t>1989.09.</t>
        </is>
      </c>
      <c r="F171" s="0" t="n">
        <v>504</v>
      </c>
      <c r="G171" s="0" t="n">
        <v>22.89</v>
      </c>
      <c r="H171" s="0" t="n">
        <v>75.68000000000001</v>
      </c>
      <c r="I171" s="0" t="n">
        <v>18.01</v>
      </c>
      <c r="J171" s="0" t="n">
        <v>59.57</v>
      </c>
      <c r="K171" s="0" t="n">
        <v>36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75</v>
      </c>
      <c r="X171" s="0" t="n">
        <v>6</v>
      </c>
      <c r="Y171" s="0" t="n">
        <v>6</v>
      </c>
      <c r="Z171" s="0" t="inlineStr">
        <is>
          <t>https://new.land.naver.com/complexes/27018?tab=detail&amp;rf=Y</t>
        </is>
      </c>
      <c r="AA171" s="0" t="inlineStr">
        <is>
          <t>인천시 계양구 계산동 18-13</t>
        </is>
      </c>
      <c r="AB171" s="0" t="inlineStr">
        <is>
          <t>인천시</t>
        </is>
      </c>
      <c r="AC171" s="0" t="inlineStr">
        <is>
          <t>계양구</t>
        </is>
      </c>
      <c r="AD171" s="0" t="inlineStr">
        <is>
          <t>계산동</t>
        </is>
      </c>
      <c r="AG171" s="0" t="inlineStr">
        <is>
          <t>인천시 계양구 경명대로1142번길 7</t>
        </is>
      </c>
      <c r="AH171" s="0" t="n">
        <v>0</v>
      </c>
      <c r="AI171" s="0" t="n">
        <v>192</v>
      </c>
      <c r="AJ171" s="0" t="n">
        <v>32</v>
      </c>
      <c r="AK171" s="0" t="n">
        <v>0</v>
      </c>
      <c r="AL171" s="0" t="n">
        <v>0</v>
      </c>
    </row>
    <row r="172">
      <c r="A172" s="0" t="inlineStr">
        <is>
          <t>[계산동]</t>
        </is>
      </c>
      <c r="B172" s="0" t="n">
        <v>27018</v>
      </c>
      <c r="C172" s="0" t="n">
        <v>8</v>
      </c>
      <c r="D172" s="0" t="inlineStr">
        <is>
          <t>팬더1,2차</t>
        </is>
      </c>
      <c r="E172" s="0" t="inlineStr">
        <is>
          <t>1989.09.</t>
        </is>
      </c>
      <c r="F172" s="0" t="n">
        <v>504</v>
      </c>
      <c r="G172" s="0" t="n">
        <v>23.61</v>
      </c>
      <c r="H172" s="0" t="n">
        <v>78.06999999999999</v>
      </c>
      <c r="I172" s="0" t="n">
        <v>17.09</v>
      </c>
      <c r="J172" s="0" t="n">
        <v>56.5</v>
      </c>
      <c r="K172" s="0" t="n">
        <v>6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78</v>
      </c>
      <c r="X172" s="0" t="n">
        <v>6</v>
      </c>
      <c r="Y172" s="0" t="n">
        <v>6</v>
      </c>
      <c r="Z172" s="0" t="inlineStr">
        <is>
          <t>https://new.land.naver.com/complexes/27018?tab=detail&amp;rf=Y</t>
        </is>
      </c>
      <c r="AA172" s="0" t="inlineStr">
        <is>
          <t>인천시 계양구 계산동 18-13</t>
        </is>
      </c>
      <c r="AB172" s="0" t="inlineStr">
        <is>
          <t>인천시</t>
        </is>
      </c>
      <c r="AC172" s="0" t="inlineStr">
        <is>
          <t>계양구</t>
        </is>
      </c>
      <c r="AD172" s="0" t="inlineStr">
        <is>
          <t>계산동</t>
        </is>
      </c>
      <c r="AG172" s="0" t="inlineStr">
        <is>
          <t>인천시 계양구 경명대로1142번길 7</t>
        </is>
      </c>
      <c r="AH172" s="0" t="n">
        <v>0</v>
      </c>
      <c r="AI172" s="0" t="n">
        <v>192</v>
      </c>
      <c r="AJ172" s="0" t="n">
        <v>32</v>
      </c>
      <c r="AK172" s="0" t="n">
        <v>0</v>
      </c>
      <c r="AL172" s="0" t="n">
        <v>0</v>
      </c>
    </row>
    <row r="173">
      <c r="A173" s="0" t="inlineStr">
        <is>
          <t>[계산동]</t>
        </is>
      </c>
      <c r="B173" s="0" t="n">
        <v>2265</v>
      </c>
      <c r="C173" s="0" t="n">
        <v>1</v>
      </c>
      <c r="D173" s="0" t="inlineStr">
        <is>
          <t>하나</t>
        </is>
      </c>
      <c r="E173" s="0" t="inlineStr">
        <is>
          <t>1987.08.</t>
        </is>
      </c>
      <c r="F173" s="0" t="n">
        <v>994</v>
      </c>
      <c r="G173" s="0" t="n">
        <v>14.2</v>
      </c>
      <c r="H173" s="0" t="n">
        <v>46.95</v>
      </c>
      <c r="I173" s="0" t="n">
        <v>11.24</v>
      </c>
      <c r="J173" s="0" t="n">
        <v>37.17</v>
      </c>
      <c r="K173" s="0" t="n">
        <v>289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46</v>
      </c>
      <c r="X173" s="0" t="n">
        <v>6</v>
      </c>
      <c r="Y173" s="0" t="n">
        <v>6</v>
      </c>
      <c r="Z173" s="0" t="inlineStr">
        <is>
          <t>https://new.land.naver.com/complexes/2265?tab=detail&amp;rf=Y</t>
        </is>
      </c>
      <c r="AA173" s="0" t="inlineStr">
        <is>
          <t>인천시 계양구 계산동 348-2</t>
        </is>
      </c>
      <c r="AB173" s="0" t="inlineStr">
        <is>
          <t>인천시</t>
        </is>
      </c>
      <c r="AC173" s="0" t="inlineStr">
        <is>
          <t>계양구</t>
        </is>
      </c>
      <c r="AD173" s="0" t="inlineStr">
        <is>
          <t>계산동</t>
        </is>
      </c>
      <c r="AG173" s="0" t="inlineStr">
        <is>
          <t>인천시 계양구 경명대로1114번길 6</t>
        </is>
      </c>
      <c r="AH173" s="0" t="n">
        <v>0</v>
      </c>
      <c r="AI173" s="0" t="n">
        <v>182</v>
      </c>
      <c r="AJ173" s="0" t="n">
        <v>31</v>
      </c>
      <c r="AK173" s="0" t="n">
        <v>996</v>
      </c>
      <c r="AL173" s="0" t="n">
        <v>1</v>
      </c>
    </row>
    <row r="174">
      <c r="A174" s="0" t="inlineStr">
        <is>
          <t>[계산동]</t>
        </is>
      </c>
      <c r="B174" s="0" t="n">
        <v>2265</v>
      </c>
      <c r="C174" s="0" t="n">
        <v>2</v>
      </c>
      <c r="D174" s="0" t="inlineStr">
        <is>
          <t>하나</t>
        </is>
      </c>
      <c r="E174" s="0" t="inlineStr">
        <is>
          <t>1987.08.</t>
        </is>
      </c>
      <c r="F174" s="0" t="n">
        <v>994</v>
      </c>
      <c r="G174" s="0" t="n">
        <v>15.28</v>
      </c>
      <c r="H174" s="0" t="n">
        <v>50.52</v>
      </c>
      <c r="I174" s="0" t="n">
        <v>12.08</v>
      </c>
      <c r="J174" s="0" t="n">
        <v>39.96</v>
      </c>
      <c r="K174" s="0" t="n">
        <v>549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50</v>
      </c>
      <c r="X174" s="0" t="n">
        <v>6</v>
      </c>
      <c r="Y174" s="0" t="n">
        <v>6</v>
      </c>
      <c r="Z174" s="0" t="inlineStr">
        <is>
          <t>https://new.land.naver.com/complexes/2265?tab=detail&amp;rf=Y</t>
        </is>
      </c>
      <c r="AA174" s="0" t="inlineStr">
        <is>
          <t>인천시 계양구 계산동 348-2</t>
        </is>
      </c>
      <c r="AB174" s="0" t="inlineStr">
        <is>
          <t>인천시</t>
        </is>
      </c>
      <c r="AC174" s="0" t="inlineStr">
        <is>
          <t>계양구</t>
        </is>
      </c>
      <c r="AD174" s="0" t="inlineStr">
        <is>
          <t>계산동</t>
        </is>
      </c>
      <c r="AG174" s="0" t="inlineStr">
        <is>
          <t>인천시 계양구 경명대로1114번길 6</t>
        </is>
      </c>
      <c r="AH174" s="0" t="n">
        <v>0</v>
      </c>
      <c r="AI174" s="0" t="n">
        <v>182</v>
      </c>
      <c r="AJ174" s="0" t="n">
        <v>31</v>
      </c>
      <c r="AK174" s="0" t="n">
        <v>996</v>
      </c>
      <c r="AL174" s="0" t="n">
        <v>1</v>
      </c>
    </row>
    <row r="175">
      <c r="A175" s="0" t="inlineStr">
        <is>
          <t>[계산동]</t>
        </is>
      </c>
      <c r="B175" s="0" t="n">
        <v>2265</v>
      </c>
      <c r="C175" s="0" t="n">
        <v>3</v>
      </c>
      <c r="D175" s="0" t="inlineStr">
        <is>
          <t>하나</t>
        </is>
      </c>
      <c r="E175" s="0" t="inlineStr">
        <is>
          <t>1987.08.</t>
        </is>
      </c>
      <c r="F175" s="0" t="n">
        <v>994</v>
      </c>
      <c r="G175" s="0" t="n">
        <v>16.15</v>
      </c>
      <c r="H175" s="0" t="n">
        <v>53.4</v>
      </c>
      <c r="I175" s="0" t="n">
        <v>12.93</v>
      </c>
      <c r="J175" s="0" t="n">
        <v>42.75</v>
      </c>
      <c r="K175" s="0" t="n">
        <v>48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53</v>
      </c>
      <c r="X175" s="0" t="n">
        <v>6</v>
      </c>
      <c r="Y175" s="0" t="n">
        <v>6</v>
      </c>
      <c r="Z175" s="0" t="inlineStr">
        <is>
          <t>https://new.land.naver.com/complexes/2265?tab=detail&amp;rf=Y</t>
        </is>
      </c>
      <c r="AA175" s="0" t="inlineStr">
        <is>
          <t>인천시 계양구 계산동 348-2</t>
        </is>
      </c>
      <c r="AB175" s="0" t="inlineStr">
        <is>
          <t>인천시</t>
        </is>
      </c>
      <c r="AC175" s="0" t="inlineStr">
        <is>
          <t>계양구</t>
        </is>
      </c>
      <c r="AD175" s="0" t="inlineStr">
        <is>
          <t>계산동</t>
        </is>
      </c>
      <c r="AG175" s="0" t="inlineStr">
        <is>
          <t>인천시 계양구 경명대로1114번길 6</t>
        </is>
      </c>
      <c r="AH175" s="0" t="n">
        <v>0</v>
      </c>
      <c r="AI175" s="0" t="n">
        <v>182</v>
      </c>
      <c r="AJ175" s="0" t="n">
        <v>31</v>
      </c>
      <c r="AK175" s="0" t="n">
        <v>996</v>
      </c>
      <c r="AL175" s="0" t="n">
        <v>1</v>
      </c>
    </row>
    <row r="176">
      <c r="A176" s="0" t="inlineStr">
        <is>
          <t>[계산동]</t>
        </is>
      </c>
      <c r="B176" s="0" t="n">
        <v>2265</v>
      </c>
      <c r="C176" s="0" t="n">
        <v>4</v>
      </c>
      <c r="D176" s="0" t="inlineStr">
        <is>
          <t>하나</t>
        </is>
      </c>
      <c r="E176" s="0" t="inlineStr">
        <is>
          <t>1987.08.</t>
        </is>
      </c>
      <c r="F176" s="0" t="n">
        <v>994</v>
      </c>
      <c r="G176" s="0" t="n">
        <v>18.8</v>
      </c>
      <c r="H176" s="0" t="n">
        <v>62.16</v>
      </c>
      <c r="I176" s="0" t="n">
        <v>15.46</v>
      </c>
      <c r="J176" s="0" t="n">
        <v>51.12</v>
      </c>
      <c r="K176" s="0" t="n">
        <v>108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62</v>
      </c>
      <c r="X176" s="0" t="n">
        <v>6</v>
      </c>
      <c r="Y176" s="0" t="n">
        <v>6</v>
      </c>
      <c r="Z176" s="0" t="inlineStr">
        <is>
          <t>https://new.land.naver.com/complexes/2265?tab=detail&amp;rf=Y</t>
        </is>
      </c>
      <c r="AA176" s="0" t="inlineStr">
        <is>
          <t>인천시 계양구 계산동 348-2</t>
        </is>
      </c>
      <c r="AB176" s="0" t="inlineStr">
        <is>
          <t>인천시</t>
        </is>
      </c>
      <c r="AC176" s="0" t="inlineStr">
        <is>
          <t>계양구</t>
        </is>
      </c>
      <c r="AD176" s="0" t="inlineStr">
        <is>
          <t>계산동</t>
        </is>
      </c>
      <c r="AG176" s="0" t="inlineStr">
        <is>
          <t>인천시 계양구 경명대로1114번길 6</t>
        </is>
      </c>
      <c r="AH176" s="0" t="n">
        <v>0</v>
      </c>
      <c r="AI176" s="0" t="n">
        <v>182</v>
      </c>
      <c r="AJ176" s="0" t="n">
        <v>31</v>
      </c>
      <c r="AK176" s="0" t="n">
        <v>996</v>
      </c>
      <c r="AL176" s="0" t="n">
        <v>1</v>
      </c>
    </row>
    <row r="177">
      <c r="A177" s="0" t="inlineStr">
        <is>
          <t>[계산동]</t>
        </is>
      </c>
      <c r="B177" s="0" t="n">
        <v>113783</v>
      </c>
      <c r="C177" s="0" t="n">
        <v>1</v>
      </c>
      <c r="D177" s="0" t="inlineStr">
        <is>
          <t>휴인</t>
        </is>
      </c>
      <c r="E177" s="0" t="inlineStr">
        <is>
          <t>2016.07.</t>
        </is>
      </c>
      <c r="F177" s="0" t="n">
        <v>88</v>
      </c>
      <c r="G177" s="0" t="n">
        <v>16.19</v>
      </c>
      <c r="H177" s="0" t="n">
        <v>53.54</v>
      </c>
      <c r="I177" s="0" t="n">
        <v>13.01</v>
      </c>
      <c r="J177" s="0" t="n">
        <v>43.04</v>
      </c>
      <c r="K177" s="0" t="n">
        <v>1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53</v>
      </c>
      <c r="X177" s="0" t="n">
        <v>9</v>
      </c>
      <c r="Y177" s="0" t="n">
        <v>8</v>
      </c>
      <c r="Z177" s="0" t="inlineStr">
        <is>
          <t>https://new.land.naver.com/complexes/113783?tab=detail&amp;rf=Y</t>
        </is>
      </c>
      <c r="AA177" s="0" t="inlineStr">
        <is>
          <t>인천시 계양구 계산동 906-2</t>
        </is>
      </c>
      <c r="AB177" s="0" t="inlineStr">
        <is>
          <t>인천시</t>
        </is>
      </c>
      <c r="AC177" s="0" t="inlineStr">
        <is>
          <t>계양구</t>
        </is>
      </c>
      <c r="AD177" s="0" t="inlineStr">
        <is>
          <t>계산동</t>
        </is>
      </c>
      <c r="AG177" s="0" t="inlineStr">
        <is>
          <t>인천시 계양구 주부토로587번길 10</t>
        </is>
      </c>
      <c r="AH177" s="0" t="n">
        <v>0</v>
      </c>
      <c r="AI177" s="0" t="n">
        <v>230</v>
      </c>
      <c r="AJ177" s="0" t="n">
        <v>34</v>
      </c>
      <c r="AK177" s="0" t="n">
        <v>90</v>
      </c>
      <c r="AL177" s="0" t="n">
        <v>1.02</v>
      </c>
    </row>
    <row r="178">
      <c r="A178" s="0" t="inlineStr">
        <is>
          <t>[계산동]</t>
        </is>
      </c>
      <c r="B178" s="0" t="n">
        <v>113783</v>
      </c>
      <c r="C178" s="0" t="n">
        <v>2</v>
      </c>
      <c r="D178" s="0" t="inlineStr">
        <is>
          <t>휴인</t>
        </is>
      </c>
      <c r="E178" s="0" t="inlineStr">
        <is>
          <t>2016.07.</t>
        </is>
      </c>
      <c r="F178" s="0" t="n">
        <v>88</v>
      </c>
      <c r="G178" s="0" t="n">
        <v>16.7</v>
      </c>
      <c r="H178" s="0" t="n">
        <v>55.22</v>
      </c>
      <c r="I178" s="0" t="n">
        <v>13.43</v>
      </c>
      <c r="J178" s="0" t="n">
        <v>44.42</v>
      </c>
      <c r="K178" s="0" t="n">
        <v>1</v>
      </c>
      <c r="T178" s="0" t="n">
        <v>2</v>
      </c>
      <c r="U178" s="0" t="n">
        <v>1</v>
      </c>
      <c r="V178" s="0" t="inlineStr">
        <is>
          <t>계단식</t>
        </is>
      </c>
      <c r="W178" s="0" t="n">
        <v>55</v>
      </c>
      <c r="X178" s="0" t="n">
        <v>9</v>
      </c>
      <c r="Y178" s="0" t="n">
        <v>8</v>
      </c>
      <c r="Z178" s="0" t="inlineStr">
        <is>
          <t>https://new.land.naver.com/complexes/113783?tab=detail&amp;rf=Y</t>
        </is>
      </c>
      <c r="AA178" s="0" t="inlineStr">
        <is>
          <t>인천시 계양구 계산동 906-2</t>
        </is>
      </c>
      <c r="AB178" s="0" t="inlineStr">
        <is>
          <t>인천시</t>
        </is>
      </c>
      <c r="AC178" s="0" t="inlineStr">
        <is>
          <t>계양구</t>
        </is>
      </c>
      <c r="AD178" s="0" t="inlineStr">
        <is>
          <t>계산동</t>
        </is>
      </c>
      <c r="AG178" s="0" t="inlineStr">
        <is>
          <t>인천시 계양구 주부토로587번길 10</t>
        </is>
      </c>
      <c r="AH178" s="0" t="n">
        <v>0</v>
      </c>
      <c r="AI178" s="0" t="n">
        <v>230</v>
      </c>
      <c r="AJ178" s="0" t="n">
        <v>34</v>
      </c>
      <c r="AK178" s="0" t="n">
        <v>90</v>
      </c>
      <c r="AL178" s="0" t="n">
        <v>1.02</v>
      </c>
    </row>
    <row r="179">
      <c r="A179" s="0" t="inlineStr">
        <is>
          <t>[계산동]</t>
        </is>
      </c>
      <c r="B179" s="0" t="n">
        <v>113783</v>
      </c>
      <c r="C179" s="0" t="n">
        <v>3</v>
      </c>
      <c r="D179" s="0" t="inlineStr">
        <is>
          <t>휴인</t>
        </is>
      </c>
      <c r="E179" s="0" t="inlineStr">
        <is>
          <t>2016.07.</t>
        </is>
      </c>
      <c r="F179" s="0" t="n">
        <v>88</v>
      </c>
      <c r="G179" s="0" t="n">
        <v>17.66</v>
      </c>
      <c r="H179" s="0" t="n">
        <v>58.41</v>
      </c>
      <c r="I179" s="0" t="n">
        <v>14.27</v>
      </c>
      <c r="J179" s="0" t="n">
        <v>47.2</v>
      </c>
      <c r="K179" s="0" t="n">
        <v>8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58</v>
      </c>
      <c r="X179" s="0" t="n">
        <v>9</v>
      </c>
      <c r="Y179" s="0" t="n">
        <v>8</v>
      </c>
      <c r="Z179" s="0" t="inlineStr">
        <is>
          <t>https://new.land.naver.com/complexes/113783?tab=detail&amp;rf=Y</t>
        </is>
      </c>
      <c r="AA179" s="0" t="inlineStr">
        <is>
          <t>인천시 계양구 계산동 906-2</t>
        </is>
      </c>
      <c r="AB179" s="0" t="inlineStr">
        <is>
          <t>인천시</t>
        </is>
      </c>
      <c r="AC179" s="0" t="inlineStr">
        <is>
          <t>계양구</t>
        </is>
      </c>
      <c r="AD179" s="0" t="inlineStr">
        <is>
          <t>계산동</t>
        </is>
      </c>
      <c r="AG179" s="0" t="inlineStr">
        <is>
          <t>인천시 계양구 주부토로587번길 10</t>
        </is>
      </c>
      <c r="AH179" s="0" t="n">
        <v>0</v>
      </c>
      <c r="AI179" s="0" t="n">
        <v>230</v>
      </c>
      <c r="AJ179" s="0" t="n">
        <v>34</v>
      </c>
      <c r="AK179" s="0" t="n">
        <v>90</v>
      </c>
      <c r="AL179" s="0" t="n">
        <v>1.02</v>
      </c>
    </row>
    <row r="180">
      <c r="A180" s="0" t="inlineStr">
        <is>
          <t>[계산동]</t>
        </is>
      </c>
      <c r="B180" s="0" t="n">
        <v>113783</v>
      </c>
      <c r="C180" s="0" t="n">
        <v>4</v>
      </c>
      <c r="D180" s="0" t="inlineStr">
        <is>
          <t>휴인</t>
        </is>
      </c>
      <c r="E180" s="0" t="inlineStr">
        <is>
          <t>2016.07.</t>
        </is>
      </c>
      <c r="F180" s="0" t="n">
        <v>88</v>
      </c>
      <c r="G180" s="0" t="n">
        <v>18.57</v>
      </c>
      <c r="H180" s="0" t="n">
        <v>61.39</v>
      </c>
      <c r="I180" s="0" t="n">
        <v>15.01</v>
      </c>
      <c r="J180" s="0" t="n">
        <v>49.62</v>
      </c>
      <c r="K180" s="0" t="n">
        <v>1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61</v>
      </c>
      <c r="X180" s="0" t="n">
        <v>9</v>
      </c>
      <c r="Y180" s="0" t="n">
        <v>8</v>
      </c>
      <c r="Z180" s="0" t="inlineStr">
        <is>
          <t>https://new.land.naver.com/complexes/113783?tab=detail&amp;rf=Y</t>
        </is>
      </c>
      <c r="AA180" s="0" t="inlineStr">
        <is>
          <t>인천시 계양구 계산동 906-2</t>
        </is>
      </c>
      <c r="AB180" s="0" t="inlineStr">
        <is>
          <t>인천시</t>
        </is>
      </c>
      <c r="AC180" s="0" t="inlineStr">
        <is>
          <t>계양구</t>
        </is>
      </c>
      <c r="AD180" s="0" t="inlineStr">
        <is>
          <t>계산동</t>
        </is>
      </c>
      <c r="AG180" s="0" t="inlineStr">
        <is>
          <t>인천시 계양구 주부토로587번길 10</t>
        </is>
      </c>
      <c r="AH180" s="0" t="n">
        <v>0</v>
      </c>
      <c r="AI180" s="0" t="n">
        <v>230</v>
      </c>
      <c r="AJ180" s="0" t="n">
        <v>34</v>
      </c>
      <c r="AK180" s="0" t="n">
        <v>90</v>
      </c>
      <c r="AL180" s="0" t="n">
        <v>1.02</v>
      </c>
    </row>
    <row r="181">
      <c r="A181" s="0" t="inlineStr">
        <is>
          <t>[계산동]</t>
        </is>
      </c>
      <c r="B181" s="0" t="n">
        <v>113783</v>
      </c>
      <c r="C181" s="0" t="n">
        <v>5</v>
      </c>
      <c r="D181" s="0" t="inlineStr">
        <is>
          <t>휴인</t>
        </is>
      </c>
      <c r="E181" s="0" t="inlineStr">
        <is>
          <t>2016.07.</t>
        </is>
      </c>
      <c r="F181" s="0" t="n">
        <v>88</v>
      </c>
      <c r="G181" s="0" t="n">
        <v>22.2</v>
      </c>
      <c r="H181" s="0" t="n">
        <v>73.42</v>
      </c>
      <c r="I181" s="0" t="n">
        <v>17.67</v>
      </c>
      <c r="J181" s="0" t="n">
        <v>58.43</v>
      </c>
      <c r="K181" s="0" t="n">
        <v>1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73A</t>
        </is>
      </c>
      <c r="X181" s="0" t="n">
        <v>9</v>
      </c>
      <c r="Y181" s="0" t="n">
        <v>8</v>
      </c>
      <c r="Z181" s="0" t="inlineStr">
        <is>
          <t>https://new.land.naver.com/complexes/113783?tab=detail&amp;rf=Y</t>
        </is>
      </c>
      <c r="AA181" s="0" t="inlineStr">
        <is>
          <t>인천시 계양구 계산동 906-2</t>
        </is>
      </c>
      <c r="AB181" s="0" t="inlineStr">
        <is>
          <t>인천시</t>
        </is>
      </c>
      <c r="AC181" s="0" t="inlineStr">
        <is>
          <t>계양구</t>
        </is>
      </c>
      <c r="AD181" s="0" t="inlineStr">
        <is>
          <t>계산동</t>
        </is>
      </c>
      <c r="AG181" s="0" t="inlineStr">
        <is>
          <t>인천시 계양구 주부토로587번길 10</t>
        </is>
      </c>
      <c r="AH181" s="0" t="n">
        <v>0</v>
      </c>
      <c r="AI181" s="0" t="n">
        <v>230</v>
      </c>
      <c r="AJ181" s="0" t="n">
        <v>34</v>
      </c>
      <c r="AK181" s="0" t="n">
        <v>90</v>
      </c>
      <c r="AL181" s="0" t="n">
        <v>1.02</v>
      </c>
    </row>
    <row r="182">
      <c r="A182" s="0" t="inlineStr">
        <is>
          <t>[계산동]</t>
        </is>
      </c>
      <c r="B182" s="0" t="n">
        <v>113783</v>
      </c>
      <c r="C182" s="0" t="n">
        <v>6</v>
      </c>
      <c r="D182" s="0" t="inlineStr">
        <is>
          <t>휴인</t>
        </is>
      </c>
      <c r="E182" s="0" t="inlineStr">
        <is>
          <t>2016.07.</t>
        </is>
      </c>
      <c r="F182" s="0" t="n">
        <v>88</v>
      </c>
      <c r="G182" s="0" t="n">
        <v>22.18</v>
      </c>
      <c r="H182" s="0" t="n">
        <v>73.34999999999999</v>
      </c>
      <c r="I182" s="0" t="n">
        <v>17.89</v>
      </c>
      <c r="J182" s="0" t="n">
        <v>59.16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73B</t>
        </is>
      </c>
      <c r="X182" s="0" t="n">
        <v>9</v>
      </c>
      <c r="Y182" s="0" t="n">
        <v>8</v>
      </c>
      <c r="Z182" s="0" t="inlineStr">
        <is>
          <t>https://new.land.naver.com/complexes/113783?tab=detail&amp;rf=Y</t>
        </is>
      </c>
      <c r="AA182" s="0" t="inlineStr">
        <is>
          <t>인천시 계양구 계산동 906-2</t>
        </is>
      </c>
      <c r="AB182" s="0" t="inlineStr">
        <is>
          <t>인천시</t>
        </is>
      </c>
      <c r="AC182" s="0" t="inlineStr">
        <is>
          <t>계양구</t>
        </is>
      </c>
      <c r="AD182" s="0" t="inlineStr">
        <is>
          <t>계산동</t>
        </is>
      </c>
      <c r="AG182" s="0" t="inlineStr">
        <is>
          <t>인천시 계양구 주부토로587번길 10</t>
        </is>
      </c>
      <c r="AH182" s="0" t="n">
        <v>0</v>
      </c>
      <c r="AI182" s="0" t="n">
        <v>230</v>
      </c>
      <c r="AJ182" s="0" t="n">
        <v>34</v>
      </c>
      <c r="AK182" s="0" t="n">
        <v>90</v>
      </c>
      <c r="AL182" s="0" t="n">
        <v>1.02</v>
      </c>
    </row>
    <row r="183">
      <c r="A183" s="0" t="inlineStr">
        <is>
          <t>[계산동]</t>
        </is>
      </c>
      <c r="B183" s="0" t="n">
        <v>113783</v>
      </c>
      <c r="C183" s="0" t="n">
        <v>7</v>
      </c>
      <c r="D183" s="0" t="inlineStr">
        <is>
          <t>휴인</t>
        </is>
      </c>
      <c r="E183" s="0" t="inlineStr">
        <is>
          <t>2016.07.</t>
        </is>
      </c>
      <c r="F183" s="0" t="n">
        <v>88</v>
      </c>
      <c r="G183" s="0" t="n">
        <v>22.53</v>
      </c>
      <c r="H183" s="0" t="n">
        <v>74.51000000000001</v>
      </c>
      <c r="I183" s="0" t="n">
        <v>18.17</v>
      </c>
      <c r="J183" s="0" t="n">
        <v>60.07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74A</t>
        </is>
      </c>
      <c r="X183" s="0" t="n">
        <v>9</v>
      </c>
      <c r="Y183" s="0" t="n">
        <v>8</v>
      </c>
      <c r="Z183" s="0" t="inlineStr">
        <is>
          <t>https://new.land.naver.com/complexes/113783?tab=detail&amp;rf=Y</t>
        </is>
      </c>
      <c r="AA183" s="0" t="inlineStr">
        <is>
          <t>인천시 계양구 계산동 906-2</t>
        </is>
      </c>
      <c r="AB183" s="0" t="inlineStr">
        <is>
          <t>인천시</t>
        </is>
      </c>
      <c r="AC183" s="0" t="inlineStr">
        <is>
          <t>계양구</t>
        </is>
      </c>
      <c r="AD183" s="0" t="inlineStr">
        <is>
          <t>계산동</t>
        </is>
      </c>
      <c r="AG183" s="0" t="inlineStr">
        <is>
          <t>인천시 계양구 주부토로587번길 10</t>
        </is>
      </c>
      <c r="AH183" s="0" t="n">
        <v>0</v>
      </c>
      <c r="AI183" s="0" t="n">
        <v>230</v>
      </c>
      <c r="AJ183" s="0" t="n">
        <v>34</v>
      </c>
      <c r="AK183" s="0" t="n">
        <v>90</v>
      </c>
      <c r="AL183" s="0" t="n">
        <v>1.02</v>
      </c>
    </row>
    <row r="184">
      <c r="A184" s="0" t="inlineStr">
        <is>
          <t>[계산동]</t>
        </is>
      </c>
      <c r="B184" s="0" t="n">
        <v>113783</v>
      </c>
      <c r="C184" s="0" t="n">
        <v>8</v>
      </c>
      <c r="D184" s="0" t="inlineStr">
        <is>
          <t>휴인</t>
        </is>
      </c>
      <c r="E184" s="0" t="inlineStr">
        <is>
          <t>2016.07.</t>
        </is>
      </c>
      <c r="F184" s="0" t="n">
        <v>88</v>
      </c>
      <c r="G184" s="0" t="n">
        <v>22.83</v>
      </c>
      <c r="H184" s="0" t="n">
        <v>75.5</v>
      </c>
      <c r="I184" s="0" t="n">
        <v>18.57</v>
      </c>
      <c r="J184" s="0" t="n">
        <v>61.4</v>
      </c>
      <c r="K184" s="0" t="n">
        <v>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75B</t>
        </is>
      </c>
      <c r="X184" s="0" t="n">
        <v>9</v>
      </c>
      <c r="Y184" s="0" t="n">
        <v>8</v>
      </c>
      <c r="Z184" s="0" t="inlineStr">
        <is>
          <t>https://new.land.naver.com/complexes/113783?tab=detail&amp;rf=Y</t>
        </is>
      </c>
      <c r="AA184" s="0" t="inlineStr">
        <is>
          <t>인천시 계양구 계산동 906-2</t>
        </is>
      </c>
      <c r="AB184" s="0" t="inlineStr">
        <is>
          <t>인천시</t>
        </is>
      </c>
      <c r="AC184" s="0" t="inlineStr">
        <is>
          <t>계양구</t>
        </is>
      </c>
      <c r="AD184" s="0" t="inlineStr">
        <is>
          <t>계산동</t>
        </is>
      </c>
      <c r="AG184" s="0" t="inlineStr">
        <is>
          <t>인천시 계양구 주부토로587번길 10</t>
        </is>
      </c>
      <c r="AH184" s="0" t="n">
        <v>0</v>
      </c>
      <c r="AI184" s="0" t="n">
        <v>230</v>
      </c>
      <c r="AJ184" s="0" t="n">
        <v>34</v>
      </c>
      <c r="AK184" s="0" t="n">
        <v>90</v>
      </c>
      <c r="AL184" s="0" t="n">
        <v>1.02</v>
      </c>
    </row>
    <row r="185">
      <c r="A185" s="0" t="inlineStr">
        <is>
          <t>[계산동]</t>
        </is>
      </c>
      <c r="B185" s="0" t="n">
        <v>113783</v>
      </c>
      <c r="C185" s="0" t="n">
        <v>9</v>
      </c>
      <c r="D185" s="0" t="inlineStr">
        <is>
          <t>휴인</t>
        </is>
      </c>
      <c r="E185" s="0" t="inlineStr">
        <is>
          <t>2016.07.</t>
        </is>
      </c>
      <c r="F185" s="0" t="n">
        <v>88</v>
      </c>
      <c r="G185" s="0" t="n">
        <v>25.07</v>
      </c>
      <c r="H185" s="0" t="n">
        <v>82.89</v>
      </c>
      <c r="I185" s="0" t="n">
        <v>20.62</v>
      </c>
      <c r="J185" s="0" t="n">
        <v>68.19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82A</t>
        </is>
      </c>
      <c r="X185" s="0" t="n">
        <v>9</v>
      </c>
      <c r="Y185" s="0" t="n">
        <v>8</v>
      </c>
      <c r="Z185" s="0" t="inlineStr">
        <is>
          <t>https://new.land.naver.com/complexes/113783?tab=detail&amp;rf=Y</t>
        </is>
      </c>
      <c r="AA185" s="0" t="inlineStr">
        <is>
          <t>인천시 계양구 계산동 906-2</t>
        </is>
      </c>
      <c r="AB185" s="0" t="inlineStr">
        <is>
          <t>인천시</t>
        </is>
      </c>
      <c r="AC185" s="0" t="inlineStr">
        <is>
          <t>계양구</t>
        </is>
      </c>
      <c r="AD185" s="0" t="inlineStr">
        <is>
          <t>계산동</t>
        </is>
      </c>
      <c r="AG185" s="0" t="inlineStr">
        <is>
          <t>인천시 계양구 주부토로587번길 10</t>
        </is>
      </c>
      <c r="AH185" s="0" t="n">
        <v>0</v>
      </c>
      <c r="AI185" s="0" t="n">
        <v>230</v>
      </c>
      <c r="AJ185" s="0" t="n">
        <v>34</v>
      </c>
      <c r="AK185" s="0" t="n">
        <v>90</v>
      </c>
      <c r="AL185" s="0" t="n">
        <v>1.02</v>
      </c>
    </row>
    <row r="186">
      <c r="A186" s="0" t="inlineStr">
        <is>
          <t>[계산동]</t>
        </is>
      </c>
      <c r="B186" s="0" t="n">
        <v>113783</v>
      </c>
      <c r="C186" s="0" t="n">
        <v>10</v>
      </c>
      <c r="D186" s="0" t="inlineStr">
        <is>
          <t>휴인</t>
        </is>
      </c>
      <c r="E186" s="0" t="inlineStr">
        <is>
          <t>2016.07.</t>
        </is>
      </c>
      <c r="F186" s="0" t="n">
        <v>88</v>
      </c>
      <c r="G186" s="0" t="n">
        <v>25.46</v>
      </c>
      <c r="H186" s="0" t="n">
        <v>84.18000000000001</v>
      </c>
      <c r="I186" s="0" t="n">
        <v>20.66</v>
      </c>
      <c r="J186" s="0" t="n">
        <v>68.31</v>
      </c>
      <c r="K186" s="0" t="n">
        <v>34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84C</t>
        </is>
      </c>
      <c r="X186" s="0" t="n">
        <v>9</v>
      </c>
      <c r="Y186" s="0" t="n">
        <v>8</v>
      </c>
      <c r="Z186" s="0" t="inlineStr">
        <is>
          <t>https://new.land.naver.com/complexes/113783?tab=detail&amp;rf=Y</t>
        </is>
      </c>
      <c r="AA186" s="0" t="inlineStr">
        <is>
          <t>인천시 계양구 계산동 906-2</t>
        </is>
      </c>
      <c r="AB186" s="0" t="inlineStr">
        <is>
          <t>인천시</t>
        </is>
      </c>
      <c r="AC186" s="0" t="inlineStr">
        <is>
          <t>계양구</t>
        </is>
      </c>
      <c r="AD186" s="0" t="inlineStr">
        <is>
          <t>계산동</t>
        </is>
      </c>
      <c r="AG186" s="0" t="inlineStr">
        <is>
          <t>인천시 계양구 주부토로587번길 10</t>
        </is>
      </c>
      <c r="AH186" s="0" t="n">
        <v>0</v>
      </c>
      <c r="AI186" s="0" t="n">
        <v>230</v>
      </c>
      <c r="AJ186" s="0" t="n">
        <v>34</v>
      </c>
      <c r="AK186" s="0" t="n">
        <v>90</v>
      </c>
      <c r="AL186" s="0" t="n">
        <v>1.02</v>
      </c>
    </row>
    <row r="187">
      <c r="A187" s="0" t="inlineStr">
        <is>
          <t>[계산동]</t>
        </is>
      </c>
      <c r="B187" s="0" t="n">
        <v>113783</v>
      </c>
      <c r="C187" s="0" t="n">
        <v>11</v>
      </c>
      <c r="D187" s="0" t="inlineStr">
        <is>
          <t>휴인</t>
        </is>
      </c>
      <c r="E187" s="0" t="inlineStr">
        <is>
          <t>2016.07.</t>
        </is>
      </c>
      <c r="F187" s="0" t="n">
        <v>88</v>
      </c>
      <c r="G187" s="0" t="n">
        <v>25.47</v>
      </c>
      <c r="H187" s="0" t="n">
        <v>84.20999999999999</v>
      </c>
      <c r="I187" s="0" t="n">
        <v>20.66</v>
      </c>
      <c r="J187" s="0" t="n">
        <v>68.3</v>
      </c>
      <c r="K187" s="0" t="n">
        <v>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84B</t>
        </is>
      </c>
      <c r="X187" s="0" t="n">
        <v>9</v>
      </c>
      <c r="Y187" s="0" t="n">
        <v>8</v>
      </c>
      <c r="Z187" s="0" t="inlineStr">
        <is>
          <t>https://new.land.naver.com/complexes/113783?tab=detail&amp;rf=Y</t>
        </is>
      </c>
      <c r="AA187" s="0" t="inlineStr">
        <is>
          <t>인천시 계양구 계산동 906-2</t>
        </is>
      </c>
      <c r="AB187" s="0" t="inlineStr">
        <is>
          <t>인천시</t>
        </is>
      </c>
      <c r="AC187" s="0" t="inlineStr">
        <is>
          <t>계양구</t>
        </is>
      </c>
      <c r="AD187" s="0" t="inlineStr">
        <is>
          <t>계산동</t>
        </is>
      </c>
      <c r="AG187" s="0" t="inlineStr">
        <is>
          <t>인천시 계양구 주부토로587번길 10</t>
        </is>
      </c>
      <c r="AH187" s="0" t="n">
        <v>0</v>
      </c>
      <c r="AI187" s="0" t="n">
        <v>230</v>
      </c>
      <c r="AJ187" s="0" t="n">
        <v>34</v>
      </c>
      <c r="AK187" s="0" t="n">
        <v>90</v>
      </c>
      <c r="AL187" s="0" t="n">
        <v>1.02</v>
      </c>
    </row>
    <row r="188">
      <c r="A188" s="0" t="inlineStr">
        <is>
          <t>[계산동]</t>
        </is>
      </c>
      <c r="B188" s="0" t="n">
        <v>113783</v>
      </c>
      <c r="C188" s="0" t="n">
        <v>12</v>
      </c>
      <c r="D188" s="0" t="inlineStr">
        <is>
          <t>휴인</t>
        </is>
      </c>
      <c r="E188" s="0" t="inlineStr">
        <is>
          <t>2016.07.</t>
        </is>
      </c>
      <c r="F188" s="0" t="n">
        <v>88</v>
      </c>
      <c r="G188" s="0" t="n">
        <v>27.99</v>
      </c>
      <c r="H188" s="0" t="n">
        <v>92.55</v>
      </c>
      <c r="I188" s="0" t="n">
        <v>23.13</v>
      </c>
      <c r="J188" s="0" t="n">
        <v>76.47</v>
      </c>
      <c r="K188" s="0" t="n">
        <v>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92B</t>
        </is>
      </c>
      <c r="X188" s="0" t="n">
        <v>9</v>
      </c>
      <c r="Y188" s="0" t="n">
        <v>8</v>
      </c>
      <c r="Z188" s="0" t="inlineStr">
        <is>
          <t>https://new.land.naver.com/complexes/113783?tab=detail&amp;rf=Y</t>
        </is>
      </c>
      <c r="AA188" s="0" t="inlineStr">
        <is>
          <t>인천시 계양구 계산동 906-2</t>
        </is>
      </c>
      <c r="AB188" s="0" t="inlineStr">
        <is>
          <t>인천시</t>
        </is>
      </c>
      <c r="AC188" s="0" t="inlineStr">
        <is>
          <t>계양구</t>
        </is>
      </c>
      <c r="AD188" s="0" t="inlineStr">
        <is>
          <t>계산동</t>
        </is>
      </c>
      <c r="AG188" s="0" t="inlineStr">
        <is>
          <t>인천시 계양구 주부토로587번길 10</t>
        </is>
      </c>
      <c r="AH188" s="0" t="n">
        <v>0</v>
      </c>
      <c r="AI188" s="0" t="n">
        <v>230</v>
      </c>
      <c r="AJ188" s="0" t="n">
        <v>34</v>
      </c>
      <c r="AK188" s="0" t="n">
        <v>90</v>
      </c>
      <c r="AL188" s="0" t="n">
        <v>1.02</v>
      </c>
    </row>
    <row r="189">
      <c r="A189" s="0" t="inlineStr">
        <is>
          <t>[계산동]</t>
        </is>
      </c>
      <c r="B189" s="0" t="n">
        <v>113783</v>
      </c>
      <c r="C189" s="0" t="n">
        <v>13</v>
      </c>
      <c r="D189" s="0" t="inlineStr">
        <is>
          <t>휴인</t>
        </is>
      </c>
      <c r="E189" s="0" t="inlineStr">
        <is>
          <t>2016.07.</t>
        </is>
      </c>
      <c r="F189" s="0" t="n">
        <v>88</v>
      </c>
      <c r="G189" s="0" t="n">
        <v>28.25</v>
      </c>
      <c r="H189" s="0" t="n">
        <v>93.41</v>
      </c>
      <c r="I189" s="0" t="n">
        <v>23</v>
      </c>
      <c r="J189" s="0" t="n">
        <v>76.06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93A</t>
        </is>
      </c>
      <c r="X189" s="0" t="n">
        <v>9</v>
      </c>
      <c r="Y189" s="0" t="n">
        <v>8</v>
      </c>
      <c r="Z189" s="0" t="inlineStr">
        <is>
          <t>https://new.land.naver.com/complexes/113783?tab=detail&amp;rf=Y</t>
        </is>
      </c>
      <c r="AA189" s="0" t="inlineStr">
        <is>
          <t>인천시 계양구 계산동 906-2</t>
        </is>
      </c>
      <c r="AB189" s="0" t="inlineStr">
        <is>
          <t>인천시</t>
        </is>
      </c>
      <c r="AC189" s="0" t="inlineStr">
        <is>
          <t>계양구</t>
        </is>
      </c>
      <c r="AD189" s="0" t="inlineStr">
        <is>
          <t>계산동</t>
        </is>
      </c>
      <c r="AG189" s="0" t="inlineStr">
        <is>
          <t>인천시 계양구 주부토로587번길 10</t>
        </is>
      </c>
      <c r="AH189" s="0" t="n">
        <v>0</v>
      </c>
      <c r="AI189" s="0" t="n">
        <v>230</v>
      </c>
      <c r="AJ189" s="0" t="n">
        <v>34</v>
      </c>
      <c r="AK189" s="0" t="n">
        <v>90</v>
      </c>
      <c r="AL189" s="0" t="n">
        <v>1.02</v>
      </c>
    </row>
    <row r="190">
      <c r="A190" s="0" t="inlineStr">
        <is>
          <t>[계산동]</t>
        </is>
      </c>
      <c r="B190" s="0" t="n">
        <v>113783</v>
      </c>
      <c r="C190" s="0" t="n">
        <v>14</v>
      </c>
      <c r="D190" s="0" t="inlineStr">
        <is>
          <t>휴인</t>
        </is>
      </c>
      <c r="E190" s="0" t="inlineStr">
        <is>
          <t>2016.07.</t>
        </is>
      </c>
      <c r="F190" s="0" t="n">
        <v>88</v>
      </c>
      <c r="G190" s="0" t="n">
        <v>28.73</v>
      </c>
      <c r="H190" s="0" t="n">
        <v>94.98999999999999</v>
      </c>
      <c r="I190" s="0" t="n">
        <v>23.45</v>
      </c>
      <c r="J190" s="0" t="n">
        <v>77.55</v>
      </c>
      <c r="K190" s="0" t="n">
        <v>2</v>
      </c>
      <c r="T190" s="0" t="n">
        <v>3</v>
      </c>
      <c r="U190" s="0" t="n">
        <v>2</v>
      </c>
      <c r="V190" s="0" t="inlineStr">
        <is>
          <t>복합식</t>
        </is>
      </c>
      <c r="W190" s="0" t="n">
        <v>94</v>
      </c>
      <c r="X190" s="0" t="n">
        <v>9</v>
      </c>
      <c r="Y190" s="0" t="n">
        <v>8</v>
      </c>
      <c r="Z190" s="0" t="inlineStr">
        <is>
          <t>https://new.land.naver.com/complexes/113783?tab=detail&amp;rf=Y</t>
        </is>
      </c>
      <c r="AA190" s="0" t="inlineStr">
        <is>
          <t>인천시 계양구 계산동 906-2</t>
        </is>
      </c>
      <c r="AB190" s="0" t="inlineStr">
        <is>
          <t>인천시</t>
        </is>
      </c>
      <c r="AC190" s="0" t="inlineStr">
        <is>
          <t>계양구</t>
        </is>
      </c>
      <c r="AD190" s="0" t="inlineStr">
        <is>
          <t>계산동</t>
        </is>
      </c>
      <c r="AG190" s="0" t="inlineStr">
        <is>
          <t>인천시 계양구 주부토로587번길 10</t>
        </is>
      </c>
      <c r="AH190" s="0" t="n">
        <v>0</v>
      </c>
      <c r="AI190" s="0" t="n">
        <v>230</v>
      </c>
      <c r="AJ190" s="0" t="n">
        <v>34</v>
      </c>
      <c r="AK190" s="0" t="n">
        <v>90</v>
      </c>
      <c r="AL190" s="0" t="n">
        <v>1.02</v>
      </c>
    </row>
    <row r="191">
      <c r="A191" s="0" t="inlineStr">
        <is>
          <t>[계산동]</t>
        </is>
      </c>
      <c r="B191" s="0" t="n">
        <v>113783</v>
      </c>
      <c r="C191" s="0" t="n">
        <v>15</v>
      </c>
      <c r="D191" s="0" t="inlineStr">
        <is>
          <t>휴인</t>
        </is>
      </c>
      <c r="E191" s="0" t="inlineStr">
        <is>
          <t>2016.07.</t>
        </is>
      </c>
      <c r="F191" s="0" t="n">
        <v>88</v>
      </c>
      <c r="G191" s="0" t="n">
        <v>29.54</v>
      </c>
      <c r="H191" s="0" t="n">
        <v>97.68000000000001</v>
      </c>
      <c r="I191" s="0" t="n">
        <v>24.17</v>
      </c>
      <c r="J191" s="0" t="n">
        <v>79.92</v>
      </c>
      <c r="K191" s="0" t="n">
        <v>1</v>
      </c>
      <c r="T191" s="0" t="n">
        <v>3</v>
      </c>
      <c r="U191" s="0" t="n">
        <v>2</v>
      </c>
      <c r="V191" s="0" t="inlineStr">
        <is>
          <t>복합식</t>
        </is>
      </c>
      <c r="W191" s="0" t="n">
        <v>97</v>
      </c>
      <c r="X191" s="0" t="n">
        <v>9</v>
      </c>
      <c r="Y191" s="0" t="n">
        <v>8</v>
      </c>
      <c r="Z191" s="0" t="inlineStr">
        <is>
          <t>https://new.land.naver.com/complexes/113783?tab=detail&amp;rf=Y</t>
        </is>
      </c>
      <c r="AA191" s="0" t="inlineStr">
        <is>
          <t>인천시 계양구 계산동 906-2</t>
        </is>
      </c>
      <c r="AB191" s="0" t="inlineStr">
        <is>
          <t>인천시</t>
        </is>
      </c>
      <c r="AC191" s="0" t="inlineStr">
        <is>
          <t>계양구</t>
        </is>
      </c>
      <c r="AD191" s="0" t="inlineStr">
        <is>
          <t>계산동</t>
        </is>
      </c>
      <c r="AG191" s="0" t="inlineStr">
        <is>
          <t>인천시 계양구 주부토로587번길 10</t>
        </is>
      </c>
      <c r="AH191" s="0" t="n">
        <v>0</v>
      </c>
      <c r="AI191" s="0" t="n">
        <v>230</v>
      </c>
      <c r="AJ191" s="0" t="n">
        <v>34</v>
      </c>
      <c r="AK191" s="0" t="n">
        <v>90</v>
      </c>
      <c r="AL191" s="0" t="n">
        <v>1.02</v>
      </c>
    </row>
    <row r="192">
      <c r="A192" s="0" t="inlineStr">
        <is>
          <t>[계산동]</t>
        </is>
      </c>
      <c r="B192" s="0" t="n">
        <v>113783</v>
      </c>
      <c r="C192" s="0" t="n">
        <v>16</v>
      </c>
      <c r="D192" s="0" t="inlineStr">
        <is>
          <t>휴인</t>
        </is>
      </c>
      <c r="E192" s="0" t="inlineStr">
        <is>
          <t>2016.07.</t>
        </is>
      </c>
      <c r="F192" s="0" t="n">
        <v>88</v>
      </c>
      <c r="G192" s="0" t="n">
        <v>30.8</v>
      </c>
      <c r="H192" s="0" t="n">
        <v>101.85</v>
      </c>
      <c r="I192" s="0" t="n">
        <v>25.19</v>
      </c>
      <c r="J192" s="0" t="n">
        <v>83.29000000000001</v>
      </c>
      <c r="K192" s="0" t="n">
        <v>10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101A</t>
        </is>
      </c>
      <c r="X192" s="0" t="n">
        <v>9</v>
      </c>
      <c r="Y192" s="0" t="n">
        <v>8</v>
      </c>
      <c r="Z192" s="0" t="inlineStr">
        <is>
          <t>https://new.land.naver.com/complexes/113783?tab=detail&amp;rf=Y</t>
        </is>
      </c>
      <c r="AA192" s="0" t="inlineStr">
        <is>
          <t>인천시 계양구 계산동 906-2</t>
        </is>
      </c>
      <c r="AB192" s="0" t="inlineStr">
        <is>
          <t>인천시</t>
        </is>
      </c>
      <c r="AC192" s="0" t="inlineStr">
        <is>
          <t>계양구</t>
        </is>
      </c>
      <c r="AD192" s="0" t="inlineStr">
        <is>
          <t>계산동</t>
        </is>
      </c>
      <c r="AG192" s="0" t="inlineStr">
        <is>
          <t>인천시 계양구 주부토로587번길 10</t>
        </is>
      </c>
      <c r="AH192" s="0" t="n">
        <v>0</v>
      </c>
      <c r="AI192" s="0" t="n">
        <v>230</v>
      </c>
      <c r="AJ192" s="0" t="n">
        <v>34</v>
      </c>
      <c r="AK192" s="0" t="n">
        <v>90</v>
      </c>
      <c r="AL192" s="0" t="n">
        <v>1.02</v>
      </c>
    </row>
    <row r="193">
      <c r="A193" s="0" t="inlineStr">
        <is>
          <t>[계산동]</t>
        </is>
      </c>
      <c r="B193" s="0" t="n">
        <v>113783</v>
      </c>
      <c r="C193" s="0" t="n">
        <v>17</v>
      </c>
      <c r="D193" s="0" t="inlineStr">
        <is>
          <t>휴인</t>
        </is>
      </c>
      <c r="E193" s="0" t="inlineStr">
        <is>
          <t>2016.07.</t>
        </is>
      </c>
      <c r="F193" s="0" t="n">
        <v>88</v>
      </c>
      <c r="G193" s="0" t="n">
        <v>30.9</v>
      </c>
      <c r="H193" s="0" t="n">
        <v>102.16</v>
      </c>
      <c r="I193" s="0" t="n">
        <v>25.56</v>
      </c>
      <c r="J193" s="0" t="n">
        <v>84.5</v>
      </c>
      <c r="K193" s="0" t="n">
        <v>7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102C</t>
        </is>
      </c>
      <c r="X193" s="0" t="n">
        <v>9</v>
      </c>
      <c r="Y193" s="0" t="n">
        <v>8</v>
      </c>
      <c r="Z193" s="0" t="inlineStr">
        <is>
          <t>https://new.land.naver.com/complexes/113783?tab=detail&amp;rf=Y</t>
        </is>
      </c>
      <c r="AA193" s="0" t="inlineStr">
        <is>
          <t>인천시 계양구 계산동 906-2</t>
        </is>
      </c>
      <c r="AB193" s="0" t="inlineStr">
        <is>
          <t>인천시</t>
        </is>
      </c>
      <c r="AC193" s="0" t="inlineStr">
        <is>
          <t>계양구</t>
        </is>
      </c>
      <c r="AD193" s="0" t="inlineStr">
        <is>
          <t>계산동</t>
        </is>
      </c>
      <c r="AG193" s="0" t="inlineStr">
        <is>
          <t>인천시 계양구 주부토로587번길 10</t>
        </is>
      </c>
      <c r="AH193" s="0" t="n">
        <v>0</v>
      </c>
      <c r="AI193" s="0" t="n">
        <v>230</v>
      </c>
      <c r="AJ193" s="0" t="n">
        <v>34</v>
      </c>
      <c r="AK193" s="0" t="n">
        <v>90</v>
      </c>
      <c r="AL193" s="0" t="n">
        <v>1.02</v>
      </c>
    </row>
    <row r="194">
      <c r="A194" s="0" t="inlineStr">
        <is>
          <t>[계산동]</t>
        </is>
      </c>
      <c r="B194" s="0" t="n">
        <v>113783</v>
      </c>
      <c r="C194" s="0" t="n">
        <v>18</v>
      </c>
      <c r="D194" s="0" t="inlineStr">
        <is>
          <t>휴인</t>
        </is>
      </c>
      <c r="E194" s="0" t="inlineStr">
        <is>
          <t>2016.07.</t>
        </is>
      </c>
      <c r="F194" s="0" t="n">
        <v>88</v>
      </c>
      <c r="G194" s="0" t="n">
        <v>31.07</v>
      </c>
      <c r="H194" s="0" t="n">
        <v>102.74</v>
      </c>
      <c r="I194" s="0" t="n">
        <v>25.54</v>
      </c>
      <c r="J194" s="0" t="n">
        <v>84.44</v>
      </c>
      <c r="K194" s="0" t="n">
        <v>5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102B</t>
        </is>
      </c>
      <c r="X194" s="0" t="n">
        <v>9</v>
      </c>
      <c r="Y194" s="0" t="n">
        <v>8</v>
      </c>
      <c r="Z194" s="0" t="inlineStr">
        <is>
          <t>https://new.land.naver.com/complexes/113783?tab=detail&amp;rf=Y</t>
        </is>
      </c>
      <c r="AA194" s="0" t="inlineStr">
        <is>
          <t>인천시 계양구 계산동 906-2</t>
        </is>
      </c>
      <c r="AB194" s="0" t="inlineStr">
        <is>
          <t>인천시</t>
        </is>
      </c>
      <c r="AC194" s="0" t="inlineStr">
        <is>
          <t>계양구</t>
        </is>
      </c>
      <c r="AD194" s="0" t="inlineStr">
        <is>
          <t>계산동</t>
        </is>
      </c>
      <c r="AG194" s="0" t="inlineStr">
        <is>
          <t>인천시 계양구 주부토로587번길 10</t>
        </is>
      </c>
      <c r="AH194" s="0" t="n">
        <v>0</v>
      </c>
      <c r="AI194" s="0" t="n">
        <v>230</v>
      </c>
      <c r="AJ194" s="0" t="n">
        <v>34</v>
      </c>
      <c r="AK194" s="0" t="n">
        <v>90</v>
      </c>
      <c r="AL194" s="0" t="n">
        <v>1.02</v>
      </c>
    </row>
    <row r="195">
      <c r="A195" s="0" t="inlineStr">
        <is>
          <t>[계산동]</t>
        </is>
      </c>
      <c r="B195" s="0" t="n">
        <v>113783</v>
      </c>
      <c r="C195" s="0" t="n">
        <v>19</v>
      </c>
      <c r="D195" s="0" t="inlineStr">
        <is>
          <t>휴인</t>
        </is>
      </c>
      <c r="E195" s="0" t="inlineStr">
        <is>
          <t>2016.07.</t>
        </is>
      </c>
      <c r="F195" s="0" t="n">
        <v>88</v>
      </c>
      <c r="G195" s="0" t="n">
        <v>43.66</v>
      </c>
      <c r="H195" s="0" t="n">
        <v>144.36</v>
      </c>
      <c r="I195" s="0" t="n">
        <v>35.36</v>
      </c>
      <c r="J195" s="0" t="n">
        <v>116.9</v>
      </c>
      <c r="K195" s="0" t="n">
        <v>2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144</v>
      </c>
      <c r="X195" s="0" t="n">
        <v>9</v>
      </c>
      <c r="Y195" s="0" t="n">
        <v>8</v>
      </c>
      <c r="Z195" s="0" t="inlineStr">
        <is>
          <t>https://new.land.naver.com/complexes/113783?tab=detail&amp;rf=Y</t>
        </is>
      </c>
      <c r="AA195" s="0" t="inlineStr">
        <is>
          <t>인천시 계양구 계산동 906-2</t>
        </is>
      </c>
      <c r="AB195" s="0" t="inlineStr">
        <is>
          <t>인천시</t>
        </is>
      </c>
      <c r="AC195" s="0" t="inlineStr">
        <is>
          <t>계양구</t>
        </is>
      </c>
      <c r="AD195" s="0" t="inlineStr">
        <is>
          <t>계산동</t>
        </is>
      </c>
      <c r="AG195" s="0" t="inlineStr">
        <is>
          <t>인천시 계양구 주부토로587번길 10</t>
        </is>
      </c>
      <c r="AH195" s="0" t="n">
        <v>0</v>
      </c>
      <c r="AI195" s="0" t="n">
        <v>230</v>
      </c>
      <c r="AJ195" s="0" t="n">
        <v>34</v>
      </c>
      <c r="AK195" s="0" t="n">
        <v>90</v>
      </c>
      <c r="AL195" s="0" t="n">
        <v>1.02</v>
      </c>
    </row>
    <row r="196">
      <c r="A196" s="0" t="inlineStr">
        <is>
          <t>[계산동]</t>
        </is>
      </c>
      <c r="B196" s="0" t="n">
        <v>10672</v>
      </c>
      <c r="C196" s="0" t="n">
        <v>1</v>
      </c>
      <c r="D196" s="0" t="inlineStr">
        <is>
          <t>서해그린3차</t>
        </is>
      </c>
      <c r="E196" s="0" t="inlineStr">
        <is>
          <t>1991.08.</t>
        </is>
      </c>
      <c r="F196" s="0" t="n">
        <v>498</v>
      </c>
      <c r="G196" s="0" t="n">
        <v>23.23</v>
      </c>
      <c r="H196" s="0" t="n">
        <v>76.81</v>
      </c>
      <c r="I196" s="0" t="n">
        <v>17.64</v>
      </c>
      <c r="J196" s="0" t="n">
        <v>58.33</v>
      </c>
      <c r="K196" s="0" t="n">
        <v>204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76</v>
      </c>
      <c r="X196" s="0" t="n">
        <v>6</v>
      </c>
      <c r="Y196" s="0" t="n">
        <v>6</v>
      </c>
      <c r="Z196" s="0" t="inlineStr">
        <is>
          <t>https://new.land.naver.com/complexes/10672?tab=detail&amp;rf=Y</t>
        </is>
      </c>
      <c r="AA196" s="0" t="inlineStr">
        <is>
          <t>인천시 계양구 계산동 954-30</t>
        </is>
      </c>
      <c r="AB196" s="0" t="inlineStr">
        <is>
          <t>인천시</t>
        </is>
      </c>
      <c r="AC196" s="0" t="inlineStr">
        <is>
          <t>계양구</t>
        </is>
      </c>
      <c r="AD196" s="0" t="inlineStr">
        <is>
          <t>계산동</t>
        </is>
      </c>
      <c r="AG196" s="0" t="inlineStr">
        <is>
          <t>인천시 계양구 주부토로501번길 26</t>
        </is>
      </c>
      <c r="AH196" s="0" t="n">
        <v>0</v>
      </c>
      <c r="AI196" s="0" t="n">
        <v>206</v>
      </c>
      <c r="AJ196" s="0" t="n">
        <v>35</v>
      </c>
      <c r="AK196" s="0" t="n">
        <v>114</v>
      </c>
      <c r="AL196" s="0" t="n">
        <v>0.23</v>
      </c>
    </row>
    <row r="197">
      <c r="A197" s="0" t="inlineStr">
        <is>
          <t>[계산동]</t>
        </is>
      </c>
      <c r="B197" s="0" t="n">
        <v>10672</v>
      </c>
      <c r="C197" s="0" t="n">
        <v>2</v>
      </c>
      <c r="D197" s="0" t="inlineStr">
        <is>
          <t>서해그린3차</t>
        </is>
      </c>
      <c r="E197" s="0" t="inlineStr">
        <is>
          <t>1991.08.</t>
        </is>
      </c>
      <c r="F197" s="0" t="n">
        <v>498</v>
      </c>
      <c r="G197" s="0" t="n">
        <v>24.09</v>
      </c>
      <c r="H197" s="0" t="n">
        <v>79.66</v>
      </c>
      <c r="I197" s="0" t="n">
        <v>18.14</v>
      </c>
      <c r="J197" s="0" t="n">
        <v>59.97</v>
      </c>
      <c r="K197" s="0" t="n">
        <v>252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79</v>
      </c>
      <c r="X197" s="0" t="n">
        <v>6</v>
      </c>
      <c r="Y197" s="0" t="n">
        <v>6</v>
      </c>
      <c r="Z197" s="0" t="inlineStr">
        <is>
          <t>https://new.land.naver.com/complexes/10672?tab=detail&amp;rf=Y</t>
        </is>
      </c>
      <c r="AA197" s="0" t="inlineStr">
        <is>
          <t>인천시 계양구 계산동 954-30</t>
        </is>
      </c>
      <c r="AB197" s="0" t="inlineStr">
        <is>
          <t>인천시</t>
        </is>
      </c>
      <c r="AC197" s="0" t="inlineStr">
        <is>
          <t>계양구</t>
        </is>
      </c>
      <c r="AD197" s="0" t="inlineStr">
        <is>
          <t>계산동</t>
        </is>
      </c>
      <c r="AG197" s="0" t="inlineStr">
        <is>
          <t>인천시 계양구 주부토로501번길 26</t>
        </is>
      </c>
      <c r="AH197" s="0" t="n">
        <v>0</v>
      </c>
      <c r="AI197" s="0" t="n">
        <v>206</v>
      </c>
      <c r="AJ197" s="0" t="n">
        <v>35</v>
      </c>
      <c r="AK197" s="0" t="n">
        <v>114</v>
      </c>
      <c r="AL197" s="0" t="n">
        <v>0.23</v>
      </c>
    </row>
    <row r="198">
      <c r="A198" s="0" t="inlineStr">
        <is>
          <t>[계산동]</t>
        </is>
      </c>
      <c r="B198" s="0" t="n">
        <v>10672</v>
      </c>
      <c r="C198" s="0" t="n">
        <v>3</v>
      </c>
      <c r="D198" s="0" t="inlineStr">
        <is>
          <t>서해그린3차</t>
        </is>
      </c>
      <c r="E198" s="0" t="inlineStr">
        <is>
          <t>1991.08.</t>
        </is>
      </c>
      <c r="F198" s="0" t="n">
        <v>498</v>
      </c>
      <c r="G198" s="0" t="n">
        <v>26.34</v>
      </c>
      <c r="H198" s="0" t="n">
        <v>87.09999999999999</v>
      </c>
      <c r="I198" s="0" t="n">
        <v>18.14</v>
      </c>
      <c r="J198" s="0" t="n">
        <v>59.97</v>
      </c>
      <c r="K198" s="0" t="n">
        <v>6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87</v>
      </c>
      <c r="X198" s="0" t="n">
        <v>6</v>
      </c>
      <c r="Y198" s="0" t="n">
        <v>6</v>
      </c>
      <c r="Z198" s="0" t="inlineStr">
        <is>
          <t>https://new.land.naver.com/complexes/10672?tab=detail&amp;rf=Y</t>
        </is>
      </c>
      <c r="AA198" s="0" t="inlineStr">
        <is>
          <t>인천시 계양구 계산동 954-30</t>
        </is>
      </c>
      <c r="AB198" s="0" t="inlineStr">
        <is>
          <t>인천시</t>
        </is>
      </c>
      <c r="AC198" s="0" t="inlineStr">
        <is>
          <t>계양구</t>
        </is>
      </c>
      <c r="AD198" s="0" t="inlineStr">
        <is>
          <t>계산동</t>
        </is>
      </c>
      <c r="AG198" s="0" t="inlineStr">
        <is>
          <t>인천시 계양구 주부토로501번길 26</t>
        </is>
      </c>
      <c r="AH198" s="0" t="n">
        <v>0</v>
      </c>
      <c r="AI198" s="0" t="n">
        <v>206</v>
      </c>
      <c r="AJ198" s="0" t="n">
        <v>35</v>
      </c>
      <c r="AK198" s="0" t="n">
        <v>114</v>
      </c>
      <c r="AL198" s="0" t="n">
        <v>0.23</v>
      </c>
    </row>
    <row r="199">
      <c r="A199" s="0" t="inlineStr">
        <is>
          <t>[계산동]</t>
        </is>
      </c>
      <c r="B199" s="0" t="n">
        <v>10672</v>
      </c>
      <c r="C199" s="0" t="n">
        <v>4</v>
      </c>
      <c r="D199" s="0" t="inlineStr">
        <is>
          <t>서해그린3차</t>
        </is>
      </c>
      <c r="E199" s="0" t="inlineStr">
        <is>
          <t>1991.08.</t>
        </is>
      </c>
      <c r="F199" s="0" t="n">
        <v>498</v>
      </c>
      <c r="G199" s="0" t="n">
        <v>30.43</v>
      </c>
      <c r="H199" s="0" t="n">
        <v>100.62</v>
      </c>
      <c r="I199" s="0" t="n">
        <v>23.69</v>
      </c>
      <c r="J199" s="0" t="n">
        <v>78.34</v>
      </c>
      <c r="K199" s="0" t="n">
        <v>12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100</v>
      </c>
      <c r="X199" s="0" t="n">
        <v>6</v>
      </c>
      <c r="Y199" s="0" t="n">
        <v>6</v>
      </c>
      <c r="Z199" s="0" t="inlineStr">
        <is>
          <t>https://new.land.naver.com/complexes/10672?tab=detail&amp;rf=Y</t>
        </is>
      </c>
      <c r="AA199" s="0" t="inlineStr">
        <is>
          <t>인천시 계양구 계산동 954-30</t>
        </is>
      </c>
      <c r="AB199" s="0" t="inlineStr">
        <is>
          <t>인천시</t>
        </is>
      </c>
      <c r="AC199" s="0" t="inlineStr">
        <is>
          <t>계양구</t>
        </is>
      </c>
      <c r="AD199" s="0" t="inlineStr">
        <is>
          <t>계산동</t>
        </is>
      </c>
      <c r="AG199" s="0" t="inlineStr">
        <is>
          <t>인천시 계양구 주부토로501번길 26</t>
        </is>
      </c>
      <c r="AH199" s="0" t="n">
        <v>0</v>
      </c>
      <c r="AI199" s="0" t="n">
        <v>206</v>
      </c>
      <c r="AJ199" s="0" t="n">
        <v>35</v>
      </c>
      <c r="AK199" s="0" t="n">
        <v>114</v>
      </c>
      <c r="AL199" s="0" t="n">
        <v>0.23</v>
      </c>
    </row>
    <row r="200">
      <c r="A200" s="0" t="inlineStr">
        <is>
          <t>[계산동]</t>
        </is>
      </c>
      <c r="B200" s="0" t="n">
        <v>10672</v>
      </c>
      <c r="C200" s="0" t="n">
        <v>5</v>
      </c>
      <c r="D200" s="0" t="inlineStr">
        <is>
          <t>서해그린3차</t>
        </is>
      </c>
      <c r="E200" s="0" t="inlineStr">
        <is>
          <t>1991.08.</t>
        </is>
      </c>
      <c r="F200" s="0" t="n">
        <v>498</v>
      </c>
      <c r="G200" s="0" t="n">
        <v>31.1</v>
      </c>
      <c r="H200" s="0" t="n">
        <v>102.81</v>
      </c>
      <c r="I200" s="0" t="n">
        <v>24.68</v>
      </c>
      <c r="J200" s="0" t="n">
        <v>81.59</v>
      </c>
      <c r="K200" s="0" t="n">
        <v>24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102</v>
      </c>
      <c r="X200" s="0" t="n">
        <v>6</v>
      </c>
      <c r="Y200" s="0" t="n">
        <v>6</v>
      </c>
      <c r="Z200" s="0" t="inlineStr">
        <is>
          <t>https://new.land.naver.com/complexes/10672?tab=detail&amp;rf=Y</t>
        </is>
      </c>
      <c r="AA200" s="0" t="inlineStr">
        <is>
          <t>인천시 계양구 계산동 954-30</t>
        </is>
      </c>
      <c r="AB200" s="0" t="inlineStr">
        <is>
          <t>인천시</t>
        </is>
      </c>
      <c r="AC200" s="0" t="inlineStr">
        <is>
          <t>계양구</t>
        </is>
      </c>
      <c r="AD200" s="0" t="inlineStr">
        <is>
          <t>계산동</t>
        </is>
      </c>
      <c r="AG200" s="0" t="inlineStr">
        <is>
          <t>인천시 계양구 주부토로501번길 26</t>
        </is>
      </c>
      <c r="AH200" s="0" t="n">
        <v>0</v>
      </c>
      <c r="AI200" s="0" t="n">
        <v>206</v>
      </c>
      <c r="AJ200" s="0" t="n">
        <v>35</v>
      </c>
      <c r="AK200" s="0" t="n">
        <v>114</v>
      </c>
      <c r="AL200" s="0" t="n">
        <v>0.23</v>
      </c>
    </row>
    <row r="201">
      <c r="A201" s="0" t="inlineStr">
        <is>
          <t>[계산동]</t>
        </is>
      </c>
      <c r="B201" s="0" t="n">
        <v>8513</v>
      </c>
      <c r="C201" s="0" t="n">
        <v>1</v>
      </c>
      <c r="D201" s="0" t="inlineStr">
        <is>
          <t>동남(898-1)</t>
        </is>
      </c>
      <c r="E201" s="0" t="inlineStr">
        <is>
          <t>1989.04.</t>
        </is>
      </c>
      <c r="F201" s="0" t="n">
        <v>102</v>
      </c>
      <c r="G201" s="0" t="n">
        <v>18.28</v>
      </c>
      <c r="H201" s="0" t="n">
        <v>60.45</v>
      </c>
      <c r="I201" s="0" t="n">
        <v>14.29</v>
      </c>
      <c r="J201" s="0" t="n">
        <v>47.27</v>
      </c>
      <c r="K201" s="0" t="n">
        <v>6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60</v>
      </c>
      <c r="X201" s="0" t="n">
        <v>6</v>
      </c>
      <c r="Y201" s="0" t="n">
        <v>6</v>
      </c>
      <c r="Z201" s="0" t="inlineStr">
        <is>
          <t>https://new.land.naver.com/complexes/8513?tab=detail&amp;rf=Y</t>
        </is>
      </c>
      <c r="AA201" s="0" t="inlineStr">
        <is>
          <t>인천시 계양구 계산동 898-1</t>
        </is>
      </c>
      <c r="AB201" s="0" t="inlineStr">
        <is>
          <t>인천시</t>
        </is>
      </c>
      <c r="AC201" s="0" t="inlineStr">
        <is>
          <t>계양구</t>
        </is>
      </c>
      <c r="AD201" s="0" t="inlineStr">
        <is>
          <t>계산동</t>
        </is>
      </c>
      <c r="AG201" s="0" t="inlineStr">
        <is>
          <t>인천시 계양구 경명대로1029번길 36</t>
        </is>
      </c>
      <c r="AH201" s="0" t="n">
        <v>0</v>
      </c>
      <c r="AI201" s="0" t="n">
        <v>178</v>
      </c>
      <c r="AJ201" s="0" t="n">
        <v>31</v>
      </c>
      <c r="AK201" s="0" t="n">
        <v>0</v>
      </c>
      <c r="AL201" s="0" t="n">
        <v>0</v>
      </c>
    </row>
    <row r="202">
      <c r="A202" s="0" t="inlineStr">
        <is>
          <t>[계산동]</t>
        </is>
      </c>
      <c r="B202" s="0" t="n">
        <v>8513</v>
      </c>
      <c r="C202" s="0" t="n">
        <v>2</v>
      </c>
      <c r="D202" s="0" t="inlineStr">
        <is>
          <t>동남(898-1)</t>
        </is>
      </c>
      <c r="E202" s="0" t="inlineStr">
        <is>
          <t>1989.04.</t>
        </is>
      </c>
      <c r="F202" s="0" t="n">
        <v>102</v>
      </c>
      <c r="G202" s="0" t="n">
        <v>19.17</v>
      </c>
      <c r="H202" s="0" t="n">
        <v>63.39</v>
      </c>
      <c r="I202" s="0" t="n">
        <v>14.88</v>
      </c>
      <c r="J202" s="0" t="n">
        <v>49.22</v>
      </c>
      <c r="K202" s="0" t="n">
        <v>72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63</v>
      </c>
      <c r="X202" s="0" t="n">
        <v>6</v>
      </c>
      <c r="Y202" s="0" t="n">
        <v>6</v>
      </c>
      <c r="Z202" s="0" t="inlineStr">
        <is>
          <t>https://new.land.naver.com/complexes/8513?tab=detail&amp;rf=Y</t>
        </is>
      </c>
      <c r="AA202" s="0" t="inlineStr">
        <is>
          <t>인천시 계양구 계산동 898-1</t>
        </is>
      </c>
      <c r="AB202" s="0" t="inlineStr">
        <is>
          <t>인천시</t>
        </is>
      </c>
      <c r="AC202" s="0" t="inlineStr">
        <is>
          <t>계양구</t>
        </is>
      </c>
      <c r="AD202" s="0" t="inlineStr">
        <is>
          <t>계산동</t>
        </is>
      </c>
      <c r="AG202" s="0" t="inlineStr">
        <is>
          <t>인천시 계양구 경명대로1029번길 36</t>
        </is>
      </c>
      <c r="AH202" s="0" t="n">
        <v>0</v>
      </c>
      <c r="AI202" s="0" t="n">
        <v>178</v>
      </c>
      <c r="AJ202" s="0" t="n">
        <v>31</v>
      </c>
      <c r="AK202" s="0" t="n">
        <v>0</v>
      </c>
      <c r="AL202" s="0" t="n">
        <v>0</v>
      </c>
    </row>
    <row r="203">
      <c r="A203" s="0" t="inlineStr">
        <is>
          <t>[계산동]</t>
        </is>
      </c>
      <c r="B203" s="0" t="n">
        <v>8513</v>
      </c>
      <c r="C203" s="0" t="n">
        <v>3</v>
      </c>
      <c r="D203" s="0" t="inlineStr">
        <is>
          <t>동남(898-1)</t>
        </is>
      </c>
      <c r="E203" s="0" t="inlineStr">
        <is>
          <t>1989.04.</t>
        </is>
      </c>
      <c r="F203" s="0" t="n">
        <v>102</v>
      </c>
      <c r="G203" s="0" t="n">
        <v>21.59</v>
      </c>
      <c r="H203" s="0" t="n">
        <v>71.40000000000001</v>
      </c>
      <c r="I203" s="0" t="n">
        <v>16.96</v>
      </c>
      <c r="J203" s="0" t="n">
        <v>56.07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71</v>
      </c>
      <c r="X203" s="0" t="n">
        <v>6</v>
      </c>
      <c r="Y203" s="0" t="n">
        <v>6</v>
      </c>
      <c r="Z203" s="0" t="inlineStr">
        <is>
          <t>https://new.land.naver.com/complexes/8513?tab=detail&amp;rf=Y</t>
        </is>
      </c>
      <c r="AA203" s="0" t="inlineStr">
        <is>
          <t>인천시 계양구 계산동 898-1</t>
        </is>
      </c>
      <c r="AB203" s="0" t="inlineStr">
        <is>
          <t>인천시</t>
        </is>
      </c>
      <c r="AC203" s="0" t="inlineStr">
        <is>
          <t>계양구</t>
        </is>
      </c>
      <c r="AD203" s="0" t="inlineStr">
        <is>
          <t>계산동</t>
        </is>
      </c>
      <c r="AG203" s="0" t="inlineStr">
        <is>
          <t>인천시 계양구 경명대로1029번길 36</t>
        </is>
      </c>
      <c r="AH203" s="0" t="n">
        <v>0</v>
      </c>
      <c r="AI203" s="0" t="n">
        <v>178</v>
      </c>
      <c r="AJ203" s="0" t="n">
        <v>31</v>
      </c>
      <c r="AK203" s="0" t="n">
        <v>0</v>
      </c>
      <c r="AL203" s="0" t="n">
        <v>0</v>
      </c>
    </row>
    <row r="204">
      <c r="A204" s="0" t="inlineStr">
        <is>
          <t>[계산동]</t>
        </is>
      </c>
      <c r="B204" s="0" t="n">
        <v>8513</v>
      </c>
      <c r="C204" s="0" t="n">
        <v>4</v>
      </c>
      <c r="D204" s="0" t="inlineStr">
        <is>
          <t>동남(898-1)</t>
        </is>
      </c>
      <c r="E204" s="0" t="inlineStr">
        <is>
          <t>1989.04.</t>
        </is>
      </c>
      <c r="F204" s="0" t="n">
        <v>102</v>
      </c>
      <c r="G204" s="0" t="n">
        <v>23.02</v>
      </c>
      <c r="H204" s="0" t="n">
        <v>76.11</v>
      </c>
      <c r="I204" s="0" t="n">
        <v>18.34</v>
      </c>
      <c r="J204" s="0" t="n">
        <v>60.66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https://new.land.naver.com/complexes/8513?tab=detail&amp;rf=Y</t>
        </is>
      </c>
      <c r="AA204" s="0" t="inlineStr">
        <is>
          <t>인천시 계양구 계산동 898-1</t>
        </is>
      </c>
      <c r="AB204" s="0" t="inlineStr">
        <is>
          <t>인천시</t>
        </is>
      </c>
      <c r="AC204" s="0" t="inlineStr">
        <is>
          <t>계양구</t>
        </is>
      </c>
      <c r="AD204" s="0" t="inlineStr">
        <is>
          <t>계산동</t>
        </is>
      </c>
      <c r="AG204" s="0" t="inlineStr">
        <is>
          <t>인천시 계양구 경명대로1029번길 36</t>
        </is>
      </c>
      <c r="AH204" s="0" t="n">
        <v>0</v>
      </c>
      <c r="AI204" s="0" t="n">
        <v>178</v>
      </c>
      <c r="AJ204" s="0" t="n">
        <v>31</v>
      </c>
      <c r="AK204" s="0" t="n">
        <v>0</v>
      </c>
      <c r="AL204" s="0" t="n">
        <v>0</v>
      </c>
    </row>
    <row r="205">
      <c r="A205" s="0" t="inlineStr">
        <is>
          <t>[계산동]</t>
        </is>
      </c>
      <c r="B205" s="0" t="n">
        <v>8513</v>
      </c>
      <c r="C205" s="0" t="n">
        <v>5</v>
      </c>
      <c r="D205" s="0" t="inlineStr">
        <is>
          <t>동남(898-1)</t>
        </is>
      </c>
      <c r="E205" s="0" t="inlineStr">
        <is>
          <t>1989.04.</t>
        </is>
      </c>
      <c r="F205" s="0" t="n">
        <v>102</v>
      </c>
      <c r="G205" s="0" t="n">
        <v>26.62</v>
      </c>
      <c r="H205" s="0" t="n">
        <v>88.02</v>
      </c>
      <c r="I205" s="0" t="n">
        <v>21.43</v>
      </c>
      <c r="J205" s="0" t="n">
        <v>70.84999999999999</v>
      </c>
      <c r="K205" s="0" t="n">
        <v>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88</v>
      </c>
      <c r="X205" s="0" t="n">
        <v>6</v>
      </c>
      <c r="Y205" s="0" t="n">
        <v>6</v>
      </c>
      <c r="Z205" s="0" t="inlineStr">
        <is>
          <t>https://new.land.naver.com/complexes/8513?tab=detail&amp;rf=Y</t>
        </is>
      </c>
      <c r="AA205" s="0" t="inlineStr">
        <is>
          <t>인천시 계양구 계산동 898-1</t>
        </is>
      </c>
      <c r="AB205" s="0" t="inlineStr">
        <is>
          <t>인천시</t>
        </is>
      </c>
      <c r="AC205" s="0" t="inlineStr">
        <is>
          <t>계양구</t>
        </is>
      </c>
      <c r="AD205" s="0" t="inlineStr">
        <is>
          <t>계산동</t>
        </is>
      </c>
      <c r="AG205" s="0" t="inlineStr">
        <is>
          <t>인천시 계양구 경명대로1029번길 36</t>
        </is>
      </c>
      <c r="AH205" s="0" t="n">
        <v>0</v>
      </c>
      <c r="AI205" s="0" t="n">
        <v>178</v>
      </c>
      <c r="AJ205" s="0" t="n">
        <v>31</v>
      </c>
      <c r="AK205" s="0" t="n">
        <v>0</v>
      </c>
      <c r="AL205" s="0" t="n">
        <v>0</v>
      </c>
    </row>
    <row r="206">
      <c r="A206" s="0" t="inlineStr">
        <is>
          <t>[계산동]</t>
        </is>
      </c>
      <c r="B206" s="0" t="n">
        <v>2514</v>
      </c>
      <c r="C206" s="0" t="n">
        <v>1</v>
      </c>
      <c r="D206" s="0" t="inlineStr">
        <is>
          <t>영동</t>
        </is>
      </c>
      <c r="E206" s="0" t="inlineStr">
        <is>
          <t>1986.11.</t>
        </is>
      </c>
      <c r="F206" s="0" t="n">
        <v>110</v>
      </c>
      <c r="G206" s="0" t="n">
        <v>14.32</v>
      </c>
      <c r="H206" s="0" t="n">
        <v>47.34</v>
      </c>
      <c r="I206" s="0" t="n">
        <v>11.18</v>
      </c>
      <c r="J206" s="0" t="n">
        <v>36.99</v>
      </c>
      <c r="K206" s="0" t="n">
        <v>60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47</v>
      </c>
      <c r="X206" s="0" t="n">
        <v>5</v>
      </c>
      <c r="Y206" s="0" t="n">
        <v>5</v>
      </c>
      <c r="Z206" s="0" t="inlineStr">
        <is>
          <t>https://new.land.naver.com/complexes/2514?tab=detail&amp;rf=Y</t>
        </is>
      </c>
      <c r="AA206" s="0" t="inlineStr">
        <is>
          <t>인천시 계양구 계산동 931-16</t>
        </is>
      </c>
      <c r="AB206" s="0" t="inlineStr">
        <is>
          <t>인천시</t>
        </is>
      </c>
      <c r="AC206" s="0" t="inlineStr">
        <is>
          <t>계양구</t>
        </is>
      </c>
      <c r="AD206" s="0" t="inlineStr">
        <is>
          <t>계산동</t>
        </is>
      </c>
      <c r="AG206" s="0" t="inlineStr">
        <is>
          <t>인천시 계양구 경명대로1045번길 11</t>
        </is>
      </c>
      <c r="AH206" s="0" t="n">
        <v>0</v>
      </c>
      <c r="AI206" s="0" t="n">
        <v>171</v>
      </c>
      <c r="AJ206" s="0" t="n">
        <v>34</v>
      </c>
      <c r="AK206" s="0" t="n">
        <v>0</v>
      </c>
      <c r="AL206" s="0" t="n">
        <v>0</v>
      </c>
    </row>
    <row r="207">
      <c r="A207" s="0" t="inlineStr">
        <is>
          <t>[계산동]</t>
        </is>
      </c>
      <c r="B207" s="0" t="n">
        <v>2514</v>
      </c>
      <c r="C207" s="0" t="n">
        <v>2</v>
      </c>
      <c r="D207" s="0" t="inlineStr">
        <is>
          <t>영동</t>
        </is>
      </c>
      <c r="E207" s="0" t="inlineStr">
        <is>
          <t>1986.11.</t>
        </is>
      </c>
      <c r="F207" s="0" t="n">
        <v>110</v>
      </c>
      <c r="G207" s="0" t="n">
        <v>15.75</v>
      </c>
      <c r="H207" s="0" t="n">
        <v>52.08</v>
      </c>
      <c r="I207" s="0" t="n">
        <v>12.45</v>
      </c>
      <c r="J207" s="0" t="n">
        <v>41.16</v>
      </c>
      <c r="K207" s="0" t="n">
        <v>40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52</v>
      </c>
      <c r="X207" s="0" t="n">
        <v>5</v>
      </c>
      <c r="Y207" s="0" t="n">
        <v>5</v>
      </c>
      <c r="Z207" s="0" t="inlineStr">
        <is>
          <t>https://new.land.naver.com/complexes/2514?tab=detail&amp;rf=Y</t>
        </is>
      </c>
      <c r="AA207" s="0" t="inlineStr">
        <is>
          <t>인천시 계양구 계산동 931-16</t>
        </is>
      </c>
      <c r="AB207" s="0" t="inlineStr">
        <is>
          <t>인천시</t>
        </is>
      </c>
      <c r="AC207" s="0" t="inlineStr">
        <is>
          <t>계양구</t>
        </is>
      </c>
      <c r="AD207" s="0" t="inlineStr">
        <is>
          <t>계산동</t>
        </is>
      </c>
      <c r="AG207" s="0" t="inlineStr">
        <is>
          <t>인천시 계양구 경명대로1045번길 11</t>
        </is>
      </c>
      <c r="AH207" s="0" t="n">
        <v>0</v>
      </c>
      <c r="AI207" s="0" t="n">
        <v>171</v>
      </c>
      <c r="AJ207" s="0" t="n">
        <v>34</v>
      </c>
      <c r="AK207" s="0" t="n">
        <v>0</v>
      </c>
      <c r="AL207" s="0" t="n">
        <v>0</v>
      </c>
    </row>
    <row r="208">
      <c r="A208" s="0" t="inlineStr">
        <is>
          <t>[계산동]</t>
        </is>
      </c>
      <c r="B208" s="0" t="n">
        <v>2514</v>
      </c>
      <c r="C208" s="0" t="n">
        <v>3</v>
      </c>
      <c r="D208" s="0" t="inlineStr">
        <is>
          <t>영동</t>
        </is>
      </c>
      <c r="E208" s="0" t="inlineStr">
        <is>
          <t>1986.11.</t>
        </is>
      </c>
      <c r="F208" s="0" t="n">
        <v>110</v>
      </c>
      <c r="G208" s="0" t="n">
        <v>19.28</v>
      </c>
      <c r="H208" s="0" t="n">
        <v>63.74</v>
      </c>
      <c r="I208" s="0" t="n">
        <v>14.12</v>
      </c>
      <c r="J208" s="0" t="n">
        <v>46.68</v>
      </c>
      <c r="K208" s="0" t="n">
        <v>5</v>
      </c>
      <c r="T208" s="0" t="n">
        <v>2</v>
      </c>
      <c r="U208" s="0" t="n">
        <v>1</v>
      </c>
      <c r="V208" s="0" t="inlineStr">
        <is>
          <t>복합식</t>
        </is>
      </c>
      <c r="W208" s="0" t="n">
        <v>63</v>
      </c>
      <c r="X208" s="0" t="n">
        <v>5</v>
      </c>
      <c r="Y208" s="0" t="n">
        <v>5</v>
      </c>
      <c r="Z208" s="0" t="inlineStr">
        <is>
          <t>https://new.land.naver.com/complexes/2514?tab=detail&amp;rf=Y</t>
        </is>
      </c>
      <c r="AA208" s="0" t="inlineStr">
        <is>
          <t>인천시 계양구 계산동 931-16</t>
        </is>
      </c>
      <c r="AB208" s="0" t="inlineStr">
        <is>
          <t>인천시</t>
        </is>
      </c>
      <c r="AC208" s="0" t="inlineStr">
        <is>
          <t>계양구</t>
        </is>
      </c>
      <c r="AD208" s="0" t="inlineStr">
        <is>
          <t>계산동</t>
        </is>
      </c>
      <c r="AG208" s="0" t="inlineStr">
        <is>
          <t>인천시 계양구 경명대로1045번길 11</t>
        </is>
      </c>
      <c r="AH208" s="0" t="n">
        <v>0</v>
      </c>
      <c r="AI208" s="0" t="n">
        <v>171</v>
      </c>
      <c r="AJ208" s="0" t="n">
        <v>34</v>
      </c>
      <c r="AK208" s="0" t="n">
        <v>0</v>
      </c>
      <c r="AL208" s="0" t="n">
        <v>0</v>
      </c>
    </row>
    <row r="209">
      <c r="A209" s="0" t="inlineStr">
        <is>
          <t>[계산동]</t>
        </is>
      </c>
      <c r="B209" s="0" t="n">
        <v>2514</v>
      </c>
      <c r="C209" s="0" t="n">
        <v>4</v>
      </c>
      <c r="D209" s="0" t="inlineStr">
        <is>
          <t>영동</t>
        </is>
      </c>
      <c r="E209" s="0" t="inlineStr">
        <is>
          <t>1986.11.</t>
        </is>
      </c>
      <c r="F209" s="0" t="n">
        <v>110</v>
      </c>
      <c r="G209" s="0" t="n">
        <v>20.03</v>
      </c>
      <c r="H209" s="0" t="n">
        <v>66.22</v>
      </c>
      <c r="I209" s="0" t="n">
        <v>14.78</v>
      </c>
      <c r="J209" s="0" t="n">
        <v>48.87</v>
      </c>
      <c r="K209" s="0" t="n">
        <v>5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66</v>
      </c>
      <c r="X209" s="0" t="n">
        <v>5</v>
      </c>
      <c r="Y209" s="0" t="n">
        <v>5</v>
      </c>
      <c r="Z209" s="0" t="inlineStr">
        <is>
          <t>https://new.land.naver.com/complexes/2514?tab=detail&amp;rf=Y</t>
        </is>
      </c>
      <c r="AA209" s="0" t="inlineStr">
        <is>
          <t>인천시 계양구 계산동 931-16</t>
        </is>
      </c>
      <c r="AB209" s="0" t="inlineStr">
        <is>
          <t>인천시</t>
        </is>
      </c>
      <c r="AC209" s="0" t="inlineStr">
        <is>
          <t>계양구</t>
        </is>
      </c>
      <c r="AD209" s="0" t="inlineStr">
        <is>
          <t>계산동</t>
        </is>
      </c>
      <c r="AG209" s="0" t="inlineStr">
        <is>
          <t>인천시 계양구 경명대로1045번길 11</t>
        </is>
      </c>
      <c r="AH209" s="0" t="n">
        <v>0</v>
      </c>
      <c r="AI209" s="0" t="n">
        <v>171</v>
      </c>
      <c r="AJ209" s="0" t="n">
        <v>34</v>
      </c>
      <c r="AK209" s="0" t="n">
        <v>0</v>
      </c>
      <c r="AL209" s="0" t="n">
        <v>0</v>
      </c>
    </row>
    <row r="210">
      <c r="A210" s="0" t="inlineStr">
        <is>
          <t>[계산동]</t>
        </is>
      </c>
      <c r="B210" s="0" t="n">
        <v>2258</v>
      </c>
      <c r="C210" s="0" t="n">
        <v>1</v>
      </c>
      <c r="D210" s="0" t="inlineStr">
        <is>
          <t>은행마을아주</t>
        </is>
      </c>
      <c r="E210" s="0" t="inlineStr">
        <is>
          <t>1997.07.</t>
        </is>
      </c>
      <c r="F210" s="0" t="n">
        <v>612</v>
      </c>
      <c r="G210" s="0" t="n">
        <v>23.24</v>
      </c>
      <c r="H210" s="0" t="n">
        <v>76.83</v>
      </c>
      <c r="I210" s="0" t="n">
        <v>18.24</v>
      </c>
      <c r="J210" s="0" t="n">
        <v>60.33</v>
      </c>
      <c r="K210" s="0" t="n">
        <v>144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76</v>
      </c>
      <c r="X210" s="0" t="n">
        <v>24</v>
      </c>
      <c r="Y210" s="0" t="n">
        <v>19</v>
      </c>
      <c r="Z210" s="0" t="inlineStr">
        <is>
          <t>https://new.land.naver.com/complexes/2258?tab=detail&amp;rf=Y</t>
        </is>
      </c>
      <c r="AA210" s="0" t="inlineStr">
        <is>
          <t>인천시 계양구 계산동 1085-2</t>
        </is>
      </c>
      <c r="AB210" s="0" t="inlineStr">
        <is>
          <t>인천시</t>
        </is>
      </c>
      <c r="AC210" s="0" t="inlineStr">
        <is>
          <t>계양구</t>
        </is>
      </c>
      <c r="AD210" s="0" t="inlineStr">
        <is>
          <t>계산동</t>
        </is>
      </c>
      <c r="AG210" s="0" t="inlineStr">
        <is>
          <t>인천시 계양구 용종로 26</t>
        </is>
      </c>
      <c r="AH210" s="0" t="n">
        <v>0</v>
      </c>
      <c r="AI210" s="0" t="n">
        <v>249</v>
      </c>
      <c r="AJ210" s="0" t="n">
        <v>20</v>
      </c>
      <c r="AK210" s="0" t="n">
        <v>628</v>
      </c>
      <c r="AL210" s="0" t="n">
        <v>1.03</v>
      </c>
    </row>
    <row r="211">
      <c r="A211" s="0" t="inlineStr">
        <is>
          <t>[계산동]</t>
        </is>
      </c>
      <c r="B211" s="0" t="n">
        <v>2258</v>
      </c>
      <c r="C211" s="0" t="n">
        <v>2</v>
      </c>
      <c r="D211" s="0" t="inlineStr">
        <is>
          <t>은행마을아주</t>
        </is>
      </c>
      <c r="E211" s="0" t="inlineStr">
        <is>
          <t>1997.07.</t>
        </is>
      </c>
      <c r="F211" s="0" t="n">
        <v>612</v>
      </c>
      <c r="G211" s="0" t="n">
        <v>23.93</v>
      </c>
      <c r="H211" s="0" t="n">
        <v>79.14</v>
      </c>
      <c r="I211" s="0" t="n">
        <v>18.8</v>
      </c>
      <c r="J211" s="0" t="n">
        <v>62.15</v>
      </c>
      <c r="K211" s="0" t="n">
        <v>22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79</v>
      </c>
      <c r="X211" s="0" t="n">
        <v>24</v>
      </c>
      <c r="Y211" s="0" t="n">
        <v>19</v>
      </c>
      <c r="Z211" s="0" t="inlineStr">
        <is>
          <t>https://new.land.naver.com/complexes/2258?tab=detail&amp;rf=Y</t>
        </is>
      </c>
      <c r="AA211" s="0" t="inlineStr">
        <is>
          <t>인천시 계양구 계산동 1085-2</t>
        </is>
      </c>
      <c r="AB211" s="0" t="inlineStr">
        <is>
          <t>인천시</t>
        </is>
      </c>
      <c r="AC211" s="0" t="inlineStr">
        <is>
          <t>계양구</t>
        </is>
      </c>
      <c r="AD211" s="0" t="inlineStr">
        <is>
          <t>계산동</t>
        </is>
      </c>
      <c r="AG211" s="0" t="inlineStr">
        <is>
          <t>인천시 계양구 용종로 26</t>
        </is>
      </c>
      <c r="AH211" s="0" t="n">
        <v>0</v>
      </c>
      <c r="AI211" s="0" t="n">
        <v>249</v>
      </c>
      <c r="AJ211" s="0" t="n">
        <v>20</v>
      </c>
      <c r="AK211" s="0" t="n">
        <v>628</v>
      </c>
      <c r="AL211" s="0" t="n">
        <v>1.03</v>
      </c>
    </row>
    <row r="212">
      <c r="A212" s="0" t="inlineStr">
        <is>
          <t>[계산동]</t>
        </is>
      </c>
      <c r="B212" s="0" t="n">
        <v>2258</v>
      </c>
      <c r="C212" s="0" t="n">
        <v>3</v>
      </c>
      <c r="D212" s="0" t="inlineStr">
        <is>
          <t>은행마을아주</t>
        </is>
      </c>
      <c r="E212" s="0" t="inlineStr">
        <is>
          <t>1997.07.</t>
        </is>
      </c>
      <c r="F212" s="0" t="n">
        <v>612</v>
      </c>
      <c r="G212" s="0" t="n">
        <v>28.19</v>
      </c>
      <c r="H212" s="0" t="n">
        <v>93.2</v>
      </c>
      <c r="I212" s="0" t="n">
        <v>22.13</v>
      </c>
      <c r="J212" s="0" t="n">
        <v>73.19</v>
      </c>
      <c r="K212" s="0" t="n">
        <v>446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24</v>
      </c>
      <c r="Y212" s="0" t="n">
        <v>19</v>
      </c>
      <c r="Z212" s="0" t="inlineStr">
        <is>
          <t>https://new.land.naver.com/complexes/2258?tab=detail&amp;rf=Y</t>
        </is>
      </c>
      <c r="AA212" s="0" t="inlineStr">
        <is>
          <t>인천시 계양구 계산동 1085-2</t>
        </is>
      </c>
      <c r="AB212" s="0" t="inlineStr">
        <is>
          <t>인천시</t>
        </is>
      </c>
      <c r="AC212" s="0" t="inlineStr">
        <is>
          <t>계양구</t>
        </is>
      </c>
      <c r="AD212" s="0" t="inlineStr">
        <is>
          <t>계산동</t>
        </is>
      </c>
      <c r="AG212" s="0" t="inlineStr">
        <is>
          <t>인천시 계양구 용종로 26</t>
        </is>
      </c>
      <c r="AH212" s="0" t="n">
        <v>0</v>
      </c>
      <c r="AI212" s="0" t="n">
        <v>249</v>
      </c>
      <c r="AJ212" s="0" t="n">
        <v>20</v>
      </c>
      <c r="AK212" s="0" t="n">
        <v>628</v>
      </c>
      <c r="AL212" s="0" t="n">
        <v>1.03</v>
      </c>
    </row>
    <row r="213">
      <c r="A213" s="0" t="inlineStr">
        <is>
          <t>[계산동]</t>
        </is>
      </c>
      <c r="B213" s="0" t="n">
        <v>8511</v>
      </c>
      <c r="C213" s="0" t="n">
        <v>1</v>
      </c>
      <c r="D213" s="0" t="inlineStr">
        <is>
          <t>한미삼오</t>
        </is>
      </c>
      <c r="E213" s="0" t="inlineStr">
        <is>
          <t>1996.12.</t>
        </is>
      </c>
      <c r="F213" s="0" t="n">
        <v>151</v>
      </c>
      <c r="G213" s="0" t="n">
        <v>17.32</v>
      </c>
      <c r="H213" s="0" t="n">
        <v>57.28</v>
      </c>
      <c r="I213" s="0" t="n">
        <v>12.2</v>
      </c>
      <c r="J213" s="0" t="n">
        <v>40.35</v>
      </c>
      <c r="K213" s="0" t="n">
        <v>12</v>
      </c>
      <c r="T213" s="0" t="n">
        <v>2</v>
      </c>
      <c r="U213" s="0" t="n">
        <v>1</v>
      </c>
      <c r="V213" s="0" t="inlineStr">
        <is>
          <t>복도식</t>
        </is>
      </c>
      <c r="W213" s="0" t="n">
        <v>57</v>
      </c>
      <c r="X213" s="0" t="n">
        <v>15</v>
      </c>
      <c r="Y213" s="0" t="n">
        <v>7</v>
      </c>
      <c r="Z213" s="0" t="inlineStr">
        <is>
          <t>https://new.land.naver.com/complexes/8511?tab=detail&amp;rf=Y</t>
        </is>
      </c>
      <c r="AA213" s="0" t="inlineStr">
        <is>
          <t>인천시 계양구 계산동 953-5</t>
        </is>
      </c>
      <c r="AB213" s="0" t="inlineStr">
        <is>
          <t>인천시</t>
        </is>
      </c>
      <c r="AC213" s="0" t="inlineStr">
        <is>
          <t>계양구</t>
        </is>
      </c>
      <c r="AD213" s="0" t="inlineStr">
        <is>
          <t>계산동</t>
        </is>
      </c>
      <c r="AG213" s="0" t="inlineStr">
        <is>
          <t>인천시 계양구 어사대로9번길 5</t>
        </is>
      </c>
      <c r="AH213" s="0" t="n">
        <v>0</v>
      </c>
      <c r="AI213" s="0" t="n">
        <v>251</v>
      </c>
      <c r="AJ213" s="0" t="n">
        <v>29</v>
      </c>
      <c r="AK213" s="0" t="n">
        <v>123</v>
      </c>
      <c r="AL213" s="0" t="n">
        <v>0.8100000000000001</v>
      </c>
    </row>
    <row r="214">
      <c r="A214" s="0" t="inlineStr">
        <is>
          <t>[계산동]</t>
        </is>
      </c>
      <c r="B214" s="0" t="n">
        <v>8511</v>
      </c>
      <c r="C214" s="0" t="n">
        <v>2</v>
      </c>
      <c r="D214" s="0" t="inlineStr">
        <is>
          <t>한미삼오</t>
        </is>
      </c>
      <c r="E214" s="0" t="inlineStr">
        <is>
          <t>1996.12.</t>
        </is>
      </c>
      <c r="F214" s="0" t="n">
        <v>151</v>
      </c>
      <c r="G214" s="0" t="n">
        <v>29.09</v>
      </c>
      <c r="H214" s="0" t="n">
        <v>96.18000000000001</v>
      </c>
      <c r="I214" s="0" t="n">
        <v>18.14</v>
      </c>
      <c r="J214" s="0" t="n">
        <v>59.97</v>
      </c>
      <c r="K214" s="0" t="n">
        <v>79</v>
      </c>
      <c r="T214" s="0" t="n">
        <v>3</v>
      </c>
      <c r="U214" s="0" t="n">
        <v>1</v>
      </c>
      <c r="V214" s="0" t="inlineStr">
        <is>
          <t>복도식</t>
        </is>
      </c>
      <c r="W214" s="0" t="n">
        <v>96</v>
      </c>
      <c r="X214" s="0" t="n">
        <v>15</v>
      </c>
      <c r="Y214" s="0" t="n">
        <v>7</v>
      </c>
      <c r="Z214" s="0" t="inlineStr">
        <is>
          <t>https://new.land.naver.com/complexes/8511?tab=detail&amp;rf=Y</t>
        </is>
      </c>
      <c r="AA214" s="0" t="inlineStr">
        <is>
          <t>인천시 계양구 계산동 953-5</t>
        </is>
      </c>
      <c r="AB214" s="0" t="inlineStr">
        <is>
          <t>인천시</t>
        </is>
      </c>
      <c r="AC214" s="0" t="inlineStr">
        <is>
          <t>계양구</t>
        </is>
      </c>
      <c r="AD214" s="0" t="inlineStr">
        <is>
          <t>계산동</t>
        </is>
      </c>
      <c r="AG214" s="0" t="inlineStr">
        <is>
          <t>인천시 계양구 어사대로9번길 5</t>
        </is>
      </c>
      <c r="AH214" s="0" t="n">
        <v>0</v>
      </c>
      <c r="AI214" s="0" t="n">
        <v>251</v>
      </c>
      <c r="AJ214" s="0" t="n">
        <v>29</v>
      </c>
      <c r="AK214" s="0" t="n">
        <v>123</v>
      </c>
      <c r="AL214" s="0" t="n">
        <v>0.8100000000000001</v>
      </c>
    </row>
    <row r="215">
      <c r="A215" s="0" t="inlineStr">
        <is>
          <t>[계산동]</t>
        </is>
      </c>
      <c r="B215" s="0" t="n">
        <v>8511</v>
      </c>
      <c r="C215" s="0" t="n">
        <v>3</v>
      </c>
      <c r="D215" s="0" t="inlineStr">
        <is>
          <t>한미삼오</t>
        </is>
      </c>
      <c r="E215" s="0" t="inlineStr">
        <is>
          <t>1996.12.</t>
        </is>
      </c>
      <c r="F215" s="0" t="n">
        <v>151</v>
      </c>
      <c r="G215" s="0" t="n">
        <v>29.73</v>
      </c>
      <c r="H215" s="0" t="n">
        <v>98.3</v>
      </c>
      <c r="I215" s="0" t="n">
        <v>20.94</v>
      </c>
      <c r="J215" s="0" t="n">
        <v>69.23999999999999</v>
      </c>
      <c r="K215" s="0" t="n">
        <v>15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98</v>
      </c>
      <c r="X215" s="0" t="n">
        <v>15</v>
      </c>
      <c r="Y215" s="0" t="n">
        <v>7</v>
      </c>
      <c r="Z215" s="0" t="inlineStr">
        <is>
          <t>https://new.land.naver.com/complexes/8511?tab=detail&amp;rf=Y</t>
        </is>
      </c>
      <c r="AA215" s="0" t="inlineStr">
        <is>
          <t>인천시 계양구 계산동 953-5</t>
        </is>
      </c>
      <c r="AB215" s="0" t="inlineStr">
        <is>
          <t>인천시</t>
        </is>
      </c>
      <c r="AC215" s="0" t="inlineStr">
        <is>
          <t>계양구</t>
        </is>
      </c>
      <c r="AD215" s="0" t="inlineStr">
        <is>
          <t>계산동</t>
        </is>
      </c>
      <c r="AG215" s="0" t="inlineStr">
        <is>
          <t>인천시 계양구 어사대로9번길 5</t>
        </is>
      </c>
      <c r="AH215" s="0" t="n">
        <v>0</v>
      </c>
      <c r="AI215" s="0" t="n">
        <v>251</v>
      </c>
      <c r="AJ215" s="0" t="n">
        <v>29</v>
      </c>
      <c r="AK215" s="0" t="n">
        <v>123</v>
      </c>
      <c r="AL215" s="0" t="n">
        <v>0.8100000000000001</v>
      </c>
    </row>
    <row r="216">
      <c r="A216" s="0" t="inlineStr">
        <is>
          <t>[계산동]</t>
        </is>
      </c>
      <c r="B216" s="0" t="n">
        <v>8511</v>
      </c>
      <c r="C216" s="0" t="n">
        <v>4</v>
      </c>
      <c r="D216" s="0" t="inlineStr">
        <is>
          <t>한미삼오</t>
        </is>
      </c>
      <c r="E216" s="0" t="inlineStr">
        <is>
          <t>1996.12.</t>
        </is>
      </c>
      <c r="F216" s="0" t="n">
        <v>151</v>
      </c>
      <c r="G216" s="0" t="n">
        <v>32.47</v>
      </c>
      <c r="H216" s="0" t="n">
        <v>107.37</v>
      </c>
      <c r="I216" s="0" t="n">
        <v>22.87</v>
      </c>
      <c r="J216" s="0" t="n">
        <v>75.63</v>
      </c>
      <c r="K216" s="0" t="n">
        <v>45</v>
      </c>
      <c r="T216" s="0" t="n">
        <v>3</v>
      </c>
      <c r="U216" s="0" t="n">
        <v>1</v>
      </c>
      <c r="V216" s="0" t="inlineStr">
        <is>
          <t>복도식</t>
        </is>
      </c>
      <c r="W216" s="0" t="n">
        <v>107</v>
      </c>
      <c r="X216" s="0" t="n">
        <v>15</v>
      </c>
      <c r="Y216" s="0" t="n">
        <v>7</v>
      </c>
      <c r="Z216" s="0" t="inlineStr">
        <is>
          <t>https://new.land.naver.com/complexes/8511?tab=detail&amp;rf=Y</t>
        </is>
      </c>
      <c r="AA216" s="0" t="inlineStr">
        <is>
          <t>인천시 계양구 계산동 953-5</t>
        </is>
      </c>
      <c r="AB216" s="0" t="inlineStr">
        <is>
          <t>인천시</t>
        </is>
      </c>
      <c r="AC216" s="0" t="inlineStr">
        <is>
          <t>계양구</t>
        </is>
      </c>
      <c r="AD216" s="0" t="inlineStr">
        <is>
          <t>계산동</t>
        </is>
      </c>
      <c r="AG216" s="0" t="inlineStr">
        <is>
          <t>인천시 계양구 어사대로9번길 5</t>
        </is>
      </c>
      <c r="AH216" s="0" t="n">
        <v>0</v>
      </c>
      <c r="AI216" s="0" t="n">
        <v>251</v>
      </c>
      <c r="AJ216" s="0" t="n">
        <v>29</v>
      </c>
      <c r="AK216" s="0" t="n">
        <v>123</v>
      </c>
      <c r="AL216" s="0" t="n">
        <v>0.8100000000000001</v>
      </c>
    </row>
    <row r="217">
      <c r="A217" s="0" t="inlineStr">
        <is>
          <t>[계산동]</t>
        </is>
      </c>
      <c r="B217" s="0" t="n">
        <v>2251</v>
      </c>
      <c r="C217" s="0" t="n">
        <v>1</v>
      </c>
      <c r="D217" s="0" t="inlineStr">
        <is>
          <t>계산주공</t>
        </is>
      </c>
      <c r="E217" s="0" t="inlineStr">
        <is>
          <t>1990.06.</t>
        </is>
      </c>
      <c r="F217" s="0" t="n">
        <v>1140</v>
      </c>
      <c r="G217" s="0" t="n">
        <v>15.89</v>
      </c>
      <c r="H217" s="0" t="n">
        <v>52.55</v>
      </c>
      <c r="I217" s="0" t="n">
        <v>10.93</v>
      </c>
      <c r="J217" s="0" t="n">
        <v>36.16</v>
      </c>
      <c r="K217" s="0" t="n">
        <v>300</v>
      </c>
      <c r="T217" s="0" t="n">
        <v>2</v>
      </c>
      <c r="U217" s="0" t="n">
        <v>1</v>
      </c>
      <c r="V217" s="0" t="inlineStr">
        <is>
          <t>복도식</t>
        </is>
      </c>
      <c r="W217" s="0" t="inlineStr">
        <is>
          <t>52A</t>
        </is>
      </c>
      <c r="X217" s="0" t="n">
        <v>15</v>
      </c>
      <c r="Y217" s="0" t="n">
        <v>15</v>
      </c>
      <c r="Z217" s="0" t="inlineStr">
        <is>
          <t>https://new.land.naver.com/complexes/2251?tab=detail&amp;rf=Y</t>
        </is>
      </c>
      <c r="AA217" s="0" t="inlineStr">
        <is>
          <t>인천시 계양구 계산동 20</t>
        </is>
      </c>
      <c r="AB217" s="0" t="inlineStr">
        <is>
          <t>인천시</t>
        </is>
      </c>
      <c r="AC217" s="0" t="inlineStr">
        <is>
          <t>계양구</t>
        </is>
      </c>
      <c r="AD217" s="0" t="inlineStr">
        <is>
          <t>계산동</t>
        </is>
      </c>
      <c r="AG217" s="0" t="inlineStr">
        <is>
          <t>인천시 계양구 경명대로1142번길 3</t>
        </is>
      </c>
      <c r="AH217" s="0" t="n">
        <v>0</v>
      </c>
      <c r="AI217" s="0" t="n">
        <v>173</v>
      </c>
      <c r="AJ217" s="0" t="n">
        <v>11</v>
      </c>
      <c r="AK217" s="0" t="n">
        <v>1140</v>
      </c>
      <c r="AL217" s="0" t="n">
        <v>1</v>
      </c>
    </row>
    <row r="218">
      <c r="A218" s="0" t="inlineStr">
        <is>
          <t>[계산동]</t>
        </is>
      </c>
      <c r="B218" s="0" t="n">
        <v>2251</v>
      </c>
      <c r="C218" s="0" t="n">
        <v>2</v>
      </c>
      <c r="D218" s="0" t="inlineStr">
        <is>
          <t>계산주공</t>
        </is>
      </c>
      <c r="E218" s="0" t="inlineStr">
        <is>
          <t>1990.06.</t>
        </is>
      </c>
      <c r="F218" s="0" t="n">
        <v>1140</v>
      </c>
      <c r="G218" s="0" t="n">
        <v>15.97</v>
      </c>
      <c r="H218" s="0" t="n">
        <v>52.81</v>
      </c>
      <c r="I218" s="0" t="n">
        <v>10.99</v>
      </c>
      <c r="J218" s="0" t="n">
        <v>36.34</v>
      </c>
      <c r="K218" s="0" t="n">
        <v>60</v>
      </c>
      <c r="T218" s="0" t="n">
        <v>2</v>
      </c>
      <c r="U218" s="0" t="n">
        <v>1</v>
      </c>
      <c r="V218" s="0" t="inlineStr">
        <is>
          <t>복도식</t>
        </is>
      </c>
      <c r="W218" s="0" t="inlineStr">
        <is>
          <t>52B</t>
        </is>
      </c>
      <c r="X218" s="0" t="n">
        <v>15</v>
      </c>
      <c r="Y218" s="0" t="n">
        <v>15</v>
      </c>
      <c r="Z218" s="0" t="inlineStr">
        <is>
          <t>https://new.land.naver.com/complexes/2251?tab=detail&amp;rf=Y</t>
        </is>
      </c>
      <c r="AA218" s="0" t="inlineStr">
        <is>
          <t>인천시 계양구 계산동 20</t>
        </is>
      </c>
      <c r="AB218" s="0" t="inlineStr">
        <is>
          <t>인천시</t>
        </is>
      </c>
      <c r="AC218" s="0" t="inlineStr">
        <is>
          <t>계양구</t>
        </is>
      </c>
      <c r="AD218" s="0" t="inlineStr">
        <is>
          <t>계산동</t>
        </is>
      </c>
      <c r="AG218" s="0" t="inlineStr">
        <is>
          <t>인천시 계양구 경명대로1142번길 3</t>
        </is>
      </c>
      <c r="AH218" s="0" t="n">
        <v>0</v>
      </c>
      <c r="AI218" s="0" t="n">
        <v>173</v>
      </c>
      <c r="AJ218" s="0" t="n">
        <v>11</v>
      </c>
      <c r="AK218" s="0" t="n">
        <v>1140</v>
      </c>
      <c r="AL218" s="0" t="n">
        <v>1</v>
      </c>
    </row>
    <row r="219">
      <c r="A219" s="0" t="inlineStr">
        <is>
          <t>[계산동]</t>
        </is>
      </c>
      <c r="B219" s="0" t="n">
        <v>2251</v>
      </c>
      <c r="C219" s="0" t="n">
        <v>3</v>
      </c>
      <c r="D219" s="0" t="inlineStr">
        <is>
          <t>계산주공</t>
        </is>
      </c>
      <c r="E219" s="0" t="inlineStr">
        <is>
          <t>1990.06.</t>
        </is>
      </c>
      <c r="F219" s="0" t="n">
        <v>1140</v>
      </c>
      <c r="G219" s="0" t="n">
        <v>17.28</v>
      </c>
      <c r="H219" s="0" t="n">
        <v>57.15</v>
      </c>
      <c r="I219" s="0" t="n">
        <v>12.49</v>
      </c>
      <c r="J219" s="0" t="n">
        <v>41.3</v>
      </c>
      <c r="K219" s="0" t="n">
        <v>180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57A</t>
        </is>
      </c>
      <c r="X219" s="0" t="n">
        <v>15</v>
      </c>
      <c r="Y219" s="0" t="n">
        <v>15</v>
      </c>
      <c r="Z219" s="0" t="inlineStr">
        <is>
          <t>https://new.land.naver.com/complexes/2251?tab=detail&amp;rf=Y</t>
        </is>
      </c>
      <c r="AA219" s="0" t="inlineStr">
        <is>
          <t>인천시 계양구 계산동 20</t>
        </is>
      </c>
      <c r="AB219" s="0" t="inlineStr">
        <is>
          <t>인천시</t>
        </is>
      </c>
      <c r="AC219" s="0" t="inlineStr">
        <is>
          <t>계양구</t>
        </is>
      </c>
      <c r="AD219" s="0" t="inlineStr">
        <is>
          <t>계산동</t>
        </is>
      </c>
      <c r="AG219" s="0" t="inlineStr">
        <is>
          <t>인천시 계양구 경명대로1142번길 3</t>
        </is>
      </c>
      <c r="AH219" s="0" t="n">
        <v>0</v>
      </c>
      <c r="AI219" s="0" t="n">
        <v>173</v>
      </c>
      <c r="AJ219" s="0" t="n">
        <v>11</v>
      </c>
      <c r="AK219" s="0" t="n">
        <v>1140</v>
      </c>
      <c r="AL219" s="0" t="n">
        <v>1</v>
      </c>
    </row>
    <row r="220">
      <c r="A220" s="0" t="inlineStr">
        <is>
          <t>[계산동]</t>
        </is>
      </c>
      <c r="B220" s="0" t="n">
        <v>2251</v>
      </c>
      <c r="C220" s="0" t="n">
        <v>4</v>
      </c>
      <c r="D220" s="0" t="inlineStr">
        <is>
          <t>계산주공</t>
        </is>
      </c>
      <c r="E220" s="0" t="inlineStr">
        <is>
          <t>1990.06.</t>
        </is>
      </c>
      <c r="F220" s="0" t="n">
        <v>1140</v>
      </c>
      <c r="G220" s="0" t="n">
        <v>17.28</v>
      </c>
      <c r="H220" s="0" t="n">
        <v>57.15</v>
      </c>
      <c r="I220" s="0" t="n">
        <v>12.49</v>
      </c>
      <c r="J220" s="0" t="n">
        <v>41.3</v>
      </c>
      <c r="K220" s="0" t="n">
        <v>90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57B</t>
        </is>
      </c>
      <c r="X220" s="0" t="n">
        <v>15</v>
      </c>
      <c r="Y220" s="0" t="n">
        <v>15</v>
      </c>
      <c r="Z220" s="0" t="inlineStr">
        <is>
          <t>https://new.land.naver.com/complexes/2251?tab=detail&amp;rf=Y</t>
        </is>
      </c>
      <c r="AA220" s="0" t="inlineStr">
        <is>
          <t>인천시 계양구 계산동 20</t>
        </is>
      </c>
      <c r="AB220" s="0" t="inlineStr">
        <is>
          <t>인천시</t>
        </is>
      </c>
      <c r="AC220" s="0" t="inlineStr">
        <is>
          <t>계양구</t>
        </is>
      </c>
      <c r="AD220" s="0" t="inlineStr">
        <is>
          <t>계산동</t>
        </is>
      </c>
      <c r="AG220" s="0" t="inlineStr">
        <is>
          <t>인천시 계양구 경명대로1142번길 3</t>
        </is>
      </c>
      <c r="AH220" s="0" t="n">
        <v>0</v>
      </c>
      <c r="AI220" s="0" t="n">
        <v>173</v>
      </c>
      <c r="AJ220" s="0" t="n">
        <v>11</v>
      </c>
      <c r="AK220" s="0" t="n">
        <v>1140</v>
      </c>
      <c r="AL220" s="0" t="n">
        <v>1</v>
      </c>
    </row>
    <row r="221">
      <c r="A221" s="0" t="inlineStr">
        <is>
          <t>[계산동]</t>
        </is>
      </c>
      <c r="B221" s="0" t="n">
        <v>2251</v>
      </c>
      <c r="C221" s="0" t="n">
        <v>5</v>
      </c>
      <c r="D221" s="0" t="inlineStr">
        <is>
          <t>계산주공</t>
        </is>
      </c>
      <c r="E221" s="0" t="inlineStr">
        <is>
          <t>1990.06.</t>
        </is>
      </c>
      <c r="F221" s="0" t="n">
        <v>1140</v>
      </c>
      <c r="G221" s="0" t="n">
        <v>18.24</v>
      </c>
      <c r="H221" s="0" t="n">
        <v>60.33</v>
      </c>
      <c r="I221" s="0" t="n">
        <v>12.49</v>
      </c>
      <c r="J221" s="0" t="n">
        <v>41.3</v>
      </c>
      <c r="K221" s="0" t="n">
        <v>60</v>
      </c>
      <c r="T221" s="0" t="n">
        <v>2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15</v>
      </c>
      <c r="Y221" s="0" t="n">
        <v>15</v>
      </c>
      <c r="Z221" s="0" t="inlineStr">
        <is>
          <t>https://new.land.naver.com/complexes/2251?tab=detail&amp;rf=Y</t>
        </is>
      </c>
      <c r="AA221" s="0" t="inlineStr">
        <is>
          <t>인천시 계양구 계산동 20</t>
        </is>
      </c>
      <c r="AB221" s="0" t="inlineStr">
        <is>
          <t>인천시</t>
        </is>
      </c>
      <c r="AC221" s="0" t="inlineStr">
        <is>
          <t>계양구</t>
        </is>
      </c>
      <c r="AD221" s="0" t="inlineStr">
        <is>
          <t>계산동</t>
        </is>
      </c>
      <c r="AG221" s="0" t="inlineStr">
        <is>
          <t>인천시 계양구 경명대로1142번길 3</t>
        </is>
      </c>
      <c r="AH221" s="0" t="n">
        <v>0</v>
      </c>
      <c r="AI221" s="0" t="n">
        <v>173</v>
      </c>
      <c r="AJ221" s="0" t="n">
        <v>11</v>
      </c>
      <c r="AK221" s="0" t="n">
        <v>1140</v>
      </c>
      <c r="AL221" s="0" t="n">
        <v>1</v>
      </c>
    </row>
    <row r="222">
      <c r="A222" s="0" t="inlineStr">
        <is>
          <t>[계산동]</t>
        </is>
      </c>
      <c r="B222" s="0" t="n">
        <v>2251</v>
      </c>
      <c r="C222" s="0" t="n">
        <v>6</v>
      </c>
      <c r="D222" s="0" t="inlineStr">
        <is>
          <t>계산주공</t>
        </is>
      </c>
      <c r="E222" s="0" t="inlineStr">
        <is>
          <t>1990.06.</t>
        </is>
      </c>
      <c r="F222" s="0" t="n">
        <v>1140</v>
      </c>
      <c r="G222" s="0" t="n">
        <v>20.9</v>
      </c>
      <c r="H222" s="0" t="n">
        <v>69.09999999999999</v>
      </c>
      <c r="I222" s="0" t="n">
        <v>15.1</v>
      </c>
      <c r="J222" s="0" t="n">
        <v>49.94</v>
      </c>
      <c r="K222" s="0" t="n">
        <v>270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15</v>
      </c>
      <c r="Y222" s="0" t="n">
        <v>15</v>
      </c>
      <c r="Z222" s="0" t="inlineStr">
        <is>
          <t>https://new.land.naver.com/complexes/2251?tab=detail&amp;rf=Y</t>
        </is>
      </c>
      <c r="AA222" s="0" t="inlineStr">
        <is>
          <t>인천시 계양구 계산동 20</t>
        </is>
      </c>
      <c r="AB222" s="0" t="inlineStr">
        <is>
          <t>인천시</t>
        </is>
      </c>
      <c r="AC222" s="0" t="inlineStr">
        <is>
          <t>계양구</t>
        </is>
      </c>
      <c r="AD222" s="0" t="inlineStr">
        <is>
          <t>계산동</t>
        </is>
      </c>
      <c r="AG222" s="0" t="inlineStr">
        <is>
          <t>인천시 계양구 경명대로1142번길 3</t>
        </is>
      </c>
      <c r="AH222" s="0" t="n">
        <v>0</v>
      </c>
      <c r="AI222" s="0" t="n">
        <v>173</v>
      </c>
      <c r="AJ222" s="0" t="n">
        <v>11</v>
      </c>
      <c r="AK222" s="0" t="n">
        <v>1140</v>
      </c>
      <c r="AL222" s="0" t="n">
        <v>1</v>
      </c>
    </row>
    <row r="223">
      <c r="A223" s="0" t="inlineStr">
        <is>
          <t>[계산동]</t>
        </is>
      </c>
      <c r="B223" s="0" t="n">
        <v>2251</v>
      </c>
      <c r="C223" s="0" t="n">
        <v>7</v>
      </c>
      <c r="D223" s="0" t="inlineStr">
        <is>
          <t>계산주공</t>
        </is>
      </c>
      <c r="E223" s="0" t="inlineStr">
        <is>
          <t>1990.06.</t>
        </is>
      </c>
      <c r="F223" s="0" t="n">
        <v>1140</v>
      </c>
      <c r="G223" s="0" t="n">
        <v>22.06</v>
      </c>
      <c r="H223" s="0" t="n">
        <v>72.95</v>
      </c>
      <c r="I223" s="0" t="n">
        <v>15.1</v>
      </c>
      <c r="J223" s="0" t="n">
        <v>49.94</v>
      </c>
      <c r="K223" s="0" t="n">
        <v>180</v>
      </c>
      <c r="T223" s="0" t="n">
        <v>2</v>
      </c>
      <c r="U223" s="0" t="n">
        <v>1</v>
      </c>
      <c r="V223" s="0" t="inlineStr">
        <is>
          <t>복도식</t>
        </is>
      </c>
      <c r="W223" s="0" t="n">
        <v>72</v>
      </c>
      <c r="X223" s="0" t="n">
        <v>15</v>
      </c>
      <c r="Y223" s="0" t="n">
        <v>15</v>
      </c>
      <c r="Z223" s="0" t="inlineStr">
        <is>
          <t>https://new.land.naver.com/complexes/2251?tab=detail&amp;rf=Y</t>
        </is>
      </c>
      <c r="AA223" s="0" t="inlineStr">
        <is>
          <t>인천시 계양구 계산동 20</t>
        </is>
      </c>
      <c r="AB223" s="0" t="inlineStr">
        <is>
          <t>인천시</t>
        </is>
      </c>
      <c r="AC223" s="0" t="inlineStr">
        <is>
          <t>계양구</t>
        </is>
      </c>
      <c r="AD223" s="0" t="inlineStr">
        <is>
          <t>계산동</t>
        </is>
      </c>
      <c r="AG223" s="0" t="inlineStr">
        <is>
          <t>인천시 계양구 경명대로1142번길 3</t>
        </is>
      </c>
      <c r="AH223" s="0" t="n">
        <v>0</v>
      </c>
      <c r="AI223" s="0" t="n">
        <v>173</v>
      </c>
      <c r="AJ223" s="0" t="n">
        <v>11</v>
      </c>
      <c r="AK223" s="0" t="n">
        <v>1140</v>
      </c>
      <c r="AL223" s="0" t="n">
        <v>1</v>
      </c>
    </row>
    <row r="224">
      <c r="A224" s="0" t="inlineStr">
        <is>
          <t>[계산동]</t>
        </is>
      </c>
      <c r="B224" s="0" t="n">
        <v>2250</v>
      </c>
      <c r="C224" s="0" t="n">
        <v>1</v>
      </c>
      <c r="D224" s="0" t="inlineStr">
        <is>
          <t>은행마을강북</t>
        </is>
      </c>
      <c r="E224" s="0" t="inlineStr">
        <is>
          <t>1997.07.</t>
        </is>
      </c>
      <c r="F224" s="0" t="n">
        <v>216</v>
      </c>
      <c r="G224" s="0" t="n">
        <v>35.63</v>
      </c>
      <c r="H224" s="0" t="n">
        <v>117.79</v>
      </c>
      <c r="I224" s="0" t="n">
        <v>31</v>
      </c>
      <c r="J224" s="0" t="n">
        <v>102.48</v>
      </c>
      <c r="K224" s="0" t="n">
        <v>216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117</v>
      </c>
      <c r="X224" s="0" t="n">
        <v>18</v>
      </c>
      <c r="Y224" s="0" t="n">
        <v>18</v>
      </c>
      <c r="Z224" s="0" t="inlineStr">
        <is>
          <t>https://new.land.naver.com/complexes/2250?tab=detail&amp;rf=Y</t>
        </is>
      </c>
      <c r="AA224" s="0" t="inlineStr">
        <is>
          <t>인천시 계양구 계산동 1084-2</t>
        </is>
      </c>
      <c r="AB224" s="0" t="inlineStr">
        <is>
          <t>인천시</t>
        </is>
      </c>
      <c r="AC224" s="0" t="inlineStr">
        <is>
          <t>계양구</t>
        </is>
      </c>
      <c r="AD224" s="0" t="inlineStr">
        <is>
          <t>계산동</t>
        </is>
      </c>
      <c r="AG224" s="0" t="inlineStr">
        <is>
          <t>인천시 계양구 계산새로 108</t>
        </is>
      </c>
      <c r="AH224" s="0" t="n">
        <v>0</v>
      </c>
      <c r="AI224" s="0" t="n">
        <v>249</v>
      </c>
      <c r="AJ224" s="0" t="n">
        <v>15</v>
      </c>
      <c r="AK224" s="0" t="n">
        <v>335</v>
      </c>
      <c r="AL224" s="0" t="n">
        <v>1.55</v>
      </c>
    </row>
    <row r="225">
      <c r="A225" s="0" t="inlineStr">
        <is>
          <t>[계산동]</t>
        </is>
      </c>
      <c r="B225" s="0" t="n">
        <v>115071</v>
      </c>
      <c r="C225" s="0" t="n">
        <v>1</v>
      </c>
      <c r="D225" s="0" t="inlineStr">
        <is>
          <t>계산조이너스</t>
        </is>
      </c>
      <c r="E225" s="0" t="inlineStr">
        <is>
          <t>2016.05.</t>
        </is>
      </c>
      <c r="F225" s="0" t="n">
        <v>59</v>
      </c>
      <c r="G225" s="0" t="n">
        <v>18.22</v>
      </c>
      <c r="H225" s="0" t="n">
        <v>60.26</v>
      </c>
      <c r="I225" s="0" t="n">
        <v>13.6</v>
      </c>
      <c r="J225" s="0" t="n">
        <v>44.96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60</v>
      </c>
      <c r="X225" s="0" t="n">
        <v>10</v>
      </c>
      <c r="Y225" s="0" t="n">
        <v>10</v>
      </c>
      <c r="Z225" s="0" t="inlineStr">
        <is>
          <t>https://new.land.naver.com/complexes/115071?tab=detail&amp;rf=Y</t>
        </is>
      </c>
      <c r="AA225" s="0" t="inlineStr">
        <is>
          <t>인천시 계양구 계산동 1109</t>
        </is>
      </c>
      <c r="AB225" s="0" t="inlineStr">
        <is>
          <t>인천시</t>
        </is>
      </c>
      <c r="AC225" s="0" t="inlineStr">
        <is>
          <t>계양구</t>
        </is>
      </c>
      <c r="AD225" s="0" t="inlineStr">
        <is>
          <t>계산동</t>
        </is>
      </c>
      <c r="AG225" s="0" t="inlineStr">
        <is>
          <t>인천시 계양구 주부토로 478-2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[계산동]</t>
        </is>
      </c>
      <c r="B226" s="0" t="n">
        <v>115071</v>
      </c>
      <c r="C226" s="0" t="n">
        <v>2</v>
      </c>
      <c r="D226" s="0" t="inlineStr">
        <is>
          <t>계산조이너스</t>
        </is>
      </c>
      <c r="E226" s="0" t="inlineStr">
        <is>
          <t>2016.05.</t>
        </is>
      </c>
      <c r="F226" s="0" t="n">
        <v>59</v>
      </c>
      <c r="G226" s="0" t="n">
        <v>19.92</v>
      </c>
      <c r="H226" s="0" t="n">
        <v>65.86</v>
      </c>
      <c r="I226" s="0" t="n">
        <v>14.8</v>
      </c>
      <c r="J226" s="0" t="n">
        <v>48.94</v>
      </c>
      <c r="K226" s="0" t="n">
        <v>1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65B</t>
        </is>
      </c>
      <c r="X226" s="0" t="n">
        <v>10</v>
      </c>
      <c r="Y226" s="0" t="n">
        <v>10</v>
      </c>
      <c r="Z226" s="0" t="inlineStr">
        <is>
          <t>https://new.land.naver.com/complexes/115071?tab=detail&amp;rf=Y</t>
        </is>
      </c>
      <c r="AA226" s="0" t="inlineStr">
        <is>
          <t>인천시 계양구 계산동 1109</t>
        </is>
      </c>
      <c r="AB226" s="0" t="inlineStr">
        <is>
          <t>인천시</t>
        </is>
      </c>
      <c r="AC226" s="0" t="inlineStr">
        <is>
          <t>계양구</t>
        </is>
      </c>
      <c r="AD226" s="0" t="inlineStr">
        <is>
          <t>계산동</t>
        </is>
      </c>
      <c r="AG226" s="0" t="inlineStr">
        <is>
          <t>인천시 계양구 주부토로 478-2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[계산동]</t>
        </is>
      </c>
      <c r="B227" s="0" t="n">
        <v>115071</v>
      </c>
      <c r="C227" s="0" t="n">
        <v>3</v>
      </c>
      <c r="D227" s="0" t="inlineStr">
        <is>
          <t>계산조이너스</t>
        </is>
      </c>
      <c r="E227" s="0" t="inlineStr">
        <is>
          <t>2016.05.</t>
        </is>
      </c>
      <c r="F227" s="0" t="n">
        <v>59</v>
      </c>
      <c r="G227" s="0" t="n">
        <v>20.09</v>
      </c>
      <c r="H227" s="0" t="n">
        <v>66.42</v>
      </c>
      <c r="I227" s="0" t="n">
        <v>14.75</v>
      </c>
      <c r="J227" s="0" t="n">
        <v>48.79</v>
      </c>
      <c r="K227" s="0" t="n">
        <v>1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66A</t>
        </is>
      </c>
      <c r="X227" s="0" t="n">
        <v>10</v>
      </c>
      <c r="Y227" s="0" t="n">
        <v>10</v>
      </c>
      <c r="Z227" s="0" t="inlineStr">
        <is>
          <t>https://new.land.naver.com/complexes/115071?tab=detail&amp;rf=Y</t>
        </is>
      </c>
      <c r="AA227" s="0" t="inlineStr">
        <is>
          <t>인천시 계양구 계산동 1109</t>
        </is>
      </c>
      <c r="AB227" s="0" t="inlineStr">
        <is>
          <t>인천시</t>
        </is>
      </c>
      <c r="AC227" s="0" t="inlineStr">
        <is>
          <t>계양구</t>
        </is>
      </c>
      <c r="AD227" s="0" t="inlineStr">
        <is>
          <t>계산동</t>
        </is>
      </c>
      <c r="AG227" s="0" t="inlineStr">
        <is>
          <t>인천시 계양구 주부토로 478-2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[계산동]</t>
        </is>
      </c>
      <c r="B228" s="0" t="n">
        <v>115071</v>
      </c>
      <c r="C228" s="0" t="n">
        <v>4</v>
      </c>
      <c r="D228" s="0" t="inlineStr">
        <is>
          <t>계산조이너스</t>
        </is>
      </c>
      <c r="E228" s="0" t="inlineStr">
        <is>
          <t>2016.05.</t>
        </is>
      </c>
      <c r="F228" s="0" t="n">
        <v>59</v>
      </c>
      <c r="G228" s="0" t="n">
        <v>20.3</v>
      </c>
      <c r="H228" s="0" t="n">
        <v>67.11</v>
      </c>
      <c r="I228" s="0" t="n">
        <v>14.99</v>
      </c>
      <c r="J228" s="0" t="n">
        <v>49.57</v>
      </c>
      <c r="K228" s="0" t="n">
        <v>1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67C</t>
        </is>
      </c>
      <c r="X228" s="0" t="n">
        <v>10</v>
      </c>
      <c r="Y228" s="0" t="n">
        <v>10</v>
      </c>
      <c r="Z228" s="0" t="inlineStr">
        <is>
          <t>https://new.land.naver.com/complexes/115071?tab=detail&amp;rf=Y</t>
        </is>
      </c>
      <c r="AA228" s="0" t="inlineStr">
        <is>
          <t>인천시 계양구 계산동 1109</t>
        </is>
      </c>
      <c r="AB228" s="0" t="inlineStr">
        <is>
          <t>인천시</t>
        </is>
      </c>
      <c r="AC228" s="0" t="inlineStr">
        <is>
          <t>계양구</t>
        </is>
      </c>
      <c r="AD228" s="0" t="inlineStr">
        <is>
          <t>계산동</t>
        </is>
      </c>
      <c r="AG228" s="0" t="inlineStr">
        <is>
          <t>인천시 계양구 주부토로 478-2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[계산동]</t>
        </is>
      </c>
      <c r="B229" s="0" t="n">
        <v>115071</v>
      </c>
      <c r="C229" s="0" t="n">
        <v>5</v>
      </c>
      <c r="D229" s="0" t="inlineStr">
        <is>
          <t>계산조이너스</t>
        </is>
      </c>
      <c r="E229" s="0" t="inlineStr">
        <is>
          <t>2016.05.</t>
        </is>
      </c>
      <c r="F229" s="0" t="n">
        <v>59</v>
      </c>
      <c r="G229" s="0" t="n">
        <v>21.3</v>
      </c>
      <c r="H229" s="0" t="n">
        <v>70.44</v>
      </c>
      <c r="I229" s="0" t="n">
        <v>15.9</v>
      </c>
      <c r="J229" s="0" t="n">
        <v>52.58</v>
      </c>
      <c r="K229" s="0" t="n">
        <v>1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70</v>
      </c>
      <c r="X229" s="0" t="n">
        <v>10</v>
      </c>
      <c r="Y229" s="0" t="n">
        <v>10</v>
      </c>
      <c r="Z229" s="0" t="inlineStr">
        <is>
          <t>https://new.land.naver.com/complexes/115071?tab=detail&amp;rf=Y</t>
        </is>
      </c>
      <c r="AA229" s="0" t="inlineStr">
        <is>
          <t>인천시 계양구 계산동 1109</t>
        </is>
      </c>
      <c r="AB229" s="0" t="inlineStr">
        <is>
          <t>인천시</t>
        </is>
      </c>
      <c r="AC229" s="0" t="inlineStr">
        <is>
          <t>계양구</t>
        </is>
      </c>
      <c r="AD229" s="0" t="inlineStr">
        <is>
          <t>계산동</t>
        </is>
      </c>
      <c r="AG229" s="0" t="inlineStr">
        <is>
          <t>인천시 계양구 주부토로 478-2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[계산동]</t>
        </is>
      </c>
      <c r="B230" s="0" t="n">
        <v>115071</v>
      </c>
      <c r="C230" s="0" t="n">
        <v>6</v>
      </c>
      <c r="D230" s="0" t="inlineStr">
        <is>
          <t>계산조이너스</t>
        </is>
      </c>
      <c r="E230" s="0" t="inlineStr">
        <is>
          <t>2016.05.</t>
        </is>
      </c>
      <c r="F230" s="0" t="n">
        <v>59</v>
      </c>
      <c r="G230" s="0" t="n">
        <v>22.19</v>
      </c>
      <c r="H230" s="0" t="n">
        <v>73.36</v>
      </c>
      <c r="I230" s="0" t="n">
        <v>16.54</v>
      </c>
      <c r="J230" s="0" t="n">
        <v>54.69</v>
      </c>
      <c r="K230" s="0" t="n">
        <v>14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73A</t>
        </is>
      </c>
      <c r="X230" s="0" t="n">
        <v>10</v>
      </c>
      <c r="Y230" s="0" t="n">
        <v>10</v>
      </c>
      <c r="Z230" s="0" t="inlineStr">
        <is>
          <t>https://new.land.naver.com/complexes/115071?tab=detail&amp;rf=Y</t>
        </is>
      </c>
      <c r="AA230" s="0" t="inlineStr">
        <is>
          <t>인천시 계양구 계산동 1109</t>
        </is>
      </c>
      <c r="AB230" s="0" t="inlineStr">
        <is>
          <t>인천시</t>
        </is>
      </c>
      <c r="AC230" s="0" t="inlineStr">
        <is>
          <t>계양구</t>
        </is>
      </c>
      <c r="AD230" s="0" t="inlineStr">
        <is>
          <t>계산동</t>
        </is>
      </c>
      <c r="AG230" s="0" t="inlineStr">
        <is>
          <t>인천시 계양구 주부토로 478-2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[계산동]</t>
        </is>
      </c>
      <c r="B231" s="0" t="n">
        <v>115071</v>
      </c>
      <c r="C231" s="0" t="n">
        <v>7</v>
      </c>
      <c r="D231" s="0" t="inlineStr">
        <is>
          <t>계산조이너스</t>
        </is>
      </c>
      <c r="E231" s="0" t="inlineStr">
        <is>
          <t>2016.05.</t>
        </is>
      </c>
      <c r="F231" s="0" t="n">
        <v>59</v>
      </c>
      <c r="G231" s="0" t="n">
        <v>22.35</v>
      </c>
      <c r="H231" s="0" t="n">
        <v>73.90000000000001</v>
      </c>
      <c r="I231" s="0" t="n">
        <v>16.59</v>
      </c>
      <c r="J231" s="0" t="n">
        <v>54.87</v>
      </c>
      <c r="K231" s="0" t="n">
        <v>3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73B</t>
        </is>
      </c>
      <c r="X231" s="0" t="n">
        <v>10</v>
      </c>
      <c r="Y231" s="0" t="n">
        <v>10</v>
      </c>
      <c r="Z231" s="0" t="inlineStr">
        <is>
          <t>https://new.land.naver.com/complexes/115071?tab=detail&amp;rf=Y</t>
        </is>
      </c>
      <c r="AA231" s="0" t="inlineStr">
        <is>
          <t>인천시 계양구 계산동 1109</t>
        </is>
      </c>
      <c r="AB231" s="0" t="inlineStr">
        <is>
          <t>인천시</t>
        </is>
      </c>
      <c r="AC231" s="0" t="inlineStr">
        <is>
          <t>계양구</t>
        </is>
      </c>
      <c r="AD231" s="0" t="inlineStr">
        <is>
          <t>계산동</t>
        </is>
      </c>
      <c r="AG231" s="0" t="inlineStr">
        <is>
          <t>인천시 계양구 주부토로 478-2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[계산동]</t>
        </is>
      </c>
      <c r="B232" s="0" t="n">
        <v>115071</v>
      </c>
      <c r="C232" s="0" t="n">
        <v>8</v>
      </c>
      <c r="D232" s="0" t="inlineStr">
        <is>
          <t>계산조이너스</t>
        </is>
      </c>
      <c r="E232" s="0" t="inlineStr">
        <is>
          <t>2016.05.</t>
        </is>
      </c>
      <c r="F232" s="0" t="n">
        <v>59</v>
      </c>
      <c r="G232" s="0" t="n">
        <v>22.34</v>
      </c>
      <c r="H232" s="0" t="n">
        <v>73.86</v>
      </c>
      <c r="I232" s="0" t="n">
        <v>16.66</v>
      </c>
      <c r="J232" s="0" t="n">
        <v>55.1</v>
      </c>
      <c r="K232" s="0" t="n">
        <v>2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73C</t>
        </is>
      </c>
      <c r="X232" s="0" t="n">
        <v>10</v>
      </c>
      <c r="Y232" s="0" t="n">
        <v>10</v>
      </c>
      <c r="Z232" s="0" t="inlineStr">
        <is>
          <t>https://new.land.naver.com/complexes/115071?tab=detail&amp;rf=Y</t>
        </is>
      </c>
      <c r="AA232" s="0" t="inlineStr">
        <is>
          <t>인천시 계양구 계산동 1109</t>
        </is>
      </c>
      <c r="AB232" s="0" t="inlineStr">
        <is>
          <t>인천시</t>
        </is>
      </c>
      <c r="AC232" s="0" t="inlineStr">
        <is>
          <t>계양구</t>
        </is>
      </c>
      <c r="AD232" s="0" t="inlineStr">
        <is>
          <t>계산동</t>
        </is>
      </c>
      <c r="AG232" s="0" t="inlineStr">
        <is>
          <t>인천시 계양구 주부토로 478-2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[계산동]</t>
        </is>
      </c>
      <c r="B233" s="0" t="n">
        <v>115071</v>
      </c>
      <c r="C233" s="0" t="n">
        <v>9</v>
      </c>
      <c r="D233" s="0" t="inlineStr">
        <is>
          <t>계산조이너스</t>
        </is>
      </c>
      <c r="E233" s="0" t="inlineStr">
        <is>
          <t>2016.05.</t>
        </is>
      </c>
      <c r="F233" s="0" t="n">
        <v>59</v>
      </c>
      <c r="G233" s="0" t="n">
        <v>23.88</v>
      </c>
      <c r="H233" s="0" t="n">
        <v>78.95</v>
      </c>
      <c r="I233" s="0" t="n">
        <v>17.97</v>
      </c>
      <c r="J233" s="0" t="n">
        <v>59.43</v>
      </c>
      <c r="K233" s="0" t="n">
        <v>27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78</v>
      </c>
      <c r="X233" s="0" t="n">
        <v>10</v>
      </c>
      <c r="Y233" s="0" t="n">
        <v>10</v>
      </c>
      <c r="Z233" s="0" t="inlineStr">
        <is>
          <t>https://new.land.naver.com/complexes/115071?tab=detail&amp;rf=Y</t>
        </is>
      </c>
      <c r="AA233" s="0" t="inlineStr">
        <is>
          <t>인천시 계양구 계산동 1109</t>
        </is>
      </c>
      <c r="AB233" s="0" t="inlineStr">
        <is>
          <t>인천시</t>
        </is>
      </c>
      <c r="AC233" s="0" t="inlineStr">
        <is>
          <t>계양구</t>
        </is>
      </c>
      <c r="AD233" s="0" t="inlineStr">
        <is>
          <t>계산동</t>
        </is>
      </c>
      <c r="AG233" s="0" t="inlineStr">
        <is>
          <t>인천시 계양구 주부토로 478-2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[계산동]</t>
        </is>
      </c>
      <c r="B234" s="0" t="n">
        <v>115071</v>
      </c>
      <c r="C234" s="0" t="n">
        <v>10</v>
      </c>
      <c r="D234" s="0" t="inlineStr">
        <is>
          <t>계산조이너스</t>
        </is>
      </c>
      <c r="E234" s="0" t="inlineStr">
        <is>
          <t>2016.05.</t>
        </is>
      </c>
      <c r="F234" s="0" t="n">
        <v>59</v>
      </c>
      <c r="G234" s="0" t="n">
        <v>29.96</v>
      </c>
      <c r="H234" s="0" t="n">
        <v>99.05</v>
      </c>
      <c r="I234" s="0" t="n">
        <v>22.68</v>
      </c>
      <c r="J234" s="0" t="n">
        <v>75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99</v>
      </c>
      <c r="X234" s="0" t="n">
        <v>10</v>
      </c>
      <c r="Y234" s="0" t="n">
        <v>10</v>
      </c>
      <c r="Z234" s="0" t="inlineStr">
        <is>
          <t>https://new.land.naver.com/complexes/115071?tab=detail&amp;rf=Y</t>
        </is>
      </c>
      <c r="AA234" s="0" t="inlineStr">
        <is>
          <t>인천시 계양구 계산동 1109</t>
        </is>
      </c>
      <c r="AB234" s="0" t="inlineStr">
        <is>
          <t>인천시</t>
        </is>
      </c>
      <c r="AC234" s="0" t="inlineStr">
        <is>
          <t>계양구</t>
        </is>
      </c>
      <c r="AD234" s="0" t="inlineStr">
        <is>
          <t>계산동</t>
        </is>
      </c>
      <c r="AG234" s="0" t="inlineStr">
        <is>
          <t>인천시 계양구 주부토로 478-2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[계산동]</t>
        </is>
      </c>
      <c r="B235" s="0" t="n">
        <v>115071</v>
      </c>
      <c r="C235" s="0" t="n">
        <v>11</v>
      </c>
      <c r="D235" s="0" t="inlineStr">
        <is>
          <t>계산조이너스</t>
        </is>
      </c>
      <c r="E235" s="0" t="inlineStr">
        <is>
          <t>2016.05.</t>
        </is>
      </c>
      <c r="F235" s="0" t="n">
        <v>59</v>
      </c>
      <c r="G235" s="0" t="n">
        <v>31.39</v>
      </c>
      <c r="H235" s="0" t="n">
        <v>103.77</v>
      </c>
      <c r="I235" s="0" t="n">
        <v>23.59</v>
      </c>
      <c r="J235" s="0" t="n">
        <v>77.98999999999999</v>
      </c>
      <c r="K235" s="0" t="n">
        <v>6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103</v>
      </c>
      <c r="X235" s="0" t="n">
        <v>10</v>
      </c>
      <c r="Y235" s="0" t="n">
        <v>10</v>
      </c>
      <c r="Z235" s="0" t="inlineStr">
        <is>
          <t>https://new.land.naver.com/complexes/115071?tab=detail&amp;rf=Y</t>
        </is>
      </c>
      <c r="AA235" s="0" t="inlineStr">
        <is>
          <t>인천시 계양구 계산동 1109</t>
        </is>
      </c>
      <c r="AB235" s="0" t="inlineStr">
        <is>
          <t>인천시</t>
        </is>
      </c>
      <c r="AC235" s="0" t="inlineStr">
        <is>
          <t>계양구</t>
        </is>
      </c>
      <c r="AD235" s="0" t="inlineStr">
        <is>
          <t>계산동</t>
        </is>
      </c>
      <c r="AG235" s="0" t="inlineStr">
        <is>
          <t>인천시 계양구 주부토로 478-2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[계산동]</t>
        </is>
      </c>
      <c r="B236" s="0" t="n">
        <v>115071</v>
      </c>
      <c r="C236" s="0" t="n">
        <v>12</v>
      </c>
      <c r="D236" s="0" t="inlineStr">
        <is>
          <t>계산조이너스</t>
        </is>
      </c>
      <c r="E236" s="0" t="inlineStr">
        <is>
          <t>2016.05.</t>
        </is>
      </c>
      <c r="F236" s="0" t="n">
        <v>59</v>
      </c>
      <c r="G236" s="0" t="n">
        <v>34.96</v>
      </c>
      <c r="H236" s="0" t="n">
        <v>115.6</v>
      </c>
      <c r="I236" s="0" t="n">
        <v>25.65</v>
      </c>
      <c r="J236" s="0" t="n">
        <v>84.8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115</v>
      </c>
      <c r="X236" s="0" t="n">
        <v>10</v>
      </c>
      <c r="Y236" s="0" t="n">
        <v>10</v>
      </c>
      <c r="Z236" s="0" t="inlineStr">
        <is>
          <t>https://new.land.naver.com/complexes/115071?tab=detail&amp;rf=Y</t>
        </is>
      </c>
      <c r="AA236" s="0" t="inlineStr">
        <is>
          <t>인천시 계양구 계산동 1109</t>
        </is>
      </c>
      <c r="AB236" s="0" t="inlineStr">
        <is>
          <t>인천시</t>
        </is>
      </c>
      <c r="AC236" s="0" t="inlineStr">
        <is>
          <t>계양구</t>
        </is>
      </c>
      <c r="AD236" s="0" t="inlineStr">
        <is>
          <t>계산동</t>
        </is>
      </c>
      <c r="AG236" s="0" t="inlineStr">
        <is>
          <t>인천시 계양구 주부토로 478-2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[귤현동]</t>
        </is>
      </c>
      <c r="B237" s="0" t="n">
        <v>103843</v>
      </c>
      <c r="C237" s="0" t="n">
        <v>1</v>
      </c>
      <c r="D237" s="0" t="inlineStr">
        <is>
          <t>계양센트레빌3단지</t>
        </is>
      </c>
      <c r="E237" s="0" t="inlineStr">
        <is>
          <t>2013.06.</t>
        </is>
      </c>
      <c r="F237" s="0" t="n">
        <v>454</v>
      </c>
      <c r="G237" s="0" t="n">
        <v>33.91</v>
      </c>
      <c r="H237" s="0" t="n">
        <v>112.11</v>
      </c>
      <c r="I237" s="0" t="n">
        <v>25.7</v>
      </c>
      <c r="J237" s="0" t="n">
        <v>84.98</v>
      </c>
      <c r="K237" s="0" t="n">
        <v>79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112B</t>
        </is>
      </c>
      <c r="X237" s="0" t="n">
        <v>15</v>
      </c>
      <c r="Y237" s="0" t="n">
        <v>13</v>
      </c>
      <c r="Z237" s="0" t="inlineStr">
        <is>
          <t>https://new.land.naver.com/complexes/103843?tab=detail&amp;rf=Y</t>
        </is>
      </c>
      <c r="AA237" s="0" t="inlineStr">
        <is>
          <t>인천시 계양구 귤현동 533</t>
        </is>
      </c>
      <c r="AB237" s="0" t="inlineStr">
        <is>
          <t>인천시</t>
        </is>
      </c>
      <c r="AC237" s="0" t="inlineStr">
        <is>
          <t>계양구</t>
        </is>
      </c>
      <c r="AD237" s="0" t="inlineStr">
        <is>
          <t>귤현동</t>
        </is>
      </c>
      <c r="AG237" s="0" t="inlineStr">
        <is>
          <t>인천시 계양구 형제봉길 1</t>
        </is>
      </c>
      <c r="AH237" s="0" t="n">
        <v>0</v>
      </c>
      <c r="AI237" s="0" t="n">
        <v>181</v>
      </c>
      <c r="AJ237" s="0" t="n">
        <v>21</v>
      </c>
      <c r="AK237" s="0" t="n">
        <v>677</v>
      </c>
      <c r="AL237" s="0" t="n">
        <v>1.49</v>
      </c>
    </row>
    <row r="238">
      <c r="A238" s="0" t="inlineStr">
        <is>
          <t>[귤현동]</t>
        </is>
      </c>
      <c r="B238" s="0" t="n">
        <v>103843</v>
      </c>
      <c r="C238" s="0" t="n">
        <v>2</v>
      </c>
      <c r="D238" s="0" t="inlineStr">
        <is>
          <t>계양센트레빌3단지</t>
        </is>
      </c>
      <c r="E238" s="0" t="inlineStr">
        <is>
          <t>2013.06.</t>
        </is>
      </c>
      <c r="F238" s="0" t="n">
        <v>454</v>
      </c>
      <c r="G238" s="0" t="n">
        <v>33.95</v>
      </c>
      <c r="H238" s="0" t="n">
        <v>112.26</v>
      </c>
      <c r="I238" s="0" t="n">
        <v>25.68</v>
      </c>
      <c r="J238" s="0" t="n">
        <v>84.92</v>
      </c>
      <c r="K238" s="0" t="n">
        <v>66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</t>
        </is>
      </c>
      <c r="X238" s="0" t="n">
        <v>15</v>
      </c>
      <c r="Y238" s="0" t="n">
        <v>13</v>
      </c>
      <c r="Z238" s="0" t="inlineStr">
        <is>
          <t>https://new.land.naver.com/complexes/103843?tab=detail&amp;rf=Y</t>
        </is>
      </c>
      <c r="AA238" s="0" t="inlineStr">
        <is>
          <t>인천시 계양구 귤현동 533</t>
        </is>
      </c>
      <c r="AB238" s="0" t="inlineStr">
        <is>
          <t>인천시</t>
        </is>
      </c>
      <c r="AC238" s="0" t="inlineStr">
        <is>
          <t>계양구</t>
        </is>
      </c>
      <c r="AD238" s="0" t="inlineStr">
        <is>
          <t>귤현동</t>
        </is>
      </c>
      <c r="AG238" s="0" t="inlineStr">
        <is>
          <t>인천시 계양구 형제봉길 1</t>
        </is>
      </c>
      <c r="AH238" s="0" t="n">
        <v>0</v>
      </c>
      <c r="AI238" s="0" t="n">
        <v>181</v>
      </c>
      <c r="AJ238" s="0" t="n">
        <v>21</v>
      </c>
      <c r="AK238" s="0" t="n">
        <v>677</v>
      </c>
      <c r="AL238" s="0" t="n">
        <v>1.49</v>
      </c>
    </row>
    <row r="239">
      <c r="A239" s="0" t="inlineStr">
        <is>
          <t>[귤현동]</t>
        </is>
      </c>
      <c r="B239" s="0" t="n">
        <v>103843</v>
      </c>
      <c r="C239" s="0" t="n">
        <v>3</v>
      </c>
      <c r="D239" s="0" t="inlineStr">
        <is>
          <t>계양센트레빌3단지</t>
        </is>
      </c>
      <c r="E239" s="0" t="inlineStr">
        <is>
          <t>2013.06.</t>
        </is>
      </c>
      <c r="F239" s="0" t="n">
        <v>454</v>
      </c>
      <c r="G239" s="0" t="n">
        <v>34.02</v>
      </c>
      <c r="H239" s="0" t="n">
        <v>112.49</v>
      </c>
      <c r="I239" s="0" t="n">
        <v>25.7</v>
      </c>
      <c r="J239" s="0" t="n">
        <v>84.95999999999999</v>
      </c>
      <c r="K239" s="0" t="n">
        <v>50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112C</t>
        </is>
      </c>
      <c r="X239" s="0" t="n">
        <v>15</v>
      </c>
      <c r="Y239" s="0" t="n">
        <v>13</v>
      </c>
      <c r="Z239" s="0" t="inlineStr">
        <is>
          <t>https://new.land.naver.com/complexes/103843?tab=detail&amp;rf=Y</t>
        </is>
      </c>
      <c r="AA239" s="0" t="inlineStr">
        <is>
          <t>인천시 계양구 귤현동 533</t>
        </is>
      </c>
      <c r="AB239" s="0" t="inlineStr">
        <is>
          <t>인천시</t>
        </is>
      </c>
      <c r="AC239" s="0" t="inlineStr">
        <is>
          <t>계양구</t>
        </is>
      </c>
      <c r="AD239" s="0" t="inlineStr">
        <is>
          <t>귤현동</t>
        </is>
      </c>
      <c r="AG239" s="0" t="inlineStr">
        <is>
          <t>인천시 계양구 형제봉길 1</t>
        </is>
      </c>
      <c r="AH239" s="0" t="n">
        <v>0</v>
      </c>
      <c r="AI239" s="0" t="n">
        <v>181</v>
      </c>
      <c r="AJ239" s="0" t="n">
        <v>21</v>
      </c>
      <c r="AK239" s="0" t="n">
        <v>677</v>
      </c>
      <c r="AL239" s="0" t="n">
        <v>1.49</v>
      </c>
    </row>
    <row r="240">
      <c r="A240" s="0" t="inlineStr">
        <is>
          <t>[귤현동]</t>
        </is>
      </c>
      <c r="B240" s="0" t="n">
        <v>103843</v>
      </c>
      <c r="C240" s="0" t="n">
        <v>4</v>
      </c>
      <c r="D240" s="0" t="inlineStr">
        <is>
          <t>계양센트레빌3단지</t>
        </is>
      </c>
      <c r="E240" s="0" t="inlineStr">
        <is>
          <t>2013.06.</t>
        </is>
      </c>
      <c r="F240" s="0" t="n">
        <v>454</v>
      </c>
      <c r="G240" s="0" t="n">
        <v>39.94</v>
      </c>
      <c r="H240" s="0" t="n">
        <v>132.06</v>
      </c>
      <c r="I240" s="0" t="n">
        <v>30.81</v>
      </c>
      <c r="J240" s="0" t="n">
        <v>101.86</v>
      </c>
      <c r="K240" s="0" t="n">
        <v>109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132</v>
      </c>
      <c r="X240" s="0" t="n">
        <v>15</v>
      </c>
      <c r="Y240" s="0" t="n">
        <v>13</v>
      </c>
      <c r="Z240" s="0" t="inlineStr">
        <is>
          <t>https://new.land.naver.com/complexes/103843?tab=detail&amp;rf=Y</t>
        </is>
      </c>
      <c r="AA240" s="0" t="inlineStr">
        <is>
          <t>인천시 계양구 귤현동 533</t>
        </is>
      </c>
      <c r="AB240" s="0" t="inlineStr">
        <is>
          <t>인천시</t>
        </is>
      </c>
      <c r="AC240" s="0" t="inlineStr">
        <is>
          <t>계양구</t>
        </is>
      </c>
      <c r="AD240" s="0" t="inlineStr">
        <is>
          <t>귤현동</t>
        </is>
      </c>
      <c r="AG240" s="0" t="inlineStr">
        <is>
          <t>인천시 계양구 형제봉길 1</t>
        </is>
      </c>
      <c r="AH240" s="0" t="n">
        <v>0</v>
      </c>
      <c r="AI240" s="0" t="n">
        <v>181</v>
      </c>
      <c r="AJ240" s="0" t="n">
        <v>21</v>
      </c>
      <c r="AK240" s="0" t="n">
        <v>677</v>
      </c>
      <c r="AL240" s="0" t="n">
        <v>1.49</v>
      </c>
    </row>
    <row r="241">
      <c r="A241" s="0" t="inlineStr">
        <is>
          <t>[귤현동]</t>
        </is>
      </c>
      <c r="B241" s="0" t="n">
        <v>103843</v>
      </c>
      <c r="C241" s="0" t="n">
        <v>5</v>
      </c>
      <c r="D241" s="0" t="inlineStr">
        <is>
          <t>계양센트레빌3단지</t>
        </is>
      </c>
      <c r="E241" s="0" t="inlineStr">
        <is>
          <t>2013.06.</t>
        </is>
      </c>
      <c r="F241" s="0" t="n">
        <v>454</v>
      </c>
      <c r="G241" s="0" t="n">
        <v>46.29</v>
      </c>
      <c r="H241" s="0" t="n">
        <v>153.05</v>
      </c>
      <c r="I241" s="0" t="n">
        <v>36.8</v>
      </c>
      <c r="J241" s="0" t="n">
        <v>121.67</v>
      </c>
      <c r="K241" s="0" t="n">
        <v>62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153A</t>
        </is>
      </c>
      <c r="X241" s="0" t="n">
        <v>15</v>
      </c>
      <c r="Y241" s="0" t="n">
        <v>13</v>
      </c>
      <c r="Z241" s="0" t="inlineStr">
        <is>
          <t>https://new.land.naver.com/complexes/103843?tab=detail&amp;rf=Y</t>
        </is>
      </c>
      <c r="AA241" s="0" t="inlineStr">
        <is>
          <t>인천시 계양구 귤현동 533</t>
        </is>
      </c>
      <c r="AB241" s="0" t="inlineStr">
        <is>
          <t>인천시</t>
        </is>
      </c>
      <c r="AC241" s="0" t="inlineStr">
        <is>
          <t>계양구</t>
        </is>
      </c>
      <c r="AD241" s="0" t="inlineStr">
        <is>
          <t>귤현동</t>
        </is>
      </c>
      <c r="AG241" s="0" t="inlineStr">
        <is>
          <t>인천시 계양구 형제봉길 1</t>
        </is>
      </c>
      <c r="AH241" s="0" t="n">
        <v>0</v>
      </c>
      <c r="AI241" s="0" t="n">
        <v>181</v>
      </c>
      <c r="AJ241" s="0" t="n">
        <v>21</v>
      </c>
      <c r="AK241" s="0" t="n">
        <v>677</v>
      </c>
      <c r="AL241" s="0" t="n">
        <v>1.49</v>
      </c>
    </row>
    <row r="242">
      <c r="A242" s="0" t="inlineStr">
        <is>
          <t>[귤현동]</t>
        </is>
      </c>
      <c r="B242" s="0" t="n">
        <v>103843</v>
      </c>
      <c r="C242" s="0" t="n">
        <v>6</v>
      </c>
      <c r="D242" s="0" t="inlineStr">
        <is>
          <t>계양센트레빌3단지</t>
        </is>
      </c>
      <c r="E242" s="0" t="inlineStr">
        <is>
          <t>2013.06.</t>
        </is>
      </c>
      <c r="F242" s="0" t="n">
        <v>454</v>
      </c>
      <c r="G242" s="0" t="n">
        <v>46.29</v>
      </c>
      <c r="H242" s="0" t="n">
        <v>153.04</v>
      </c>
      <c r="I242" s="0" t="n">
        <v>36.64</v>
      </c>
      <c r="J242" s="0" t="n">
        <v>121.15</v>
      </c>
      <c r="K242" s="0" t="n">
        <v>12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153B</t>
        </is>
      </c>
      <c r="X242" s="0" t="n">
        <v>15</v>
      </c>
      <c r="Y242" s="0" t="n">
        <v>13</v>
      </c>
      <c r="Z242" s="0" t="inlineStr">
        <is>
          <t>https://new.land.naver.com/complexes/103843?tab=detail&amp;rf=Y</t>
        </is>
      </c>
      <c r="AA242" s="0" t="inlineStr">
        <is>
          <t>인천시 계양구 귤현동 533</t>
        </is>
      </c>
      <c r="AB242" s="0" t="inlineStr">
        <is>
          <t>인천시</t>
        </is>
      </c>
      <c r="AC242" s="0" t="inlineStr">
        <is>
          <t>계양구</t>
        </is>
      </c>
      <c r="AD242" s="0" t="inlineStr">
        <is>
          <t>귤현동</t>
        </is>
      </c>
      <c r="AG242" s="0" t="inlineStr">
        <is>
          <t>인천시 계양구 형제봉길 1</t>
        </is>
      </c>
      <c r="AH242" s="0" t="n">
        <v>0</v>
      </c>
      <c r="AI242" s="0" t="n">
        <v>181</v>
      </c>
      <c r="AJ242" s="0" t="n">
        <v>21</v>
      </c>
      <c r="AK242" s="0" t="n">
        <v>677</v>
      </c>
      <c r="AL242" s="0" t="n">
        <v>1.49</v>
      </c>
    </row>
    <row r="243">
      <c r="A243" s="0" t="inlineStr">
        <is>
          <t>[귤현동]</t>
        </is>
      </c>
      <c r="B243" s="0" t="n">
        <v>103843</v>
      </c>
      <c r="C243" s="0" t="n">
        <v>7</v>
      </c>
      <c r="D243" s="0" t="inlineStr">
        <is>
          <t>계양센트레빌3단지</t>
        </is>
      </c>
      <c r="E243" s="0" t="inlineStr">
        <is>
          <t>2013.06.</t>
        </is>
      </c>
      <c r="F243" s="0" t="n">
        <v>454</v>
      </c>
      <c r="G243" s="0" t="n">
        <v>53.63</v>
      </c>
      <c r="H243" s="0" t="n">
        <v>177.29</v>
      </c>
      <c r="I243" s="0" t="n">
        <v>44.13</v>
      </c>
      <c r="J243" s="0" t="n">
        <v>145.89</v>
      </c>
      <c r="K243" s="0" t="n">
        <v>50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177A</t>
        </is>
      </c>
      <c r="X243" s="0" t="n">
        <v>15</v>
      </c>
      <c r="Y243" s="0" t="n">
        <v>13</v>
      </c>
      <c r="Z243" s="0" t="inlineStr">
        <is>
          <t>https://new.land.naver.com/complexes/103843?tab=detail&amp;rf=Y</t>
        </is>
      </c>
      <c r="AA243" s="0" t="inlineStr">
        <is>
          <t>인천시 계양구 귤현동 533</t>
        </is>
      </c>
      <c r="AB243" s="0" t="inlineStr">
        <is>
          <t>인천시</t>
        </is>
      </c>
      <c r="AC243" s="0" t="inlineStr">
        <is>
          <t>계양구</t>
        </is>
      </c>
      <c r="AD243" s="0" t="inlineStr">
        <is>
          <t>귤현동</t>
        </is>
      </c>
      <c r="AG243" s="0" t="inlineStr">
        <is>
          <t>인천시 계양구 형제봉길 1</t>
        </is>
      </c>
      <c r="AH243" s="0" t="n">
        <v>0</v>
      </c>
      <c r="AI243" s="0" t="n">
        <v>181</v>
      </c>
      <c r="AJ243" s="0" t="n">
        <v>21</v>
      </c>
      <c r="AK243" s="0" t="n">
        <v>677</v>
      </c>
      <c r="AL243" s="0" t="n">
        <v>1.49</v>
      </c>
    </row>
    <row r="244">
      <c r="A244" s="0" t="inlineStr">
        <is>
          <t>[귤현동]</t>
        </is>
      </c>
      <c r="B244" s="0" t="n">
        <v>103843</v>
      </c>
      <c r="C244" s="0" t="n">
        <v>8</v>
      </c>
      <c r="D244" s="0" t="inlineStr">
        <is>
          <t>계양센트레빌3단지</t>
        </is>
      </c>
      <c r="E244" s="0" t="inlineStr">
        <is>
          <t>2013.06.</t>
        </is>
      </c>
      <c r="F244" s="0" t="n">
        <v>454</v>
      </c>
      <c r="G244" s="0" t="n">
        <v>53.62</v>
      </c>
      <c r="H244" s="0" t="n">
        <v>177.28</v>
      </c>
      <c r="I244" s="0" t="n">
        <v>44.09</v>
      </c>
      <c r="J244" s="0" t="n">
        <v>145.77</v>
      </c>
      <c r="K244" s="0" t="n">
        <v>26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177B</t>
        </is>
      </c>
      <c r="X244" s="0" t="n">
        <v>15</v>
      </c>
      <c r="Y244" s="0" t="n">
        <v>13</v>
      </c>
      <c r="Z244" s="0" t="inlineStr">
        <is>
          <t>https://new.land.naver.com/complexes/103843?tab=detail&amp;rf=Y</t>
        </is>
      </c>
      <c r="AA244" s="0" t="inlineStr">
        <is>
          <t>인천시 계양구 귤현동 533</t>
        </is>
      </c>
      <c r="AB244" s="0" t="inlineStr">
        <is>
          <t>인천시</t>
        </is>
      </c>
      <c r="AC244" s="0" t="inlineStr">
        <is>
          <t>계양구</t>
        </is>
      </c>
      <c r="AD244" s="0" t="inlineStr">
        <is>
          <t>귤현동</t>
        </is>
      </c>
      <c r="AG244" s="0" t="inlineStr">
        <is>
          <t>인천시 계양구 형제봉길 1</t>
        </is>
      </c>
      <c r="AH244" s="0" t="n">
        <v>0</v>
      </c>
      <c r="AI244" s="0" t="n">
        <v>181</v>
      </c>
      <c r="AJ244" s="0" t="n">
        <v>21</v>
      </c>
      <c r="AK244" s="0" t="n">
        <v>677</v>
      </c>
      <c r="AL244" s="0" t="n">
        <v>1.49</v>
      </c>
    </row>
    <row r="245">
      <c r="A245" s="0" t="inlineStr">
        <is>
          <t>[귤현동]</t>
        </is>
      </c>
      <c r="B245" s="0" t="n">
        <v>11032</v>
      </c>
      <c r="C245" s="0" t="n">
        <v>1</v>
      </c>
      <c r="D245" s="0" t="inlineStr">
        <is>
          <t>귤현IPARK</t>
        </is>
      </c>
      <c r="E245" s="0" t="inlineStr">
        <is>
          <t>2004.10.</t>
        </is>
      </c>
      <c r="F245" s="0" t="n">
        <v>394</v>
      </c>
      <c r="G245" s="0" t="n">
        <v>32</v>
      </c>
      <c r="H245" s="0" t="n">
        <v>105.79</v>
      </c>
      <c r="I245" s="0" t="n">
        <v>25.7</v>
      </c>
      <c r="J245" s="0" t="n">
        <v>84.98</v>
      </c>
      <c r="K245" s="0" t="n">
        <v>394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105</v>
      </c>
      <c r="X245" s="0" t="n">
        <v>15</v>
      </c>
      <c r="Y245" s="0" t="n">
        <v>7</v>
      </c>
      <c r="Z245" s="0" t="inlineStr">
        <is>
          <t>https://new.land.naver.com/complexes/11032?tab=detail&amp;rf=Y</t>
        </is>
      </c>
      <c r="AA245" s="0" t="inlineStr">
        <is>
          <t>인천시 계양구 귤현동 489</t>
        </is>
      </c>
      <c r="AB245" s="0" t="inlineStr">
        <is>
          <t>인천시</t>
        </is>
      </c>
      <c r="AC245" s="0" t="inlineStr">
        <is>
          <t>계양구</t>
        </is>
      </c>
      <c r="AD245" s="0" t="inlineStr">
        <is>
          <t>귤현동</t>
        </is>
      </c>
      <c r="AG245" s="0" t="inlineStr">
        <is>
          <t>인천시 계양구 장군봉길 12</t>
        </is>
      </c>
      <c r="AH245" s="0" t="n">
        <v>0</v>
      </c>
      <c r="AI245" s="0" t="n">
        <v>199</v>
      </c>
      <c r="AJ245" s="0" t="n">
        <v>18</v>
      </c>
      <c r="AK245" s="0" t="n">
        <v>399</v>
      </c>
      <c r="AL245" s="0" t="n">
        <v>1.01</v>
      </c>
    </row>
    <row r="246">
      <c r="A246" s="0" t="inlineStr">
        <is>
          <t>[귤현동]</t>
        </is>
      </c>
      <c r="B246" s="0" t="n">
        <v>103841</v>
      </c>
      <c r="C246" s="0" t="n">
        <v>1</v>
      </c>
      <c r="D246" s="0" t="inlineStr">
        <is>
          <t>계양센트레빌2단지</t>
        </is>
      </c>
      <c r="E246" s="0" t="inlineStr">
        <is>
          <t>2013.06.</t>
        </is>
      </c>
      <c r="F246" s="0" t="n">
        <v>256</v>
      </c>
      <c r="G246" s="0" t="n">
        <v>33.51</v>
      </c>
      <c r="H246" s="0" t="n">
        <v>110.8</v>
      </c>
      <c r="I246" s="0" t="n">
        <v>25.7</v>
      </c>
      <c r="J246" s="0" t="n">
        <v>84.98</v>
      </c>
      <c r="K246" s="0" t="n">
        <v>79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110B</t>
        </is>
      </c>
      <c r="X246" s="0" t="n">
        <v>15</v>
      </c>
      <c r="Y246" s="0" t="n">
        <v>13</v>
      </c>
      <c r="Z246" s="0" t="inlineStr">
        <is>
          <t>https://new.land.naver.com/complexes/103841?tab=detail&amp;rf=Y</t>
        </is>
      </c>
      <c r="AA246" s="0" t="inlineStr">
        <is>
          <t>인천시 계양구 귤현동 532</t>
        </is>
      </c>
      <c r="AB246" s="0" t="inlineStr">
        <is>
          <t>인천시</t>
        </is>
      </c>
      <c r="AC246" s="0" t="inlineStr">
        <is>
          <t>계양구</t>
        </is>
      </c>
      <c r="AD246" s="0" t="inlineStr">
        <is>
          <t>귤현동</t>
        </is>
      </c>
      <c r="AG246" s="0" t="inlineStr">
        <is>
          <t>인천시 계양구 형제봉길 50</t>
        </is>
      </c>
      <c r="AH246" s="0" t="n">
        <v>0</v>
      </c>
      <c r="AI246" s="0" t="n">
        <v>166</v>
      </c>
      <c r="AJ246" s="0" t="n">
        <v>18</v>
      </c>
      <c r="AK246" s="0" t="n">
        <v>393</v>
      </c>
      <c r="AL246" s="0" t="n">
        <v>1.54</v>
      </c>
    </row>
    <row r="247">
      <c r="A247" s="0" t="inlineStr">
        <is>
          <t>[귤현동]</t>
        </is>
      </c>
      <c r="B247" s="0" t="n">
        <v>103841</v>
      </c>
      <c r="C247" s="0" t="n">
        <v>2</v>
      </c>
      <c r="D247" s="0" t="inlineStr">
        <is>
          <t>계양센트레빌2단지</t>
        </is>
      </c>
      <c r="E247" s="0" t="inlineStr">
        <is>
          <t>2013.06.</t>
        </is>
      </c>
      <c r="F247" s="0" t="n">
        <v>256</v>
      </c>
      <c r="G247" s="0" t="n">
        <v>33.56</v>
      </c>
      <c r="H247" s="0" t="n">
        <v>110.95</v>
      </c>
      <c r="I247" s="0" t="n">
        <v>25.68</v>
      </c>
      <c r="J247" s="0" t="n">
        <v>84.92</v>
      </c>
      <c r="K247" s="0" t="n">
        <v>53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110A</t>
        </is>
      </c>
      <c r="X247" s="0" t="n">
        <v>15</v>
      </c>
      <c r="Y247" s="0" t="n">
        <v>13</v>
      </c>
      <c r="Z247" s="0" t="inlineStr">
        <is>
          <t>https://new.land.naver.com/complexes/103841?tab=detail&amp;rf=Y</t>
        </is>
      </c>
      <c r="AA247" s="0" t="inlineStr">
        <is>
          <t>인천시 계양구 귤현동 532</t>
        </is>
      </c>
      <c r="AB247" s="0" t="inlineStr">
        <is>
          <t>인천시</t>
        </is>
      </c>
      <c r="AC247" s="0" t="inlineStr">
        <is>
          <t>계양구</t>
        </is>
      </c>
      <c r="AD247" s="0" t="inlineStr">
        <is>
          <t>귤현동</t>
        </is>
      </c>
      <c r="AG247" s="0" t="inlineStr">
        <is>
          <t>인천시 계양구 형제봉길 50</t>
        </is>
      </c>
      <c r="AH247" s="0" t="n">
        <v>0</v>
      </c>
      <c r="AI247" s="0" t="n">
        <v>166</v>
      </c>
      <c r="AJ247" s="0" t="n">
        <v>18</v>
      </c>
      <c r="AK247" s="0" t="n">
        <v>393</v>
      </c>
      <c r="AL247" s="0" t="n">
        <v>1.54</v>
      </c>
    </row>
    <row r="248">
      <c r="A248" s="0" t="inlineStr">
        <is>
          <t>[귤현동]</t>
        </is>
      </c>
      <c r="B248" s="0" t="n">
        <v>103841</v>
      </c>
      <c r="C248" s="0" t="n">
        <v>3</v>
      </c>
      <c r="D248" s="0" t="inlineStr">
        <is>
          <t>계양센트레빌2단지</t>
        </is>
      </c>
      <c r="E248" s="0" t="inlineStr">
        <is>
          <t>2013.06.</t>
        </is>
      </c>
      <c r="F248" s="0" t="n">
        <v>256</v>
      </c>
      <c r="G248" s="0" t="n">
        <v>33.63</v>
      </c>
      <c r="H248" s="0" t="n">
        <v>111.19</v>
      </c>
      <c r="I248" s="0" t="n">
        <v>25.7</v>
      </c>
      <c r="J248" s="0" t="n">
        <v>84.95999999999999</v>
      </c>
      <c r="K248" s="0" t="n">
        <v>26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111C</t>
        </is>
      </c>
      <c r="X248" s="0" t="n">
        <v>15</v>
      </c>
      <c r="Y248" s="0" t="n">
        <v>13</v>
      </c>
      <c r="Z248" s="0" t="inlineStr">
        <is>
          <t>https://new.land.naver.com/complexes/103841?tab=detail&amp;rf=Y</t>
        </is>
      </c>
      <c r="AA248" s="0" t="inlineStr">
        <is>
          <t>인천시 계양구 귤현동 532</t>
        </is>
      </c>
      <c r="AB248" s="0" t="inlineStr">
        <is>
          <t>인천시</t>
        </is>
      </c>
      <c r="AC248" s="0" t="inlineStr">
        <is>
          <t>계양구</t>
        </is>
      </c>
      <c r="AD248" s="0" t="inlineStr">
        <is>
          <t>귤현동</t>
        </is>
      </c>
      <c r="AG248" s="0" t="inlineStr">
        <is>
          <t>인천시 계양구 형제봉길 50</t>
        </is>
      </c>
      <c r="AH248" s="0" t="n">
        <v>0</v>
      </c>
      <c r="AI248" s="0" t="n">
        <v>166</v>
      </c>
      <c r="AJ248" s="0" t="n">
        <v>18</v>
      </c>
      <c r="AK248" s="0" t="n">
        <v>393</v>
      </c>
      <c r="AL248" s="0" t="n">
        <v>1.54</v>
      </c>
    </row>
    <row r="249">
      <c r="A249" s="0" t="inlineStr">
        <is>
          <t>[귤현동]</t>
        </is>
      </c>
      <c r="B249" s="0" t="n">
        <v>103841</v>
      </c>
      <c r="C249" s="0" t="n">
        <v>4</v>
      </c>
      <c r="D249" s="0" t="inlineStr">
        <is>
          <t>계양센트레빌2단지</t>
        </is>
      </c>
      <c r="E249" s="0" t="inlineStr">
        <is>
          <t>2013.06.</t>
        </is>
      </c>
      <c r="F249" s="0" t="n">
        <v>256</v>
      </c>
      <c r="G249" s="0" t="n">
        <v>40.01</v>
      </c>
      <c r="H249" s="0" t="n">
        <v>132.29</v>
      </c>
      <c r="I249" s="0" t="n">
        <v>30.81</v>
      </c>
      <c r="J249" s="0" t="n">
        <v>101.86</v>
      </c>
      <c r="K249" s="0" t="n">
        <v>54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132</v>
      </c>
      <c r="X249" s="0" t="n">
        <v>15</v>
      </c>
      <c r="Y249" s="0" t="n">
        <v>13</v>
      </c>
      <c r="Z249" s="0" t="inlineStr">
        <is>
          <t>https://new.land.naver.com/complexes/103841?tab=detail&amp;rf=Y</t>
        </is>
      </c>
      <c r="AA249" s="0" t="inlineStr">
        <is>
          <t>인천시 계양구 귤현동 532</t>
        </is>
      </c>
      <c r="AB249" s="0" t="inlineStr">
        <is>
          <t>인천시</t>
        </is>
      </c>
      <c r="AC249" s="0" t="inlineStr">
        <is>
          <t>계양구</t>
        </is>
      </c>
      <c r="AD249" s="0" t="inlineStr">
        <is>
          <t>귤현동</t>
        </is>
      </c>
      <c r="AG249" s="0" t="inlineStr">
        <is>
          <t>인천시 계양구 형제봉길 50</t>
        </is>
      </c>
      <c r="AH249" s="0" t="n">
        <v>0</v>
      </c>
      <c r="AI249" s="0" t="n">
        <v>166</v>
      </c>
      <c r="AJ249" s="0" t="n">
        <v>18</v>
      </c>
      <c r="AK249" s="0" t="n">
        <v>393</v>
      </c>
      <c r="AL249" s="0" t="n">
        <v>1.54</v>
      </c>
    </row>
    <row r="250">
      <c r="A250" s="0" t="inlineStr">
        <is>
          <t>[귤현동]</t>
        </is>
      </c>
      <c r="B250" s="0" t="n">
        <v>103841</v>
      </c>
      <c r="C250" s="0" t="n">
        <v>5</v>
      </c>
      <c r="D250" s="0" t="inlineStr">
        <is>
          <t>계양센트레빌2단지</t>
        </is>
      </c>
      <c r="E250" s="0" t="inlineStr">
        <is>
          <t>2013.06.</t>
        </is>
      </c>
      <c r="F250" s="0" t="n">
        <v>256</v>
      </c>
      <c r="G250" s="0" t="n">
        <v>45.48</v>
      </c>
      <c r="H250" s="0" t="n">
        <v>150.36</v>
      </c>
      <c r="I250" s="0" t="n">
        <v>36.8</v>
      </c>
      <c r="J250" s="0" t="n">
        <v>121.67</v>
      </c>
      <c r="K250" s="0" t="n">
        <v>30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150A</t>
        </is>
      </c>
      <c r="X250" s="0" t="n">
        <v>15</v>
      </c>
      <c r="Y250" s="0" t="n">
        <v>13</v>
      </c>
      <c r="Z250" s="0" t="inlineStr">
        <is>
          <t>https://new.land.naver.com/complexes/103841?tab=detail&amp;rf=Y</t>
        </is>
      </c>
      <c r="AA250" s="0" t="inlineStr">
        <is>
          <t>인천시 계양구 귤현동 532</t>
        </is>
      </c>
      <c r="AB250" s="0" t="inlineStr">
        <is>
          <t>인천시</t>
        </is>
      </c>
      <c r="AC250" s="0" t="inlineStr">
        <is>
          <t>계양구</t>
        </is>
      </c>
      <c r="AD250" s="0" t="inlineStr">
        <is>
          <t>귤현동</t>
        </is>
      </c>
      <c r="AG250" s="0" t="inlineStr">
        <is>
          <t>인천시 계양구 형제봉길 50</t>
        </is>
      </c>
      <c r="AH250" s="0" t="n">
        <v>0</v>
      </c>
      <c r="AI250" s="0" t="n">
        <v>166</v>
      </c>
      <c r="AJ250" s="0" t="n">
        <v>18</v>
      </c>
      <c r="AK250" s="0" t="n">
        <v>393</v>
      </c>
      <c r="AL250" s="0" t="n">
        <v>1.54</v>
      </c>
    </row>
    <row r="251">
      <c r="A251" s="0" t="inlineStr">
        <is>
          <t>[귤현동]</t>
        </is>
      </c>
      <c r="B251" s="0" t="n">
        <v>103841</v>
      </c>
      <c r="C251" s="0" t="n">
        <v>6</v>
      </c>
      <c r="D251" s="0" t="inlineStr">
        <is>
          <t>계양센트레빌2단지</t>
        </is>
      </c>
      <c r="E251" s="0" t="inlineStr">
        <is>
          <t>2013.06.</t>
        </is>
      </c>
      <c r="F251" s="0" t="n">
        <v>256</v>
      </c>
      <c r="G251" s="0" t="n">
        <v>45.48</v>
      </c>
      <c r="H251" s="0" t="n">
        <v>150.36</v>
      </c>
      <c r="I251" s="0" t="n">
        <v>36.64</v>
      </c>
      <c r="J251" s="0" t="n">
        <v>121.15</v>
      </c>
      <c r="K251" s="0" t="n">
        <v>14</v>
      </c>
      <c r="T251" s="0" t="n">
        <v>4</v>
      </c>
      <c r="U251" s="0" t="n">
        <v>2</v>
      </c>
      <c r="V251" s="0" t="inlineStr">
        <is>
          <t>계단식</t>
        </is>
      </c>
      <c r="W251" s="0" t="inlineStr">
        <is>
          <t>150B</t>
        </is>
      </c>
      <c r="X251" s="0" t="n">
        <v>15</v>
      </c>
      <c r="Y251" s="0" t="n">
        <v>13</v>
      </c>
      <c r="Z251" s="0" t="inlineStr">
        <is>
          <t>https://new.land.naver.com/complexes/103841?tab=detail&amp;rf=Y</t>
        </is>
      </c>
      <c r="AA251" s="0" t="inlineStr">
        <is>
          <t>인천시 계양구 귤현동 532</t>
        </is>
      </c>
      <c r="AB251" s="0" t="inlineStr">
        <is>
          <t>인천시</t>
        </is>
      </c>
      <c r="AC251" s="0" t="inlineStr">
        <is>
          <t>계양구</t>
        </is>
      </c>
      <c r="AD251" s="0" t="inlineStr">
        <is>
          <t>귤현동</t>
        </is>
      </c>
      <c r="AG251" s="0" t="inlineStr">
        <is>
          <t>인천시 계양구 형제봉길 50</t>
        </is>
      </c>
      <c r="AH251" s="0" t="n">
        <v>0</v>
      </c>
      <c r="AI251" s="0" t="n">
        <v>166</v>
      </c>
      <c r="AJ251" s="0" t="n">
        <v>18</v>
      </c>
      <c r="AK251" s="0" t="n">
        <v>393</v>
      </c>
      <c r="AL251" s="0" t="n">
        <v>1.54</v>
      </c>
    </row>
    <row r="252">
      <c r="A252" s="0" t="inlineStr">
        <is>
          <t>[귤현동]</t>
        </is>
      </c>
      <c r="B252" s="0" t="n">
        <v>102719</v>
      </c>
      <c r="C252" s="0" t="n">
        <v>1</v>
      </c>
      <c r="D252" s="0" t="inlineStr">
        <is>
          <t>계양센트레빌1단지</t>
        </is>
      </c>
      <c r="E252" s="0" t="inlineStr">
        <is>
          <t>2013.02.</t>
        </is>
      </c>
      <c r="F252" s="0" t="n">
        <v>715</v>
      </c>
      <c r="G252" s="0" t="n">
        <v>33.7</v>
      </c>
      <c r="H252" s="0" t="n">
        <v>111.42</v>
      </c>
      <c r="I252" s="0" t="n">
        <v>25.68</v>
      </c>
      <c r="J252" s="0" t="n">
        <v>84.92</v>
      </c>
      <c r="K252" s="0" t="n">
        <v>221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111A</t>
        </is>
      </c>
      <c r="X252" s="0" t="n">
        <v>15</v>
      </c>
      <c r="Y252" s="0" t="n">
        <v>14</v>
      </c>
      <c r="Z252" s="0" t="inlineStr">
        <is>
          <t>https://new.land.naver.com/complexes/102719?tab=detail&amp;rf=Y</t>
        </is>
      </c>
      <c r="AA252" s="0" t="inlineStr">
        <is>
          <t>인천시 계양구 귤현동 531</t>
        </is>
      </c>
      <c r="AB252" s="0" t="inlineStr">
        <is>
          <t>인천시</t>
        </is>
      </c>
      <c r="AC252" s="0" t="inlineStr">
        <is>
          <t>계양구</t>
        </is>
      </c>
      <c r="AD252" s="0" t="inlineStr">
        <is>
          <t>귤현동</t>
        </is>
      </c>
      <c r="AG252" s="0" t="inlineStr">
        <is>
          <t>인천시 계양구 형제봉길 100</t>
        </is>
      </c>
      <c r="AH252" s="0" t="n">
        <v>0</v>
      </c>
      <c r="AI252" s="0" t="n">
        <v>185</v>
      </c>
      <c r="AJ252" s="0" t="n">
        <v>20</v>
      </c>
      <c r="AK252" s="0" t="n">
        <v>1090</v>
      </c>
      <c r="AL252" s="0" t="n">
        <v>1.52</v>
      </c>
    </row>
    <row r="253">
      <c r="A253" s="0" t="inlineStr">
        <is>
          <t>[귤현동]</t>
        </is>
      </c>
      <c r="B253" s="0" t="n">
        <v>102719</v>
      </c>
      <c r="C253" s="0" t="n">
        <v>2</v>
      </c>
      <c r="D253" s="0" t="inlineStr">
        <is>
          <t>계양센트레빌1단지</t>
        </is>
      </c>
      <c r="E253" s="0" t="inlineStr">
        <is>
          <t>2013.02.</t>
        </is>
      </c>
      <c r="F253" s="0" t="n">
        <v>715</v>
      </c>
      <c r="G253" s="0" t="n">
        <v>33.77</v>
      </c>
      <c r="H253" s="0" t="n">
        <v>111.65</v>
      </c>
      <c r="I253" s="0" t="n">
        <v>25.7</v>
      </c>
      <c r="J253" s="0" t="n">
        <v>84.95999999999999</v>
      </c>
      <c r="K253" s="0" t="n">
        <v>174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111C</t>
        </is>
      </c>
      <c r="X253" s="0" t="n">
        <v>15</v>
      </c>
      <c r="Y253" s="0" t="n">
        <v>14</v>
      </c>
      <c r="Z253" s="0" t="inlineStr">
        <is>
          <t>https://new.land.naver.com/complexes/102719?tab=detail&amp;rf=Y</t>
        </is>
      </c>
      <c r="AA253" s="0" t="inlineStr">
        <is>
          <t>인천시 계양구 귤현동 531</t>
        </is>
      </c>
      <c r="AB253" s="0" t="inlineStr">
        <is>
          <t>인천시</t>
        </is>
      </c>
      <c r="AC253" s="0" t="inlineStr">
        <is>
          <t>계양구</t>
        </is>
      </c>
      <c r="AD253" s="0" t="inlineStr">
        <is>
          <t>귤현동</t>
        </is>
      </c>
      <c r="AG253" s="0" t="inlineStr">
        <is>
          <t>인천시 계양구 형제봉길 100</t>
        </is>
      </c>
      <c r="AH253" s="0" t="n">
        <v>0</v>
      </c>
      <c r="AI253" s="0" t="n">
        <v>185</v>
      </c>
      <c r="AJ253" s="0" t="n">
        <v>20</v>
      </c>
      <c r="AK253" s="0" t="n">
        <v>1090</v>
      </c>
      <c r="AL253" s="0" t="n">
        <v>1.52</v>
      </c>
    </row>
    <row r="254">
      <c r="A254" s="0" t="inlineStr">
        <is>
          <t>[귤현동]</t>
        </is>
      </c>
      <c r="B254" s="0" t="n">
        <v>102719</v>
      </c>
      <c r="C254" s="0" t="n">
        <v>3</v>
      </c>
      <c r="D254" s="0" t="inlineStr">
        <is>
          <t>계양센트레빌1단지</t>
        </is>
      </c>
      <c r="E254" s="0" t="inlineStr">
        <is>
          <t>2013.02.</t>
        </is>
      </c>
      <c r="F254" s="0" t="n">
        <v>715</v>
      </c>
      <c r="G254" s="0" t="n">
        <v>33.65</v>
      </c>
      <c r="H254" s="0" t="n">
        <v>111.27</v>
      </c>
      <c r="I254" s="0" t="n">
        <v>25.7</v>
      </c>
      <c r="J254" s="0" t="n">
        <v>84.98</v>
      </c>
      <c r="K254" s="0" t="n">
        <v>145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111B</t>
        </is>
      </c>
      <c r="X254" s="0" t="n">
        <v>15</v>
      </c>
      <c r="Y254" s="0" t="n">
        <v>14</v>
      </c>
      <c r="Z254" s="0" t="inlineStr">
        <is>
          <t>https://new.land.naver.com/complexes/102719?tab=detail&amp;rf=Y</t>
        </is>
      </c>
      <c r="AA254" s="0" t="inlineStr">
        <is>
          <t>인천시 계양구 귤현동 531</t>
        </is>
      </c>
      <c r="AB254" s="0" t="inlineStr">
        <is>
          <t>인천시</t>
        </is>
      </c>
      <c r="AC254" s="0" t="inlineStr">
        <is>
          <t>계양구</t>
        </is>
      </c>
      <c r="AD254" s="0" t="inlineStr">
        <is>
          <t>귤현동</t>
        </is>
      </c>
      <c r="AG254" s="0" t="inlineStr">
        <is>
          <t>인천시 계양구 형제봉길 100</t>
        </is>
      </c>
      <c r="AH254" s="0" t="n">
        <v>0</v>
      </c>
      <c r="AI254" s="0" t="n">
        <v>185</v>
      </c>
      <c r="AJ254" s="0" t="n">
        <v>20</v>
      </c>
      <c r="AK254" s="0" t="n">
        <v>1090</v>
      </c>
      <c r="AL254" s="0" t="n">
        <v>1.52</v>
      </c>
    </row>
    <row r="255">
      <c r="A255" s="0" t="inlineStr">
        <is>
          <t>[귤현동]</t>
        </is>
      </c>
      <c r="B255" s="0" t="n">
        <v>102719</v>
      </c>
      <c r="C255" s="0" t="n">
        <v>4</v>
      </c>
      <c r="D255" s="0" t="inlineStr">
        <is>
          <t>계양센트레빌1단지</t>
        </is>
      </c>
      <c r="E255" s="0" t="inlineStr">
        <is>
          <t>2013.02.</t>
        </is>
      </c>
      <c r="F255" s="0" t="n">
        <v>715</v>
      </c>
      <c r="G255" s="0" t="n">
        <v>39.79</v>
      </c>
      <c r="H255" s="0" t="n">
        <v>131.57</v>
      </c>
      <c r="I255" s="0" t="n">
        <v>30.81</v>
      </c>
      <c r="J255" s="0" t="n">
        <v>101.86</v>
      </c>
      <c r="K255" s="0" t="n">
        <v>87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131</v>
      </c>
      <c r="X255" s="0" t="n">
        <v>15</v>
      </c>
      <c r="Y255" s="0" t="n">
        <v>14</v>
      </c>
      <c r="Z255" s="0" t="inlineStr">
        <is>
          <t>https://new.land.naver.com/complexes/102719?tab=detail&amp;rf=Y</t>
        </is>
      </c>
      <c r="AA255" s="0" t="inlineStr">
        <is>
          <t>인천시 계양구 귤현동 531</t>
        </is>
      </c>
      <c r="AB255" s="0" t="inlineStr">
        <is>
          <t>인천시</t>
        </is>
      </c>
      <c r="AC255" s="0" t="inlineStr">
        <is>
          <t>계양구</t>
        </is>
      </c>
      <c r="AD255" s="0" t="inlineStr">
        <is>
          <t>귤현동</t>
        </is>
      </c>
      <c r="AG255" s="0" t="inlineStr">
        <is>
          <t>인천시 계양구 형제봉길 100</t>
        </is>
      </c>
      <c r="AH255" s="0" t="n">
        <v>0</v>
      </c>
      <c r="AI255" s="0" t="n">
        <v>185</v>
      </c>
      <c r="AJ255" s="0" t="n">
        <v>20</v>
      </c>
      <c r="AK255" s="0" t="n">
        <v>1090</v>
      </c>
      <c r="AL255" s="0" t="n">
        <v>1.52</v>
      </c>
    </row>
    <row r="256">
      <c r="A256" s="0" t="inlineStr">
        <is>
          <t>[귤현동]</t>
        </is>
      </c>
      <c r="B256" s="0" t="n">
        <v>102719</v>
      </c>
      <c r="C256" s="0" t="n">
        <v>5</v>
      </c>
      <c r="D256" s="0" t="inlineStr">
        <is>
          <t>계양센트레빌1단지</t>
        </is>
      </c>
      <c r="E256" s="0" t="inlineStr">
        <is>
          <t>2013.02.</t>
        </is>
      </c>
      <c r="F256" s="0" t="n">
        <v>715</v>
      </c>
      <c r="G256" s="0" t="n">
        <v>45.48</v>
      </c>
      <c r="H256" s="0" t="n">
        <v>150.38</v>
      </c>
      <c r="I256" s="0" t="n">
        <v>36.8</v>
      </c>
      <c r="J256" s="0" t="n">
        <v>121.67</v>
      </c>
      <c r="K256" s="0" t="n">
        <v>58</v>
      </c>
      <c r="T256" s="0" t="n">
        <v>4</v>
      </c>
      <c r="U256" s="0" t="n">
        <v>2</v>
      </c>
      <c r="V256" s="0" t="inlineStr">
        <is>
          <t>계단식</t>
        </is>
      </c>
      <c r="W256" s="0" t="inlineStr">
        <is>
          <t>150A</t>
        </is>
      </c>
      <c r="X256" s="0" t="n">
        <v>15</v>
      </c>
      <c r="Y256" s="0" t="n">
        <v>14</v>
      </c>
      <c r="Z256" s="0" t="inlineStr">
        <is>
          <t>https://new.land.naver.com/complexes/102719?tab=detail&amp;rf=Y</t>
        </is>
      </c>
      <c r="AA256" s="0" t="inlineStr">
        <is>
          <t>인천시 계양구 귤현동 531</t>
        </is>
      </c>
      <c r="AB256" s="0" t="inlineStr">
        <is>
          <t>인천시</t>
        </is>
      </c>
      <c r="AC256" s="0" t="inlineStr">
        <is>
          <t>계양구</t>
        </is>
      </c>
      <c r="AD256" s="0" t="inlineStr">
        <is>
          <t>귤현동</t>
        </is>
      </c>
      <c r="AG256" s="0" t="inlineStr">
        <is>
          <t>인천시 계양구 형제봉길 100</t>
        </is>
      </c>
      <c r="AH256" s="0" t="n">
        <v>0</v>
      </c>
      <c r="AI256" s="0" t="n">
        <v>185</v>
      </c>
      <c r="AJ256" s="0" t="n">
        <v>20</v>
      </c>
      <c r="AK256" s="0" t="n">
        <v>1090</v>
      </c>
      <c r="AL256" s="0" t="n">
        <v>1.52</v>
      </c>
    </row>
    <row r="257">
      <c r="A257" s="0" t="inlineStr">
        <is>
          <t>[귤현동]</t>
        </is>
      </c>
      <c r="B257" s="0" t="n">
        <v>102719</v>
      </c>
      <c r="C257" s="0" t="n">
        <v>6</v>
      </c>
      <c r="D257" s="0" t="inlineStr">
        <is>
          <t>계양센트레빌1단지</t>
        </is>
      </c>
      <c r="E257" s="0" t="inlineStr">
        <is>
          <t>2013.02.</t>
        </is>
      </c>
      <c r="F257" s="0" t="n">
        <v>715</v>
      </c>
      <c r="G257" s="0" t="n">
        <v>45.48</v>
      </c>
      <c r="H257" s="0" t="n">
        <v>150.38</v>
      </c>
      <c r="I257" s="0" t="n">
        <v>36.64</v>
      </c>
      <c r="J257" s="0" t="n">
        <v>121.15</v>
      </c>
      <c r="K257" s="0" t="n">
        <v>30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150B</t>
        </is>
      </c>
      <c r="X257" s="0" t="n">
        <v>15</v>
      </c>
      <c r="Y257" s="0" t="n">
        <v>14</v>
      </c>
      <c r="Z257" s="0" t="inlineStr">
        <is>
          <t>https://new.land.naver.com/complexes/102719?tab=detail&amp;rf=Y</t>
        </is>
      </c>
      <c r="AA257" s="0" t="inlineStr">
        <is>
          <t>인천시 계양구 귤현동 531</t>
        </is>
      </c>
      <c r="AB257" s="0" t="inlineStr">
        <is>
          <t>인천시</t>
        </is>
      </c>
      <c r="AC257" s="0" t="inlineStr">
        <is>
          <t>계양구</t>
        </is>
      </c>
      <c r="AD257" s="0" t="inlineStr">
        <is>
          <t>귤현동</t>
        </is>
      </c>
      <c r="AG257" s="0" t="inlineStr">
        <is>
          <t>인천시 계양구 형제봉길 100</t>
        </is>
      </c>
      <c r="AH257" s="0" t="n">
        <v>0</v>
      </c>
      <c r="AI257" s="0" t="n">
        <v>185</v>
      </c>
      <c r="AJ257" s="0" t="n">
        <v>20</v>
      </c>
      <c r="AK257" s="0" t="n">
        <v>1090</v>
      </c>
      <c r="AL257" s="0" t="n">
        <v>1.52</v>
      </c>
    </row>
    <row r="258">
      <c r="A258" s="0" t="inlineStr">
        <is>
          <t>[귤현동]</t>
        </is>
      </c>
      <c r="B258" s="0" t="n">
        <v>145112</v>
      </c>
      <c r="C258" s="0" t="n">
        <v>1</v>
      </c>
      <c r="D258" s="0" t="inlineStr">
        <is>
          <t>스마트타운(도시형)</t>
        </is>
      </c>
      <c r="E258" s="0" t="inlineStr">
        <is>
          <t>2017.03.</t>
        </is>
      </c>
      <c r="F258" s="0" t="n">
        <v>45</v>
      </c>
      <c r="G258" s="0" t="n">
        <v>10.98</v>
      </c>
      <c r="H258" s="0" t="n">
        <v>36.32</v>
      </c>
      <c r="I258" s="0" t="n">
        <v>9.16</v>
      </c>
      <c r="J258" s="0" t="n">
        <v>30.3</v>
      </c>
      <c r="K258" s="0" t="n">
        <v>2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36A</t>
        </is>
      </c>
      <c r="X258" s="0" t="n">
        <v>5</v>
      </c>
      <c r="Y258" s="0" t="n">
        <v>2</v>
      </c>
      <c r="Z258" s="0" t="inlineStr">
        <is>
          <t>https://new.land.naver.com/complexes/145112?tab=detail&amp;rf=Y</t>
        </is>
      </c>
      <c r="AA258" s="0" t="inlineStr">
        <is>
          <t>인천시 계양구 귤현동 510-4</t>
        </is>
      </c>
      <c r="AB258" s="0" t="inlineStr">
        <is>
          <t>인천시</t>
        </is>
      </c>
      <c r="AC258" s="0" t="inlineStr">
        <is>
          <t>계양구</t>
        </is>
      </c>
      <c r="AD258" s="0" t="inlineStr">
        <is>
          <t>귤현동</t>
        </is>
      </c>
      <c r="AG258" s="0" t="inlineStr">
        <is>
          <t>인천시 계양구 화단봉길 25-1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1</v>
      </c>
    </row>
    <row r="259">
      <c r="A259" s="0" t="inlineStr">
        <is>
          <t>[귤현동]</t>
        </is>
      </c>
      <c r="B259" s="0" t="n">
        <v>145112</v>
      </c>
      <c r="C259" s="0" t="n">
        <v>2</v>
      </c>
      <c r="D259" s="0" t="inlineStr">
        <is>
          <t>스마트타운(도시형)</t>
        </is>
      </c>
      <c r="E259" s="0" t="inlineStr">
        <is>
          <t>2017.03.</t>
        </is>
      </c>
      <c r="F259" s="0" t="n">
        <v>45</v>
      </c>
      <c r="G259" s="0" t="n">
        <v>11.42</v>
      </c>
      <c r="H259" s="0" t="n">
        <v>37.76</v>
      </c>
      <c r="I259" s="0" t="n">
        <v>9.539999999999999</v>
      </c>
      <c r="J259" s="0" t="n">
        <v>31.54</v>
      </c>
      <c r="K259" s="0" t="n">
        <v>8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37B</t>
        </is>
      </c>
      <c r="X259" s="0" t="n">
        <v>5</v>
      </c>
      <c r="Y259" s="0" t="n">
        <v>2</v>
      </c>
      <c r="Z259" s="0" t="inlineStr">
        <is>
          <t>https://new.land.naver.com/complexes/145112?tab=detail&amp;rf=Y</t>
        </is>
      </c>
      <c r="AA259" s="0" t="inlineStr">
        <is>
          <t>인천시 계양구 귤현동 510-4</t>
        </is>
      </c>
      <c r="AB259" s="0" t="inlineStr">
        <is>
          <t>인천시</t>
        </is>
      </c>
      <c r="AC259" s="0" t="inlineStr">
        <is>
          <t>계양구</t>
        </is>
      </c>
      <c r="AD259" s="0" t="inlineStr">
        <is>
          <t>귤현동</t>
        </is>
      </c>
      <c r="AG259" s="0" t="inlineStr">
        <is>
          <t>인천시 계양구 화단봉길 25-1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1</v>
      </c>
    </row>
    <row r="260">
      <c r="A260" s="0" t="inlineStr">
        <is>
          <t>[귤현동]</t>
        </is>
      </c>
      <c r="B260" s="0" t="n">
        <v>145112</v>
      </c>
      <c r="C260" s="0" t="n">
        <v>3</v>
      </c>
      <c r="D260" s="0" t="inlineStr">
        <is>
          <t>스마트타운(도시형)</t>
        </is>
      </c>
      <c r="E260" s="0" t="inlineStr">
        <is>
          <t>2017.03.</t>
        </is>
      </c>
      <c r="F260" s="0" t="n">
        <v>45</v>
      </c>
      <c r="G260" s="0" t="n">
        <v>11.9</v>
      </c>
      <c r="H260" s="0" t="n">
        <v>39.35</v>
      </c>
      <c r="I260" s="0" t="n">
        <v>9.949999999999999</v>
      </c>
      <c r="J260" s="0" t="n">
        <v>32.91</v>
      </c>
      <c r="K260" s="0" t="n">
        <v>8</v>
      </c>
      <c r="T260" s="0" t="n">
        <v>1</v>
      </c>
      <c r="U260" s="0" t="n">
        <v>1</v>
      </c>
      <c r="V260" s="0" t="inlineStr">
        <is>
          <t>계단식</t>
        </is>
      </c>
      <c r="W260" s="0" t="n">
        <v>39</v>
      </c>
      <c r="X260" s="0" t="n">
        <v>5</v>
      </c>
      <c r="Y260" s="0" t="n">
        <v>2</v>
      </c>
      <c r="Z260" s="0" t="inlineStr">
        <is>
          <t>https://new.land.naver.com/complexes/145112?tab=detail&amp;rf=Y</t>
        </is>
      </c>
      <c r="AA260" s="0" t="inlineStr">
        <is>
          <t>인천시 계양구 귤현동 510-4</t>
        </is>
      </c>
      <c r="AB260" s="0" t="inlineStr">
        <is>
          <t>인천시</t>
        </is>
      </c>
      <c r="AC260" s="0" t="inlineStr">
        <is>
          <t>계양구</t>
        </is>
      </c>
      <c r="AD260" s="0" t="inlineStr">
        <is>
          <t>귤현동</t>
        </is>
      </c>
      <c r="AG260" s="0" t="inlineStr">
        <is>
          <t>인천시 계양구 화단봉길 25-1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1</v>
      </c>
    </row>
    <row r="261">
      <c r="A261" s="0" t="inlineStr">
        <is>
          <t>[귤현동]</t>
        </is>
      </c>
      <c r="B261" s="0" t="n">
        <v>145112</v>
      </c>
      <c r="C261" s="0" t="n">
        <v>4</v>
      </c>
      <c r="D261" s="0" t="inlineStr">
        <is>
          <t>스마트타운(도시형)</t>
        </is>
      </c>
      <c r="E261" s="0" t="inlineStr">
        <is>
          <t>2017.03.</t>
        </is>
      </c>
      <c r="F261" s="0" t="n">
        <v>45</v>
      </c>
      <c r="G261" s="0" t="n">
        <v>12.99</v>
      </c>
      <c r="H261" s="0" t="n">
        <v>42.96</v>
      </c>
      <c r="I261" s="0" t="n">
        <v>10.88</v>
      </c>
      <c r="J261" s="0" t="n">
        <v>35.97</v>
      </c>
      <c r="K261" s="0" t="n">
        <v>8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42B</t>
        </is>
      </c>
      <c r="X261" s="0" t="n">
        <v>5</v>
      </c>
      <c r="Y261" s="0" t="n">
        <v>2</v>
      </c>
      <c r="Z261" s="0" t="inlineStr">
        <is>
          <t>https://new.land.naver.com/complexes/145112?tab=detail&amp;rf=Y</t>
        </is>
      </c>
      <c r="AA261" s="0" t="inlineStr">
        <is>
          <t>인천시 계양구 귤현동 510-4</t>
        </is>
      </c>
      <c r="AB261" s="0" t="inlineStr">
        <is>
          <t>인천시</t>
        </is>
      </c>
      <c r="AC261" s="0" t="inlineStr">
        <is>
          <t>계양구</t>
        </is>
      </c>
      <c r="AD261" s="0" t="inlineStr">
        <is>
          <t>귤현동</t>
        </is>
      </c>
      <c r="AG261" s="0" t="inlineStr">
        <is>
          <t>인천시 계양구 화단봉길 25-1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1</v>
      </c>
    </row>
    <row r="262">
      <c r="A262" s="0" t="inlineStr">
        <is>
          <t>[귤현동]</t>
        </is>
      </c>
      <c r="B262" s="0" t="n">
        <v>145112</v>
      </c>
      <c r="C262" s="0" t="n">
        <v>5</v>
      </c>
      <c r="D262" s="0" t="inlineStr">
        <is>
          <t>스마트타운(도시형)</t>
        </is>
      </c>
      <c r="E262" s="0" t="inlineStr">
        <is>
          <t>2017.03.</t>
        </is>
      </c>
      <c r="F262" s="0" t="n">
        <v>45</v>
      </c>
      <c r="G262" s="0" t="n">
        <v>12.81</v>
      </c>
      <c r="H262" s="0" t="n">
        <v>42.37</v>
      </c>
      <c r="I262" s="0" t="n">
        <v>10.71</v>
      </c>
      <c r="J262" s="0" t="n">
        <v>35.43</v>
      </c>
      <c r="K262" s="0" t="n">
        <v>2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42A</t>
        </is>
      </c>
      <c r="X262" s="0" t="n">
        <v>5</v>
      </c>
      <c r="Y262" s="0" t="n">
        <v>2</v>
      </c>
      <c r="Z262" s="0" t="inlineStr">
        <is>
          <t>https://new.land.naver.com/complexes/145112?tab=detail&amp;rf=Y</t>
        </is>
      </c>
      <c r="AA262" s="0" t="inlineStr">
        <is>
          <t>인천시 계양구 귤현동 510-4</t>
        </is>
      </c>
      <c r="AB262" s="0" t="inlineStr">
        <is>
          <t>인천시</t>
        </is>
      </c>
      <c r="AC262" s="0" t="inlineStr">
        <is>
          <t>계양구</t>
        </is>
      </c>
      <c r="AD262" s="0" t="inlineStr">
        <is>
          <t>귤현동</t>
        </is>
      </c>
      <c r="AG262" s="0" t="inlineStr">
        <is>
          <t>인천시 계양구 화단봉길 25-1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1</v>
      </c>
    </row>
    <row r="263">
      <c r="A263" s="0" t="inlineStr">
        <is>
          <t>[귤현동]</t>
        </is>
      </c>
      <c r="B263" s="0" t="n">
        <v>145112</v>
      </c>
      <c r="C263" s="0" t="n">
        <v>6</v>
      </c>
      <c r="D263" s="0" t="inlineStr">
        <is>
          <t>스마트타운(도시형)</t>
        </is>
      </c>
      <c r="E263" s="0" t="inlineStr">
        <is>
          <t>2017.03.</t>
        </is>
      </c>
      <c r="F263" s="0" t="n">
        <v>45</v>
      </c>
      <c r="G263" s="0" t="n">
        <v>13.47</v>
      </c>
      <c r="H263" s="0" t="n">
        <v>44.53</v>
      </c>
      <c r="I263" s="0" t="n">
        <v>11.29</v>
      </c>
      <c r="J263" s="0" t="n">
        <v>37.33</v>
      </c>
      <c r="K263" s="0" t="n">
        <v>8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44C</t>
        </is>
      </c>
      <c r="X263" s="0" t="n">
        <v>5</v>
      </c>
      <c r="Y263" s="0" t="n">
        <v>2</v>
      </c>
      <c r="Z263" s="0" t="inlineStr">
        <is>
          <t>https://new.land.naver.com/complexes/145112?tab=detail&amp;rf=Y</t>
        </is>
      </c>
      <c r="AA263" s="0" t="inlineStr">
        <is>
          <t>인천시 계양구 귤현동 510-4</t>
        </is>
      </c>
      <c r="AB263" s="0" t="inlineStr">
        <is>
          <t>인천시</t>
        </is>
      </c>
      <c r="AC263" s="0" t="inlineStr">
        <is>
          <t>계양구</t>
        </is>
      </c>
      <c r="AD263" s="0" t="inlineStr">
        <is>
          <t>귤현동</t>
        </is>
      </c>
      <c r="AG263" s="0" t="inlineStr">
        <is>
          <t>인천시 계양구 화단봉길 25-1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1</v>
      </c>
    </row>
    <row r="264">
      <c r="A264" s="0" t="inlineStr">
        <is>
          <t>[귤현동]</t>
        </is>
      </c>
      <c r="B264" s="0" t="n">
        <v>145112</v>
      </c>
      <c r="C264" s="0" t="n">
        <v>7</v>
      </c>
      <c r="D264" s="0" t="inlineStr">
        <is>
          <t>스마트타운(도시형)</t>
        </is>
      </c>
      <c r="E264" s="0" t="inlineStr">
        <is>
          <t>2017.03.</t>
        </is>
      </c>
      <c r="F264" s="0" t="n">
        <v>45</v>
      </c>
      <c r="G264" s="0" t="n">
        <v>15.09</v>
      </c>
      <c r="H264" s="0" t="n">
        <v>49.89</v>
      </c>
      <c r="I264" s="0" t="n">
        <v>12.58</v>
      </c>
      <c r="J264" s="0" t="n">
        <v>41.59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49</v>
      </c>
      <c r="X264" s="0" t="n">
        <v>5</v>
      </c>
      <c r="Y264" s="0" t="n">
        <v>2</v>
      </c>
      <c r="Z264" s="0" t="inlineStr">
        <is>
          <t>https://new.land.naver.com/complexes/145112?tab=detail&amp;rf=Y</t>
        </is>
      </c>
      <c r="AA264" s="0" t="inlineStr">
        <is>
          <t>인천시 계양구 귤현동 510-4</t>
        </is>
      </c>
      <c r="AB264" s="0" t="inlineStr">
        <is>
          <t>인천시</t>
        </is>
      </c>
      <c r="AC264" s="0" t="inlineStr">
        <is>
          <t>계양구</t>
        </is>
      </c>
      <c r="AD264" s="0" t="inlineStr">
        <is>
          <t>귤현동</t>
        </is>
      </c>
      <c r="AG264" s="0" t="inlineStr">
        <is>
          <t>인천시 계양구 화단봉길 25-1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1</v>
      </c>
    </row>
    <row r="265">
      <c r="A265" s="0" t="inlineStr">
        <is>
          <t>[귤현동]</t>
        </is>
      </c>
      <c r="B265" s="0" t="n">
        <v>145112</v>
      </c>
      <c r="C265" s="0" t="n">
        <v>8</v>
      </c>
      <c r="D265" s="0" t="inlineStr">
        <is>
          <t>스마트타운(도시형)</t>
        </is>
      </c>
      <c r="E265" s="0" t="inlineStr">
        <is>
          <t>2017.03.</t>
        </is>
      </c>
      <c r="F265" s="0" t="n">
        <v>45</v>
      </c>
      <c r="G265" s="0" t="n">
        <v>16.45</v>
      </c>
      <c r="H265" s="0" t="n">
        <v>54.41</v>
      </c>
      <c r="I265" s="0" t="n">
        <v>13.68</v>
      </c>
      <c r="J265" s="0" t="n">
        <v>45.24</v>
      </c>
      <c r="K265" s="0" t="n">
        <v>2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54B</t>
        </is>
      </c>
      <c r="X265" s="0" t="n">
        <v>5</v>
      </c>
      <c r="Y265" s="0" t="n">
        <v>2</v>
      </c>
      <c r="Z265" s="0" t="inlineStr">
        <is>
          <t>https://new.land.naver.com/complexes/145112?tab=detail&amp;rf=Y</t>
        </is>
      </c>
      <c r="AA265" s="0" t="inlineStr">
        <is>
          <t>인천시 계양구 귤현동 510-4</t>
        </is>
      </c>
      <c r="AB265" s="0" t="inlineStr">
        <is>
          <t>인천시</t>
        </is>
      </c>
      <c r="AC265" s="0" t="inlineStr">
        <is>
          <t>계양구</t>
        </is>
      </c>
      <c r="AD265" s="0" t="inlineStr">
        <is>
          <t>귤현동</t>
        </is>
      </c>
      <c r="AG265" s="0" t="inlineStr">
        <is>
          <t>인천시 계양구 화단봉길 25-1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1</v>
      </c>
    </row>
    <row r="266">
      <c r="A266" s="0" t="inlineStr">
        <is>
          <t>[귤현동]</t>
        </is>
      </c>
      <c r="B266" s="0" t="n">
        <v>145112</v>
      </c>
      <c r="C266" s="0" t="n">
        <v>9</v>
      </c>
      <c r="D266" s="0" t="inlineStr">
        <is>
          <t>스마트타운(도시형)</t>
        </is>
      </c>
      <c r="E266" s="0" t="inlineStr">
        <is>
          <t>2017.03.</t>
        </is>
      </c>
      <c r="F266" s="0" t="n">
        <v>45</v>
      </c>
      <c r="G266" s="0" t="n">
        <v>16.36</v>
      </c>
      <c r="H266" s="0" t="n">
        <v>54.09</v>
      </c>
      <c r="I266" s="0" t="n">
        <v>13.6</v>
      </c>
      <c r="J266" s="0" t="n">
        <v>44.96</v>
      </c>
      <c r="K266" s="0" t="n">
        <v>1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54A</t>
        </is>
      </c>
      <c r="X266" s="0" t="n">
        <v>5</v>
      </c>
      <c r="Y266" s="0" t="n">
        <v>2</v>
      </c>
      <c r="Z266" s="0" t="inlineStr">
        <is>
          <t>https://new.land.naver.com/complexes/145112?tab=detail&amp;rf=Y</t>
        </is>
      </c>
      <c r="AA266" s="0" t="inlineStr">
        <is>
          <t>인천시 계양구 귤현동 510-4</t>
        </is>
      </c>
      <c r="AB266" s="0" t="inlineStr">
        <is>
          <t>인천시</t>
        </is>
      </c>
      <c r="AC266" s="0" t="inlineStr">
        <is>
          <t>계양구</t>
        </is>
      </c>
      <c r="AD266" s="0" t="inlineStr">
        <is>
          <t>귤현동</t>
        </is>
      </c>
      <c r="AG266" s="0" t="inlineStr">
        <is>
          <t>인천시 계양구 화단봉길 25-1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1</v>
      </c>
    </row>
    <row r="267">
      <c r="A267" s="0" t="inlineStr">
        <is>
          <t>[귤현동]</t>
        </is>
      </c>
      <c r="B267" s="0" t="n">
        <v>145112</v>
      </c>
      <c r="C267" s="0" t="n">
        <v>10</v>
      </c>
      <c r="D267" s="0" t="inlineStr">
        <is>
          <t>스마트타운(도시형)</t>
        </is>
      </c>
      <c r="E267" s="0" t="inlineStr">
        <is>
          <t>2017.03.</t>
        </is>
      </c>
      <c r="F267" s="0" t="n">
        <v>45</v>
      </c>
      <c r="G267" s="0" t="n">
        <v>18.66</v>
      </c>
      <c r="H267" s="0" t="n">
        <v>61.7</v>
      </c>
      <c r="I267" s="0" t="n">
        <v>15.66</v>
      </c>
      <c r="J267" s="0" t="n">
        <v>51.79</v>
      </c>
      <c r="K267" s="0" t="n">
        <v>2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5</v>
      </c>
      <c r="Y267" s="0" t="n">
        <v>2</v>
      </c>
      <c r="Z267" s="0" t="inlineStr">
        <is>
          <t>https://new.land.naver.com/complexes/145112?tab=detail&amp;rf=Y</t>
        </is>
      </c>
      <c r="AA267" s="0" t="inlineStr">
        <is>
          <t>인천시 계양구 귤현동 510-4</t>
        </is>
      </c>
      <c r="AB267" s="0" t="inlineStr">
        <is>
          <t>인천시</t>
        </is>
      </c>
      <c r="AC267" s="0" t="inlineStr">
        <is>
          <t>계양구</t>
        </is>
      </c>
      <c r="AD267" s="0" t="inlineStr">
        <is>
          <t>귤현동</t>
        </is>
      </c>
      <c r="AG267" s="0" t="inlineStr">
        <is>
          <t>인천시 계양구 화단봉길 25-1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1</v>
      </c>
    </row>
    <row r="268">
      <c r="A268" s="0" t="inlineStr">
        <is>
          <t>[귤현동]</t>
        </is>
      </c>
      <c r="B268" s="0" t="n">
        <v>145112</v>
      </c>
      <c r="C268" s="0" t="n">
        <v>11</v>
      </c>
      <c r="D268" s="0" t="inlineStr">
        <is>
          <t>스마트타운(도시형)</t>
        </is>
      </c>
      <c r="E268" s="0" t="inlineStr">
        <is>
          <t>2017.03.</t>
        </is>
      </c>
      <c r="F268" s="0" t="n">
        <v>45</v>
      </c>
      <c r="G268" s="0" t="n">
        <v>20.12</v>
      </c>
      <c r="H268" s="0" t="n">
        <v>66.53</v>
      </c>
      <c r="I268" s="0" t="n">
        <v>16.99</v>
      </c>
      <c r="J268" s="0" t="n">
        <v>56.19</v>
      </c>
      <c r="K268" s="0" t="n">
        <v>1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66</v>
      </c>
      <c r="X268" s="0" t="n">
        <v>5</v>
      </c>
      <c r="Y268" s="0" t="n">
        <v>2</v>
      </c>
      <c r="Z268" s="0" t="inlineStr">
        <is>
          <t>https://new.land.naver.com/complexes/145112?tab=detail&amp;rf=Y</t>
        </is>
      </c>
      <c r="AA268" s="0" t="inlineStr">
        <is>
          <t>인천시 계양구 귤현동 510-4</t>
        </is>
      </c>
      <c r="AB268" s="0" t="inlineStr">
        <is>
          <t>인천시</t>
        </is>
      </c>
      <c r="AC268" s="0" t="inlineStr">
        <is>
          <t>계양구</t>
        </is>
      </c>
      <c r="AD268" s="0" t="inlineStr">
        <is>
          <t>귤현동</t>
        </is>
      </c>
      <c r="AG268" s="0" t="inlineStr">
        <is>
          <t>인천시 계양구 화단봉길 25-1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1</v>
      </c>
    </row>
    <row r="269">
      <c r="A269" s="0" t="inlineStr">
        <is>
          <t>[동양동]</t>
        </is>
      </c>
      <c r="B269" s="0" t="n">
        <v>102309</v>
      </c>
      <c r="C269" s="0" t="n">
        <v>1</v>
      </c>
      <c r="D269" s="0" t="inlineStr">
        <is>
          <t>우남푸르미아</t>
        </is>
      </c>
      <c r="E269" s="0" t="inlineStr">
        <is>
          <t>2011.12.</t>
        </is>
      </c>
      <c r="F269" s="0" t="n">
        <v>158</v>
      </c>
      <c r="G269" s="0" t="n">
        <v>33.19</v>
      </c>
      <c r="H269" s="0" t="n">
        <v>109.74</v>
      </c>
      <c r="I269" s="0" t="n">
        <v>25.68</v>
      </c>
      <c r="J269" s="0" t="n">
        <v>84.92</v>
      </c>
      <c r="K269" s="0" t="n">
        <v>74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109C</t>
        </is>
      </c>
      <c r="X269" s="0" t="n">
        <v>15</v>
      </c>
      <c r="Y269" s="0" t="n">
        <v>8</v>
      </c>
      <c r="Z269" s="0" t="inlineStr">
        <is>
          <t>https://new.land.naver.com/complexes/102309?tab=detail&amp;rf=Y</t>
        </is>
      </c>
      <c r="AA269" s="0" t="inlineStr">
        <is>
          <t>인천시 계양구 동양동 615</t>
        </is>
      </c>
      <c r="AB269" s="0" t="inlineStr">
        <is>
          <t>인천시</t>
        </is>
      </c>
      <c r="AC269" s="0" t="inlineStr">
        <is>
          <t>계양구</t>
        </is>
      </c>
      <c r="AD269" s="0" t="inlineStr">
        <is>
          <t>동양동</t>
        </is>
      </c>
      <c r="AG269" s="0" t="inlineStr">
        <is>
          <t>인천시 계양구 당미5길 7</t>
        </is>
      </c>
      <c r="AH269" s="0" t="n">
        <v>0</v>
      </c>
      <c r="AI269" s="0" t="n">
        <v>198</v>
      </c>
      <c r="AJ269" s="0" t="n">
        <v>19</v>
      </c>
      <c r="AK269" s="0" t="n">
        <v>172</v>
      </c>
      <c r="AL269" s="0" t="n">
        <v>1.09</v>
      </c>
    </row>
    <row r="270">
      <c r="A270" s="0" t="inlineStr">
        <is>
          <t>[동양동]</t>
        </is>
      </c>
      <c r="B270" s="0" t="n">
        <v>102309</v>
      </c>
      <c r="C270" s="0" t="n">
        <v>2</v>
      </c>
      <c r="D270" s="0" t="inlineStr">
        <is>
          <t>우남푸르미아</t>
        </is>
      </c>
      <c r="E270" s="0" t="inlineStr">
        <is>
          <t>2011.12.</t>
        </is>
      </c>
      <c r="F270" s="0" t="n">
        <v>158</v>
      </c>
      <c r="G270" s="0" t="n">
        <v>33.36</v>
      </c>
      <c r="H270" s="0" t="n">
        <v>110.3</v>
      </c>
      <c r="I270" s="0" t="n">
        <v>25.69</v>
      </c>
      <c r="J270" s="0" t="n">
        <v>84.95</v>
      </c>
      <c r="K270" s="0" t="n">
        <v>42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110A</t>
        </is>
      </c>
      <c r="X270" s="0" t="n">
        <v>15</v>
      </c>
      <c r="Y270" s="0" t="n">
        <v>8</v>
      </c>
      <c r="Z270" s="0" t="inlineStr">
        <is>
          <t>https://new.land.naver.com/complexes/102309?tab=detail&amp;rf=Y</t>
        </is>
      </c>
      <c r="AA270" s="0" t="inlineStr">
        <is>
          <t>인천시 계양구 동양동 615</t>
        </is>
      </c>
      <c r="AB270" s="0" t="inlineStr">
        <is>
          <t>인천시</t>
        </is>
      </c>
      <c r="AC270" s="0" t="inlineStr">
        <is>
          <t>계양구</t>
        </is>
      </c>
      <c r="AD270" s="0" t="inlineStr">
        <is>
          <t>동양동</t>
        </is>
      </c>
      <c r="AG270" s="0" t="inlineStr">
        <is>
          <t>인천시 계양구 당미5길 7</t>
        </is>
      </c>
      <c r="AH270" s="0" t="n">
        <v>0</v>
      </c>
      <c r="AI270" s="0" t="n">
        <v>198</v>
      </c>
      <c r="AJ270" s="0" t="n">
        <v>19</v>
      </c>
      <c r="AK270" s="0" t="n">
        <v>172</v>
      </c>
      <c r="AL270" s="0" t="n">
        <v>1.09</v>
      </c>
    </row>
    <row r="271">
      <c r="A271" s="0" t="inlineStr">
        <is>
          <t>[동양동]</t>
        </is>
      </c>
      <c r="B271" s="0" t="n">
        <v>102309</v>
      </c>
      <c r="C271" s="0" t="n">
        <v>3</v>
      </c>
      <c r="D271" s="0" t="inlineStr">
        <is>
          <t>우남푸르미아</t>
        </is>
      </c>
      <c r="E271" s="0" t="inlineStr">
        <is>
          <t>2011.12.</t>
        </is>
      </c>
      <c r="F271" s="0" t="n">
        <v>158</v>
      </c>
      <c r="G271" s="0" t="n">
        <v>33.38</v>
      </c>
      <c r="H271" s="0" t="n">
        <v>110.36</v>
      </c>
      <c r="I271" s="0" t="n">
        <v>25.69</v>
      </c>
      <c r="J271" s="0" t="n">
        <v>84.94</v>
      </c>
      <c r="K271" s="0" t="n">
        <v>42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110B</t>
        </is>
      </c>
      <c r="X271" s="0" t="n">
        <v>15</v>
      </c>
      <c r="Y271" s="0" t="n">
        <v>8</v>
      </c>
      <c r="Z271" s="0" t="inlineStr">
        <is>
          <t>https://new.land.naver.com/complexes/102309?tab=detail&amp;rf=Y</t>
        </is>
      </c>
      <c r="AA271" s="0" t="inlineStr">
        <is>
          <t>인천시 계양구 동양동 615</t>
        </is>
      </c>
      <c r="AB271" s="0" t="inlineStr">
        <is>
          <t>인천시</t>
        </is>
      </c>
      <c r="AC271" s="0" t="inlineStr">
        <is>
          <t>계양구</t>
        </is>
      </c>
      <c r="AD271" s="0" t="inlineStr">
        <is>
          <t>동양동</t>
        </is>
      </c>
      <c r="AG271" s="0" t="inlineStr">
        <is>
          <t>인천시 계양구 당미5길 7</t>
        </is>
      </c>
      <c r="AH271" s="0" t="n">
        <v>0</v>
      </c>
      <c r="AI271" s="0" t="n">
        <v>198</v>
      </c>
      <c r="AJ271" s="0" t="n">
        <v>19</v>
      </c>
      <c r="AK271" s="0" t="n">
        <v>172</v>
      </c>
      <c r="AL271" s="0" t="n">
        <v>1.09</v>
      </c>
    </row>
    <row r="272">
      <c r="A272" s="0" t="inlineStr">
        <is>
          <t>[동양동]</t>
        </is>
      </c>
      <c r="B272" s="0" t="n">
        <v>11412</v>
      </c>
      <c r="C272" s="0" t="n">
        <v>1</v>
      </c>
      <c r="D272" s="0" t="inlineStr">
        <is>
          <t>동양휴먼빌</t>
        </is>
      </c>
      <c r="E272" s="0" t="inlineStr">
        <is>
          <t>2007.10.</t>
        </is>
      </c>
      <c r="F272" s="0" t="n">
        <v>466</v>
      </c>
      <c r="G272" s="0" t="n">
        <v>33.46</v>
      </c>
      <c r="H272" s="0" t="n">
        <v>110.64</v>
      </c>
      <c r="I272" s="0" t="n">
        <v>25.64</v>
      </c>
      <c r="J272" s="0" t="n">
        <v>84.78</v>
      </c>
      <c r="K272" s="0" t="n">
        <v>317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110</v>
      </c>
      <c r="X272" s="0" t="n">
        <v>15</v>
      </c>
      <c r="Y272" s="0" t="n">
        <v>10</v>
      </c>
      <c r="Z272" s="0" t="inlineStr">
        <is>
          <t>https://new.land.naver.com/complexes/11412?tab=detail&amp;rf=Y</t>
        </is>
      </c>
      <c r="AA272" s="0" t="inlineStr">
        <is>
          <t>인천시 계양구 동양동 613</t>
        </is>
      </c>
      <c r="AB272" s="0" t="inlineStr">
        <is>
          <t>인천시</t>
        </is>
      </c>
      <c r="AC272" s="0" t="inlineStr">
        <is>
          <t>계양구</t>
        </is>
      </c>
      <c r="AD272" s="0" t="inlineStr">
        <is>
          <t>동양동</t>
        </is>
      </c>
      <c r="AG272" s="0" t="inlineStr">
        <is>
          <t>인천시 계양구 당미길 43</t>
        </is>
      </c>
      <c r="AH272" s="0" t="n">
        <v>0</v>
      </c>
      <c r="AI272" s="0" t="n">
        <v>198</v>
      </c>
      <c r="AJ272" s="0" t="n">
        <v>17</v>
      </c>
      <c r="AK272" s="0" t="n">
        <v>592</v>
      </c>
      <c r="AL272" s="0" t="n">
        <v>1.27</v>
      </c>
    </row>
    <row r="273">
      <c r="A273" s="0" t="inlineStr">
        <is>
          <t>[동양동]</t>
        </is>
      </c>
      <c r="B273" s="0" t="n">
        <v>11412</v>
      </c>
      <c r="C273" s="0" t="n">
        <v>2</v>
      </c>
      <c r="D273" s="0" t="inlineStr">
        <is>
          <t>동양휴먼빌</t>
        </is>
      </c>
      <c r="E273" s="0" t="inlineStr">
        <is>
          <t>2007.10.</t>
        </is>
      </c>
      <c r="F273" s="0" t="n">
        <v>466</v>
      </c>
      <c r="G273" s="0" t="n">
        <v>43.21</v>
      </c>
      <c r="H273" s="0" t="n">
        <v>142.86</v>
      </c>
      <c r="I273" s="0" t="n">
        <v>34.73</v>
      </c>
      <c r="J273" s="0" t="n">
        <v>114.81</v>
      </c>
      <c r="K273" s="0" t="n">
        <v>149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142</v>
      </c>
      <c r="X273" s="0" t="n">
        <v>15</v>
      </c>
      <c r="Y273" s="0" t="n">
        <v>10</v>
      </c>
      <c r="Z273" s="0" t="inlineStr">
        <is>
          <t>https://new.land.naver.com/complexes/11412?tab=detail&amp;rf=Y</t>
        </is>
      </c>
      <c r="AA273" s="0" t="inlineStr">
        <is>
          <t>인천시 계양구 동양동 613</t>
        </is>
      </c>
      <c r="AB273" s="0" t="inlineStr">
        <is>
          <t>인천시</t>
        </is>
      </c>
      <c r="AC273" s="0" t="inlineStr">
        <is>
          <t>계양구</t>
        </is>
      </c>
      <c r="AD273" s="0" t="inlineStr">
        <is>
          <t>동양동</t>
        </is>
      </c>
      <c r="AG273" s="0" t="inlineStr">
        <is>
          <t>인천시 계양구 당미길 43</t>
        </is>
      </c>
      <c r="AH273" s="0" t="n">
        <v>0</v>
      </c>
      <c r="AI273" s="0" t="n">
        <v>198</v>
      </c>
      <c r="AJ273" s="0" t="n">
        <v>17</v>
      </c>
      <c r="AK273" s="0" t="n">
        <v>592</v>
      </c>
      <c r="AL273" s="0" t="n">
        <v>1.27</v>
      </c>
    </row>
    <row r="274">
      <c r="A274" s="0" t="inlineStr">
        <is>
          <t>[동양동]</t>
        </is>
      </c>
      <c r="B274" s="0" t="n">
        <v>24201</v>
      </c>
      <c r="C274" s="0" t="n">
        <v>1</v>
      </c>
      <c r="D274" s="0" t="inlineStr">
        <is>
          <t>한진해모로</t>
        </is>
      </c>
      <c r="E274" s="0" t="inlineStr">
        <is>
          <t>2006.06.</t>
        </is>
      </c>
      <c r="F274" s="0" t="n">
        <v>478</v>
      </c>
      <c r="G274" s="0" t="n">
        <v>23.89</v>
      </c>
      <c r="H274" s="0" t="n">
        <v>79</v>
      </c>
      <c r="I274" s="0" t="n">
        <v>18.03</v>
      </c>
      <c r="J274" s="0" t="n">
        <v>59.61</v>
      </c>
      <c r="K274" s="0" t="n">
        <v>478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79</v>
      </c>
      <c r="X274" s="0" t="n">
        <v>15</v>
      </c>
      <c r="Y274" s="0" t="n">
        <v>15</v>
      </c>
      <c r="Z274" s="0" t="inlineStr">
        <is>
          <t>https://new.land.naver.com/complexes/24201?tab=detail&amp;rf=Y</t>
        </is>
      </c>
      <c r="AA274" s="0" t="inlineStr">
        <is>
          <t>인천시 계양구 동양동 582</t>
        </is>
      </c>
      <c r="AB274" s="0" t="inlineStr">
        <is>
          <t>인천시</t>
        </is>
      </c>
      <c r="AC274" s="0" t="inlineStr">
        <is>
          <t>계양구</t>
        </is>
      </c>
      <c r="AD274" s="0" t="inlineStr">
        <is>
          <t>동양동</t>
        </is>
      </c>
      <c r="AG274" s="0" t="inlineStr">
        <is>
          <t>인천시 계양구 동양로 100</t>
        </is>
      </c>
      <c r="AH274" s="0" t="n">
        <v>0</v>
      </c>
      <c r="AI274" s="0" t="n">
        <v>192</v>
      </c>
      <c r="AJ274" s="0" t="n">
        <v>16</v>
      </c>
      <c r="AK274" s="0" t="n">
        <v>458</v>
      </c>
      <c r="AL274" s="0" t="n">
        <v>0.96</v>
      </c>
    </row>
    <row r="275">
      <c r="A275" s="0" t="inlineStr">
        <is>
          <t>[박촌동]</t>
        </is>
      </c>
      <c r="B275" s="0" t="n">
        <v>100106</v>
      </c>
      <c r="C275" s="0" t="n">
        <v>1</v>
      </c>
      <c r="D275" s="0" t="inlineStr">
        <is>
          <t>계양하우스토리2차</t>
        </is>
      </c>
      <c r="E275" s="0" t="inlineStr">
        <is>
          <t>2010.04.</t>
        </is>
      </c>
      <c r="F275" s="0" t="n">
        <v>182</v>
      </c>
      <c r="G275" s="0" t="n">
        <v>33.29</v>
      </c>
      <c r="H275" s="0" t="n">
        <v>110.07</v>
      </c>
      <c r="I275" s="0" t="n">
        <v>25.7</v>
      </c>
      <c r="J275" s="0" t="n">
        <v>84.98999999999999</v>
      </c>
      <c r="K275" s="0" t="n">
        <v>89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110A</t>
        </is>
      </c>
      <c r="X275" s="0" t="n">
        <v>14</v>
      </c>
      <c r="Y275" s="0" t="n">
        <v>14</v>
      </c>
      <c r="Z275" s="0" t="inlineStr">
        <is>
          <t>https://new.land.naver.com/complexes/100106?tab=detail&amp;rf=Y</t>
        </is>
      </c>
      <c r="AA275" s="0" t="inlineStr">
        <is>
          <t>인천시 계양구 박촌동 317</t>
        </is>
      </c>
      <c r="AB275" s="0" t="inlineStr">
        <is>
          <t>인천시</t>
        </is>
      </c>
      <c r="AC275" s="0" t="inlineStr">
        <is>
          <t>계양구</t>
        </is>
      </c>
      <c r="AD275" s="0" t="inlineStr">
        <is>
          <t>박촌동</t>
        </is>
      </c>
      <c r="AG275" s="0" t="inlineStr">
        <is>
          <t>인천시 계양구 장제로995번길 18</t>
        </is>
      </c>
      <c r="AH275" s="0" t="n">
        <v>0</v>
      </c>
      <c r="AI275" s="0" t="n">
        <v>225</v>
      </c>
      <c r="AJ275" s="0" t="n">
        <v>27</v>
      </c>
      <c r="AK275" s="0" t="n">
        <v>264</v>
      </c>
      <c r="AL275" s="0" t="n">
        <v>1.45</v>
      </c>
    </row>
    <row r="276">
      <c r="A276" s="0" t="inlineStr">
        <is>
          <t>[박촌동]</t>
        </is>
      </c>
      <c r="B276" s="0" t="n">
        <v>100106</v>
      </c>
      <c r="C276" s="0" t="n">
        <v>2</v>
      </c>
      <c r="D276" s="0" t="inlineStr">
        <is>
          <t>계양하우스토리2차</t>
        </is>
      </c>
      <c r="E276" s="0" t="inlineStr">
        <is>
          <t>2010.04.</t>
        </is>
      </c>
      <c r="F276" s="0" t="n">
        <v>182</v>
      </c>
      <c r="G276" s="0" t="n">
        <v>33.37</v>
      </c>
      <c r="H276" s="0" t="n">
        <v>110.33</v>
      </c>
      <c r="I276" s="0" t="n">
        <v>25.7</v>
      </c>
      <c r="J276" s="0" t="n">
        <v>84.95999999999999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110B</t>
        </is>
      </c>
      <c r="X276" s="0" t="n">
        <v>14</v>
      </c>
      <c r="Y276" s="0" t="n">
        <v>14</v>
      </c>
      <c r="Z276" s="0" t="inlineStr">
        <is>
          <t>https://new.land.naver.com/complexes/100106?tab=detail&amp;rf=Y</t>
        </is>
      </c>
      <c r="AA276" s="0" t="inlineStr">
        <is>
          <t>인천시 계양구 박촌동 317</t>
        </is>
      </c>
      <c r="AB276" s="0" t="inlineStr">
        <is>
          <t>인천시</t>
        </is>
      </c>
      <c r="AC276" s="0" t="inlineStr">
        <is>
          <t>계양구</t>
        </is>
      </c>
      <c r="AD276" s="0" t="inlineStr">
        <is>
          <t>박촌동</t>
        </is>
      </c>
      <c r="AG276" s="0" t="inlineStr">
        <is>
          <t>인천시 계양구 장제로995번길 18</t>
        </is>
      </c>
      <c r="AH276" s="0" t="n">
        <v>0</v>
      </c>
      <c r="AI276" s="0" t="n">
        <v>225</v>
      </c>
      <c r="AJ276" s="0" t="n">
        <v>27</v>
      </c>
      <c r="AK276" s="0" t="n">
        <v>264</v>
      </c>
      <c r="AL276" s="0" t="n">
        <v>1.45</v>
      </c>
    </row>
    <row r="277">
      <c r="A277" s="0" t="inlineStr">
        <is>
          <t>[박촌동]</t>
        </is>
      </c>
      <c r="B277" s="0" t="n">
        <v>100106</v>
      </c>
      <c r="C277" s="0" t="n">
        <v>3</v>
      </c>
      <c r="D277" s="0" t="inlineStr">
        <is>
          <t>계양하우스토리2차</t>
        </is>
      </c>
      <c r="E277" s="0" t="inlineStr">
        <is>
          <t>2010.04.</t>
        </is>
      </c>
      <c r="F277" s="0" t="n">
        <v>182</v>
      </c>
      <c r="G277" s="0" t="n">
        <v>41.21</v>
      </c>
      <c r="H277" s="0" t="n">
        <v>136.25</v>
      </c>
      <c r="I277" s="0" t="n">
        <v>31.7</v>
      </c>
      <c r="J277" s="0" t="n">
        <v>104.81</v>
      </c>
      <c r="K277" s="0" t="n">
        <v>10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136</v>
      </c>
      <c r="X277" s="0" t="n">
        <v>14</v>
      </c>
      <c r="Y277" s="0" t="n">
        <v>14</v>
      </c>
      <c r="Z277" s="0" t="inlineStr">
        <is>
          <t>https://new.land.naver.com/complexes/100106?tab=detail&amp;rf=Y</t>
        </is>
      </c>
      <c r="AA277" s="0" t="inlineStr">
        <is>
          <t>인천시 계양구 박촌동 317</t>
        </is>
      </c>
      <c r="AB277" s="0" t="inlineStr">
        <is>
          <t>인천시</t>
        </is>
      </c>
      <c r="AC277" s="0" t="inlineStr">
        <is>
          <t>계양구</t>
        </is>
      </c>
      <c r="AD277" s="0" t="inlineStr">
        <is>
          <t>박촌동</t>
        </is>
      </c>
      <c r="AG277" s="0" t="inlineStr">
        <is>
          <t>인천시 계양구 장제로995번길 18</t>
        </is>
      </c>
      <c r="AH277" s="0" t="n">
        <v>0</v>
      </c>
      <c r="AI277" s="0" t="n">
        <v>225</v>
      </c>
      <c r="AJ277" s="0" t="n">
        <v>27</v>
      </c>
      <c r="AK277" s="0" t="n">
        <v>264</v>
      </c>
      <c r="AL277" s="0" t="n">
        <v>1.45</v>
      </c>
    </row>
    <row r="278">
      <c r="A278" s="0" t="inlineStr">
        <is>
          <t>[박촌동]</t>
        </is>
      </c>
      <c r="B278" s="0" t="n">
        <v>100106</v>
      </c>
      <c r="C278" s="0" t="n">
        <v>4</v>
      </c>
      <c r="D278" s="0" t="inlineStr">
        <is>
          <t>계양하우스토리2차</t>
        </is>
      </c>
      <c r="E278" s="0" t="inlineStr">
        <is>
          <t>2010.04.</t>
        </is>
      </c>
      <c r="F278" s="0" t="n">
        <v>182</v>
      </c>
      <c r="G278" s="0" t="n">
        <v>46.44</v>
      </c>
      <c r="H278" s="0" t="n">
        <v>153.54</v>
      </c>
      <c r="I278" s="0" t="n">
        <v>35.74</v>
      </c>
      <c r="J278" s="0" t="n">
        <v>118.16</v>
      </c>
      <c r="K278" s="0" t="n">
        <v>3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153</v>
      </c>
      <c r="X278" s="0" t="n">
        <v>14</v>
      </c>
      <c r="Y278" s="0" t="n">
        <v>14</v>
      </c>
      <c r="Z278" s="0" t="inlineStr">
        <is>
          <t>https://new.land.naver.com/complexes/100106?tab=detail&amp;rf=Y</t>
        </is>
      </c>
      <c r="AA278" s="0" t="inlineStr">
        <is>
          <t>인천시 계양구 박촌동 317</t>
        </is>
      </c>
      <c r="AB278" s="0" t="inlineStr">
        <is>
          <t>인천시</t>
        </is>
      </c>
      <c r="AC278" s="0" t="inlineStr">
        <is>
          <t>계양구</t>
        </is>
      </c>
      <c r="AD278" s="0" t="inlineStr">
        <is>
          <t>박촌동</t>
        </is>
      </c>
      <c r="AG278" s="0" t="inlineStr">
        <is>
          <t>인천시 계양구 장제로995번길 18</t>
        </is>
      </c>
      <c r="AH278" s="0" t="n">
        <v>0</v>
      </c>
      <c r="AI278" s="0" t="n">
        <v>225</v>
      </c>
      <c r="AJ278" s="0" t="n">
        <v>27</v>
      </c>
      <c r="AK278" s="0" t="n">
        <v>264</v>
      </c>
      <c r="AL278" s="0" t="n">
        <v>1.45</v>
      </c>
    </row>
    <row r="279">
      <c r="A279" s="0" t="inlineStr">
        <is>
          <t>[박촌동]</t>
        </is>
      </c>
      <c r="B279" s="0" t="n">
        <v>100106</v>
      </c>
      <c r="C279" s="0" t="n">
        <v>5</v>
      </c>
      <c r="D279" s="0" t="inlineStr">
        <is>
          <t>계양하우스토리2차</t>
        </is>
      </c>
      <c r="E279" s="0" t="inlineStr">
        <is>
          <t>2010.04.</t>
        </is>
      </c>
      <c r="F279" s="0" t="n">
        <v>182</v>
      </c>
      <c r="G279" s="0" t="n">
        <v>50.52</v>
      </c>
      <c r="H279" s="0" t="n">
        <v>167.02</v>
      </c>
      <c r="I279" s="0" t="n">
        <v>41.93</v>
      </c>
      <c r="J279" s="0" t="n">
        <v>138.64</v>
      </c>
      <c r="K279" s="0" t="n">
        <v>35</v>
      </c>
      <c r="T279" s="0" t="n">
        <v>4</v>
      </c>
      <c r="U279" s="0" t="n">
        <v>2</v>
      </c>
      <c r="V279" s="0" t="inlineStr">
        <is>
          <t>계단식</t>
        </is>
      </c>
      <c r="W279" s="0" t="inlineStr">
        <is>
          <t>167A</t>
        </is>
      </c>
      <c r="X279" s="0" t="n">
        <v>14</v>
      </c>
      <c r="Y279" s="0" t="n">
        <v>14</v>
      </c>
      <c r="Z279" s="0" t="inlineStr">
        <is>
          <t>https://new.land.naver.com/complexes/100106?tab=detail&amp;rf=Y</t>
        </is>
      </c>
      <c r="AA279" s="0" t="inlineStr">
        <is>
          <t>인천시 계양구 박촌동 317</t>
        </is>
      </c>
      <c r="AB279" s="0" t="inlineStr">
        <is>
          <t>인천시</t>
        </is>
      </c>
      <c r="AC279" s="0" t="inlineStr">
        <is>
          <t>계양구</t>
        </is>
      </c>
      <c r="AD279" s="0" t="inlineStr">
        <is>
          <t>박촌동</t>
        </is>
      </c>
      <c r="AG279" s="0" t="inlineStr">
        <is>
          <t>인천시 계양구 장제로995번길 18</t>
        </is>
      </c>
      <c r="AH279" s="0" t="n">
        <v>0</v>
      </c>
      <c r="AI279" s="0" t="n">
        <v>225</v>
      </c>
      <c r="AJ279" s="0" t="n">
        <v>27</v>
      </c>
      <c r="AK279" s="0" t="n">
        <v>264</v>
      </c>
      <c r="AL279" s="0" t="n">
        <v>1.45</v>
      </c>
    </row>
    <row r="280">
      <c r="A280" s="0" t="inlineStr">
        <is>
          <t>[박촌동]</t>
        </is>
      </c>
      <c r="B280" s="0" t="n">
        <v>100106</v>
      </c>
      <c r="C280" s="0" t="n">
        <v>6</v>
      </c>
      <c r="D280" s="0" t="inlineStr">
        <is>
          <t>계양하우스토리2차</t>
        </is>
      </c>
      <c r="E280" s="0" t="inlineStr">
        <is>
          <t>2010.04.</t>
        </is>
      </c>
      <c r="F280" s="0" t="n">
        <v>182</v>
      </c>
      <c r="G280" s="0" t="n">
        <v>50.9</v>
      </c>
      <c r="H280" s="0" t="n">
        <v>168.29</v>
      </c>
      <c r="I280" s="0" t="n">
        <v>42.32</v>
      </c>
      <c r="J280" s="0" t="n">
        <v>139.91</v>
      </c>
      <c r="K280" s="0" t="n">
        <v>20</v>
      </c>
      <c r="T280" s="0" t="n">
        <v>4</v>
      </c>
      <c r="U280" s="0" t="n">
        <v>2</v>
      </c>
      <c r="V280" s="0" t="inlineStr">
        <is>
          <t>계단식</t>
        </is>
      </c>
      <c r="W280" s="0" t="inlineStr">
        <is>
          <t>168B</t>
        </is>
      </c>
      <c r="X280" s="0" t="n">
        <v>14</v>
      </c>
      <c r="Y280" s="0" t="n">
        <v>14</v>
      </c>
      <c r="Z280" s="0" t="inlineStr">
        <is>
          <t>https://new.land.naver.com/complexes/100106?tab=detail&amp;rf=Y</t>
        </is>
      </c>
      <c r="AA280" s="0" t="inlineStr">
        <is>
          <t>인천시 계양구 박촌동 317</t>
        </is>
      </c>
      <c r="AB280" s="0" t="inlineStr">
        <is>
          <t>인천시</t>
        </is>
      </c>
      <c r="AC280" s="0" t="inlineStr">
        <is>
          <t>계양구</t>
        </is>
      </c>
      <c r="AD280" s="0" t="inlineStr">
        <is>
          <t>박촌동</t>
        </is>
      </c>
      <c r="AG280" s="0" t="inlineStr">
        <is>
          <t>인천시 계양구 장제로995번길 18</t>
        </is>
      </c>
      <c r="AH280" s="0" t="n">
        <v>0</v>
      </c>
      <c r="AI280" s="0" t="n">
        <v>225</v>
      </c>
      <c r="AJ280" s="0" t="n">
        <v>27</v>
      </c>
      <c r="AK280" s="0" t="n">
        <v>264</v>
      </c>
      <c r="AL280" s="0" t="n">
        <v>1.45</v>
      </c>
    </row>
    <row r="281">
      <c r="A281" s="0" t="inlineStr">
        <is>
          <t>[박촌동]</t>
        </is>
      </c>
      <c r="B281" s="0" t="n">
        <v>100106</v>
      </c>
      <c r="C281" s="0" t="n">
        <v>7</v>
      </c>
      <c r="D281" s="0" t="inlineStr">
        <is>
          <t>계양하우스토리2차</t>
        </is>
      </c>
      <c r="E281" s="0" t="inlineStr">
        <is>
          <t>2010.04.</t>
        </is>
      </c>
      <c r="F281" s="0" t="n">
        <v>182</v>
      </c>
      <c r="G281" s="0" t="n">
        <v>70.23999999999999</v>
      </c>
      <c r="H281" s="0" t="n">
        <v>232.21</v>
      </c>
      <c r="I281" s="0" t="n">
        <v>58.11</v>
      </c>
      <c r="J281" s="0" t="n">
        <v>192.1</v>
      </c>
      <c r="K281" s="0" t="n">
        <v>3</v>
      </c>
      <c r="T281" s="0" t="n">
        <v>5</v>
      </c>
      <c r="U281" s="0" t="n">
        <v>3</v>
      </c>
      <c r="V281" s="0" t="inlineStr">
        <is>
          <t>계단식</t>
        </is>
      </c>
      <c r="W281" s="0" t="n">
        <v>232</v>
      </c>
      <c r="X281" s="0" t="n">
        <v>14</v>
      </c>
      <c r="Y281" s="0" t="n">
        <v>14</v>
      </c>
      <c r="Z281" s="0" t="inlineStr">
        <is>
          <t>https://new.land.naver.com/complexes/100106?tab=detail&amp;rf=Y</t>
        </is>
      </c>
      <c r="AA281" s="0" t="inlineStr">
        <is>
          <t>인천시 계양구 박촌동 317</t>
        </is>
      </c>
      <c r="AB281" s="0" t="inlineStr">
        <is>
          <t>인천시</t>
        </is>
      </c>
      <c r="AC281" s="0" t="inlineStr">
        <is>
          <t>계양구</t>
        </is>
      </c>
      <c r="AD281" s="0" t="inlineStr">
        <is>
          <t>박촌동</t>
        </is>
      </c>
      <c r="AG281" s="0" t="inlineStr">
        <is>
          <t>인천시 계양구 장제로995번길 18</t>
        </is>
      </c>
      <c r="AH281" s="0" t="n">
        <v>0</v>
      </c>
      <c r="AI281" s="0" t="n">
        <v>225</v>
      </c>
      <c r="AJ281" s="0" t="n">
        <v>27</v>
      </c>
      <c r="AK281" s="0" t="n">
        <v>264</v>
      </c>
      <c r="AL281" s="0" t="n">
        <v>1.45</v>
      </c>
    </row>
    <row r="282">
      <c r="A282" s="0" t="inlineStr">
        <is>
          <t>[박촌동]</t>
        </is>
      </c>
      <c r="B282" s="0" t="n">
        <v>100107</v>
      </c>
      <c r="C282" s="0" t="n">
        <v>1</v>
      </c>
      <c r="D282" s="0" t="inlineStr">
        <is>
          <t>계양하우스토리1차</t>
        </is>
      </c>
      <c r="E282" s="0" t="inlineStr">
        <is>
          <t>2009.11.</t>
        </is>
      </c>
      <c r="F282" s="0" t="n">
        <v>257</v>
      </c>
      <c r="G282" s="0" t="n">
        <v>33.16</v>
      </c>
      <c r="H282" s="0" t="n">
        <v>109.63</v>
      </c>
      <c r="I282" s="0" t="n">
        <v>25.7</v>
      </c>
      <c r="J282" s="0" t="n">
        <v>84.98999999999999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109A</t>
        </is>
      </c>
      <c r="X282" s="0" t="n">
        <v>15</v>
      </c>
      <c r="Y282" s="0" t="n">
        <v>12</v>
      </c>
      <c r="Z282" s="0" t="inlineStr">
        <is>
          <t>https://new.land.naver.com/complexes/100107?tab=detail&amp;rf=Y</t>
        </is>
      </c>
      <c r="AA282" s="0" t="inlineStr">
        <is>
          <t>인천시 계양구 박촌동 311</t>
        </is>
      </c>
      <c r="AB282" s="0" t="inlineStr">
        <is>
          <t>인천시</t>
        </is>
      </c>
      <c r="AC282" s="0" t="inlineStr">
        <is>
          <t>계양구</t>
        </is>
      </c>
      <c r="AD282" s="0" t="inlineStr">
        <is>
          <t>박촌동</t>
        </is>
      </c>
      <c r="AG282" s="0" t="inlineStr">
        <is>
          <t>인천시 계양구 서부간선로 290</t>
        </is>
      </c>
      <c r="AH282" s="0" t="n">
        <v>0</v>
      </c>
      <c r="AI282" s="0" t="n">
        <v>230</v>
      </c>
      <c r="AJ282" s="0" t="n">
        <v>24</v>
      </c>
      <c r="AK282" s="0" t="n">
        <v>330</v>
      </c>
      <c r="AL282" s="0" t="n">
        <v>1.28</v>
      </c>
    </row>
    <row r="283">
      <c r="A283" s="0" t="inlineStr">
        <is>
          <t>[박촌동]</t>
        </is>
      </c>
      <c r="B283" s="0" t="n">
        <v>100107</v>
      </c>
      <c r="C283" s="0" t="n">
        <v>2</v>
      </c>
      <c r="D283" s="0" t="inlineStr">
        <is>
          <t>계양하우스토리1차</t>
        </is>
      </c>
      <c r="E283" s="0" t="inlineStr">
        <is>
          <t>2009.11.</t>
        </is>
      </c>
      <c r="F283" s="0" t="n">
        <v>257</v>
      </c>
      <c r="G283" s="0" t="n">
        <v>33.24</v>
      </c>
      <c r="H283" s="0" t="n">
        <v>109.89</v>
      </c>
      <c r="I283" s="0" t="n">
        <v>25.7</v>
      </c>
      <c r="J283" s="0" t="n">
        <v>84.95999999999999</v>
      </c>
      <c r="K283" s="0" t="n">
        <v>60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109B</t>
        </is>
      </c>
      <c r="X283" s="0" t="n">
        <v>15</v>
      </c>
      <c r="Y283" s="0" t="n">
        <v>12</v>
      </c>
      <c r="Z283" s="0" t="inlineStr">
        <is>
          <t>https://new.land.naver.com/complexes/100107?tab=detail&amp;rf=Y</t>
        </is>
      </c>
      <c r="AA283" s="0" t="inlineStr">
        <is>
          <t>인천시 계양구 박촌동 311</t>
        </is>
      </c>
      <c r="AB283" s="0" t="inlineStr">
        <is>
          <t>인천시</t>
        </is>
      </c>
      <c r="AC283" s="0" t="inlineStr">
        <is>
          <t>계양구</t>
        </is>
      </c>
      <c r="AD283" s="0" t="inlineStr">
        <is>
          <t>박촌동</t>
        </is>
      </c>
      <c r="AG283" s="0" t="inlineStr">
        <is>
          <t>인천시 계양구 서부간선로 290</t>
        </is>
      </c>
      <c r="AH283" s="0" t="n">
        <v>0</v>
      </c>
      <c r="AI283" s="0" t="n">
        <v>230</v>
      </c>
      <c r="AJ283" s="0" t="n">
        <v>24</v>
      </c>
      <c r="AK283" s="0" t="n">
        <v>330</v>
      </c>
      <c r="AL283" s="0" t="n">
        <v>1.28</v>
      </c>
    </row>
    <row r="284">
      <c r="A284" s="0" t="inlineStr">
        <is>
          <t>[박촌동]</t>
        </is>
      </c>
      <c r="B284" s="0" t="n">
        <v>100107</v>
      </c>
      <c r="C284" s="0" t="n">
        <v>3</v>
      </c>
      <c r="D284" s="0" t="inlineStr">
        <is>
          <t>계양하우스토리1차</t>
        </is>
      </c>
      <c r="E284" s="0" t="inlineStr">
        <is>
          <t>2009.11.</t>
        </is>
      </c>
      <c r="F284" s="0" t="n">
        <v>257</v>
      </c>
      <c r="G284" s="0" t="n">
        <v>33.21</v>
      </c>
      <c r="H284" s="0" t="n">
        <v>109.79</v>
      </c>
      <c r="I284" s="0" t="n">
        <v>25.7</v>
      </c>
      <c r="J284" s="0" t="n">
        <v>84.95999999999999</v>
      </c>
      <c r="K284" s="0" t="n">
        <v>15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109C</t>
        </is>
      </c>
      <c r="X284" s="0" t="n">
        <v>15</v>
      </c>
      <c r="Y284" s="0" t="n">
        <v>12</v>
      </c>
      <c r="Z284" s="0" t="inlineStr">
        <is>
          <t>https://new.land.naver.com/complexes/100107?tab=detail&amp;rf=Y</t>
        </is>
      </c>
      <c r="AA284" s="0" t="inlineStr">
        <is>
          <t>인천시 계양구 박촌동 311</t>
        </is>
      </c>
      <c r="AB284" s="0" t="inlineStr">
        <is>
          <t>인천시</t>
        </is>
      </c>
      <c r="AC284" s="0" t="inlineStr">
        <is>
          <t>계양구</t>
        </is>
      </c>
      <c r="AD284" s="0" t="inlineStr">
        <is>
          <t>박촌동</t>
        </is>
      </c>
      <c r="AG284" s="0" t="inlineStr">
        <is>
          <t>인천시 계양구 서부간선로 290</t>
        </is>
      </c>
      <c r="AH284" s="0" t="n">
        <v>0</v>
      </c>
      <c r="AI284" s="0" t="n">
        <v>230</v>
      </c>
      <c r="AJ284" s="0" t="n">
        <v>24</v>
      </c>
      <c r="AK284" s="0" t="n">
        <v>330</v>
      </c>
      <c r="AL284" s="0" t="n">
        <v>1.28</v>
      </c>
    </row>
    <row r="285">
      <c r="A285" s="0" t="inlineStr">
        <is>
          <t>[박촌동]</t>
        </is>
      </c>
      <c r="B285" s="0" t="n">
        <v>100107</v>
      </c>
      <c r="C285" s="0" t="n">
        <v>4</v>
      </c>
      <c r="D285" s="0" t="inlineStr">
        <is>
          <t>계양하우스토리1차</t>
        </is>
      </c>
      <c r="E285" s="0" t="inlineStr">
        <is>
          <t>2009.11.</t>
        </is>
      </c>
      <c r="F285" s="0" t="n">
        <v>257</v>
      </c>
      <c r="G285" s="0" t="n">
        <v>38.77</v>
      </c>
      <c r="H285" s="0" t="n">
        <v>128.18</v>
      </c>
      <c r="I285" s="0" t="n">
        <v>30.67</v>
      </c>
      <c r="J285" s="0" t="n">
        <v>101.42</v>
      </c>
      <c r="K285" s="0" t="n">
        <v>70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128</v>
      </c>
      <c r="X285" s="0" t="n">
        <v>15</v>
      </c>
      <c r="Y285" s="0" t="n">
        <v>12</v>
      </c>
      <c r="Z285" s="0" t="inlineStr">
        <is>
          <t>https://new.land.naver.com/complexes/100107?tab=detail&amp;rf=Y</t>
        </is>
      </c>
      <c r="AA285" s="0" t="inlineStr">
        <is>
          <t>인천시 계양구 박촌동 311</t>
        </is>
      </c>
      <c r="AB285" s="0" t="inlineStr">
        <is>
          <t>인천시</t>
        </is>
      </c>
      <c r="AC285" s="0" t="inlineStr">
        <is>
          <t>계양구</t>
        </is>
      </c>
      <c r="AD285" s="0" t="inlineStr">
        <is>
          <t>박촌동</t>
        </is>
      </c>
      <c r="AG285" s="0" t="inlineStr">
        <is>
          <t>인천시 계양구 서부간선로 290</t>
        </is>
      </c>
      <c r="AH285" s="0" t="n">
        <v>0</v>
      </c>
      <c r="AI285" s="0" t="n">
        <v>230</v>
      </c>
      <c r="AJ285" s="0" t="n">
        <v>24</v>
      </c>
      <c r="AK285" s="0" t="n">
        <v>330</v>
      </c>
      <c r="AL285" s="0" t="n">
        <v>1.28</v>
      </c>
    </row>
    <row r="286">
      <c r="A286" s="0" t="inlineStr">
        <is>
          <t>[박촌동]</t>
        </is>
      </c>
      <c r="B286" s="0" t="n">
        <v>100107</v>
      </c>
      <c r="C286" s="0" t="n">
        <v>5</v>
      </c>
      <c r="D286" s="0" t="inlineStr">
        <is>
          <t>계양하우스토리1차</t>
        </is>
      </c>
      <c r="E286" s="0" t="inlineStr">
        <is>
          <t>2009.11.</t>
        </is>
      </c>
      <c r="F286" s="0" t="n">
        <v>257</v>
      </c>
      <c r="G286" s="0" t="n">
        <v>48.61</v>
      </c>
      <c r="H286" s="0" t="n">
        <v>160.7</v>
      </c>
      <c r="I286" s="0" t="n">
        <v>41.81</v>
      </c>
      <c r="J286" s="0" t="n">
        <v>138.23</v>
      </c>
      <c r="K286" s="0" t="n">
        <v>13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160A</t>
        </is>
      </c>
      <c r="X286" s="0" t="n">
        <v>15</v>
      </c>
      <c r="Y286" s="0" t="n">
        <v>12</v>
      </c>
      <c r="Z286" s="0" t="inlineStr">
        <is>
          <t>https://new.land.naver.com/complexes/100107?tab=detail&amp;rf=Y</t>
        </is>
      </c>
      <c r="AA286" s="0" t="inlineStr">
        <is>
          <t>인천시 계양구 박촌동 311</t>
        </is>
      </c>
      <c r="AB286" s="0" t="inlineStr">
        <is>
          <t>인천시</t>
        </is>
      </c>
      <c r="AC286" s="0" t="inlineStr">
        <is>
          <t>계양구</t>
        </is>
      </c>
      <c r="AD286" s="0" t="inlineStr">
        <is>
          <t>박촌동</t>
        </is>
      </c>
      <c r="AG286" s="0" t="inlineStr">
        <is>
          <t>인천시 계양구 서부간선로 290</t>
        </is>
      </c>
      <c r="AH286" s="0" t="n">
        <v>0</v>
      </c>
      <c r="AI286" s="0" t="n">
        <v>230</v>
      </c>
      <c r="AJ286" s="0" t="n">
        <v>24</v>
      </c>
      <c r="AK286" s="0" t="n">
        <v>330</v>
      </c>
      <c r="AL286" s="0" t="n">
        <v>1.28</v>
      </c>
    </row>
    <row r="287">
      <c r="A287" s="0" t="inlineStr">
        <is>
          <t>[박촌동]</t>
        </is>
      </c>
      <c r="B287" s="0" t="n">
        <v>100107</v>
      </c>
      <c r="C287" s="0" t="n">
        <v>6</v>
      </c>
      <c r="D287" s="0" t="inlineStr">
        <is>
          <t>계양하우스토리1차</t>
        </is>
      </c>
      <c r="E287" s="0" t="inlineStr">
        <is>
          <t>2009.11.</t>
        </is>
      </c>
      <c r="F287" s="0" t="n">
        <v>257</v>
      </c>
      <c r="G287" s="0" t="n">
        <v>48.95</v>
      </c>
      <c r="H287" s="0" t="n">
        <v>161.85</v>
      </c>
      <c r="I287" s="0" t="n">
        <v>41.93</v>
      </c>
      <c r="J287" s="0" t="n">
        <v>138.64</v>
      </c>
      <c r="K287" s="0" t="n">
        <v>13</v>
      </c>
      <c r="T287" s="0" t="n">
        <v>4</v>
      </c>
      <c r="U287" s="0" t="n">
        <v>2</v>
      </c>
      <c r="V287" s="0" t="inlineStr">
        <is>
          <t>계단식</t>
        </is>
      </c>
      <c r="W287" s="0" t="inlineStr">
        <is>
          <t>161B</t>
        </is>
      </c>
      <c r="X287" s="0" t="n">
        <v>15</v>
      </c>
      <c r="Y287" s="0" t="n">
        <v>12</v>
      </c>
      <c r="Z287" s="0" t="inlineStr">
        <is>
          <t>https://new.land.naver.com/complexes/100107?tab=detail&amp;rf=Y</t>
        </is>
      </c>
      <c r="AA287" s="0" t="inlineStr">
        <is>
          <t>인천시 계양구 박촌동 311</t>
        </is>
      </c>
      <c r="AB287" s="0" t="inlineStr">
        <is>
          <t>인천시</t>
        </is>
      </c>
      <c r="AC287" s="0" t="inlineStr">
        <is>
          <t>계양구</t>
        </is>
      </c>
      <c r="AD287" s="0" t="inlineStr">
        <is>
          <t>박촌동</t>
        </is>
      </c>
      <c r="AG287" s="0" t="inlineStr">
        <is>
          <t>인천시 계양구 서부간선로 290</t>
        </is>
      </c>
      <c r="AH287" s="0" t="n">
        <v>0</v>
      </c>
      <c r="AI287" s="0" t="n">
        <v>230</v>
      </c>
      <c r="AJ287" s="0" t="n">
        <v>24</v>
      </c>
      <c r="AK287" s="0" t="n">
        <v>330</v>
      </c>
      <c r="AL287" s="0" t="n">
        <v>1.28</v>
      </c>
    </row>
    <row r="288">
      <c r="A288" s="0" t="inlineStr">
        <is>
          <t>[박촌동]</t>
        </is>
      </c>
      <c r="B288" s="0" t="n">
        <v>17559</v>
      </c>
      <c r="C288" s="0" t="n">
        <v>1</v>
      </c>
      <c r="D288" s="0" t="inlineStr">
        <is>
          <t>박촌풍림아이원</t>
        </is>
      </c>
      <c r="E288" s="0" t="inlineStr">
        <is>
          <t>2005.11.</t>
        </is>
      </c>
      <c r="F288" s="0" t="n">
        <v>207</v>
      </c>
      <c r="G288" s="0" t="n">
        <v>24.9</v>
      </c>
      <c r="H288" s="0" t="n">
        <v>82.33</v>
      </c>
      <c r="I288" s="0" t="n">
        <v>18.12</v>
      </c>
      <c r="J288" s="0" t="n">
        <v>59.93</v>
      </c>
      <c r="K288" s="0" t="n">
        <v>16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82</v>
      </c>
      <c r="X288" s="0" t="n">
        <v>14</v>
      </c>
      <c r="Y288" s="0" t="n">
        <v>7</v>
      </c>
      <c r="Z288" s="0" t="inlineStr">
        <is>
          <t>https://new.land.naver.com/complexes/17559?tab=detail&amp;rf=Y</t>
        </is>
      </c>
      <c r="AA288" s="0" t="inlineStr">
        <is>
          <t>인천시 계양구 박촌동 309</t>
        </is>
      </c>
      <c r="AB288" s="0" t="inlineStr">
        <is>
          <t>인천시</t>
        </is>
      </c>
      <c r="AC288" s="0" t="inlineStr">
        <is>
          <t>계양구</t>
        </is>
      </c>
      <c r="AD288" s="0" t="inlineStr">
        <is>
          <t>박촌동</t>
        </is>
      </c>
      <c r="AG288" s="0" t="inlineStr">
        <is>
          <t>인천시 계양구 동양로 11</t>
        </is>
      </c>
      <c r="AH288" s="0" t="n">
        <v>0</v>
      </c>
      <c r="AI288" s="0" t="n">
        <v>245</v>
      </c>
      <c r="AJ288" s="0" t="n">
        <v>29</v>
      </c>
      <c r="AK288" s="0" t="n">
        <v>226</v>
      </c>
      <c r="AL288" s="0" t="n">
        <v>1.09</v>
      </c>
    </row>
    <row r="289">
      <c r="A289" s="0" t="inlineStr">
        <is>
          <t>[박촌동]</t>
        </is>
      </c>
      <c r="B289" s="0" t="n">
        <v>17559</v>
      </c>
      <c r="C289" s="0" t="n">
        <v>2</v>
      </c>
      <c r="D289" s="0" t="inlineStr">
        <is>
          <t>박촌풍림아이원</t>
        </is>
      </c>
      <c r="E289" s="0" t="inlineStr">
        <is>
          <t>2005.11.</t>
        </is>
      </c>
      <c r="F289" s="0" t="n">
        <v>207</v>
      </c>
      <c r="G289" s="0" t="n">
        <v>32.19</v>
      </c>
      <c r="H289" s="0" t="n">
        <v>106.44</v>
      </c>
      <c r="I289" s="0" t="n">
        <v>25.7</v>
      </c>
      <c r="J289" s="0" t="n">
        <v>84.98</v>
      </c>
      <c r="K289" s="0" t="n">
        <v>191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106</v>
      </c>
      <c r="X289" s="0" t="n">
        <v>14</v>
      </c>
      <c r="Y289" s="0" t="n">
        <v>7</v>
      </c>
      <c r="Z289" s="0" t="inlineStr">
        <is>
          <t>https://new.land.naver.com/complexes/17559?tab=detail&amp;rf=Y</t>
        </is>
      </c>
      <c r="AA289" s="0" t="inlineStr">
        <is>
          <t>인천시 계양구 박촌동 309</t>
        </is>
      </c>
      <c r="AB289" s="0" t="inlineStr">
        <is>
          <t>인천시</t>
        </is>
      </c>
      <c r="AC289" s="0" t="inlineStr">
        <is>
          <t>계양구</t>
        </is>
      </c>
      <c r="AD289" s="0" t="inlineStr">
        <is>
          <t>박촌동</t>
        </is>
      </c>
      <c r="AG289" s="0" t="inlineStr">
        <is>
          <t>인천시 계양구 동양로 11</t>
        </is>
      </c>
      <c r="AH289" s="0" t="n">
        <v>0</v>
      </c>
      <c r="AI289" s="0" t="n">
        <v>245</v>
      </c>
      <c r="AJ289" s="0" t="n">
        <v>29</v>
      </c>
      <c r="AK289" s="0" t="n">
        <v>226</v>
      </c>
      <c r="AL289" s="0" t="n">
        <v>1.09</v>
      </c>
    </row>
    <row r="290">
      <c r="A290" s="0" t="inlineStr">
        <is>
          <t>[박촌동]</t>
        </is>
      </c>
      <c r="B290" s="0" t="n">
        <v>10566</v>
      </c>
      <c r="C290" s="0" t="n">
        <v>1</v>
      </c>
      <c r="D290" s="0" t="inlineStr">
        <is>
          <t>한화꿈에그린</t>
        </is>
      </c>
      <c r="E290" s="0" t="inlineStr">
        <is>
          <t>2005.11.</t>
        </is>
      </c>
      <c r="F290" s="0" t="n">
        <v>670</v>
      </c>
      <c r="G290" s="0" t="n">
        <v>24.77</v>
      </c>
      <c r="H290" s="0" t="n">
        <v>81.90000000000001</v>
      </c>
      <c r="I290" s="0" t="n">
        <v>18.13</v>
      </c>
      <c r="J290" s="0" t="n">
        <v>59.95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81</v>
      </c>
      <c r="X290" s="0" t="n">
        <v>15</v>
      </c>
      <c r="Y290" s="0" t="n">
        <v>8</v>
      </c>
      <c r="Z290" s="0" t="inlineStr">
        <is>
          <t>https://new.land.naver.com/complexes/10566?tab=detail&amp;rf=Y</t>
        </is>
      </c>
      <c r="AA290" s="0" t="inlineStr">
        <is>
          <t>인천시 계양구 박촌동 310</t>
        </is>
      </c>
      <c r="AB290" s="0" t="inlineStr">
        <is>
          <t>인천시</t>
        </is>
      </c>
      <c r="AC290" s="0" t="inlineStr">
        <is>
          <t>계양구</t>
        </is>
      </c>
      <c r="AD290" s="0" t="inlineStr">
        <is>
          <t>박촌동</t>
        </is>
      </c>
      <c r="AG290" s="0" t="inlineStr">
        <is>
          <t>인천시 계양구 동양로 10</t>
        </is>
      </c>
      <c r="AH290" s="0" t="n">
        <v>0</v>
      </c>
      <c r="AI290" s="0" t="n">
        <v>237</v>
      </c>
      <c r="AJ290" s="0" t="n">
        <v>21</v>
      </c>
      <c r="AK290" s="0" t="n">
        <v>679</v>
      </c>
      <c r="AL290" s="0" t="n">
        <v>1.01</v>
      </c>
    </row>
    <row r="291">
      <c r="A291" s="0" t="inlineStr">
        <is>
          <t>[박촌동]</t>
        </is>
      </c>
      <c r="B291" s="0" t="n">
        <v>10566</v>
      </c>
      <c r="C291" s="0" t="n">
        <v>2</v>
      </c>
      <c r="D291" s="0" t="inlineStr">
        <is>
          <t>한화꿈에그린</t>
        </is>
      </c>
      <c r="E291" s="0" t="inlineStr">
        <is>
          <t>2005.11.</t>
        </is>
      </c>
      <c r="F291" s="0" t="n">
        <v>670</v>
      </c>
      <c r="G291" s="0" t="n">
        <v>32.08</v>
      </c>
      <c r="H291" s="0" t="n">
        <v>106.05</v>
      </c>
      <c r="I291" s="0" t="n">
        <v>25.7</v>
      </c>
      <c r="J291" s="0" t="n">
        <v>84.97</v>
      </c>
      <c r="K291" s="0" t="n">
        <v>530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106</v>
      </c>
      <c r="X291" s="0" t="n">
        <v>15</v>
      </c>
      <c r="Y291" s="0" t="n">
        <v>8</v>
      </c>
      <c r="Z291" s="0" t="inlineStr">
        <is>
          <t>https://new.land.naver.com/complexes/10566?tab=detail&amp;rf=Y</t>
        </is>
      </c>
      <c r="AA291" s="0" t="inlineStr">
        <is>
          <t>인천시 계양구 박촌동 310</t>
        </is>
      </c>
      <c r="AB291" s="0" t="inlineStr">
        <is>
          <t>인천시</t>
        </is>
      </c>
      <c r="AC291" s="0" t="inlineStr">
        <is>
          <t>계양구</t>
        </is>
      </c>
      <c r="AD291" s="0" t="inlineStr">
        <is>
          <t>박촌동</t>
        </is>
      </c>
      <c r="AG291" s="0" t="inlineStr">
        <is>
          <t>인천시 계양구 동양로 10</t>
        </is>
      </c>
      <c r="AH291" s="0" t="n">
        <v>0</v>
      </c>
      <c r="AI291" s="0" t="n">
        <v>237</v>
      </c>
      <c r="AJ291" s="0" t="n">
        <v>21</v>
      </c>
      <c r="AK291" s="0" t="n">
        <v>679</v>
      </c>
      <c r="AL291" s="0" t="n">
        <v>1.01</v>
      </c>
    </row>
    <row r="292">
      <c r="A292" s="0" t="inlineStr">
        <is>
          <t>[박촌동]</t>
        </is>
      </c>
      <c r="B292" s="0" t="n">
        <v>103713</v>
      </c>
      <c r="C292" s="0" t="n">
        <v>1</v>
      </c>
      <c r="D292" s="0" t="inlineStr">
        <is>
          <t>계양한양수자인</t>
        </is>
      </c>
      <c r="E292" s="0" t="inlineStr">
        <is>
          <t>2011.12.</t>
        </is>
      </c>
      <c r="F292" s="0" t="n">
        <v>376</v>
      </c>
      <c r="G292" s="0" t="n">
        <v>24.22</v>
      </c>
      <c r="H292" s="0" t="n">
        <v>80.09</v>
      </c>
      <c r="I292" s="0" t="n">
        <v>18.14</v>
      </c>
      <c r="J292" s="0" t="n">
        <v>59.97</v>
      </c>
      <c r="K292" s="0" t="n">
        <v>85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80</v>
      </c>
      <c r="X292" s="0" t="n">
        <v>15</v>
      </c>
      <c r="Y292" s="0" t="n">
        <v>10</v>
      </c>
      <c r="Z292" s="0" t="inlineStr">
        <is>
          <t>https://new.land.naver.com/complexes/103713?tab=detail&amp;rf=Y</t>
        </is>
      </c>
      <c r="AA292" s="0" t="inlineStr">
        <is>
          <t>인천시 계양구 박촌동 319</t>
        </is>
      </c>
      <c r="AB292" s="0" t="inlineStr">
        <is>
          <t>인천시</t>
        </is>
      </c>
      <c r="AC292" s="0" t="inlineStr">
        <is>
          <t>계양구</t>
        </is>
      </c>
      <c r="AD292" s="0" t="inlineStr">
        <is>
          <t>박촌동</t>
        </is>
      </c>
      <c r="AG292" s="0" t="inlineStr">
        <is>
          <t>인천시 계양구 장제로 1004</t>
        </is>
      </c>
      <c r="AH292" s="0" t="n">
        <v>0</v>
      </c>
      <c r="AI292" s="0" t="n">
        <v>229</v>
      </c>
      <c r="AJ292" s="0" t="n">
        <v>26</v>
      </c>
      <c r="AK292" s="0" t="n">
        <v>413</v>
      </c>
      <c r="AL292" s="0" t="n">
        <v>1.1</v>
      </c>
    </row>
    <row r="293">
      <c r="A293" s="0" t="inlineStr">
        <is>
          <t>[박촌동]</t>
        </is>
      </c>
      <c r="B293" s="0" t="n">
        <v>103713</v>
      </c>
      <c r="C293" s="0" t="n">
        <v>2</v>
      </c>
      <c r="D293" s="0" t="inlineStr">
        <is>
          <t>계양한양수자인</t>
        </is>
      </c>
      <c r="E293" s="0" t="inlineStr">
        <is>
          <t>2011.12.</t>
        </is>
      </c>
      <c r="F293" s="0" t="n">
        <v>376</v>
      </c>
      <c r="G293" s="0" t="n">
        <v>34.39</v>
      </c>
      <c r="H293" s="0" t="n">
        <v>113.69</v>
      </c>
      <c r="I293" s="0" t="n">
        <v>25.7</v>
      </c>
      <c r="J293" s="0" t="n">
        <v>84.98999999999999</v>
      </c>
      <c r="K293" s="0" t="n">
        <v>133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113A</t>
        </is>
      </c>
      <c r="X293" s="0" t="n">
        <v>15</v>
      </c>
      <c r="Y293" s="0" t="n">
        <v>10</v>
      </c>
      <c r="Z293" s="0" t="inlineStr">
        <is>
          <t>https://new.land.naver.com/complexes/103713?tab=detail&amp;rf=Y</t>
        </is>
      </c>
      <c r="AA293" s="0" t="inlineStr">
        <is>
          <t>인천시 계양구 박촌동 319</t>
        </is>
      </c>
      <c r="AB293" s="0" t="inlineStr">
        <is>
          <t>인천시</t>
        </is>
      </c>
      <c r="AC293" s="0" t="inlineStr">
        <is>
          <t>계양구</t>
        </is>
      </c>
      <c r="AD293" s="0" t="inlineStr">
        <is>
          <t>박촌동</t>
        </is>
      </c>
      <c r="AG293" s="0" t="inlineStr">
        <is>
          <t>인천시 계양구 장제로 1004</t>
        </is>
      </c>
      <c r="AH293" s="0" t="n">
        <v>0</v>
      </c>
      <c r="AI293" s="0" t="n">
        <v>229</v>
      </c>
      <c r="AJ293" s="0" t="n">
        <v>26</v>
      </c>
      <c r="AK293" s="0" t="n">
        <v>413</v>
      </c>
      <c r="AL293" s="0" t="n">
        <v>1.1</v>
      </c>
    </row>
    <row r="294">
      <c r="A294" s="0" t="inlineStr">
        <is>
          <t>[박촌동]</t>
        </is>
      </c>
      <c r="B294" s="0" t="n">
        <v>103713</v>
      </c>
      <c r="C294" s="0" t="n">
        <v>3</v>
      </c>
      <c r="D294" s="0" t="inlineStr">
        <is>
          <t>계양한양수자인</t>
        </is>
      </c>
      <c r="E294" s="0" t="inlineStr">
        <is>
          <t>2011.12.</t>
        </is>
      </c>
      <c r="F294" s="0" t="n">
        <v>376</v>
      </c>
      <c r="G294" s="0" t="n">
        <v>34.48</v>
      </c>
      <c r="H294" s="0" t="n">
        <v>114.01</v>
      </c>
      <c r="I294" s="0" t="n">
        <v>25.7</v>
      </c>
      <c r="J294" s="0" t="n">
        <v>84.98999999999999</v>
      </c>
      <c r="K294" s="0" t="n">
        <v>103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114B</t>
        </is>
      </c>
      <c r="X294" s="0" t="n">
        <v>15</v>
      </c>
      <c r="Y294" s="0" t="n">
        <v>10</v>
      </c>
      <c r="Z294" s="0" t="inlineStr">
        <is>
          <t>https://new.land.naver.com/complexes/103713?tab=detail&amp;rf=Y</t>
        </is>
      </c>
      <c r="AA294" s="0" t="inlineStr">
        <is>
          <t>인천시 계양구 박촌동 319</t>
        </is>
      </c>
      <c r="AB294" s="0" t="inlineStr">
        <is>
          <t>인천시</t>
        </is>
      </c>
      <c r="AC294" s="0" t="inlineStr">
        <is>
          <t>계양구</t>
        </is>
      </c>
      <c r="AD294" s="0" t="inlineStr">
        <is>
          <t>박촌동</t>
        </is>
      </c>
      <c r="AG294" s="0" t="inlineStr">
        <is>
          <t>인천시 계양구 장제로 1004</t>
        </is>
      </c>
      <c r="AH294" s="0" t="n">
        <v>0</v>
      </c>
      <c r="AI294" s="0" t="n">
        <v>229</v>
      </c>
      <c r="AJ294" s="0" t="n">
        <v>26</v>
      </c>
      <c r="AK294" s="0" t="n">
        <v>413</v>
      </c>
      <c r="AL294" s="0" t="n">
        <v>1.1</v>
      </c>
    </row>
    <row r="295">
      <c r="A295" s="0" t="inlineStr">
        <is>
          <t>[박촌동]</t>
        </is>
      </c>
      <c r="B295" s="0" t="n">
        <v>103713</v>
      </c>
      <c r="C295" s="0" t="n">
        <v>4</v>
      </c>
      <c r="D295" s="0" t="inlineStr">
        <is>
          <t>계양한양수자인</t>
        </is>
      </c>
      <c r="E295" s="0" t="inlineStr">
        <is>
          <t>2011.12.</t>
        </is>
      </c>
      <c r="F295" s="0" t="n">
        <v>376</v>
      </c>
      <c r="G295" s="0" t="n">
        <v>48.38</v>
      </c>
      <c r="H295" s="0" t="n">
        <v>159.95</v>
      </c>
      <c r="I295" s="0" t="n">
        <v>36.58</v>
      </c>
      <c r="J295" s="0" t="n">
        <v>120.93</v>
      </c>
      <c r="K295" s="0" t="n">
        <v>55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10</v>
      </c>
      <c r="Z295" s="0" t="inlineStr">
        <is>
          <t>https://new.land.naver.com/complexes/103713?tab=detail&amp;rf=Y</t>
        </is>
      </c>
      <c r="AA295" s="0" t="inlineStr">
        <is>
          <t>인천시 계양구 박촌동 319</t>
        </is>
      </c>
      <c r="AB295" s="0" t="inlineStr">
        <is>
          <t>인천시</t>
        </is>
      </c>
      <c r="AC295" s="0" t="inlineStr">
        <is>
          <t>계양구</t>
        </is>
      </c>
      <c r="AD295" s="0" t="inlineStr">
        <is>
          <t>박촌동</t>
        </is>
      </c>
      <c r="AG295" s="0" t="inlineStr">
        <is>
          <t>인천시 계양구 장제로 1004</t>
        </is>
      </c>
      <c r="AH295" s="0" t="n">
        <v>0</v>
      </c>
      <c r="AI295" s="0" t="n">
        <v>229</v>
      </c>
      <c r="AJ295" s="0" t="n">
        <v>26</v>
      </c>
      <c r="AK295" s="0" t="n">
        <v>413</v>
      </c>
      <c r="AL295" s="0" t="n">
        <v>1.1</v>
      </c>
    </row>
    <row r="296">
      <c r="A296" s="0" t="inlineStr">
        <is>
          <t>[방축동]</t>
        </is>
      </c>
      <c r="B296" s="0" t="n">
        <v>141651</v>
      </c>
      <c r="C296" s="0" t="n">
        <v>1</v>
      </c>
      <c r="D296" s="0" t="inlineStr">
        <is>
          <t>계양하늘채파크포레</t>
        </is>
      </c>
      <c r="E296" s="0" t="inlineStr">
        <is>
          <t>2023.04.</t>
        </is>
      </c>
      <c r="F296" s="0" t="n">
        <v>546</v>
      </c>
      <c r="G296" s="0" t="n">
        <v>24.44</v>
      </c>
      <c r="H296" s="0" t="n">
        <v>80.81</v>
      </c>
      <c r="I296" s="0" t="n">
        <v>18.11</v>
      </c>
      <c r="J296" s="0" t="n">
        <v>59.89</v>
      </c>
      <c r="K296" s="0" t="n">
        <v>211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80A</t>
        </is>
      </c>
      <c r="X296" s="0" t="n">
        <v>15</v>
      </c>
      <c r="Y296" s="0" t="n">
        <v>7</v>
      </c>
      <c r="Z296" s="0" t="inlineStr">
        <is>
          <t>https://new.land.naver.com/complexes/141651?tab=detail&amp;rf=Y</t>
        </is>
      </c>
      <c r="AA296" s="0" t="inlineStr">
        <is>
          <t>인천시 계양구 방축동 22번지 일원</t>
        </is>
      </c>
      <c r="AB296" s="0" t="inlineStr">
        <is>
          <t>인천시</t>
        </is>
      </c>
      <c r="AC296" s="0" t="inlineStr">
        <is>
          <t>계양구</t>
        </is>
      </c>
      <c r="AD296" s="0" t="inlineStr">
        <is>
          <t>방축동</t>
        </is>
      </c>
      <c r="AG296" s="0" t="inlineStr">
        <is>
          <t>인천시 계양구</t>
        </is>
      </c>
      <c r="AH296" s="0" t="n">
        <v>0</v>
      </c>
      <c r="AI296" s="0" t="n">
        <v>185</v>
      </c>
      <c r="AJ296" s="0" t="n">
        <v>21</v>
      </c>
      <c r="AK296" s="0" t="n">
        <v>598</v>
      </c>
      <c r="AL296" s="0" t="n">
        <v>1.1</v>
      </c>
    </row>
    <row r="297">
      <c r="A297" s="0" t="inlineStr">
        <is>
          <t>[방축동]</t>
        </is>
      </c>
      <c r="B297" s="0" t="n">
        <v>141651</v>
      </c>
      <c r="C297" s="0" t="n">
        <v>2</v>
      </c>
      <c r="D297" s="0" t="inlineStr">
        <is>
          <t>계양하늘채파크포레</t>
        </is>
      </c>
      <c r="E297" s="0" t="inlineStr">
        <is>
          <t>2023.04.</t>
        </is>
      </c>
      <c r="F297" s="0" t="n">
        <v>546</v>
      </c>
      <c r="G297" s="0" t="n">
        <v>24.29</v>
      </c>
      <c r="H297" s="0" t="n">
        <v>80.31</v>
      </c>
      <c r="I297" s="0" t="n">
        <v>18.14</v>
      </c>
      <c r="J297" s="0" t="n">
        <v>59.99</v>
      </c>
      <c r="K297" s="0" t="n">
        <v>74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80B</t>
        </is>
      </c>
      <c r="X297" s="0" t="n">
        <v>15</v>
      </c>
      <c r="Y297" s="0" t="n">
        <v>7</v>
      </c>
      <c r="Z297" s="0" t="inlineStr">
        <is>
          <t>https://new.land.naver.com/complexes/141651?tab=detail&amp;rf=Y</t>
        </is>
      </c>
      <c r="AA297" s="0" t="inlineStr">
        <is>
          <t>인천시 계양구 방축동 22번지 일원</t>
        </is>
      </c>
      <c r="AB297" s="0" t="inlineStr">
        <is>
          <t>인천시</t>
        </is>
      </c>
      <c r="AC297" s="0" t="inlineStr">
        <is>
          <t>계양구</t>
        </is>
      </c>
      <c r="AD297" s="0" t="inlineStr">
        <is>
          <t>방축동</t>
        </is>
      </c>
      <c r="AG297" s="0" t="inlineStr">
        <is>
          <t>인천시 계양구</t>
        </is>
      </c>
      <c r="AH297" s="0" t="n">
        <v>0</v>
      </c>
      <c r="AI297" s="0" t="n">
        <v>185</v>
      </c>
      <c r="AJ297" s="0" t="n">
        <v>21</v>
      </c>
      <c r="AK297" s="0" t="n">
        <v>598</v>
      </c>
      <c r="AL297" s="0" t="n">
        <v>1.1</v>
      </c>
    </row>
    <row r="298">
      <c r="A298" s="0" t="inlineStr">
        <is>
          <t>[방축동]</t>
        </is>
      </c>
      <c r="B298" s="0" t="n">
        <v>141651</v>
      </c>
      <c r="C298" s="0" t="n">
        <v>3</v>
      </c>
      <c r="D298" s="0" t="inlineStr">
        <is>
          <t>계양하늘채파크포레</t>
        </is>
      </c>
      <c r="E298" s="0" t="inlineStr">
        <is>
          <t>2023.04.</t>
        </is>
      </c>
      <c r="F298" s="0" t="n">
        <v>546</v>
      </c>
      <c r="G298" s="0" t="n">
        <v>24.62</v>
      </c>
      <c r="H298" s="0" t="n">
        <v>81.39</v>
      </c>
      <c r="I298" s="0" t="n">
        <v>18.11</v>
      </c>
      <c r="J298" s="0" t="n">
        <v>59.87</v>
      </c>
      <c r="K298" s="0" t="n">
        <v>76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81C</t>
        </is>
      </c>
      <c r="X298" s="0" t="n">
        <v>15</v>
      </c>
      <c r="Y298" s="0" t="n">
        <v>7</v>
      </c>
      <c r="Z298" s="0" t="inlineStr">
        <is>
          <t>https://new.land.naver.com/complexes/141651?tab=detail&amp;rf=Y</t>
        </is>
      </c>
      <c r="AA298" s="0" t="inlineStr">
        <is>
          <t>인천시 계양구 방축동 22번지 일원</t>
        </is>
      </c>
      <c r="AB298" s="0" t="inlineStr">
        <is>
          <t>인천시</t>
        </is>
      </c>
      <c r="AC298" s="0" t="inlineStr">
        <is>
          <t>계양구</t>
        </is>
      </c>
      <c r="AD298" s="0" t="inlineStr">
        <is>
          <t>방축동</t>
        </is>
      </c>
      <c r="AG298" s="0" t="inlineStr">
        <is>
          <t>인천시 계양구</t>
        </is>
      </c>
      <c r="AH298" s="0" t="n">
        <v>0</v>
      </c>
      <c r="AI298" s="0" t="n">
        <v>185</v>
      </c>
      <c r="AJ298" s="0" t="n">
        <v>21</v>
      </c>
      <c r="AK298" s="0" t="n">
        <v>598</v>
      </c>
      <c r="AL298" s="0" t="n">
        <v>1.1</v>
      </c>
    </row>
    <row r="299">
      <c r="A299" s="0" t="inlineStr">
        <is>
          <t>[방축동]</t>
        </is>
      </c>
      <c r="B299" s="0" t="n">
        <v>141651</v>
      </c>
      <c r="C299" s="0" t="n">
        <v>4</v>
      </c>
      <c r="D299" s="0" t="inlineStr">
        <is>
          <t>계양하늘채파크포레</t>
        </is>
      </c>
      <c r="E299" s="0" t="inlineStr">
        <is>
          <t>2023.04.</t>
        </is>
      </c>
      <c r="F299" s="0" t="n">
        <v>546</v>
      </c>
      <c r="G299" s="0" t="n">
        <v>32.23</v>
      </c>
      <c r="H299" s="0" t="n">
        <v>106.56</v>
      </c>
      <c r="I299" s="0" t="n">
        <v>25.67</v>
      </c>
      <c r="J299" s="0" t="n">
        <v>84.87</v>
      </c>
      <c r="K299" s="0" t="n">
        <v>28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106C</t>
        </is>
      </c>
      <c r="X299" s="0" t="n">
        <v>15</v>
      </c>
      <c r="Y299" s="0" t="n">
        <v>7</v>
      </c>
      <c r="Z299" s="0" t="inlineStr">
        <is>
          <t>https://new.land.naver.com/complexes/141651?tab=detail&amp;rf=Y</t>
        </is>
      </c>
      <c r="AA299" s="0" t="inlineStr">
        <is>
          <t>인천시 계양구 방축동 22번지 일원</t>
        </is>
      </c>
      <c r="AB299" s="0" t="inlineStr">
        <is>
          <t>인천시</t>
        </is>
      </c>
      <c r="AC299" s="0" t="inlineStr">
        <is>
          <t>계양구</t>
        </is>
      </c>
      <c r="AD299" s="0" t="inlineStr">
        <is>
          <t>방축동</t>
        </is>
      </c>
      <c r="AG299" s="0" t="inlineStr">
        <is>
          <t>인천시 계양구</t>
        </is>
      </c>
      <c r="AH299" s="0" t="n">
        <v>0</v>
      </c>
      <c r="AI299" s="0" t="n">
        <v>185</v>
      </c>
      <c r="AJ299" s="0" t="n">
        <v>21</v>
      </c>
      <c r="AK299" s="0" t="n">
        <v>598</v>
      </c>
      <c r="AL299" s="0" t="n">
        <v>1.1</v>
      </c>
    </row>
    <row r="300">
      <c r="A300" s="0" t="inlineStr">
        <is>
          <t>[방축동]</t>
        </is>
      </c>
      <c r="B300" s="0" t="n">
        <v>141651</v>
      </c>
      <c r="C300" s="0" t="n">
        <v>5</v>
      </c>
      <c r="D300" s="0" t="inlineStr">
        <is>
          <t>계양하늘채파크포레</t>
        </is>
      </c>
      <c r="E300" s="0" t="inlineStr">
        <is>
          <t>2023.04.</t>
        </is>
      </c>
      <c r="F300" s="0" t="n">
        <v>546</v>
      </c>
      <c r="G300" s="0" t="n">
        <v>32.48</v>
      </c>
      <c r="H300" s="0" t="n">
        <v>107.39</v>
      </c>
      <c r="I300" s="0" t="n">
        <v>25.7</v>
      </c>
      <c r="J300" s="0" t="n">
        <v>84.95999999999999</v>
      </c>
      <c r="K300" s="0" t="n">
        <v>116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107B</t>
        </is>
      </c>
      <c r="X300" s="0" t="n">
        <v>15</v>
      </c>
      <c r="Y300" s="0" t="n">
        <v>7</v>
      </c>
      <c r="Z300" s="0" t="inlineStr">
        <is>
          <t>https://new.land.naver.com/complexes/141651?tab=detail&amp;rf=Y</t>
        </is>
      </c>
      <c r="AA300" s="0" t="inlineStr">
        <is>
          <t>인천시 계양구 방축동 22번지 일원</t>
        </is>
      </c>
      <c r="AB300" s="0" t="inlineStr">
        <is>
          <t>인천시</t>
        </is>
      </c>
      <c r="AC300" s="0" t="inlineStr">
        <is>
          <t>계양구</t>
        </is>
      </c>
      <c r="AD300" s="0" t="inlineStr">
        <is>
          <t>방축동</t>
        </is>
      </c>
      <c r="AG300" s="0" t="inlineStr">
        <is>
          <t>인천시 계양구</t>
        </is>
      </c>
      <c r="AH300" s="0" t="n">
        <v>0</v>
      </c>
      <c r="AI300" s="0" t="n">
        <v>185</v>
      </c>
      <c r="AJ300" s="0" t="n">
        <v>21</v>
      </c>
      <c r="AK300" s="0" t="n">
        <v>598</v>
      </c>
      <c r="AL300" s="0" t="n">
        <v>1.1</v>
      </c>
    </row>
    <row r="301">
      <c r="A301" s="0" t="inlineStr">
        <is>
          <t>[방축동]</t>
        </is>
      </c>
      <c r="B301" s="0" t="n">
        <v>141651</v>
      </c>
      <c r="C301" s="0" t="n">
        <v>6</v>
      </c>
      <c r="D301" s="0" t="inlineStr">
        <is>
          <t>계양하늘채파크포레</t>
        </is>
      </c>
      <c r="E301" s="0" t="inlineStr">
        <is>
          <t>2023.04.</t>
        </is>
      </c>
      <c r="F301" s="0" t="n">
        <v>546</v>
      </c>
      <c r="G301" s="0" t="n">
        <v>32.6</v>
      </c>
      <c r="H301" s="0" t="n">
        <v>107.77</v>
      </c>
      <c r="I301" s="0" t="n">
        <v>25.69</v>
      </c>
      <c r="J301" s="0" t="n">
        <v>84.94</v>
      </c>
      <c r="K301" s="0" t="n">
        <v>41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107A</t>
        </is>
      </c>
      <c r="X301" s="0" t="n">
        <v>15</v>
      </c>
      <c r="Y301" s="0" t="n">
        <v>7</v>
      </c>
      <c r="Z301" s="0" t="inlineStr">
        <is>
          <t>https://new.land.naver.com/complexes/141651?tab=detail&amp;rf=Y</t>
        </is>
      </c>
      <c r="AA301" s="0" t="inlineStr">
        <is>
          <t>인천시 계양구 방축동 22번지 일원</t>
        </is>
      </c>
      <c r="AB301" s="0" t="inlineStr">
        <is>
          <t>인천시</t>
        </is>
      </c>
      <c r="AC301" s="0" t="inlineStr">
        <is>
          <t>계양구</t>
        </is>
      </c>
      <c r="AD301" s="0" t="inlineStr">
        <is>
          <t>방축동</t>
        </is>
      </c>
      <c r="AG301" s="0" t="inlineStr">
        <is>
          <t>인천시 계양구</t>
        </is>
      </c>
      <c r="AH301" s="0" t="n">
        <v>0</v>
      </c>
      <c r="AI301" s="0" t="n">
        <v>185</v>
      </c>
      <c r="AJ301" s="0" t="n">
        <v>21</v>
      </c>
      <c r="AK301" s="0" t="n">
        <v>598</v>
      </c>
      <c r="AL301" s="0" t="n">
        <v>1.1</v>
      </c>
    </row>
    <row r="302">
      <c r="A302" s="0" t="inlineStr">
        <is>
          <t>[방축동]</t>
        </is>
      </c>
      <c r="B302" s="0" t="n">
        <v>8535</v>
      </c>
      <c r="C302" s="0" t="n">
        <v>1</v>
      </c>
      <c r="D302" s="0" t="inlineStr">
        <is>
          <t>한성</t>
        </is>
      </c>
      <c r="E302" s="0" t="inlineStr">
        <is>
          <t>1990.07.</t>
        </is>
      </c>
      <c r="F302" s="0" t="n">
        <v>200</v>
      </c>
      <c r="G302" s="0" t="n">
        <v>19.01</v>
      </c>
      <c r="H302" s="0" t="n">
        <v>62.87</v>
      </c>
      <c r="I302" s="0" t="n">
        <v>14.53</v>
      </c>
      <c r="J302" s="0" t="n">
        <v>48.04</v>
      </c>
      <c r="K302" s="0" t="n">
        <v>120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62B</t>
        </is>
      </c>
      <c r="X302" s="0" t="n">
        <v>5</v>
      </c>
      <c r="Y302" s="0" t="n">
        <v>5</v>
      </c>
      <c r="Z302" s="0" t="inlineStr">
        <is>
          <t>https://new.land.naver.com/complexes/8535?tab=detail&amp;rf=Y</t>
        </is>
      </c>
      <c r="AA302" s="0" t="inlineStr">
        <is>
          <t>인천시 계양구 방축동 212</t>
        </is>
      </c>
      <c r="AB302" s="0" t="inlineStr">
        <is>
          <t>인천시</t>
        </is>
      </c>
      <c r="AC302" s="0" t="inlineStr">
        <is>
          <t>계양구</t>
        </is>
      </c>
      <c r="AD302" s="0" t="inlineStr">
        <is>
          <t>방축동</t>
        </is>
      </c>
      <c r="AG302" s="0" t="inlineStr">
        <is>
          <t>인천시 계양구 장제로933번길 10</t>
        </is>
      </c>
      <c r="AH302" s="0" t="n">
        <v>0</v>
      </c>
      <c r="AI302" s="0" t="n">
        <v>124</v>
      </c>
      <c r="AJ302" s="0" t="n">
        <v>27</v>
      </c>
      <c r="AK302" s="0" t="n">
        <v>0</v>
      </c>
      <c r="AL302" s="0" t="n">
        <v>0</v>
      </c>
    </row>
    <row r="303">
      <c r="A303" s="0" t="inlineStr">
        <is>
          <t>[방축동]</t>
        </is>
      </c>
      <c r="B303" s="0" t="n">
        <v>8535</v>
      </c>
      <c r="C303" s="0" t="n">
        <v>2</v>
      </c>
      <c r="D303" s="0" t="inlineStr">
        <is>
          <t>한성</t>
        </is>
      </c>
      <c r="E303" s="0" t="inlineStr">
        <is>
          <t>1990.07.</t>
        </is>
      </c>
      <c r="F303" s="0" t="n">
        <v>200</v>
      </c>
      <c r="G303" s="0" t="n">
        <v>18.88</v>
      </c>
      <c r="H303" s="0" t="n">
        <v>62.44</v>
      </c>
      <c r="I303" s="0" t="n">
        <v>14.42</v>
      </c>
      <c r="J303" s="0" t="n">
        <v>47.67</v>
      </c>
      <c r="K303" s="0" t="n">
        <v>80</v>
      </c>
      <c r="T303" s="0" t="n">
        <v>3</v>
      </c>
      <c r="U303" s="0" t="n">
        <v>1</v>
      </c>
      <c r="V303" s="0" t="inlineStr">
        <is>
          <t>계단식</t>
        </is>
      </c>
      <c r="W303" s="0" t="inlineStr">
        <is>
          <t>62A</t>
        </is>
      </c>
      <c r="X303" s="0" t="n">
        <v>5</v>
      </c>
      <c r="Y303" s="0" t="n">
        <v>5</v>
      </c>
      <c r="Z303" s="0" t="inlineStr">
        <is>
          <t>https://new.land.naver.com/complexes/8535?tab=detail&amp;rf=Y</t>
        </is>
      </c>
      <c r="AA303" s="0" t="inlineStr">
        <is>
          <t>인천시 계양구 방축동 212</t>
        </is>
      </c>
      <c r="AB303" s="0" t="inlineStr">
        <is>
          <t>인천시</t>
        </is>
      </c>
      <c r="AC303" s="0" t="inlineStr">
        <is>
          <t>계양구</t>
        </is>
      </c>
      <c r="AD303" s="0" t="inlineStr">
        <is>
          <t>방축동</t>
        </is>
      </c>
      <c r="AG303" s="0" t="inlineStr">
        <is>
          <t>인천시 계양구 장제로933번길 10</t>
        </is>
      </c>
      <c r="AH303" s="0" t="n">
        <v>0</v>
      </c>
      <c r="AI303" s="0" t="n">
        <v>124</v>
      </c>
      <c r="AJ303" s="0" t="n">
        <v>27</v>
      </c>
      <c r="AK303" s="0" t="n">
        <v>0</v>
      </c>
      <c r="AL303" s="0" t="n">
        <v>0</v>
      </c>
    </row>
    <row r="304">
      <c r="A304" s="0" t="inlineStr">
        <is>
          <t>[방축동]</t>
        </is>
      </c>
      <c r="B304" s="0" t="n">
        <v>8520</v>
      </c>
      <c r="C304" s="0" t="n">
        <v>1</v>
      </c>
      <c r="D304" s="0" t="inlineStr">
        <is>
          <t>아주</t>
        </is>
      </c>
      <c r="E304" s="0" t="inlineStr">
        <is>
          <t>1991.04.</t>
        </is>
      </c>
      <c r="F304" s="0" t="n">
        <v>480</v>
      </c>
      <c r="G304" s="0" t="n">
        <v>22.94</v>
      </c>
      <c r="H304" s="0" t="n">
        <v>75.86</v>
      </c>
      <c r="I304" s="0" t="n">
        <v>18.13</v>
      </c>
      <c r="J304" s="0" t="n">
        <v>59.95</v>
      </c>
      <c r="K304" s="0" t="n">
        <v>204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75</v>
      </c>
      <c r="X304" s="0" t="n">
        <v>6</v>
      </c>
      <c r="Y304" s="0" t="n">
        <v>6</v>
      </c>
      <c r="Z304" s="0" t="inlineStr">
        <is>
          <t>https://new.land.naver.com/complexes/8520?tab=detail&amp;rf=Y</t>
        </is>
      </c>
      <c r="AA304" s="0" t="inlineStr">
        <is>
          <t>인천시 계양구 방축동 37-2</t>
        </is>
      </c>
      <c r="AB304" s="0" t="inlineStr">
        <is>
          <t>인천시</t>
        </is>
      </c>
      <c r="AC304" s="0" t="inlineStr">
        <is>
          <t>계양구</t>
        </is>
      </c>
      <c r="AD304" s="0" t="inlineStr">
        <is>
          <t>방축동</t>
        </is>
      </c>
      <c r="AG304" s="0" t="inlineStr">
        <is>
          <t>인천시 계양구 장제로995번길 44</t>
        </is>
      </c>
      <c r="AH304" s="0" t="n">
        <v>0</v>
      </c>
      <c r="AI304" s="0" t="n">
        <v>187</v>
      </c>
      <c r="AJ304" s="0" t="n">
        <v>31</v>
      </c>
      <c r="AK304" s="0" t="n">
        <v>158</v>
      </c>
      <c r="AL304" s="0" t="n">
        <v>0.33</v>
      </c>
    </row>
    <row r="305">
      <c r="A305" s="0" t="inlineStr">
        <is>
          <t>[방축동]</t>
        </is>
      </c>
      <c r="B305" s="0" t="n">
        <v>8520</v>
      </c>
      <c r="C305" s="0" t="n">
        <v>2</v>
      </c>
      <c r="D305" s="0" t="inlineStr">
        <is>
          <t>아주</t>
        </is>
      </c>
      <c r="E305" s="0" t="inlineStr">
        <is>
          <t>1991.04.</t>
        </is>
      </c>
      <c r="F305" s="0" t="n">
        <v>480</v>
      </c>
      <c r="G305" s="0" t="n">
        <v>24.16</v>
      </c>
      <c r="H305" s="0" t="n">
        <v>79.89</v>
      </c>
      <c r="I305" s="0" t="n">
        <v>19.16</v>
      </c>
      <c r="J305" s="0" t="n">
        <v>63.36</v>
      </c>
      <c r="K305" s="0" t="n">
        <v>240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79</v>
      </c>
      <c r="X305" s="0" t="n">
        <v>6</v>
      </c>
      <c r="Y305" s="0" t="n">
        <v>6</v>
      </c>
      <c r="Z305" s="0" t="inlineStr">
        <is>
          <t>https://new.land.naver.com/complexes/8520?tab=detail&amp;rf=Y</t>
        </is>
      </c>
      <c r="AA305" s="0" t="inlineStr">
        <is>
          <t>인천시 계양구 방축동 37-2</t>
        </is>
      </c>
      <c r="AB305" s="0" t="inlineStr">
        <is>
          <t>인천시</t>
        </is>
      </c>
      <c r="AC305" s="0" t="inlineStr">
        <is>
          <t>계양구</t>
        </is>
      </c>
      <c r="AD305" s="0" t="inlineStr">
        <is>
          <t>방축동</t>
        </is>
      </c>
      <c r="AG305" s="0" t="inlineStr">
        <is>
          <t>인천시 계양구 장제로995번길 44</t>
        </is>
      </c>
      <c r="AH305" s="0" t="n">
        <v>0</v>
      </c>
      <c r="AI305" s="0" t="n">
        <v>187</v>
      </c>
      <c r="AJ305" s="0" t="n">
        <v>31</v>
      </c>
      <c r="AK305" s="0" t="n">
        <v>158</v>
      </c>
      <c r="AL305" s="0" t="n">
        <v>0.33</v>
      </c>
    </row>
    <row r="306">
      <c r="A306" s="0" t="inlineStr">
        <is>
          <t>[방축동]</t>
        </is>
      </c>
      <c r="B306" s="0" t="n">
        <v>8520</v>
      </c>
      <c r="C306" s="0" t="n">
        <v>3</v>
      </c>
      <c r="D306" s="0" t="inlineStr">
        <is>
          <t>아주</t>
        </is>
      </c>
      <c r="E306" s="0" t="inlineStr">
        <is>
          <t>1991.04.</t>
        </is>
      </c>
      <c r="F306" s="0" t="n">
        <v>480</v>
      </c>
      <c r="G306" s="0" t="n">
        <v>25.34</v>
      </c>
      <c r="H306" s="0" t="n">
        <v>83.8</v>
      </c>
      <c r="I306" s="0" t="n">
        <v>20.19</v>
      </c>
      <c r="J306" s="0" t="n">
        <v>66.75</v>
      </c>
      <c r="K306" s="0" t="n">
        <v>36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83</v>
      </c>
      <c r="X306" s="0" t="n">
        <v>6</v>
      </c>
      <c r="Y306" s="0" t="n">
        <v>6</v>
      </c>
      <c r="Z306" s="0" t="inlineStr">
        <is>
          <t>https://new.land.naver.com/complexes/8520?tab=detail&amp;rf=Y</t>
        </is>
      </c>
      <c r="AA306" s="0" t="inlineStr">
        <is>
          <t>인천시 계양구 방축동 37-2</t>
        </is>
      </c>
      <c r="AB306" s="0" t="inlineStr">
        <is>
          <t>인천시</t>
        </is>
      </c>
      <c r="AC306" s="0" t="inlineStr">
        <is>
          <t>계양구</t>
        </is>
      </c>
      <c r="AD306" s="0" t="inlineStr">
        <is>
          <t>방축동</t>
        </is>
      </c>
      <c r="AG306" s="0" t="inlineStr">
        <is>
          <t>인천시 계양구 장제로995번길 44</t>
        </is>
      </c>
      <c r="AH306" s="0" t="n">
        <v>0</v>
      </c>
      <c r="AI306" s="0" t="n">
        <v>187</v>
      </c>
      <c r="AJ306" s="0" t="n">
        <v>31</v>
      </c>
      <c r="AK306" s="0" t="n">
        <v>158</v>
      </c>
      <c r="AL306" s="0" t="n">
        <v>0.33</v>
      </c>
    </row>
    <row r="307">
      <c r="A307" s="0" t="inlineStr">
        <is>
          <t>[방축동]</t>
        </is>
      </c>
      <c r="B307" s="0" t="n">
        <v>22825</v>
      </c>
      <c r="C307" s="0" t="n">
        <v>1</v>
      </c>
      <c r="D307" s="0" t="inlineStr">
        <is>
          <t>계양산대창센시티</t>
        </is>
      </c>
      <c r="E307" s="0" t="inlineStr">
        <is>
          <t>2006.08.</t>
        </is>
      </c>
      <c r="F307" s="0" t="n">
        <v>187</v>
      </c>
      <c r="G307" s="0" t="n">
        <v>25.92</v>
      </c>
      <c r="H307" s="0" t="n">
        <v>85.70999999999999</v>
      </c>
      <c r="I307" s="0" t="n">
        <v>18.12</v>
      </c>
      <c r="J307" s="0" t="n">
        <v>59.93</v>
      </c>
      <c r="K307" s="0" t="n">
        <v>84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https://new.land.naver.com/complexes/22825?tab=detail&amp;rf=Y</t>
        </is>
      </c>
      <c r="AA307" s="0" t="inlineStr">
        <is>
          <t>인천시 계양구 방축동 120</t>
        </is>
      </c>
      <c r="AB307" s="0" t="inlineStr">
        <is>
          <t>인천시</t>
        </is>
      </c>
      <c r="AC307" s="0" t="inlineStr">
        <is>
          <t>계양구</t>
        </is>
      </c>
      <c r="AD307" s="0" t="inlineStr">
        <is>
          <t>방축동</t>
        </is>
      </c>
      <c r="AG307" s="0" t="inlineStr">
        <is>
          <t>인천시 계양구 장제로933번길 5</t>
        </is>
      </c>
      <c r="AH307" s="0" t="n">
        <v>0</v>
      </c>
      <c r="AI307" s="0" t="n">
        <v>220</v>
      </c>
      <c r="AJ307" s="0" t="n">
        <v>25</v>
      </c>
      <c r="AK307" s="0" t="n">
        <v>190</v>
      </c>
      <c r="AL307" s="0" t="n">
        <v>1.02</v>
      </c>
    </row>
    <row r="308">
      <c r="A308" s="0" t="inlineStr">
        <is>
          <t>[방축동]</t>
        </is>
      </c>
      <c r="B308" s="0" t="n">
        <v>22825</v>
      </c>
      <c r="C308" s="0" t="n">
        <v>2</v>
      </c>
      <c r="D308" s="0" t="inlineStr">
        <is>
          <t>계양산대창센시티</t>
        </is>
      </c>
      <c r="E308" s="0" t="inlineStr">
        <is>
          <t>2006.08.</t>
        </is>
      </c>
      <c r="F308" s="0" t="n">
        <v>187</v>
      </c>
      <c r="G308" s="0" t="n">
        <v>29.79</v>
      </c>
      <c r="H308" s="0" t="n">
        <v>98.48999999999999</v>
      </c>
      <c r="I308" s="0" t="n">
        <v>21.8</v>
      </c>
      <c r="J308" s="0" t="n">
        <v>72.09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98</v>
      </c>
      <c r="X308" s="0" t="n">
        <v>15</v>
      </c>
      <c r="Y308" s="0" t="n">
        <v>9</v>
      </c>
      <c r="Z308" s="0" t="inlineStr">
        <is>
          <t>https://new.land.naver.com/complexes/22825?tab=detail&amp;rf=Y</t>
        </is>
      </c>
      <c r="AA308" s="0" t="inlineStr">
        <is>
          <t>인천시 계양구 방축동 120</t>
        </is>
      </c>
      <c r="AB308" s="0" t="inlineStr">
        <is>
          <t>인천시</t>
        </is>
      </c>
      <c r="AC308" s="0" t="inlineStr">
        <is>
          <t>계양구</t>
        </is>
      </c>
      <c r="AD308" s="0" t="inlineStr">
        <is>
          <t>방축동</t>
        </is>
      </c>
      <c r="AG308" s="0" t="inlineStr">
        <is>
          <t>인천시 계양구 장제로933번길 5</t>
        </is>
      </c>
      <c r="AH308" s="0" t="n">
        <v>0</v>
      </c>
      <c r="AI308" s="0" t="n">
        <v>220</v>
      </c>
      <c r="AJ308" s="0" t="n">
        <v>25</v>
      </c>
      <c r="AK308" s="0" t="n">
        <v>190</v>
      </c>
      <c r="AL308" s="0" t="n">
        <v>1.02</v>
      </c>
    </row>
    <row r="309">
      <c r="A309" s="0" t="inlineStr">
        <is>
          <t>[방축동]</t>
        </is>
      </c>
      <c r="B309" s="0" t="n">
        <v>22825</v>
      </c>
      <c r="C309" s="0" t="n">
        <v>3</v>
      </c>
      <c r="D309" s="0" t="inlineStr">
        <is>
          <t>계양산대창센시티</t>
        </is>
      </c>
      <c r="E309" s="0" t="inlineStr">
        <is>
          <t>2006.08.</t>
        </is>
      </c>
      <c r="F309" s="0" t="n">
        <v>187</v>
      </c>
      <c r="G309" s="0" t="n">
        <v>33.29</v>
      </c>
      <c r="H309" s="0" t="n">
        <v>110.05</v>
      </c>
      <c r="I309" s="0" t="n">
        <v>25.66</v>
      </c>
      <c r="J309" s="0" t="n">
        <v>84.84</v>
      </c>
      <c r="K309" s="0" t="n">
        <v>88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110</v>
      </c>
      <c r="X309" s="0" t="n">
        <v>15</v>
      </c>
      <c r="Y309" s="0" t="n">
        <v>9</v>
      </c>
      <c r="Z309" s="0" t="inlineStr">
        <is>
          <t>https://new.land.naver.com/complexes/22825?tab=detail&amp;rf=Y</t>
        </is>
      </c>
      <c r="AA309" s="0" t="inlineStr">
        <is>
          <t>인천시 계양구 방축동 120</t>
        </is>
      </c>
      <c r="AB309" s="0" t="inlineStr">
        <is>
          <t>인천시</t>
        </is>
      </c>
      <c r="AC309" s="0" t="inlineStr">
        <is>
          <t>계양구</t>
        </is>
      </c>
      <c r="AD309" s="0" t="inlineStr">
        <is>
          <t>방축동</t>
        </is>
      </c>
      <c r="AG309" s="0" t="inlineStr">
        <is>
          <t>인천시 계양구 장제로933번길 5</t>
        </is>
      </c>
      <c r="AH309" s="0" t="n">
        <v>0</v>
      </c>
      <c r="AI309" s="0" t="n">
        <v>220</v>
      </c>
      <c r="AJ309" s="0" t="n">
        <v>25</v>
      </c>
      <c r="AK309" s="0" t="n">
        <v>190</v>
      </c>
      <c r="AL309" s="0" t="n">
        <v>1.02</v>
      </c>
    </row>
    <row r="310">
      <c r="A310" s="0" t="inlineStr">
        <is>
          <t>[병방동]</t>
        </is>
      </c>
      <c r="B310" s="0" t="n">
        <v>8251</v>
      </c>
      <c r="C310" s="0" t="n">
        <v>1</v>
      </c>
      <c r="D310" s="0" t="inlineStr">
        <is>
          <t>학마을서해</t>
        </is>
      </c>
      <c r="E310" s="0" t="inlineStr">
        <is>
          <t>1997.10.</t>
        </is>
      </c>
      <c r="F310" s="0" t="n">
        <v>1261</v>
      </c>
      <c r="G310" s="0" t="n">
        <v>12.03</v>
      </c>
      <c r="H310" s="0" t="n">
        <v>39.78</v>
      </c>
      <c r="I310" s="0" t="n">
        <v>7.86</v>
      </c>
      <c r="J310" s="0" t="n">
        <v>26.01</v>
      </c>
      <c r="K310" s="0" t="n">
        <v>519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18</v>
      </c>
      <c r="Y310" s="0" t="n">
        <v>15</v>
      </c>
      <c r="Z310" s="0" t="inlineStr">
        <is>
          <t>https://new.land.naver.com/complexes/8251?tab=detail&amp;rf=Y</t>
        </is>
      </c>
      <c r="AA310" s="0" t="inlineStr">
        <is>
          <t>인천시 계양구 병방동 432-5</t>
        </is>
      </c>
      <c r="AB310" s="0" t="inlineStr">
        <is>
          <t>인천시</t>
        </is>
      </c>
      <c r="AC310" s="0" t="inlineStr">
        <is>
          <t>계양구</t>
        </is>
      </c>
      <c r="AD310" s="0" t="inlineStr">
        <is>
          <t>병방동</t>
        </is>
      </c>
      <c r="AG310" s="0" t="inlineStr">
        <is>
          <t>인천시 계양구 장제로 878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[병방동]</t>
        </is>
      </c>
      <c r="B311" s="0" t="n">
        <v>8251</v>
      </c>
      <c r="C311" s="0" t="n">
        <v>2</v>
      </c>
      <c r="D311" s="0" t="inlineStr">
        <is>
          <t>학마을서해</t>
        </is>
      </c>
      <c r="E311" s="0" t="inlineStr">
        <is>
          <t>1997.10.</t>
        </is>
      </c>
      <c r="F311" s="0" t="n">
        <v>1261</v>
      </c>
      <c r="G311" s="0" t="n">
        <v>24.56</v>
      </c>
      <c r="H311" s="0" t="n">
        <v>81.20999999999999</v>
      </c>
      <c r="I311" s="0" t="n">
        <v>18.08</v>
      </c>
      <c r="J311" s="0" t="n">
        <v>59.79</v>
      </c>
      <c r="K311" s="0" t="n">
        <v>742</v>
      </c>
      <c r="T311" s="0" t="n">
        <v>2</v>
      </c>
      <c r="U311" s="0" t="n">
        <v>2</v>
      </c>
      <c r="V311" s="0" t="inlineStr">
        <is>
          <t>계단식</t>
        </is>
      </c>
      <c r="W311" s="0" t="n">
        <v>81</v>
      </c>
      <c r="X311" s="0" t="n">
        <v>18</v>
      </c>
      <c r="Y311" s="0" t="n">
        <v>15</v>
      </c>
      <c r="Z311" s="0" t="inlineStr">
        <is>
          <t>https://new.land.naver.com/complexes/8251?tab=detail&amp;rf=Y</t>
        </is>
      </c>
      <c r="AA311" s="0" t="inlineStr">
        <is>
          <t>인천시 계양구 병방동 432-5</t>
        </is>
      </c>
      <c r="AB311" s="0" t="inlineStr">
        <is>
          <t>인천시</t>
        </is>
      </c>
      <c r="AC311" s="0" t="inlineStr">
        <is>
          <t>계양구</t>
        </is>
      </c>
      <c r="AD311" s="0" t="inlineStr">
        <is>
          <t>병방동</t>
        </is>
      </c>
      <c r="AG311" s="0" t="inlineStr">
        <is>
          <t>인천시 계양구 장제로 878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[병방동]</t>
        </is>
      </c>
      <c r="B312" s="0" t="n">
        <v>8253</v>
      </c>
      <c r="C312" s="0" t="n">
        <v>1</v>
      </c>
      <c r="D312" s="0" t="inlineStr">
        <is>
          <t>진달래2차</t>
        </is>
      </c>
      <c r="E312" s="0" t="inlineStr">
        <is>
          <t>1989.08.</t>
        </is>
      </c>
      <c r="F312" s="0" t="n">
        <v>204</v>
      </c>
      <c r="G312" s="0" t="n">
        <v>15.91</v>
      </c>
      <c r="H312" s="0" t="n">
        <v>52.62</v>
      </c>
      <c r="I312" s="0" t="n">
        <v>12.07</v>
      </c>
      <c r="J312" s="0" t="n">
        <v>39.91</v>
      </c>
      <c r="K312" s="0" t="n">
        <v>132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52</v>
      </c>
      <c r="X312" s="0" t="n">
        <v>6</v>
      </c>
      <c r="Y312" s="0" t="n">
        <v>6</v>
      </c>
      <c r="Z312" s="0" t="inlineStr">
        <is>
          <t>https://new.land.naver.com/complexes/8253?tab=detail&amp;rf=Y</t>
        </is>
      </c>
      <c r="AA312" s="0" t="inlineStr">
        <is>
          <t>인천시 계양구 병방동 380</t>
        </is>
      </c>
      <c r="AB312" s="0" t="inlineStr">
        <is>
          <t>인천시</t>
        </is>
      </c>
      <c r="AC312" s="0" t="inlineStr">
        <is>
          <t>계양구</t>
        </is>
      </c>
      <c r="AD312" s="0" t="inlineStr">
        <is>
          <t>병방동</t>
        </is>
      </c>
      <c r="AG312" s="0" t="inlineStr">
        <is>
          <t>인천시 계양구 병방시장로61번길 12</t>
        </is>
      </c>
      <c r="AH312" s="0" t="n">
        <v>0</v>
      </c>
      <c r="AI312" s="0" t="n">
        <v>171</v>
      </c>
      <c r="AJ312" s="0" t="n">
        <v>30</v>
      </c>
      <c r="AK312" s="0" t="n">
        <v>48</v>
      </c>
      <c r="AL312" s="0" t="n">
        <v>0.24</v>
      </c>
    </row>
    <row r="313">
      <c r="A313" s="0" t="inlineStr">
        <is>
          <t>[병방동]</t>
        </is>
      </c>
      <c r="B313" s="0" t="n">
        <v>8253</v>
      </c>
      <c r="C313" s="0" t="n">
        <v>2</v>
      </c>
      <c r="D313" s="0" t="inlineStr">
        <is>
          <t>진달래2차</t>
        </is>
      </c>
      <c r="E313" s="0" t="inlineStr">
        <is>
          <t>1989.08.</t>
        </is>
      </c>
      <c r="F313" s="0" t="n">
        <v>204</v>
      </c>
      <c r="G313" s="0" t="n">
        <v>18.73</v>
      </c>
      <c r="H313" s="0" t="n">
        <v>61.95</v>
      </c>
      <c r="I313" s="0" t="n">
        <v>14.45</v>
      </c>
      <c r="J313" s="0" t="n">
        <v>47.79</v>
      </c>
      <c r="K313" s="0" t="n">
        <v>72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61</v>
      </c>
      <c r="X313" s="0" t="n">
        <v>6</v>
      </c>
      <c r="Y313" s="0" t="n">
        <v>6</v>
      </c>
      <c r="Z313" s="0" t="inlineStr">
        <is>
          <t>https://new.land.naver.com/complexes/8253?tab=detail&amp;rf=Y</t>
        </is>
      </c>
      <c r="AA313" s="0" t="inlineStr">
        <is>
          <t>인천시 계양구 병방동 380</t>
        </is>
      </c>
      <c r="AB313" s="0" t="inlineStr">
        <is>
          <t>인천시</t>
        </is>
      </c>
      <c r="AC313" s="0" t="inlineStr">
        <is>
          <t>계양구</t>
        </is>
      </c>
      <c r="AD313" s="0" t="inlineStr">
        <is>
          <t>병방동</t>
        </is>
      </c>
      <c r="AG313" s="0" t="inlineStr">
        <is>
          <t>인천시 계양구 병방시장로61번길 12</t>
        </is>
      </c>
      <c r="AH313" s="0" t="n">
        <v>0</v>
      </c>
      <c r="AI313" s="0" t="n">
        <v>171</v>
      </c>
      <c r="AJ313" s="0" t="n">
        <v>30</v>
      </c>
      <c r="AK313" s="0" t="n">
        <v>48</v>
      </c>
      <c r="AL313" s="0" t="n">
        <v>0.24</v>
      </c>
    </row>
    <row r="314">
      <c r="A314" s="0" t="inlineStr">
        <is>
          <t>[병방동]</t>
        </is>
      </c>
      <c r="B314" s="0" t="n">
        <v>8259</v>
      </c>
      <c r="C314" s="0" t="n">
        <v>1</v>
      </c>
      <c r="D314" s="0" t="inlineStr">
        <is>
          <t>학마을영남</t>
        </is>
      </c>
      <c r="E314" s="0" t="inlineStr">
        <is>
          <t>1997.10.</t>
        </is>
      </c>
      <c r="F314" s="0" t="n">
        <v>1047</v>
      </c>
      <c r="G314" s="0" t="n">
        <v>12.03</v>
      </c>
      <c r="H314" s="0" t="n">
        <v>39.78</v>
      </c>
      <c r="I314" s="0" t="n">
        <v>7.86</v>
      </c>
      <c r="J314" s="0" t="n">
        <v>26.01</v>
      </c>
      <c r="K314" s="0" t="n">
        <v>347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39</v>
      </c>
      <c r="X314" s="0" t="n">
        <v>16</v>
      </c>
      <c r="Y314" s="0" t="n">
        <v>12</v>
      </c>
      <c r="Z314" s="0" t="inlineStr">
        <is>
          <t>https://new.land.naver.com/complexes/8259?tab=detail&amp;rf=Y</t>
        </is>
      </c>
      <c r="AA314" s="0" t="inlineStr">
        <is>
          <t>인천시 계양구 병방동 432-5</t>
        </is>
      </c>
      <c r="AB314" s="0" t="inlineStr">
        <is>
          <t>인천시</t>
        </is>
      </c>
      <c r="AC314" s="0" t="inlineStr">
        <is>
          <t>계양구</t>
        </is>
      </c>
      <c r="AD314" s="0" t="inlineStr">
        <is>
          <t>병방동</t>
        </is>
      </c>
      <c r="AG314" s="0" t="inlineStr">
        <is>
          <t>인천시 계양구 장제로 878</t>
        </is>
      </c>
      <c r="AH314" s="0" t="n">
        <v>0</v>
      </c>
      <c r="AI314" s="0" t="n">
        <v>237</v>
      </c>
      <c r="AJ314" s="0" t="n">
        <v>22</v>
      </c>
      <c r="AK314" s="0" t="n">
        <v>2313</v>
      </c>
      <c r="AL314" s="0" t="n">
        <v>2.21</v>
      </c>
    </row>
    <row r="315">
      <c r="A315" s="0" t="inlineStr">
        <is>
          <t>[병방동]</t>
        </is>
      </c>
      <c r="B315" s="0" t="n">
        <v>8259</v>
      </c>
      <c r="C315" s="0" t="n">
        <v>2</v>
      </c>
      <c r="D315" s="0" t="inlineStr">
        <is>
          <t>학마을영남</t>
        </is>
      </c>
      <c r="E315" s="0" t="inlineStr">
        <is>
          <t>1997.10.</t>
        </is>
      </c>
      <c r="F315" s="0" t="n">
        <v>1047</v>
      </c>
      <c r="G315" s="0" t="n">
        <v>24.62</v>
      </c>
      <c r="H315" s="0" t="n">
        <v>81.41</v>
      </c>
      <c r="I315" s="0" t="n">
        <v>18.13</v>
      </c>
      <c r="J315" s="0" t="n">
        <v>59.94</v>
      </c>
      <c r="K315" s="0" t="n">
        <v>700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81</v>
      </c>
      <c r="X315" s="0" t="n">
        <v>16</v>
      </c>
      <c r="Y315" s="0" t="n">
        <v>12</v>
      </c>
      <c r="Z315" s="0" t="inlineStr">
        <is>
          <t>https://new.land.naver.com/complexes/8259?tab=detail&amp;rf=Y</t>
        </is>
      </c>
      <c r="AA315" s="0" t="inlineStr">
        <is>
          <t>인천시 계양구 병방동 432-5</t>
        </is>
      </c>
      <c r="AB315" s="0" t="inlineStr">
        <is>
          <t>인천시</t>
        </is>
      </c>
      <c r="AC315" s="0" t="inlineStr">
        <is>
          <t>계양구</t>
        </is>
      </c>
      <c r="AD315" s="0" t="inlineStr">
        <is>
          <t>병방동</t>
        </is>
      </c>
      <c r="AG315" s="0" t="inlineStr">
        <is>
          <t>인천시 계양구 장제로 878</t>
        </is>
      </c>
      <c r="AH315" s="0" t="n">
        <v>0</v>
      </c>
      <c r="AI315" s="0" t="n">
        <v>237</v>
      </c>
      <c r="AJ315" s="0" t="n">
        <v>22</v>
      </c>
      <c r="AK315" s="0" t="n">
        <v>2313</v>
      </c>
      <c r="AL315" s="0" t="n">
        <v>2.21</v>
      </c>
    </row>
    <row r="316">
      <c r="A316" s="0" t="inlineStr">
        <is>
          <t>[병방동]</t>
        </is>
      </c>
      <c r="B316" s="0" t="n">
        <v>8256</v>
      </c>
      <c r="C316" s="0" t="n">
        <v>1</v>
      </c>
      <c r="D316" s="0" t="inlineStr">
        <is>
          <t>학마을서원</t>
        </is>
      </c>
      <c r="E316" s="0" t="inlineStr">
        <is>
          <t>1997.05.</t>
        </is>
      </c>
      <c r="F316" s="0" t="n">
        <v>688</v>
      </c>
      <c r="G316" s="0" t="n">
        <v>14.9</v>
      </c>
      <c r="H316" s="0" t="n">
        <v>49.26</v>
      </c>
      <c r="I316" s="0" t="n">
        <v>10.41</v>
      </c>
      <c r="J316" s="0" t="n">
        <v>34.44</v>
      </c>
      <c r="K316" s="0" t="n">
        <v>176</v>
      </c>
      <c r="T316" s="0" t="n">
        <v>2</v>
      </c>
      <c r="U316" s="0" t="n">
        <v>1</v>
      </c>
      <c r="V316" s="0" t="inlineStr">
        <is>
          <t>복도식</t>
        </is>
      </c>
      <c r="W316" s="0" t="inlineStr">
        <is>
          <t>49A</t>
        </is>
      </c>
      <c r="X316" s="0" t="n">
        <v>16</v>
      </c>
      <c r="Y316" s="0" t="n">
        <v>16</v>
      </c>
      <c r="Z316" s="0" t="inlineStr">
        <is>
          <t>https://new.land.naver.com/complexes/8256?tab=detail&amp;rf=Y</t>
        </is>
      </c>
      <c r="AA316" s="0" t="inlineStr">
        <is>
          <t>인천시 계양구 병방동 432-3</t>
        </is>
      </c>
      <c r="AB316" s="0" t="inlineStr">
        <is>
          <t>인천시</t>
        </is>
      </c>
      <c r="AC316" s="0" t="inlineStr">
        <is>
          <t>계양구</t>
        </is>
      </c>
      <c r="AD316" s="0" t="inlineStr">
        <is>
          <t>병방동</t>
        </is>
      </c>
      <c r="AG316" s="0" t="inlineStr">
        <is>
          <t>인천시 계양구 병방로 14</t>
        </is>
      </c>
      <c r="AH316" s="0" t="n">
        <v>0</v>
      </c>
      <c r="AI316" s="0" t="n">
        <v>247</v>
      </c>
      <c r="AJ316" s="0" t="n">
        <v>18</v>
      </c>
      <c r="AK316" s="0" t="n">
        <v>551</v>
      </c>
      <c r="AL316" s="0" t="n">
        <v>0.8</v>
      </c>
    </row>
    <row r="317">
      <c r="A317" s="0" t="inlineStr">
        <is>
          <t>[병방동]</t>
        </is>
      </c>
      <c r="B317" s="0" t="n">
        <v>8256</v>
      </c>
      <c r="C317" s="0" t="n">
        <v>2</v>
      </c>
      <c r="D317" s="0" t="inlineStr">
        <is>
          <t>학마을서원</t>
        </is>
      </c>
      <c r="E317" s="0" t="inlineStr">
        <is>
          <t>1997.05.</t>
        </is>
      </c>
      <c r="F317" s="0" t="n">
        <v>688</v>
      </c>
      <c r="G317" s="0" t="n">
        <v>14.9</v>
      </c>
      <c r="H317" s="0" t="n">
        <v>49.26</v>
      </c>
      <c r="I317" s="0" t="n">
        <v>10.41</v>
      </c>
      <c r="J317" s="0" t="n">
        <v>34.44</v>
      </c>
      <c r="K317" s="0" t="n">
        <v>64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49B</t>
        </is>
      </c>
      <c r="X317" s="0" t="n">
        <v>16</v>
      </c>
      <c r="Y317" s="0" t="n">
        <v>16</v>
      </c>
      <c r="Z317" s="0" t="inlineStr">
        <is>
          <t>https://new.land.naver.com/complexes/8256?tab=detail&amp;rf=Y</t>
        </is>
      </c>
      <c r="AA317" s="0" t="inlineStr">
        <is>
          <t>인천시 계양구 병방동 432-3</t>
        </is>
      </c>
      <c r="AB317" s="0" t="inlineStr">
        <is>
          <t>인천시</t>
        </is>
      </c>
      <c r="AC317" s="0" t="inlineStr">
        <is>
          <t>계양구</t>
        </is>
      </c>
      <c r="AD317" s="0" t="inlineStr">
        <is>
          <t>병방동</t>
        </is>
      </c>
      <c r="AG317" s="0" t="inlineStr">
        <is>
          <t>인천시 계양구 병방로 14</t>
        </is>
      </c>
      <c r="AH317" s="0" t="n">
        <v>0</v>
      </c>
      <c r="AI317" s="0" t="n">
        <v>247</v>
      </c>
      <c r="AJ317" s="0" t="n">
        <v>18</v>
      </c>
      <c r="AK317" s="0" t="n">
        <v>551</v>
      </c>
      <c r="AL317" s="0" t="n">
        <v>0.8</v>
      </c>
    </row>
    <row r="318">
      <c r="A318" s="0" t="inlineStr">
        <is>
          <t>[병방동]</t>
        </is>
      </c>
      <c r="B318" s="0" t="n">
        <v>8256</v>
      </c>
      <c r="C318" s="0" t="n">
        <v>3</v>
      </c>
      <c r="D318" s="0" t="inlineStr">
        <is>
          <t>학마을서원</t>
        </is>
      </c>
      <c r="E318" s="0" t="inlineStr">
        <is>
          <t>1997.05.</t>
        </is>
      </c>
      <c r="F318" s="0" t="n">
        <v>688</v>
      </c>
      <c r="G318" s="0" t="n">
        <v>24.52</v>
      </c>
      <c r="H318" s="0" t="n">
        <v>81.09</v>
      </c>
      <c r="I318" s="0" t="n">
        <v>18.13</v>
      </c>
      <c r="J318" s="0" t="n">
        <v>59.94</v>
      </c>
      <c r="K318" s="0" t="n">
        <v>448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81</v>
      </c>
      <c r="X318" s="0" t="n">
        <v>16</v>
      </c>
      <c r="Y318" s="0" t="n">
        <v>16</v>
      </c>
      <c r="Z318" s="0" t="inlineStr">
        <is>
          <t>https://new.land.naver.com/complexes/8256?tab=detail&amp;rf=Y</t>
        </is>
      </c>
      <c r="AA318" s="0" t="inlineStr">
        <is>
          <t>인천시 계양구 병방동 432-3</t>
        </is>
      </c>
      <c r="AB318" s="0" t="inlineStr">
        <is>
          <t>인천시</t>
        </is>
      </c>
      <c r="AC318" s="0" t="inlineStr">
        <is>
          <t>계양구</t>
        </is>
      </c>
      <c r="AD318" s="0" t="inlineStr">
        <is>
          <t>병방동</t>
        </is>
      </c>
      <c r="AG318" s="0" t="inlineStr">
        <is>
          <t>인천시 계양구 병방로 14</t>
        </is>
      </c>
      <c r="AH318" s="0" t="n">
        <v>0</v>
      </c>
      <c r="AI318" s="0" t="n">
        <v>247</v>
      </c>
      <c r="AJ318" s="0" t="n">
        <v>18</v>
      </c>
      <c r="AK318" s="0" t="n">
        <v>551</v>
      </c>
      <c r="AL318" s="0" t="n">
        <v>0.8</v>
      </c>
    </row>
    <row r="319">
      <c r="A319" s="0" t="inlineStr">
        <is>
          <t>[병방동]</t>
        </is>
      </c>
      <c r="B319" s="0" t="n">
        <v>8252</v>
      </c>
      <c r="C319" s="0" t="n">
        <v>1</v>
      </c>
      <c r="D319" s="0" t="inlineStr">
        <is>
          <t>신명진달래1차</t>
        </is>
      </c>
      <c r="E319" s="0" t="inlineStr">
        <is>
          <t>1988.12.</t>
        </is>
      </c>
      <c r="F319" s="0" t="n">
        <v>258</v>
      </c>
      <c r="G319" s="0" t="n">
        <v>15.05</v>
      </c>
      <c r="H319" s="0" t="n">
        <v>49.78</v>
      </c>
      <c r="I319" s="0" t="n">
        <v>12.56</v>
      </c>
      <c r="J319" s="0" t="n">
        <v>41.55</v>
      </c>
      <c r="K319" s="0" t="n">
        <v>96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49</v>
      </c>
      <c r="X319" s="0" t="n">
        <v>6</v>
      </c>
      <c r="Y319" s="0" t="n">
        <v>6</v>
      </c>
      <c r="Z319" s="0" t="inlineStr">
        <is>
          <t>https://new.land.naver.com/complexes/8252?tab=detail&amp;rf=Y</t>
        </is>
      </c>
      <c r="AA319" s="0" t="inlineStr">
        <is>
          <t>인천시 계양구 병방동 383</t>
        </is>
      </c>
      <c r="AB319" s="0" t="inlineStr">
        <is>
          <t>인천시</t>
        </is>
      </c>
      <c r="AC319" s="0" t="inlineStr">
        <is>
          <t>계양구</t>
        </is>
      </c>
      <c r="AD319" s="0" t="inlineStr">
        <is>
          <t>병방동</t>
        </is>
      </c>
      <c r="AG319" s="0" t="inlineStr">
        <is>
          <t>인천시 계양구 병방시장로61번길 4</t>
        </is>
      </c>
      <c r="AH319" s="0" t="n">
        <v>0</v>
      </c>
      <c r="AI319" s="0" t="n">
        <v>176</v>
      </c>
      <c r="AJ319" s="0" t="n">
        <v>33</v>
      </c>
      <c r="AK319" s="0" t="n">
        <v>54</v>
      </c>
      <c r="AL319" s="0" t="n">
        <v>0.21</v>
      </c>
    </row>
    <row r="320">
      <c r="A320" s="0" t="inlineStr">
        <is>
          <t>[병방동]</t>
        </is>
      </c>
      <c r="B320" s="0" t="n">
        <v>8252</v>
      </c>
      <c r="C320" s="0" t="n">
        <v>2</v>
      </c>
      <c r="D320" s="0" t="inlineStr">
        <is>
          <t>신명진달래1차</t>
        </is>
      </c>
      <c r="E320" s="0" t="inlineStr">
        <is>
          <t>1988.12.</t>
        </is>
      </c>
      <c r="F320" s="0" t="n">
        <v>258</v>
      </c>
      <c r="G320" s="0" t="n">
        <v>18.73</v>
      </c>
      <c r="H320" s="0" t="n">
        <v>61.95</v>
      </c>
      <c r="I320" s="0" t="n">
        <v>14.59</v>
      </c>
      <c r="J320" s="0" t="n">
        <v>48.24</v>
      </c>
      <c r="K320" s="0" t="n">
        <v>156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61</v>
      </c>
      <c r="X320" s="0" t="n">
        <v>6</v>
      </c>
      <c r="Y320" s="0" t="n">
        <v>6</v>
      </c>
      <c r="Z320" s="0" t="inlineStr">
        <is>
          <t>https://new.land.naver.com/complexes/8252?tab=detail&amp;rf=Y</t>
        </is>
      </c>
      <c r="AA320" s="0" t="inlineStr">
        <is>
          <t>인천시 계양구 병방동 383</t>
        </is>
      </c>
      <c r="AB320" s="0" t="inlineStr">
        <is>
          <t>인천시</t>
        </is>
      </c>
      <c r="AC320" s="0" t="inlineStr">
        <is>
          <t>계양구</t>
        </is>
      </c>
      <c r="AD320" s="0" t="inlineStr">
        <is>
          <t>병방동</t>
        </is>
      </c>
      <c r="AG320" s="0" t="inlineStr">
        <is>
          <t>인천시 계양구 병방시장로61번길 4</t>
        </is>
      </c>
      <c r="AH320" s="0" t="n">
        <v>0</v>
      </c>
      <c r="AI320" s="0" t="n">
        <v>176</v>
      </c>
      <c r="AJ320" s="0" t="n">
        <v>33</v>
      </c>
      <c r="AK320" s="0" t="n">
        <v>54</v>
      </c>
      <c r="AL320" s="0" t="n">
        <v>0.21</v>
      </c>
    </row>
    <row r="321">
      <c r="A321" s="0" t="inlineStr">
        <is>
          <t>[병방동]</t>
        </is>
      </c>
      <c r="B321" s="0" t="n">
        <v>8252</v>
      </c>
      <c r="C321" s="0" t="n">
        <v>3</v>
      </c>
      <c r="D321" s="0" t="inlineStr">
        <is>
          <t>신명진달래1차</t>
        </is>
      </c>
      <c r="E321" s="0" t="inlineStr">
        <is>
          <t>1988.12.</t>
        </is>
      </c>
      <c r="F321" s="0" t="n">
        <v>258</v>
      </c>
      <c r="G321" s="0" t="n">
        <v>25.71</v>
      </c>
      <c r="H321" s="0" t="n">
        <v>85</v>
      </c>
      <c r="I321" s="0" t="n">
        <v>19.11</v>
      </c>
      <c r="J321" s="0" t="n">
        <v>63.18</v>
      </c>
      <c r="K321" s="0" t="n">
        <v>6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85</v>
      </c>
      <c r="X321" s="0" t="n">
        <v>6</v>
      </c>
      <c r="Y321" s="0" t="n">
        <v>6</v>
      </c>
      <c r="Z321" s="0" t="inlineStr">
        <is>
          <t>https://new.land.naver.com/complexes/8252?tab=detail&amp;rf=Y</t>
        </is>
      </c>
      <c r="AA321" s="0" t="inlineStr">
        <is>
          <t>인천시 계양구 병방동 383</t>
        </is>
      </c>
      <c r="AB321" s="0" t="inlineStr">
        <is>
          <t>인천시</t>
        </is>
      </c>
      <c r="AC321" s="0" t="inlineStr">
        <is>
          <t>계양구</t>
        </is>
      </c>
      <c r="AD321" s="0" t="inlineStr">
        <is>
          <t>병방동</t>
        </is>
      </c>
      <c r="AG321" s="0" t="inlineStr">
        <is>
          <t>인천시 계양구 병방시장로61번길 4</t>
        </is>
      </c>
      <c r="AH321" s="0" t="n">
        <v>0</v>
      </c>
      <c r="AI321" s="0" t="n">
        <v>176</v>
      </c>
      <c r="AJ321" s="0" t="n">
        <v>33</v>
      </c>
      <c r="AK321" s="0" t="n">
        <v>54</v>
      </c>
      <c r="AL321" s="0" t="n">
        <v>0.21</v>
      </c>
    </row>
    <row r="322">
      <c r="A322" s="0" t="inlineStr">
        <is>
          <t>[병방동]</t>
        </is>
      </c>
      <c r="B322" s="0" t="n">
        <v>140482</v>
      </c>
      <c r="C322" s="0" t="n">
        <v>1</v>
      </c>
      <c r="D322" s="0" t="inlineStr">
        <is>
          <t>힐타운</t>
        </is>
      </c>
      <c r="E322" s="0" t="inlineStr">
        <is>
          <t>2002.11.</t>
        </is>
      </c>
      <c r="F322" s="0" t="n">
        <v>14</v>
      </c>
      <c r="G322" s="0" t="n">
        <v>23.71</v>
      </c>
      <c r="H322" s="0" t="n">
        <v>78.39</v>
      </c>
      <c r="I322" s="0" t="n">
        <v>20.42</v>
      </c>
      <c r="J322" s="0" t="n">
        <v>67.51000000000001</v>
      </c>
      <c r="K322" s="0" t="n">
        <v>1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78</v>
      </c>
      <c r="X322" s="0" t="n">
        <v>8</v>
      </c>
      <c r="Y322" s="0" t="n">
        <v>8</v>
      </c>
      <c r="Z322" s="0" t="inlineStr">
        <is>
          <t>https://new.land.naver.com/complexes/140482?tab=detail&amp;rf=Y</t>
        </is>
      </c>
      <c r="AA322" s="0" t="inlineStr">
        <is>
          <t>인천시 계양구 병방동 83-5</t>
        </is>
      </c>
      <c r="AB322" s="0" t="inlineStr">
        <is>
          <t>인천시</t>
        </is>
      </c>
      <c r="AC322" s="0" t="inlineStr">
        <is>
          <t>계양구</t>
        </is>
      </c>
      <c r="AD322" s="0" t="inlineStr">
        <is>
          <t>병방동</t>
        </is>
      </c>
      <c r="AG322" s="0" t="inlineStr">
        <is>
          <t>인천시 계양구 장제로946번길 25</t>
        </is>
      </c>
      <c r="AH322" s="0" t="n">
        <v>0</v>
      </c>
      <c r="AI322" s="0" t="n">
        <v>219</v>
      </c>
      <c r="AJ322" s="0" t="n">
        <v>31</v>
      </c>
      <c r="AK322" s="0" t="n">
        <v>15</v>
      </c>
      <c r="AL322" s="0" t="n">
        <v>1.07</v>
      </c>
    </row>
    <row r="323">
      <c r="A323" s="0" t="inlineStr">
        <is>
          <t>[병방동]</t>
        </is>
      </c>
      <c r="B323" s="0" t="n">
        <v>140482</v>
      </c>
      <c r="C323" s="0" t="n">
        <v>2</v>
      </c>
      <c r="D323" s="0" t="inlineStr">
        <is>
          <t>힐타운</t>
        </is>
      </c>
      <c r="E323" s="0" t="inlineStr">
        <is>
          <t>2002.11.</t>
        </is>
      </c>
      <c r="F323" s="0" t="n">
        <v>14</v>
      </c>
      <c r="G323" s="0" t="n">
        <v>25.24</v>
      </c>
      <c r="H323" s="0" t="n">
        <v>83.45</v>
      </c>
      <c r="I323" s="0" t="n">
        <v>21.74</v>
      </c>
      <c r="J323" s="0" t="n">
        <v>71.87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83</v>
      </c>
      <c r="X323" s="0" t="n">
        <v>8</v>
      </c>
      <c r="Y323" s="0" t="n">
        <v>8</v>
      </c>
      <c r="Z323" s="0" t="inlineStr">
        <is>
          <t>https://new.land.naver.com/complexes/140482?tab=detail&amp;rf=Y</t>
        </is>
      </c>
      <c r="AA323" s="0" t="inlineStr">
        <is>
          <t>인천시 계양구 병방동 83-5</t>
        </is>
      </c>
      <c r="AB323" s="0" t="inlineStr">
        <is>
          <t>인천시</t>
        </is>
      </c>
      <c r="AC323" s="0" t="inlineStr">
        <is>
          <t>계양구</t>
        </is>
      </c>
      <c r="AD323" s="0" t="inlineStr">
        <is>
          <t>병방동</t>
        </is>
      </c>
      <c r="AG323" s="0" t="inlineStr">
        <is>
          <t>인천시 계양구 장제로946번길 25</t>
        </is>
      </c>
      <c r="AH323" s="0" t="n">
        <v>0</v>
      </c>
      <c r="AI323" s="0" t="n">
        <v>219</v>
      </c>
      <c r="AJ323" s="0" t="n">
        <v>31</v>
      </c>
      <c r="AK323" s="0" t="n">
        <v>15</v>
      </c>
      <c r="AL323" s="0" t="n">
        <v>1.07</v>
      </c>
    </row>
    <row r="324">
      <c r="A324" s="0" t="inlineStr">
        <is>
          <t>[병방동]</t>
        </is>
      </c>
      <c r="B324" s="0" t="n">
        <v>140482</v>
      </c>
      <c r="C324" s="0" t="n">
        <v>3</v>
      </c>
      <c r="D324" s="0" t="inlineStr">
        <is>
          <t>힐타운</t>
        </is>
      </c>
      <c r="E324" s="0" t="inlineStr">
        <is>
          <t>2002.11.</t>
        </is>
      </c>
      <c r="F324" s="0" t="n">
        <v>14</v>
      </c>
      <c r="G324" s="0" t="n">
        <v>29</v>
      </c>
      <c r="H324" s="0" t="n">
        <v>95.90000000000001</v>
      </c>
      <c r="I324" s="0" t="n">
        <v>24.98</v>
      </c>
      <c r="J324" s="0" t="n">
        <v>82.59</v>
      </c>
      <c r="K324" s="0" t="n">
        <v>6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95A</t>
        </is>
      </c>
      <c r="X324" s="0" t="n">
        <v>8</v>
      </c>
      <c r="Y324" s="0" t="n">
        <v>8</v>
      </c>
      <c r="Z324" s="0" t="inlineStr">
        <is>
          <t>https://new.land.naver.com/complexes/140482?tab=detail&amp;rf=Y</t>
        </is>
      </c>
      <c r="AA324" s="0" t="inlineStr">
        <is>
          <t>인천시 계양구 병방동 83-5</t>
        </is>
      </c>
      <c r="AB324" s="0" t="inlineStr">
        <is>
          <t>인천시</t>
        </is>
      </c>
      <c r="AC324" s="0" t="inlineStr">
        <is>
          <t>계양구</t>
        </is>
      </c>
      <c r="AD324" s="0" t="inlineStr">
        <is>
          <t>병방동</t>
        </is>
      </c>
      <c r="AG324" s="0" t="inlineStr">
        <is>
          <t>인천시 계양구 장제로946번길 25</t>
        </is>
      </c>
      <c r="AH324" s="0" t="n">
        <v>0</v>
      </c>
      <c r="AI324" s="0" t="n">
        <v>219</v>
      </c>
      <c r="AJ324" s="0" t="n">
        <v>31</v>
      </c>
      <c r="AK324" s="0" t="n">
        <v>15</v>
      </c>
      <c r="AL324" s="0" t="n">
        <v>1.07</v>
      </c>
    </row>
    <row r="325">
      <c r="A325" s="0" t="inlineStr">
        <is>
          <t>[병방동]</t>
        </is>
      </c>
      <c r="B325" s="0" t="n">
        <v>140482</v>
      </c>
      <c r="C325" s="0" t="n">
        <v>4</v>
      </c>
      <c r="D325" s="0" t="inlineStr">
        <is>
          <t>힐타운</t>
        </is>
      </c>
      <c r="E325" s="0" t="inlineStr">
        <is>
          <t>2002.11.</t>
        </is>
      </c>
      <c r="F325" s="0" t="n">
        <v>14</v>
      </c>
      <c r="G325" s="0" t="n">
        <v>29.09</v>
      </c>
      <c r="H325" s="0" t="n">
        <v>96.17</v>
      </c>
      <c r="I325" s="0" t="n">
        <v>25.05</v>
      </c>
      <c r="J325" s="0" t="n">
        <v>82.83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96B</t>
        </is>
      </c>
      <c r="X325" s="0" t="n">
        <v>8</v>
      </c>
      <c r="Y325" s="0" t="n">
        <v>8</v>
      </c>
      <c r="Z325" s="0" t="inlineStr">
        <is>
          <t>https://new.land.naver.com/complexes/140482?tab=detail&amp;rf=Y</t>
        </is>
      </c>
      <c r="AA325" s="0" t="inlineStr">
        <is>
          <t>인천시 계양구 병방동 83-5</t>
        </is>
      </c>
      <c r="AB325" s="0" t="inlineStr">
        <is>
          <t>인천시</t>
        </is>
      </c>
      <c r="AC325" s="0" t="inlineStr">
        <is>
          <t>계양구</t>
        </is>
      </c>
      <c r="AD325" s="0" t="inlineStr">
        <is>
          <t>병방동</t>
        </is>
      </c>
      <c r="AG325" s="0" t="inlineStr">
        <is>
          <t>인천시 계양구 장제로946번길 25</t>
        </is>
      </c>
      <c r="AH325" s="0" t="n">
        <v>0</v>
      </c>
      <c r="AI325" s="0" t="n">
        <v>219</v>
      </c>
      <c r="AJ325" s="0" t="n">
        <v>31</v>
      </c>
      <c r="AK325" s="0" t="n">
        <v>15</v>
      </c>
      <c r="AL325" s="0" t="n">
        <v>1.07</v>
      </c>
    </row>
    <row r="326">
      <c r="A326" s="0" t="inlineStr">
        <is>
          <t>[병방동]</t>
        </is>
      </c>
      <c r="B326" s="0" t="n">
        <v>140482</v>
      </c>
      <c r="C326" s="0" t="n">
        <v>5</v>
      </c>
      <c r="D326" s="0" t="inlineStr">
        <is>
          <t>힐타운</t>
        </is>
      </c>
      <c r="E326" s="0" t="inlineStr">
        <is>
          <t>2002.11.</t>
        </is>
      </c>
      <c r="F326" s="0" t="n">
        <v>14</v>
      </c>
      <c r="G326" s="0" t="n">
        <v>29.41</v>
      </c>
      <c r="H326" s="0" t="n">
        <v>97.23</v>
      </c>
      <c r="I326" s="0" t="n">
        <v>25.33</v>
      </c>
      <c r="J326" s="0" t="n">
        <v>83.73999999999999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97C</t>
        </is>
      </c>
      <c r="X326" s="0" t="n">
        <v>8</v>
      </c>
      <c r="Y326" s="0" t="n">
        <v>8</v>
      </c>
      <c r="Z326" s="0" t="inlineStr">
        <is>
          <t>https://new.land.naver.com/complexes/140482?tab=detail&amp;rf=Y</t>
        </is>
      </c>
      <c r="AA326" s="0" t="inlineStr">
        <is>
          <t>인천시 계양구 병방동 83-5</t>
        </is>
      </c>
      <c r="AB326" s="0" t="inlineStr">
        <is>
          <t>인천시</t>
        </is>
      </c>
      <c r="AC326" s="0" t="inlineStr">
        <is>
          <t>계양구</t>
        </is>
      </c>
      <c r="AD326" s="0" t="inlineStr">
        <is>
          <t>병방동</t>
        </is>
      </c>
      <c r="AG326" s="0" t="inlineStr">
        <is>
          <t>인천시 계양구 장제로946번길 25</t>
        </is>
      </c>
      <c r="AH326" s="0" t="n">
        <v>0</v>
      </c>
      <c r="AI326" s="0" t="n">
        <v>219</v>
      </c>
      <c r="AJ326" s="0" t="n">
        <v>31</v>
      </c>
      <c r="AK326" s="0" t="n">
        <v>15</v>
      </c>
      <c r="AL326" s="0" t="n">
        <v>1.07</v>
      </c>
    </row>
    <row r="327">
      <c r="A327" s="0" t="inlineStr">
        <is>
          <t>[병방동]</t>
        </is>
      </c>
      <c r="B327" s="0" t="n">
        <v>8255</v>
      </c>
      <c r="C327" s="0" t="n">
        <v>1</v>
      </c>
      <c r="D327" s="0" t="inlineStr">
        <is>
          <t>아주</t>
        </is>
      </c>
      <c r="E327" s="0" t="inlineStr">
        <is>
          <t>1989.09.</t>
        </is>
      </c>
      <c r="F327" s="0" t="n">
        <v>468</v>
      </c>
      <c r="G327" s="0" t="n">
        <v>15.82</v>
      </c>
      <c r="H327" s="0" t="n">
        <v>52.31</v>
      </c>
      <c r="I327" s="0" t="n">
        <v>12.56</v>
      </c>
      <c r="J327" s="0" t="n">
        <v>41.55</v>
      </c>
      <c r="K327" s="0" t="n">
        <v>204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52</v>
      </c>
      <c r="X327" s="0" t="n">
        <v>6</v>
      </c>
      <c r="Y327" s="0" t="n">
        <v>6</v>
      </c>
      <c r="Z327" s="0" t="inlineStr">
        <is>
          <t>https://new.land.naver.com/complexes/8255?tab=detail&amp;rf=Y</t>
        </is>
      </c>
      <c r="AA327" s="0" t="inlineStr">
        <is>
          <t>인천시 계양구 병방동 381</t>
        </is>
      </c>
      <c r="AB327" s="0" t="inlineStr">
        <is>
          <t>인천시</t>
        </is>
      </c>
      <c r="AC327" s="0" t="inlineStr">
        <is>
          <t>계양구</t>
        </is>
      </c>
      <c r="AD327" s="0" t="inlineStr">
        <is>
          <t>병방동</t>
        </is>
      </c>
      <c r="AG327" s="0" t="inlineStr">
        <is>
          <t>인천시 계양구 장제로927번길 15</t>
        </is>
      </c>
      <c r="AH327" s="0" t="n">
        <v>0</v>
      </c>
      <c r="AI327" s="0" t="n">
        <v>175</v>
      </c>
      <c r="AJ327" s="0" t="n">
        <v>32</v>
      </c>
      <c r="AK327" s="0" t="n">
        <v>117</v>
      </c>
      <c r="AL327" s="0" t="n">
        <v>0.25</v>
      </c>
    </row>
    <row r="328">
      <c r="A328" s="0" t="inlineStr">
        <is>
          <t>[병방동]</t>
        </is>
      </c>
      <c r="B328" s="0" t="n">
        <v>8255</v>
      </c>
      <c r="C328" s="0" t="n">
        <v>2</v>
      </c>
      <c r="D328" s="0" t="inlineStr">
        <is>
          <t>아주</t>
        </is>
      </c>
      <c r="E328" s="0" t="inlineStr">
        <is>
          <t>1989.09.</t>
        </is>
      </c>
      <c r="F328" s="0" t="n">
        <v>468</v>
      </c>
      <c r="G328" s="0" t="n">
        <v>18.07</v>
      </c>
      <c r="H328" s="0" t="n">
        <v>59.76</v>
      </c>
      <c r="I328" s="0" t="n">
        <v>14.56</v>
      </c>
      <c r="J328" s="0" t="n">
        <v>48.15</v>
      </c>
      <c r="K328" s="0" t="n">
        <v>144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59</v>
      </c>
      <c r="X328" s="0" t="n">
        <v>6</v>
      </c>
      <c r="Y328" s="0" t="n">
        <v>6</v>
      </c>
      <c r="Z328" s="0" t="inlineStr">
        <is>
          <t>https://new.land.naver.com/complexes/8255?tab=detail&amp;rf=Y</t>
        </is>
      </c>
      <c r="AA328" s="0" t="inlineStr">
        <is>
          <t>인천시 계양구 병방동 381</t>
        </is>
      </c>
      <c r="AB328" s="0" t="inlineStr">
        <is>
          <t>인천시</t>
        </is>
      </c>
      <c r="AC328" s="0" t="inlineStr">
        <is>
          <t>계양구</t>
        </is>
      </c>
      <c r="AD328" s="0" t="inlineStr">
        <is>
          <t>병방동</t>
        </is>
      </c>
      <c r="AG328" s="0" t="inlineStr">
        <is>
          <t>인천시 계양구 장제로927번길 15</t>
        </is>
      </c>
      <c r="AH328" s="0" t="n">
        <v>0</v>
      </c>
      <c r="AI328" s="0" t="n">
        <v>175</v>
      </c>
      <c r="AJ328" s="0" t="n">
        <v>32</v>
      </c>
      <c r="AK328" s="0" t="n">
        <v>117</v>
      </c>
      <c r="AL328" s="0" t="n">
        <v>0.25</v>
      </c>
    </row>
    <row r="329">
      <c r="A329" s="0" t="inlineStr">
        <is>
          <t>[병방동]</t>
        </is>
      </c>
      <c r="B329" s="0" t="n">
        <v>8255</v>
      </c>
      <c r="C329" s="0" t="n">
        <v>3</v>
      </c>
      <c r="D329" s="0" t="inlineStr">
        <is>
          <t>아주</t>
        </is>
      </c>
      <c r="E329" s="0" t="inlineStr">
        <is>
          <t>1989.09.</t>
        </is>
      </c>
      <c r="F329" s="0" t="n">
        <v>468</v>
      </c>
      <c r="G329" s="0" t="n">
        <v>19.24</v>
      </c>
      <c r="H329" s="0" t="n">
        <v>63.63</v>
      </c>
      <c r="I329" s="0" t="n">
        <v>15.59</v>
      </c>
      <c r="J329" s="0" t="n">
        <v>51.57</v>
      </c>
      <c r="K329" s="0" t="n">
        <v>36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63</v>
      </c>
      <c r="X329" s="0" t="n">
        <v>6</v>
      </c>
      <c r="Y329" s="0" t="n">
        <v>6</v>
      </c>
      <c r="Z329" s="0" t="inlineStr">
        <is>
          <t>https://new.land.naver.com/complexes/8255?tab=detail&amp;rf=Y</t>
        </is>
      </c>
      <c r="AA329" s="0" t="inlineStr">
        <is>
          <t>인천시 계양구 병방동 381</t>
        </is>
      </c>
      <c r="AB329" s="0" t="inlineStr">
        <is>
          <t>인천시</t>
        </is>
      </c>
      <c r="AC329" s="0" t="inlineStr">
        <is>
          <t>계양구</t>
        </is>
      </c>
      <c r="AD329" s="0" t="inlineStr">
        <is>
          <t>병방동</t>
        </is>
      </c>
      <c r="AG329" s="0" t="inlineStr">
        <is>
          <t>인천시 계양구 장제로927번길 15</t>
        </is>
      </c>
      <c r="AH329" s="0" t="n">
        <v>0</v>
      </c>
      <c r="AI329" s="0" t="n">
        <v>175</v>
      </c>
      <c r="AJ329" s="0" t="n">
        <v>32</v>
      </c>
      <c r="AK329" s="0" t="n">
        <v>117</v>
      </c>
      <c r="AL329" s="0" t="n">
        <v>0.25</v>
      </c>
    </row>
    <row r="330">
      <c r="A330" s="0" t="inlineStr">
        <is>
          <t>[병방동]</t>
        </is>
      </c>
      <c r="B330" s="0" t="n">
        <v>8255</v>
      </c>
      <c r="C330" s="0" t="n">
        <v>4</v>
      </c>
      <c r="D330" s="0" t="inlineStr">
        <is>
          <t>아주</t>
        </is>
      </c>
      <c r="E330" s="0" t="inlineStr">
        <is>
          <t>1989.09.</t>
        </is>
      </c>
      <c r="F330" s="0" t="n">
        <v>468</v>
      </c>
      <c r="G330" s="0" t="n">
        <v>20.41</v>
      </c>
      <c r="H330" s="0" t="n">
        <v>67.48999999999999</v>
      </c>
      <c r="I330" s="0" t="n">
        <v>16.63</v>
      </c>
      <c r="J330" s="0" t="n">
        <v>54.99</v>
      </c>
      <c r="K330" s="0" t="n">
        <v>84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67</v>
      </c>
      <c r="X330" s="0" t="n">
        <v>6</v>
      </c>
      <c r="Y330" s="0" t="n">
        <v>6</v>
      </c>
      <c r="Z330" s="0" t="inlineStr">
        <is>
          <t>https://new.land.naver.com/complexes/8255?tab=detail&amp;rf=Y</t>
        </is>
      </c>
      <c r="AA330" s="0" t="inlineStr">
        <is>
          <t>인천시 계양구 병방동 381</t>
        </is>
      </c>
      <c r="AB330" s="0" t="inlineStr">
        <is>
          <t>인천시</t>
        </is>
      </c>
      <c r="AC330" s="0" t="inlineStr">
        <is>
          <t>계양구</t>
        </is>
      </c>
      <c r="AD330" s="0" t="inlineStr">
        <is>
          <t>병방동</t>
        </is>
      </c>
      <c r="AG330" s="0" t="inlineStr">
        <is>
          <t>인천시 계양구 장제로927번길 15</t>
        </is>
      </c>
      <c r="AH330" s="0" t="n">
        <v>0</v>
      </c>
      <c r="AI330" s="0" t="n">
        <v>175</v>
      </c>
      <c r="AJ330" s="0" t="n">
        <v>32</v>
      </c>
      <c r="AK330" s="0" t="n">
        <v>117</v>
      </c>
      <c r="AL330" s="0" t="n">
        <v>0.25</v>
      </c>
    </row>
    <row r="331">
      <c r="A331" s="0" t="inlineStr">
        <is>
          <t>[병방동]</t>
        </is>
      </c>
      <c r="B331" s="0" t="n">
        <v>26090</v>
      </c>
      <c r="C331" s="0" t="n">
        <v>1</v>
      </c>
      <c r="D331" s="0" t="inlineStr">
        <is>
          <t>병방영무예다음</t>
        </is>
      </c>
      <c r="E331" s="0" t="inlineStr">
        <is>
          <t>2007.10.</t>
        </is>
      </c>
      <c r="F331" s="0" t="n">
        <v>79</v>
      </c>
      <c r="G331" s="0" t="n">
        <v>24.59</v>
      </c>
      <c r="H331" s="0" t="n">
        <v>81.31</v>
      </c>
      <c r="I331" s="0" t="n">
        <v>18.14</v>
      </c>
      <c r="J331" s="0" t="n">
        <v>59.97</v>
      </c>
      <c r="K331" s="0" t="n">
        <v>79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81</v>
      </c>
      <c r="X331" s="0" t="n">
        <v>15</v>
      </c>
      <c r="Y331" s="0" t="n">
        <v>12</v>
      </c>
      <c r="Z331" s="0" t="inlineStr">
        <is>
          <t>https://new.land.naver.com/complexes/26090?tab=detail&amp;rf=Y</t>
        </is>
      </c>
      <c r="AA331" s="0" t="inlineStr">
        <is>
          <t>인천시 계양구 병방동 90-1</t>
        </is>
      </c>
      <c r="AB331" s="0" t="inlineStr">
        <is>
          <t>인천시</t>
        </is>
      </c>
      <c r="AC331" s="0" t="inlineStr">
        <is>
          <t>계양구</t>
        </is>
      </c>
      <c r="AD331" s="0" t="inlineStr">
        <is>
          <t>병방동</t>
        </is>
      </c>
      <c r="AG331" s="0" t="inlineStr">
        <is>
          <t>인천시 계양구 장제로946번길 1</t>
        </is>
      </c>
      <c r="AH331" s="0" t="n">
        <v>0</v>
      </c>
      <c r="AI331" s="0" t="n">
        <v>323</v>
      </c>
      <c r="AJ331" s="0" t="n">
        <v>24</v>
      </c>
      <c r="AK331" s="0" t="n">
        <v>56</v>
      </c>
      <c r="AL331" s="0" t="n">
        <v>0.71</v>
      </c>
    </row>
    <row r="332">
      <c r="A332" s="0" t="inlineStr">
        <is>
          <t>[병방동]</t>
        </is>
      </c>
      <c r="B332" s="0" t="n">
        <v>8258</v>
      </c>
      <c r="C332" s="0" t="n">
        <v>1</v>
      </c>
      <c r="D332" s="0" t="inlineStr">
        <is>
          <t>학마을한진</t>
        </is>
      </c>
      <c r="E332" s="0" t="inlineStr">
        <is>
          <t>1998.11.</t>
        </is>
      </c>
      <c r="F332" s="0" t="n">
        <v>1500</v>
      </c>
      <c r="G332" s="0" t="n">
        <v>16.47</v>
      </c>
      <c r="H332" s="0" t="n">
        <v>54.45</v>
      </c>
      <c r="I332" s="0" t="n">
        <v>12.05</v>
      </c>
      <c r="J332" s="0" t="n">
        <v>39.84</v>
      </c>
      <c r="K332" s="0" t="n">
        <v>200</v>
      </c>
      <c r="T332" s="0" t="n">
        <v>2</v>
      </c>
      <c r="U332" s="0" t="n">
        <v>1</v>
      </c>
      <c r="V332" s="0" t="inlineStr">
        <is>
          <t>복도식</t>
        </is>
      </c>
      <c r="W332" s="0" t="n">
        <v>54</v>
      </c>
      <c r="X332" s="0" t="n">
        <v>15</v>
      </c>
      <c r="Y332" s="0" t="n">
        <v>12</v>
      </c>
      <c r="Z332" s="0" t="inlineStr">
        <is>
          <t>https://new.land.naver.com/complexes/8258?tab=detail&amp;rf=Y</t>
        </is>
      </c>
      <c r="AA332" s="0" t="inlineStr">
        <is>
          <t>인천시 계양구 병방동 433-1</t>
        </is>
      </c>
      <c r="AB332" s="0" t="inlineStr">
        <is>
          <t>인천시</t>
        </is>
      </c>
      <c r="AC332" s="0" t="inlineStr">
        <is>
          <t>계양구</t>
        </is>
      </c>
      <c r="AD332" s="0" t="inlineStr">
        <is>
          <t>병방동</t>
        </is>
      </c>
      <c r="AG332" s="0" t="inlineStr">
        <is>
          <t>인천시 계양구 용종로 124</t>
        </is>
      </c>
      <c r="AH332" s="0" t="n">
        <v>0</v>
      </c>
      <c r="AI332" s="0" t="n">
        <v>249</v>
      </c>
      <c r="AJ332" s="0" t="n">
        <v>21</v>
      </c>
      <c r="AK332" s="0" t="n">
        <v>1069</v>
      </c>
      <c r="AL332" s="0" t="n">
        <v>0.71</v>
      </c>
    </row>
    <row r="333">
      <c r="A333" s="0" t="inlineStr">
        <is>
          <t>[병방동]</t>
        </is>
      </c>
      <c r="B333" s="0" t="n">
        <v>8258</v>
      </c>
      <c r="C333" s="0" t="n">
        <v>2</v>
      </c>
      <c r="D333" s="0" t="inlineStr">
        <is>
          <t>학마을한진</t>
        </is>
      </c>
      <c r="E333" s="0" t="inlineStr">
        <is>
          <t>1998.11.</t>
        </is>
      </c>
      <c r="F333" s="0" t="n">
        <v>1500</v>
      </c>
      <c r="G333" s="0" t="n">
        <v>20.7</v>
      </c>
      <c r="H333" s="0" t="n">
        <v>68.45</v>
      </c>
      <c r="I333" s="0" t="n">
        <v>15.05</v>
      </c>
      <c r="J333" s="0" t="n">
        <v>49.77</v>
      </c>
      <c r="K333" s="0" t="n">
        <v>900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68</v>
      </c>
      <c r="X333" s="0" t="n">
        <v>15</v>
      </c>
      <c r="Y333" s="0" t="n">
        <v>12</v>
      </c>
      <c r="Z333" s="0" t="inlineStr">
        <is>
          <t>https://new.land.naver.com/complexes/8258?tab=detail&amp;rf=Y</t>
        </is>
      </c>
      <c r="AA333" s="0" t="inlineStr">
        <is>
          <t>인천시 계양구 병방동 433-1</t>
        </is>
      </c>
      <c r="AB333" s="0" t="inlineStr">
        <is>
          <t>인천시</t>
        </is>
      </c>
      <c r="AC333" s="0" t="inlineStr">
        <is>
          <t>계양구</t>
        </is>
      </c>
      <c r="AD333" s="0" t="inlineStr">
        <is>
          <t>병방동</t>
        </is>
      </c>
      <c r="AG333" s="0" t="inlineStr">
        <is>
          <t>인천시 계양구 용종로 124</t>
        </is>
      </c>
      <c r="AH333" s="0" t="n">
        <v>0</v>
      </c>
      <c r="AI333" s="0" t="n">
        <v>249</v>
      </c>
      <c r="AJ333" s="0" t="n">
        <v>21</v>
      </c>
      <c r="AK333" s="0" t="n">
        <v>1069</v>
      </c>
      <c r="AL333" s="0" t="n">
        <v>0.71</v>
      </c>
    </row>
    <row r="334">
      <c r="A334" s="0" t="inlineStr">
        <is>
          <t>[병방동]</t>
        </is>
      </c>
      <c r="B334" s="0" t="n">
        <v>8258</v>
      </c>
      <c r="C334" s="0" t="n">
        <v>3</v>
      </c>
      <c r="D334" s="0" t="inlineStr">
        <is>
          <t>학마을한진</t>
        </is>
      </c>
      <c r="E334" s="0" t="inlineStr">
        <is>
          <t>1998.11.</t>
        </is>
      </c>
      <c r="F334" s="0" t="n">
        <v>1500</v>
      </c>
      <c r="G334" s="0" t="n">
        <v>24.03</v>
      </c>
      <c r="H334" s="0" t="n">
        <v>79.45999999999999</v>
      </c>
      <c r="I334" s="0" t="n">
        <v>18.06</v>
      </c>
      <c r="J334" s="0" t="n">
        <v>59.73</v>
      </c>
      <c r="K334" s="0" t="n">
        <v>400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79</v>
      </c>
      <c r="X334" s="0" t="n">
        <v>15</v>
      </c>
      <c r="Y334" s="0" t="n">
        <v>12</v>
      </c>
      <c r="Z334" s="0" t="inlineStr">
        <is>
          <t>https://new.land.naver.com/complexes/8258?tab=detail&amp;rf=Y</t>
        </is>
      </c>
      <c r="AA334" s="0" t="inlineStr">
        <is>
          <t>인천시 계양구 병방동 433-1</t>
        </is>
      </c>
      <c r="AB334" s="0" t="inlineStr">
        <is>
          <t>인천시</t>
        </is>
      </c>
      <c r="AC334" s="0" t="inlineStr">
        <is>
          <t>계양구</t>
        </is>
      </c>
      <c r="AD334" s="0" t="inlineStr">
        <is>
          <t>병방동</t>
        </is>
      </c>
      <c r="AG334" s="0" t="inlineStr">
        <is>
          <t>인천시 계양구 용종로 124</t>
        </is>
      </c>
      <c r="AH334" s="0" t="n">
        <v>0</v>
      </c>
      <c r="AI334" s="0" t="n">
        <v>249</v>
      </c>
      <c r="AJ334" s="0" t="n">
        <v>21</v>
      </c>
      <c r="AK334" s="0" t="n">
        <v>1069</v>
      </c>
      <c r="AL334" s="0" t="n">
        <v>0.71</v>
      </c>
    </row>
    <row r="335">
      <c r="A335" s="0" t="inlineStr">
        <is>
          <t>[병방동]</t>
        </is>
      </c>
      <c r="B335" s="0" t="n">
        <v>103703</v>
      </c>
      <c r="C335" s="0" t="n">
        <v>1</v>
      </c>
      <c r="D335" s="0" t="inlineStr">
        <is>
          <t>삼성홈타운</t>
        </is>
      </c>
      <c r="E335" s="0" t="inlineStr">
        <is>
          <t>2003.12.</t>
        </is>
      </c>
      <c r="F335" s="0" t="n">
        <v>19</v>
      </c>
      <c r="G335" s="0" t="n">
        <v>28.77</v>
      </c>
      <c r="H335" s="0" t="n">
        <v>95.12</v>
      </c>
      <c r="I335" s="0" t="n">
        <v>25.57</v>
      </c>
      <c r="J335" s="0" t="n">
        <v>84.54000000000001</v>
      </c>
      <c r="K335" s="0" t="n">
        <v>1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95</v>
      </c>
      <c r="X335" s="0" t="n">
        <v>8</v>
      </c>
      <c r="Y335" s="0" t="n">
        <v>7</v>
      </c>
      <c r="Z335" s="0" t="inlineStr">
        <is>
          <t>https://new.land.naver.com/complexes/103703?tab=detail&amp;rf=Y</t>
        </is>
      </c>
      <c r="AA335" s="0" t="inlineStr">
        <is>
          <t>인천시 계양구 병방동 74-5</t>
        </is>
      </c>
      <c r="AB335" s="0" t="inlineStr">
        <is>
          <t>인천시</t>
        </is>
      </c>
      <c r="AC335" s="0" t="inlineStr">
        <is>
          <t>계양구</t>
        </is>
      </c>
      <c r="AD335" s="0" t="inlineStr">
        <is>
          <t>병방동</t>
        </is>
      </c>
      <c r="AG335" s="0" t="inlineStr">
        <is>
          <t>인천시 계양구 서부간선로 185-1</t>
        </is>
      </c>
      <c r="AH335" s="0" t="n">
        <v>0</v>
      </c>
      <c r="AI335" s="0" t="n">
        <v>245</v>
      </c>
      <c r="AJ335" s="0" t="n">
        <v>43</v>
      </c>
      <c r="AK335" s="0" t="n">
        <v>23</v>
      </c>
      <c r="AL335" s="0" t="n">
        <v>1.21</v>
      </c>
    </row>
    <row r="336">
      <c r="A336" s="0" t="inlineStr">
        <is>
          <t>[병방동]</t>
        </is>
      </c>
      <c r="B336" s="0" t="n">
        <v>103703</v>
      </c>
      <c r="C336" s="0" t="n">
        <v>2</v>
      </c>
      <c r="D336" s="0" t="inlineStr">
        <is>
          <t>삼성홈타운</t>
        </is>
      </c>
      <c r="E336" s="0" t="inlineStr">
        <is>
          <t>2003.12.</t>
        </is>
      </c>
      <c r="F336" s="0" t="n">
        <v>19</v>
      </c>
      <c r="G336" s="0" t="n">
        <v>31.3</v>
      </c>
      <c r="H336" s="0" t="n">
        <v>103.49</v>
      </c>
      <c r="I336" s="0" t="n">
        <v>27.82</v>
      </c>
      <c r="J336" s="0" t="n">
        <v>91.98</v>
      </c>
      <c r="K336" s="0" t="n">
        <v>12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8</v>
      </c>
      <c r="Y336" s="0" t="n">
        <v>7</v>
      </c>
      <c r="Z336" s="0" t="inlineStr">
        <is>
          <t>https://new.land.naver.com/complexes/103703?tab=detail&amp;rf=Y</t>
        </is>
      </c>
      <c r="AA336" s="0" t="inlineStr">
        <is>
          <t>인천시 계양구 병방동 74-5</t>
        </is>
      </c>
      <c r="AB336" s="0" t="inlineStr">
        <is>
          <t>인천시</t>
        </is>
      </c>
      <c r="AC336" s="0" t="inlineStr">
        <is>
          <t>계양구</t>
        </is>
      </c>
      <c r="AD336" s="0" t="inlineStr">
        <is>
          <t>병방동</t>
        </is>
      </c>
      <c r="AG336" s="0" t="inlineStr">
        <is>
          <t>인천시 계양구 서부간선로 185-1</t>
        </is>
      </c>
      <c r="AH336" s="0" t="n">
        <v>0</v>
      </c>
      <c r="AI336" s="0" t="n">
        <v>245</v>
      </c>
      <c r="AJ336" s="0" t="n">
        <v>43</v>
      </c>
      <c r="AK336" s="0" t="n">
        <v>23</v>
      </c>
      <c r="AL336" s="0" t="n">
        <v>1.21</v>
      </c>
    </row>
    <row r="337">
      <c r="A337" s="0" t="inlineStr">
        <is>
          <t>[병방동]</t>
        </is>
      </c>
      <c r="B337" s="0" t="n">
        <v>103703</v>
      </c>
      <c r="C337" s="0" t="n">
        <v>3</v>
      </c>
      <c r="D337" s="0" t="inlineStr">
        <is>
          <t>삼성홈타운</t>
        </is>
      </c>
      <c r="E337" s="0" t="inlineStr">
        <is>
          <t>2003.12.</t>
        </is>
      </c>
      <c r="F337" s="0" t="n">
        <v>19</v>
      </c>
      <c r="G337" s="0" t="n">
        <v>31.95</v>
      </c>
      <c r="H337" s="0" t="n">
        <v>105.64</v>
      </c>
      <c r="I337" s="0" t="n">
        <v>28.4</v>
      </c>
      <c r="J337" s="0" t="n">
        <v>93.90000000000001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105</v>
      </c>
      <c r="X337" s="0" t="n">
        <v>8</v>
      </c>
      <c r="Y337" s="0" t="n">
        <v>7</v>
      </c>
      <c r="Z337" s="0" t="inlineStr">
        <is>
          <t>https://new.land.naver.com/complexes/103703?tab=detail&amp;rf=Y</t>
        </is>
      </c>
      <c r="AA337" s="0" t="inlineStr">
        <is>
          <t>인천시 계양구 병방동 74-5</t>
        </is>
      </c>
      <c r="AB337" s="0" t="inlineStr">
        <is>
          <t>인천시</t>
        </is>
      </c>
      <c r="AC337" s="0" t="inlineStr">
        <is>
          <t>계양구</t>
        </is>
      </c>
      <c r="AD337" s="0" t="inlineStr">
        <is>
          <t>병방동</t>
        </is>
      </c>
      <c r="AG337" s="0" t="inlineStr">
        <is>
          <t>인천시 계양구 서부간선로 185-1</t>
        </is>
      </c>
      <c r="AH337" s="0" t="n">
        <v>0</v>
      </c>
      <c r="AI337" s="0" t="n">
        <v>245</v>
      </c>
      <c r="AJ337" s="0" t="n">
        <v>43</v>
      </c>
      <c r="AK337" s="0" t="n">
        <v>23</v>
      </c>
      <c r="AL337" s="0" t="n">
        <v>1.21</v>
      </c>
    </row>
    <row r="338">
      <c r="A338" s="0" t="inlineStr">
        <is>
          <t>[병방동]</t>
        </is>
      </c>
      <c r="B338" s="0" t="n">
        <v>103703</v>
      </c>
      <c r="C338" s="0" t="n">
        <v>4</v>
      </c>
      <c r="D338" s="0" t="inlineStr">
        <is>
          <t>삼성홈타운</t>
        </is>
      </c>
      <c r="E338" s="0" t="inlineStr">
        <is>
          <t>2003.12.</t>
        </is>
      </c>
      <c r="F338" s="0" t="n">
        <v>19</v>
      </c>
      <c r="G338" s="0" t="n">
        <v>33.38</v>
      </c>
      <c r="H338" s="0" t="n">
        <v>110.38</v>
      </c>
      <c r="I338" s="0" t="n">
        <v>29.67</v>
      </c>
      <c r="J338" s="0" t="n">
        <v>98.09999999999999</v>
      </c>
      <c r="K338" s="0" t="n">
        <v>1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110</v>
      </c>
      <c r="X338" s="0" t="n">
        <v>8</v>
      </c>
      <c r="Y338" s="0" t="n">
        <v>7</v>
      </c>
      <c r="Z338" s="0" t="inlineStr">
        <is>
          <t>https://new.land.naver.com/complexes/103703?tab=detail&amp;rf=Y</t>
        </is>
      </c>
      <c r="AA338" s="0" t="inlineStr">
        <is>
          <t>인천시 계양구 병방동 74-5</t>
        </is>
      </c>
      <c r="AB338" s="0" t="inlineStr">
        <is>
          <t>인천시</t>
        </is>
      </c>
      <c r="AC338" s="0" t="inlineStr">
        <is>
          <t>계양구</t>
        </is>
      </c>
      <c r="AD338" s="0" t="inlineStr">
        <is>
          <t>병방동</t>
        </is>
      </c>
      <c r="AG338" s="0" t="inlineStr">
        <is>
          <t>인천시 계양구 서부간선로 185-1</t>
        </is>
      </c>
      <c r="AH338" s="0" t="n">
        <v>0</v>
      </c>
      <c r="AI338" s="0" t="n">
        <v>245</v>
      </c>
      <c r="AJ338" s="0" t="n">
        <v>43</v>
      </c>
      <c r="AK338" s="0" t="n">
        <v>23</v>
      </c>
      <c r="AL338" s="0" t="n">
        <v>1.21</v>
      </c>
    </row>
    <row r="339">
      <c r="A339" s="0" t="inlineStr">
        <is>
          <t>[서운동]</t>
        </is>
      </c>
      <c r="B339" s="0" t="n">
        <v>27340</v>
      </c>
      <c r="C339" s="0" t="n">
        <v>1</v>
      </c>
      <c r="D339" s="0" t="inlineStr">
        <is>
          <t>계양임광그대가</t>
        </is>
      </c>
      <c r="E339" s="0" t="inlineStr">
        <is>
          <t>2009.10.</t>
        </is>
      </c>
      <c r="F339" s="0" t="n">
        <v>373</v>
      </c>
      <c r="G339" s="0" t="n">
        <v>34.06</v>
      </c>
      <c r="H339" s="0" t="n">
        <v>112.62</v>
      </c>
      <c r="I339" s="0" t="n">
        <v>25.68</v>
      </c>
      <c r="J339" s="0" t="n">
        <v>84.91</v>
      </c>
      <c r="K339" s="0" t="n">
        <v>93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112B</t>
        </is>
      </c>
      <c r="X339" s="0" t="n">
        <v>28</v>
      </c>
      <c r="Y339" s="0" t="n">
        <v>15</v>
      </c>
      <c r="Z339" s="0" t="inlineStr">
        <is>
          <t>https://new.land.naver.com/complexes/27340?tab=detail&amp;rf=Y</t>
        </is>
      </c>
      <c r="AA339" s="0" t="inlineStr">
        <is>
          <t>인천시 계양구 서운동 203</t>
        </is>
      </c>
      <c r="AB339" s="0" t="inlineStr">
        <is>
          <t>인천시</t>
        </is>
      </c>
      <c r="AC339" s="0" t="inlineStr">
        <is>
          <t>계양구</t>
        </is>
      </c>
      <c r="AD339" s="0" t="inlineStr">
        <is>
          <t>서운동</t>
        </is>
      </c>
      <c r="AG339" s="0" t="inlineStr">
        <is>
          <t>인천시 계양구 효서로 417</t>
        </is>
      </c>
      <c r="AH339" s="0" t="n">
        <v>0</v>
      </c>
      <c r="AI339" s="0" t="n">
        <v>298</v>
      </c>
      <c r="AJ339" s="0" t="n">
        <v>21</v>
      </c>
      <c r="AK339" s="0" t="n">
        <v>505</v>
      </c>
      <c r="AL339" s="0" t="n">
        <v>1.35</v>
      </c>
    </row>
    <row r="340">
      <c r="A340" s="0" t="inlineStr">
        <is>
          <t>[서운동]</t>
        </is>
      </c>
      <c r="B340" s="0" t="n">
        <v>27340</v>
      </c>
      <c r="C340" s="0" t="n">
        <v>2</v>
      </c>
      <c r="D340" s="0" t="inlineStr">
        <is>
          <t>계양임광그대가</t>
        </is>
      </c>
      <c r="E340" s="0" t="inlineStr">
        <is>
          <t>2009.10.</t>
        </is>
      </c>
      <c r="F340" s="0" t="n">
        <v>373</v>
      </c>
      <c r="G340" s="0" t="n">
        <v>34.11</v>
      </c>
      <c r="H340" s="0" t="n">
        <v>112.79</v>
      </c>
      <c r="I340" s="0" t="n">
        <v>25.68</v>
      </c>
      <c r="J340" s="0" t="n">
        <v>84.91</v>
      </c>
      <c r="K340" s="0" t="n">
        <v>62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28</v>
      </c>
      <c r="Y340" s="0" t="n">
        <v>15</v>
      </c>
      <c r="Z340" s="0" t="inlineStr">
        <is>
          <t>https://new.land.naver.com/complexes/27340?tab=detail&amp;rf=Y</t>
        </is>
      </c>
      <c r="AA340" s="0" t="inlineStr">
        <is>
          <t>인천시 계양구 서운동 203</t>
        </is>
      </c>
      <c r="AB340" s="0" t="inlineStr">
        <is>
          <t>인천시</t>
        </is>
      </c>
      <c r="AC340" s="0" t="inlineStr">
        <is>
          <t>계양구</t>
        </is>
      </c>
      <c r="AD340" s="0" t="inlineStr">
        <is>
          <t>서운동</t>
        </is>
      </c>
      <c r="AG340" s="0" t="inlineStr">
        <is>
          <t>인천시 계양구 효서로 417</t>
        </is>
      </c>
      <c r="AH340" s="0" t="n">
        <v>0</v>
      </c>
      <c r="AI340" s="0" t="n">
        <v>298</v>
      </c>
      <c r="AJ340" s="0" t="n">
        <v>21</v>
      </c>
      <c r="AK340" s="0" t="n">
        <v>505</v>
      </c>
      <c r="AL340" s="0" t="n">
        <v>1.35</v>
      </c>
    </row>
    <row r="341">
      <c r="A341" s="0" t="inlineStr">
        <is>
          <t>[서운동]</t>
        </is>
      </c>
      <c r="B341" s="0" t="n">
        <v>27340</v>
      </c>
      <c r="C341" s="0" t="n">
        <v>3</v>
      </c>
      <c r="D341" s="0" t="inlineStr">
        <is>
          <t>계양임광그대가</t>
        </is>
      </c>
      <c r="E341" s="0" t="inlineStr">
        <is>
          <t>2009.10.</t>
        </is>
      </c>
      <c r="F341" s="0" t="n">
        <v>373</v>
      </c>
      <c r="G341" s="0" t="n">
        <v>34.11</v>
      </c>
      <c r="H341" s="0" t="n">
        <v>112.79</v>
      </c>
      <c r="I341" s="0" t="n">
        <v>25.68</v>
      </c>
      <c r="J341" s="0" t="n">
        <v>84.91</v>
      </c>
      <c r="K341" s="0" t="n">
        <v>26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112C</t>
        </is>
      </c>
      <c r="X341" s="0" t="n">
        <v>28</v>
      </c>
      <c r="Y341" s="0" t="n">
        <v>15</v>
      </c>
      <c r="Z341" s="0" t="inlineStr">
        <is>
          <t>https://new.land.naver.com/complexes/27340?tab=detail&amp;rf=Y</t>
        </is>
      </c>
      <c r="AA341" s="0" t="inlineStr">
        <is>
          <t>인천시 계양구 서운동 203</t>
        </is>
      </c>
      <c r="AB341" s="0" t="inlineStr">
        <is>
          <t>인천시</t>
        </is>
      </c>
      <c r="AC341" s="0" t="inlineStr">
        <is>
          <t>계양구</t>
        </is>
      </c>
      <c r="AD341" s="0" t="inlineStr">
        <is>
          <t>서운동</t>
        </is>
      </c>
      <c r="AG341" s="0" t="inlineStr">
        <is>
          <t>인천시 계양구 효서로 417</t>
        </is>
      </c>
      <c r="AH341" s="0" t="n">
        <v>0</v>
      </c>
      <c r="AI341" s="0" t="n">
        <v>298</v>
      </c>
      <c r="AJ341" s="0" t="n">
        <v>21</v>
      </c>
      <c r="AK341" s="0" t="n">
        <v>505</v>
      </c>
      <c r="AL341" s="0" t="n">
        <v>1.35</v>
      </c>
    </row>
    <row r="342">
      <c r="A342" s="0" t="inlineStr">
        <is>
          <t>[서운동]</t>
        </is>
      </c>
      <c r="B342" s="0" t="n">
        <v>27340</v>
      </c>
      <c r="C342" s="0" t="n">
        <v>4</v>
      </c>
      <c r="D342" s="0" t="inlineStr">
        <is>
          <t>계양임광그대가</t>
        </is>
      </c>
      <c r="E342" s="0" t="inlineStr">
        <is>
          <t>2009.10.</t>
        </is>
      </c>
      <c r="F342" s="0" t="n">
        <v>373</v>
      </c>
      <c r="G342" s="0" t="n">
        <v>43.81</v>
      </c>
      <c r="H342" s="0" t="n">
        <v>144.84</v>
      </c>
      <c r="I342" s="0" t="n">
        <v>35.24</v>
      </c>
      <c r="J342" s="0" t="n">
        <v>116.5</v>
      </c>
      <c r="K342" s="0" t="n">
        <v>97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144A</t>
        </is>
      </c>
      <c r="X342" s="0" t="n">
        <v>28</v>
      </c>
      <c r="Y342" s="0" t="n">
        <v>15</v>
      </c>
      <c r="Z342" s="0" t="inlineStr">
        <is>
          <t>https://new.land.naver.com/complexes/27340?tab=detail&amp;rf=Y</t>
        </is>
      </c>
      <c r="AA342" s="0" t="inlineStr">
        <is>
          <t>인천시 계양구 서운동 203</t>
        </is>
      </c>
      <c r="AB342" s="0" t="inlineStr">
        <is>
          <t>인천시</t>
        </is>
      </c>
      <c r="AC342" s="0" t="inlineStr">
        <is>
          <t>계양구</t>
        </is>
      </c>
      <c r="AD342" s="0" t="inlineStr">
        <is>
          <t>서운동</t>
        </is>
      </c>
      <c r="AG342" s="0" t="inlineStr">
        <is>
          <t>인천시 계양구 효서로 417</t>
        </is>
      </c>
      <c r="AH342" s="0" t="n">
        <v>0</v>
      </c>
      <c r="AI342" s="0" t="n">
        <v>298</v>
      </c>
      <c r="AJ342" s="0" t="n">
        <v>21</v>
      </c>
      <c r="AK342" s="0" t="n">
        <v>505</v>
      </c>
      <c r="AL342" s="0" t="n">
        <v>1.35</v>
      </c>
    </row>
    <row r="343">
      <c r="A343" s="0" t="inlineStr">
        <is>
          <t>[서운동]</t>
        </is>
      </c>
      <c r="B343" s="0" t="n">
        <v>27340</v>
      </c>
      <c r="C343" s="0" t="n">
        <v>5</v>
      </c>
      <c r="D343" s="0" t="inlineStr">
        <is>
          <t>계양임광그대가</t>
        </is>
      </c>
      <c r="E343" s="0" t="inlineStr">
        <is>
          <t>2009.10.</t>
        </is>
      </c>
      <c r="F343" s="0" t="n">
        <v>373</v>
      </c>
      <c r="G343" s="0" t="n">
        <v>43.82</v>
      </c>
      <c r="H343" s="0" t="n">
        <v>144.86</v>
      </c>
      <c r="I343" s="0" t="n">
        <v>35.24</v>
      </c>
      <c r="J343" s="0" t="n">
        <v>116.5</v>
      </c>
      <c r="K343" s="0" t="n">
        <v>95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144B</t>
        </is>
      </c>
      <c r="X343" s="0" t="n">
        <v>28</v>
      </c>
      <c r="Y343" s="0" t="n">
        <v>15</v>
      </c>
      <c r="Z343" s="0" t="inlineStr">
        <is>
          <t>https://new.land.naver.com/complexes/27340?tab=detail&amp;rf=Y</t>
        </is>
      </c>
      <c r="AA343" s="0" t="inlineStr">
        <is>
          <t>인천시 계양구 서운동 203</t>
        </is>
      </c>
      <c r="AB343" s="0" t="inlineStr">
        <is>
          <t>인천시</t>
        </is>
      </c>
      <c r="AC343" s="0" t="inlineStr">
        <is>
          <t>계양구</t>
        </is>
      </c>
      <c r="AD343" s="0" t="inlineStr">
        <is>
          <t>서운동</t>
        </is>
      </c>
      <c r="AG343" s="0" t="inlineStr">
        <is>
          <t>인천시 계양구 효서로 417</t>
        </is>
      </c>
      <c r="AH343" s="0" t="n">
        <v>0</v>
      </c>
      <c r="AI343" s="0" t="n">
        <v>298</v>
      </c>
      <c r="AJ343" s="0" t="n">
        <v>21</v>
      </c>
      <c r="AK343" s="0" t="n">
        <v>505</v>
      </c>
      <c r="AL343" s="0" t="n">
        <v>1.35</v>
      </c>
    </row>
    <row r="344">
      <c r="A344" s="0" t="inlineStr">
        <is>
          <t>[서운동]</t>
        </is>
      </c>
      <c r="B344" s="0" t="n">
        <v>121375</v>
      </c>
      <c r="C344" s="0" t="n">
        <v>1</v>
      </c>
      <c r="D344" s="0" t="inlineStr">
        <is>
          <t>계양효성해링턴플레이스</t>
        </is>
      </c>
      <c r="E344" s="0" t="inlineStr">
        <is>
          <t>2021.02.</t>
        </is>
      </c>
      <c r="F344" s="0" t="n">
        <v>1669</v>
      </c>
      <c r="G344" s="0" t="n">
        <v>16.71</v>
      </c>
      <c r="H344" s="0" t="n">
        <v>55.27</v>
      </c>
      <c r="I344" s="0" t="n">
        <v>12.06</v>
      </c>
      <c r="J344" s="0" t="n">
        <v>39.88</v>
      </c>
      <c r="K344" s="0" t="n">
        <v>19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55</v>
      </c>
      <c r="X344" s="0" t="n">
        <v>31</v>
      </c>
      <c r="Y344" s="0" t="n">
        <v>19</v>
      </c>
      <c r="Z344" s="0" t="inlineStr">
        <is>
          <t>https://new.land.naver.com/complexes/121375?tab=detail&amp;rf=Y</t>
        </is>
      </c>
      <c r="AA344" s="0" t="inlineStr">
        <is>
          <t>인천시 계양구 서운동 9-13</t>
        </is>
      </c>
      <c r="AB344" s="0" t="inlineStr">
        <is>
          <t>인천시</t>
        </is>
      </c>
      <c r="AC344" s="0" t="inlineStr">
        <is>
          <t>계양구</t>
        </is>
      </c>
      <c r="AD344" s="0" t="inlineStr">
        <is>
          <t>서운동</t>
        </is>
      </c>
      <c r="AG344" s="0" t="inlineStr">
        <is>
          <t>인천시 계양구 서운로 34</t>
        </is>
      </c>
      <c r="AH344" s="0" t="n">
        <v>84</v>
      </c>
      <c r="AI344" s="0" t="n">
        <v>249</v>
      </c>
      <c r="AJ344" s="0" t="n">
        <v>14</v>
      </c>
      <c r="AK344" s="0" t="n">
        <v>1912</v>
      </c>
      <c r="AL344" s="0" t="n">
        <v>1.15</v>
      </c>
    </row>
    <row r="345">
      <c r="A345" s="0" t="inlineStr">
        <is>
          <t>[서운동]</t>
        </is>
      </c>
      <c r="B345" s="0" t="n">
        <v>121375</v>
      </c>
      <c r="C345" s="0" t="n">
        <v>2</v>
      </c>
      <c r="D345" s="0" t="inlineStr">
        <is>
          <t>계양효성해링턴플레이스</t>
        </is>
      </c>
      <c r="E345" s="0" t="inlineStr">
        <is>
          <t>2021.02.</t>
        </is>
      </c>
      <c r="F345" s="0" t="n">
        <v>1669</v>
      </c>
      <c r="G345" s="0" t="n">
        <v>24.88</v>
      </c>
      <c r="H345" s="0" t="n">
        <v>82.27</v>
      </c>
      <c r="I345" s="0" t="n">
        <v>18.14</v>
      </c>
      <c r="J345" s="0" t="n">
        <v>59.97</v>
      </c>
      <c r="K345" s="0" t="n">
        <v>405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82A</t>
        </is>
      </c>
      <c r="X345" s="0" t="n">
        <v>31</v>
      </c>
      <c r="Y345" s="0" t="n">
        <v>19</v>
      </c>
      <c r="Z345" s="0" t="inlineStr">
        <is>
          <t>https://new.land.naver.com/complexes/121375?tab=detail&amp;rf=Y</t>
        </is>
      </c>
      <c r="AA345" s="0" t="inlineStr">
        <is>
          <t>인천시 계양구 서운동 9-13</t>
        </is>
      </c>
      <c r="AB345" s="0" t="inlineStr">
        <is>
          <t>인천시</t>
        </is>
      </c>
      <c r="AC345" s="0" t="inlineStr">
        <is>
          <t>계양구</t>
        </is>
      </c>
      <c r="AD345" s="0" t="inlineStr">
        <is>
          <t>서운동</t>
        </is>
      </c>
      <c r="AG345" s="0" t="inlineStr">
        <is>
          <t>인천시 계양구 서운로 34</t>
        </is>
      </c>
      <c r="AH345" s="0" t="n">
        <v>84</v>
      </c>
      <c r="AI345" s="0" t="n">
        <v>249</v>
      </c>
      <c r="AJ345" s="0" t="n">
        <v>14</v>
      </c>
      <c r="AK345" s="0" t="n">
        <v>1912</v>
      </c>
      <c r="AL345" s="0" t="n">
        <v>1.15</v>
      </c>
    </row>
    <row r="346">
      <c r="A346" s="0" t="inlineStr">
        <is>
          <t>[서운동]</t>
        </is>
      </c>
      <c r="B346" s="0" t="n">
        <v>121375</v>
      </c>
      <c r="C346" s="0" t="n">
        <v>3</v>
      </c>
      <c r="D346" s="0" t="inlineStr">
        <is>
          <t>계양효성해링턴플레이스</t>
        </is>
      </c>
      <c r="E346" s="0" t="inlineStr">
        <is>
          <t>2021.02.</t>
        </is>
      </c>
      <c r="F346" s="0" t="n">
        <v>1669</v>
      </c>
      <c r="G346" s="0" t="n">
        <v>25.05</v>
      </c>
      <c r="H346" s="0" t="n">
        <v>82.81999999999999</v>
      </c>
      <c r="I346" s="0" t="n">
        <v>18.14</v>
      </c>
      <c r="J346" s="0" t="n">
        <v>59.97</v>
      </c>
      <c r="K346" s="0" t="n">
        <v>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82B</t>
        </is>
      </c>
      <c r="X346" s="0" t="n">
        <v>31</v>
      </c>
      <c r="Y346" s="0" t="n">
        <v>19</v>
      </c>
      <c r="Z346" s="0" t="inlineStr">
        <is>
          <t>https://new.land.naver.com/complexes/121375?tab=detail&amp;rf=Y</t>
        </is>
      </c>
      <c r="AA346" s="0" t="inlineStr">
        <is>
          <t>인천시 계양구 서운동 9-13</t>
        </is>
      </c>
      <c r="AB346" s="0" t="inlineStr">
        <is>
          <t>인천시</t>
        </is>
      </c>
      <c r="AC346" s="0" t="inlineStr">
        <is>
          <t>계양구</t>
        </is>
      </c>
      <c r="AD346" s="0" t="inlineStr">
        <is>
          <t>서운동</t>
        </is>
      </c>
      <c r="AG346" s="0" t="inlineStr">
        <is>
          <t>인천시 계양구 서운로 34</t>
        </is>
      </c>
      <c r="AH346" s="0" t="n">
        <v>84</v>
      </c>
      <c r="AI346" s="0" t="n">
        <v>249</v>
      </c>
      <c r="AJ346" s="0" t="n">
        <v>14</v>
      </c>
      <c r="AK346" s="0" t="n">
        <v>1912</v>
      </c>
      <c r="AL346" s="0" t="n">
        <v>1.15</v>
      </c>
    </row>
    <row r="347">
      <c r="A347" s="0" t="inlineStr">
        <is>
          <t>[서운동]</t>
        </is>
      </c>
      <c r="B347" s="0" t="n">
        <v>121375</v>
      </c>
      <c r="C347" s="0" t="n">
        <v>4</v>
      </c>
      <c r="D347" s="0" t="inlineStr">
        <is>
          <t>계양효성해링턴플레이스</t>
        </is>
      </c>
      <c r="E347" s="0" t="inlineStr">
        <is>
          <t>2021.02.</t>
        </is>
      </c>
      <c r="F347" s="0" t="n">
        <v>1669</v>
      </c>
      <c r="G347" s="0" t="n">
        <v>30.22</v>
      </c>
      <c r="H347" s="0" t="n">
        <v>99.91</v>
      </c>
      <c r="I347" s="0" t="n">
        <v>22.07</v>
      </c>
      <c r="J347" s="0" t="n">
        <v>72.98999999999999</v>
      </c>
      <c r="K347" s="0" t="n">
        <v>230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31</v>
      </c>
      <c r="Y347" s="0" t="n">
        <v>19</v>
      </c>
      <c r="Z347" s="0" t="inlineStr">
        <is>
          <t>https://new.land.naver.com/complexes/121375?tab=detail&amp;rf=Y</t>
        </is>
      </c>
      <c r="AA347" s="0" t="inlineStr">
        <is>
          <t>인천시 계양구 서운동 9-13</t>
        </is>
      </c>
      <c r="AB347" s="0" t="inlineStr">
        <is>
          <t>인천시</t>
        </is>
      </c>
      <c r="AC347" s="0" t="inlineStr">
        <is>
          <t>계양구</t>
        </is>
      </c>
      <c r="AD347" s="0" t="inlineStr">
        <is>
          <t>서운동</t>
        </is>
      </c>
      <c r="AG347" s="0" t="inlineStr">
        <is>
          <t>인천시 계양구 서운로 34</t>
        </is>
      </c>
      <c r="AH347" s="0" t="n">
        <v>84</v>
      </c>
      <c r="AI347" s="0" t="n">
        <v>249</v>
      </c>
      <c r="AJ347" s="0" t="n">
        <v>14</v>
      </c>
      <c r="AK347" s="0" t="n">
        <v>1912</v>
      </c>
      <c r="AL347" s="0" t="n">
        <v>1.15</v>
      </c>
    </row>
    <row r="348">
      <c r="A348" s="0" t="inlineStr">
        <is>
          <t>[서운동]</t>
        </is>
      </c>
      <c r="B348" s="0" t="n">
        <v>121375</v>
      </c>
      <c r="C348" s="0" t="n">
        <v>5</v>
      </c>
      <c r="D348" s="0" t="inlineStr">
        <is>
          <t>계양효성해링턴플레이스</t>
        </is>
      </c>
      <c r="E348" s="0" t="inlineStr">
        <is>
          <t>2021.02.</t>
        </is>
      </c>
      <c r="F348" s="0" t="n">
        <v>1669</v>
      </c>
      <c r="G348" s="0" t="n">
        <v>30.22</v>
      </c>
      <c r="H348" s="0" t="n">
        <v>99.93000000000001</v>
      </c>
      <c r="I348" s="0" t="n">
        <v>22.07</v>
      </c>
      <c r="J348" s="0" t="n">
        <v>72.95999999999999</v>
      </c>
      <c r="K348" s="0" t="n">
        <v>194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99B</t>
        </is>
      </c>
      <c r="X348" s="0" t="n">
        <v>31</v>
      </c>
      <c r="Y348" s="0" t="n">
        <v>19</v>
      </c>
      <c r="Z348" s="0" t="inlineStr">
        <is>
          <t>https://new.land.naver.com/complexes/121375?tab=detail&amp;rf=Y</t>
        </is>
      </c>
      <c r="AA348" s="0" t="inlineStr">
        <is>
          <t>인천시 계양구 서운동 9-13</t>
        </is>
      </c>
      <c r="AB348" s="0" t="inlineStr">
        <is>
          <t>인천시</t>
        </is>
      </c>
      <c r="AC348" s="0" t="inlineStr">
        <is>
          <t>계양구</t>
        </is>
      </c>
      <c r="AD348" s="0" t="inlineStr">
        <is>
          <t>서운동</t>
        </is>
      </c>
      <c r="AG348" s="0" t="inlineStr">
        <is>
          <t>인천시 계양구 서운로 34</t>
        </is>
      </c>
      <c r="AH348" s="0" t="n">
        <v>84</v>
      </c>
      <c r="AI348" s="0" t="n">
        <v>249</v>
      </c>
      <c r="AJ348" s="0" t="n">
        <v>14</v>
      </c>
      <c r="AK348" s="0" t="n">
        <v>1912</v>
      </c>
      <c r="AL348" s="0" t="n">
        <v>1.15</v>
      </c>
    </row>
    <row r="349">
      <c r="A349" s="0" t="inlineStr">
        <is>
          <t>[서운동]</t>
        </is>
      </c>
      <c r="B349" s="0" t="n">
        <v>121375</v>
      </c>
      <c r="C349" s="0" t="n">
        <v>6</v>
      </c>
      <c r="D349" s="0" t="inlineStr">
        <is>
          <t>계양효성해링턴플레이스</t>
        </is>
      </c>
      <c r="E349" s="0" t="inlineStr">
        <is>
          <t>2021.02.</t>
        </is>
      </c>
      <c r="F349" s="0" t="n">
        <v>1669</v>
      </c>
      <c r="G349" s="0" t="n">
        <v>35.04</v>
      </c>
      <c r="H349" s="0" t="n">
        <v>115.84</v>
      </c>
      <c r="I349" s="0" t="n">
        <v>25.7</v>
      </c>
      <c r="J349" s="0" t="n">
        <v>84.98</v>
      </c>
      <c r="K349" s="0" t="n">
        <v>497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115A</t>
        </is>
      </c>
      <c r="X349" s="0" t="n">
        <v>31</v>
      </c>
      <c r="Y349" s="0" t="n">
        <v>19</v>
      </c>
      <c r="Z349" s="0" t="inlineStr">
        <is>
          <t>https://new.land.naver.com/complexes/121375?tab=detail&amp;rf=Y</t>
        </is>
      </c>
      <c r="AA349" s="0" t="inlineStr">
        <is>
          <t>인천시 계양구 서운동 9-13</t>
        </is>
      </c>
      <c r="AB349" s="0" t="inlineStr">
        <is>
          <t>인천시</t>
        </is>
      </c>
      <c r="AC349" s="0" t="inlineStr">
        <is>
          <t>계양구</t>
        </is>
      </c>
      <c r="AD349" s="0" t="inlineStr">
        <is>
          <t>서운동</t>
        </is>
      </c>
      <c r="AG349" s="0" t="inlineStr">
        <is>
          <t>인천시 계양구 서운로 34</t>
        </is>
      </c>
      <c r="AH349" s="0" t="n">
        <v>84</v>
      </c>
      <c r="AI349" s="0" t="n">
        <v>249</v>
      </c>
      <c r="AJ349" s="0" t="n">
        <v>14</v>
      </c>
      <c r="AK349" s="0" t="n">
        <v>1912</v>
      </c>
      <c r="AL349" s="0" t="n">
        <v>1.15</v>
      </c>
    </row>
    <row r="350">
      <c r="A350" s="0" t="inlineStr">
        <is>
          <t>[서운동]</t>
        </is>
      </c>
      <c r="B350" s="0" t="n">
        <v>121375</v>
      </c>
      <c r="C350" s="0" t="n">
        <v>7</v>
      </c>
      <c r="D350" s="0" t="inlineStr">
        <is>
          <t>계양효성해링턴플레이스</t>
        </is>
      </c>
      <c r="E350" s="0" t="inlineStr">
        <is>
          <t>2021.02.</t>
        </is>
      </c>
      <c r="F350" s="0" t="n">
        <v>1669</v>
      </c>
      <c r="G350" s="0" t="n">
        <v>35.16</v>
      </c>
      <c r="H350" s="0" t="n">
        <v>116.26</v>
      </c>
      <c r="I350" s="0" t="n">
        <v>25.7</v>
      </c>
      <c r="J350" s="0" t="n">
        <v>84.95999999999999</v>
      </c>
      <c r="K350" s="0" t="n">
        <v>85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116B</t>
        </is>
      </c>
      <c r="X350" s="0" t="n">
        <v>31</v>
      </c>
      <c r="Y350" s="0" t="n">
        <v>19</v>
      </c>
      <c r="Z350" s="0" t="inlineStr">
        <is>
          <t>https://new.land.naver.com/complexes/121375?tab=detail&amp;rf=Y</t>
        </is>
      </c>
      <c r="AA350" s="0" t="inlineStr">
        <is>
          <t>인천시 계양구 서운동 9-13</t>
        </is>
      </c>
      <c r="AB350" s="0" t="inlineStr">
        <is>
          <t>인천시</t>
        </is>
      </c>
      <c r="AC350" s="0" t="inlineStr">
        <is>
          <t>계양구</t>
        </is>
      </c>
      <c r="AD350" s="0" t="inlineStr">
        <is>
          <t>서운동</t>
        </is>
      </c>
      <c r="AG350" s="0" t="inlineStr">
        <is>
          <t>인천시 계양구 서운로 34</t>
        </is>
      </c>
      <c r="AH350" s="0" t="n">
        <v>84</v>
      </c>
      <c r="AI350" s="0" t="n">
        <v>249</v>
      </c>
      <c r="AJ350" s="0" t="n">
        <v>14</v>
      </c>
      <c r="AK350" s="0" t="n">
        <v>1912</v>
      </c>
      <c r="AL350" s="0" t="n">
        <v>1.15</v>
      </c>
    </row>
    <row r="351">
      <c r="A351" s="0" t="inlineStr">
        <is>
          <t>[서운동]</t>
        </is>
      </c>
      <c r="B351" s="0" t="n">
        <v>121375</v>
      </c>
      <c r="C351" s="0" t="n">
        <v>8</v>
      </c>
      <c r="D351" s="0" t="inlineStr">
        <is>
          <t>계양효성해링턴플레이스</t>
        </is>
      </c>
      <c r="E351" s="0" t="inlineStr">
        <is>
          <t>2021.02.</t>
        </is>
      </c>
      <c r="F351" s="0" t="n">
        <v>1669</v>
      </c>
      <c r="G351" s="0" t="n">
        <v>40.97</v>
      </c>
      <c r="H351" s="0" t="n">
        <v>135.47</v>
      </c>
      <c r="I351" s="0" t="n">
        <v>30.22</v>
      </c>
      <c r="J351" s="0" t="n">
        <v>99.93000000000001</v>
      </c>
      <c r="K351" s="0" t="n">
        <v>59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135</v>
      </c>
      <c r="X351" s="0" t="n">
        <v>31</v>
      </c>
      <c r="Y351" s="0" t="n">
        <v>19</v>
      </c>
      <c r="Z351" s="0" t="inlineStr">
        <is>
          <t>https://new.land.naver.com/complexes/121375?tab=detail&amp;rf=Y</t>
        </is>
      </c>
      <c r="AA351" s="0" t="inlineStr">
        <is>
          <t>인천시 계양구 서운동 9-13</t>
        </is>
      </c>
      <c r="AB351" s="0" t="inlineStr">
        <is>
          <t>인천시</t>
        </is>
      </c>
      <c r="AC351" s="0" t="inlineStr">
        <is>
          <t>계양구</t>
        </is>
      </c>
      <c r="AD351" s="0" t="inlineStr">
        <is>
          <t>서운동</t>
        </is>
      </c>
      <c r="AG351" s="0" t="inlineStr">
        <is>
          <t>인천시 계양구 서운로 34</t>
        </is>
      </c>
      <c r="AH351" s="0" t="n">
        <v>84</v>
      </c>
      <c r="AI351" s="0" t="n">
        <v>249</v>
      </c>
      <c r="AJ351" s="0" t="n">
        <v>14</v>
      </c>
      <c r="AK351" s="0" t="n">
        <v>1912</v>
      </c>
      <c r="AL351" s="0" t="n">
        <v>1.15</v>
      </c>
    </row>
    <row r="352">
      <c r="A352" s="0" t="inlineStr">
        <is>
          <t>[서운동]</t>
        </is>
      </c>
      <c r="B352" s="0" t="n">
        <v>26053</v>
      </c>
      <c r="C352" s="0" t="n">
        <v>1</v>
      </c>
      <c r="D352" s="0" t="inlineStr">
        <is>
          <t>서운경남아너스빌</t>
        </is>
      </c>
      <c r="E352" s="0" t="inlineStr">
        <is>
          <t>2007.09.</t>
        </is>
      </c>
      <c r="F352" s="0" t="n">
        <v>255</v>
      </c>
      <c r="G352" s="0" t="n">
        <v>39.6</v>
      </c>
      <c r="H352" s="0" t="n">
        <v>130.93</v>
      </c>
      <c r="I352" s="0" t="n">
        <v>30.8</v>
      </c>
      <c r="J352" s="0" t="n">
        <v>101.84</v>
      </c>
      <c r="K352" s="0" t="n">
        <v>180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130</v>
      </c>
      <c r="X352" s="0" t="n">
        <v>15</v>
      </c>
      <c r="Y352" s="0" t="n">
        <v>15</v>
      </c>
      <c r="Z352" s="0" t="inlineStr">
        <is>
          <t>https://new.land.naver.com/complexes/26053?tab=detail&amp;rf=Y</t>
        </is>
      </c>
      <c r="AA352" s="0" t="inlineStr">
        <is>
          <t>인천시 계양구 서운동 178</t>
        </is>
      </c>
      <c r="AB352" s="0" t="inlineStr">
        <is>
          <t>인천시</t>
        </is>
      </c>
      <c r="AC352" s="0" t="inlineStr">
        <is>
          <t>계양구</t>
        </is>
      </c>
      <c r="AD352" s="0" t="inlineStr">
        <is>
          <t>서운동</t>
        </is>
      </c>
      <c r="AG352" s="0" t="inlineStr">
        <is>
          <t>인천시 계양구 살라리로 21</t>
        </is>
      </c>
      <c r="AH352" s="0" t="n">
        <v>0</v>
      </c>
      <c r="AI352" s="0" t="n">
        <v>228</v>
      </c>
      <c r="AJ352" s="0" t="n">
        <v>18</v>
      </c>
      <c r="AK352" s="0" t="n">
        <v>416</v>
      </c>
      <c r="AL352" s="0" t="n">
        <v>1.63</v>
      </c>
    </row>
    <row r="353">
      <c r="A353" s="0" t="inlineStr">
        <is>
          <t>[서운동]</t>
        </is>
      </c>
      <c r="B353" s="0" t="n">
        <v>26053</v>
      </c>
      <c r="C353" s="0" t="n">
        <v>2</v>
      </c>
      <c r="D353" s="0" t="inlineStr">
        <is>
          <t>서운경남아너스빌</t>
        </is>
      </c>
      <c r="E353" s="0" t="inlineStr">
        <is>
          <t>2007.09.</t>
        </is>
      </c>
      <c r="F353" s="0" t="n">
        <v>255</v>
      </c>
      <c r="G353" s="0" t="n">
        <v>49.28</v>
      </c>
      <c r="H353" s="0" t="n">
        <v>162.91</v>
      </c>
      <c r="I353" s="0" t="n">
        <v>40.3</v>
      </c>
      <c r="J353" s="0" t="n">
        <v>133.25</v>
      </c>
      <c r="K353" s="0" t="n">
        <v>75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162</v>
      </c>
      <c r="X353" s="0" t="n">
        <v>15</v>
      </c>
      <c r="Y353" s="0" t="n">
        <v>15</v>
      </c>
      <c r="Z353" s="0" t="inlineStr">
        <is>
          <t>https://new.land.naver.com/complexes/26053?tab=detail&amp;rf=Y</t>
        </is>
      </c>
      <c r="AA353" s="0" t="inlineStr">
        <is>
          <t>인천시 계양구 서운동 178</t>
        </is>
      </c>
      <c r="AB353" s="0" t="inlineStr">
        <is>
          <t>인천시</t>
        </is>
      </c>
      <c r="AC353" s="0" t="inlineStr">
        <is>
          <t>계양구</t>
        </is>
      </c>
      <c r="AD353" s="0" t="inlineStr">
        <is>
          <t>서운동</t>
        </is>
      </c>
      <c r="AG353" s="0" t="inlineStr">
        <is>
          <t>인천시 계양구 살라리로 21</t>
        </is>
      </c>
      <c r="AH353" s="0" t="n">
        <v>0</v>
      </c>
      <c r="AI353" s="0" t="n">
        <v>228</v>
      </c>
      <c r="AJ353" s="0" t="n">
        <v>18</v>
      </c>
      <c r="AK353" s="0" t="n">
        <v>416</v>
      </c>
      <c r="AL353" s="0" t="n">
        <v>1.63</v>
      </c>
    </row>
    <row r="354">
      <c r="A354" s="0" t="inlineStr">
        <is>
          <t>[오류동]</t>
        </is>
      </c>
      <c r="B354" s="0" t="n">
        <v>8434</v>
      </c>
      <c r="C354" s="0" t="n">
        <v>1</v>
      </c>
      <c r="D354" s="0" t="inlineStr">
        <is>
          <t>신동아</t>
        </is>
      </c>
      <c r="E354" s="0" t="inlineStr">
        <is>
          <t>1997.03.</t>
        </is>
      </c>
      <c r="F354" s="0" t="n">
        <v>1192</v>
      </c>
      <c r="G354" s="0" t="n">
        <v>23.6</v>
      </c>
      <c r="H354" s="0" t="n">
        <v>78.03</v>
      </c>
      <c r="I354" s="0" t="n">
        <v>18.13</v>
      </c>
      <c r="J354" s="0" t="n">
        <v>59.95</v>
      </c>
      <c r="K354" s="0" t="n">
        <v>536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78</v>
      </c>
      <c r="X354" s="0" t="n">
        <v>13</v>
      </c>
      <c r="Y354" s="0" t="n">
        <v>10</v>
      </c>
      <c r="Z354" s="0" t="inlineStr">
        <is>
          <t>https://new.land.naver.com/complexes/8434?tab=detail&amp;rf=Y</t>
        </is>
      </c>
      <c r="AA354" s="0" t="inlineStr">
        <is>
          <t>인천시 계양구 오류동 180</t>
        </is>
      </c>
      <c r="AB354" s="0" t="inlineStr">
        <is>
          <t>인천시</t>
        </is>
      </c>
      <c r="AC354" s="0" t="inlineStr">
        <is>
          <t>계양구</t>
        </is>
      </c>
      <c r="AD354" s="0" t="inlineStr">
        <is>
          <t>오류동</t>
        </is>
      </c>
      <c r="AG354" s="0" t="inlineStr">
        <is>
          <t>인천시 계양구 황어로115번길 12</t>
        </is>
      </c>
      <c r="AH354" s="0" t="n">
        <v>0</v>
      </c>
      <c r="AI354" s="0" t="n">
        <v>189</v>
      </c>
      <c r="AJ354" s="0" t="n">
        <v>17</v>
      </c>
      <c r="AK354" s="0" t="n">
        <v>1277</v>
      </c>
      <c r="AL354" s="0" t="n">
        <v>1.07</v>
      </c>
    </row>
    <row r="355">
      <c r="A355" s="0" t="inlineStr">
        <is>
          <t>[오류동]</t>
        </is>
      </c>
      <c r="B355" s="0" t="n">
        <v>8434</v>
      </c>
      <c r="C355" s="0" t="n">
        <v>2</v>
      </c>
      <c r="D355" s="0" t="inlineStr">
        <is>
          <t>신동아</t>
        </is>
      </c>
      <c r="E355" s="0" t="inlineStr">
        <is>
          <t>1997.03.</t>
        </is>
      </c>
      <c r="F355" s="0" t="n">
        <v>1192</v>
      </c>
      <c r="G355" s="0" t="n">
        <v>31.84</v>
      </c>
      <c r="H355" s="0" t="n">
        <v>105.27</v>
      </c>
      <c r="I355" s="0" t="n">
        <v>25.7</v>
      </c>
      <c r="J355" s="0" t="n">
        <v>84.95999999999999</v>
      </c>
      <c r="K355" s="0" t="n">
        <v>560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105</v>
      </c>
      <c r="X355" s="0" t="n">
        <v>13</v>
      </c>
      <c r="Y355" s="0" t="n">
        <v>10</v>
      </c>
      <c r="Z355" s="0" t="inlineStr">
        <is>
          <t>https://new.land.naver.com/complexes/8434?tab=detail&amp;rf=Y</t>
        </is>
      </c>
      <c r="AA355" s="0" t="inlineStr">
        <is>
          <t>인천시 계양구 오류동 180</t>
        </is>
      </c>
      <c r="AB355" s="0" t="inlineStr">
        <is>
          <t>인천시</t>
        </is>
      </c>
      <c r="AC355" s="0" t="inlineStr">
        <is>
          <t>계양구</t>
        </is>
      </c>
      <c r="AD355" s="0" t="inlineStr">
        <is>
          <t>오류동</t>
        </is>
      </c>
      <c r="AG355" s="0" t="inlineStr">
        <is>
          <t>인천시 계양구 황어로115번길 12</t>
        </is>
      </c>
      <c r="AH355" s="0" t="n">
        <v>0</v>
      </c>
      <c r="AI355" s="0" t="n">
        <v>189</v>
      </c>
      <c r="AJ355" s="0" t="n">
        <v>17</v>
      </c>
      <c r="AK355" s="0" t="n">
        <v>1277</v>
      </c>
      <c r="AL355" s="0" t="n">
        <v>1.07</v>
      </c>
    </row>
    <row r="356">
      <c r="A356" s="0" t="inlineStr">
        <is>
          <t>[오류동]</t>
        </is>
      </c>
      <c r="B356" s="0" t="n">
        <v>8434</v>
      </c>
      <c r="C356" s="0" t="n">
        <v>3</v>
      </c>
      <c r="D356" s="0" t="inlineStr">
        <is>
          <t>신동아</t>
        </is>
      </c>
      <c r="E356" s="0" t="inlineStr">
        <is>
          <t>1997.03.</t>
        </is>
      </c>
      <c r="F356" s="0" t="n">
        <v>1192</v>
      </c>
      <c r="G356" s="0" t="n">
        <v>41.72</v>
      </c>
      <c r="H356" s="0" t="n">
        <v>137.95</v>
      </c>
      <c r="I356" s="0" t="n">
        <v>34.77</v>
      </c>
      <c r="J356" s="0" t="n">
        <v>114.95</v>
      </c>
      <c r="K356" s="0" t="n">
        <v>96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137</v>
      </c>
      <c r="X356" s="0" t="n">
        <v>13</v>
      </c>
      <c r="Y356" s="0" t="n">
        <v>10</v>
      </c>
      <c r="Z356" s="0" t="inlineStr">
        <is>
          <t>https://new.land.naver.com/complexes/8434?tab=detail&amp;rf=Y</t>
        </is>
      </c>
      <c r="AA356" s="0" t="inlineStr">
        <is>
          <t>인천시 계양구 오류동 180</t>
        </is>
      </c>
      <c r="AB356" s="0" t="inlineStr">
        <is>
          <t>인천시</t>
        </is>
      </c>
      <c r="AC356" s="0" t="inlineStr">
        <is>
          <t>계양구</t>
        </is>
      </c>
      <c r="AD356" s="0" t="inlineStr">
        <is>
          <t>오류동</t>
        </is>
      </c>
      <c r="AG356" s="0" t="inlineStr">
        <is>
          <t>인천시 계양구 황어로115번길 12</t>
        </is>
      </c>
      <c r="AH356" s="0" t="n">
        <v>0</v>
      </c>
      <c r="AI356" s="0" t="n">
        <v>189</v>
      </c>
      <c r="AJ356" s="0" t="n">
        <v>17</v>
      </c>
      <c r="AK356" s="0" t="n">
        <v>1277</v>
      </c>
      <c r="AL356" s="0" t="n">
        <v>1.07</v>
      </c>
    </row>
    <row r="357">
      <c r="A357" s="0" t="inlineStr">
        <is>
          <t>[용종동]</t>
        </is>
      </c>
      <c r="B357" s="0" t="n">
        <v>2413</v>
      </c>
      <c r="C357" s="0" t="n">
        <v>1</v>
      </c>
      <c r="D357" s="0" t="inlineStr">
        <is>
          <t>초정마을하나</t>
        </is>
      </c>
      <c r="E357" s="0" t="inlineStr">
        <is>
          <t>1997.08.</t>
        </is>
      </c>
      <c r="F357" s="0" t="n">
        <v>972</v>
      </c>
      <c r="G357" s="0" t="n">
        <v>10.84</v>
      </c>
      <c r="H357" s="0" t="n">
        <v>35.85</v>
      </c>
      <c r="I357" s="0" t="n">
        <v>7.98</v>
      </c>
      <c r="J357" s="0" t="n">
        <v>26.39</v>
      </c>
      <c r="K357" s="0" t="n">
        <v>168</v>
      </c>
      <c r="T357" s="0" t="n">
        <v>1</v>
      </c>
      <c r="U357" s="0" t="n">
        <v>1</v>
      </c>
      <c r="V357" s="0" t="inlineStr">
        <is>
          <t>복도식</t>
        </is>
      </c>
      <c r="W357" s="0" t="n">
        <v>35</v>
      </c>
      <c r="X357" s="0" t="n">
        <v>19</v>
      </c>
      <c r="Y357" s="0" t="n">
        <v>14</v>
      </c>
      <c r="Z357" s="0" t="inlineStr">
        <is>
          <t>https://new.land.naver.com/complexes/2413?tab=detail&amp;rf=Y</t>
        </is>
      </c>
      <c r="AA357" s="0" t="inlineStr">
        <is>
          <t>인천시 계양구 용종동 228-1</t>
        </is>
      </c>
      <c r="AB357" s="0" t="inlineStr">
        <is>
          <t>인천시</t>
        </is>
      </c>
      <c r="AC357" s="0" t="inlineStr">
        <is>
          <t>계양구</t>
        </is>
      </c>
      <c r="AD357" s="0" t="inlineStr">
        <is>
          <t>용종동</t>
        </is>
      </c>
      <c r="AG357" s="0" t="inlineStr">
        <is>
          <t>인천시 계양구 계양문화로 168</t>
        </is>
      </c>
      <c r="AH357" s="0" t="n">
        <v>0</v>
      </c>
      <c r="AI357" s="0" t="n">
        <v>249</v>
      </c>
      <c r="AJ357" s="0" t="n">
        <v>21</v>
      </c>
      <c r="AK357" s="0" t="n">
        <v>1015</v>
      </c>
      <c r="AL357" s="0" t="n">
        <v>1.04</v>
      </c>
    </row>
    <row r="358">
      <c r="A358" s="0" t="inlineStr">
        <is>
          <t>[용종동]</t>
        </is>
      </c>
      <c r="B358" s="0" t="n">
        <v>2413</v>
      </c>
      <c r="C358" s="0" t="n">
        <v>2</v>
      </c>
      <c r="D358" s="0" t="inlineStr">
        <is>
          <t>초정마을하나</t>
        </is>
      </c>
      <c r="E358" s="0" t="inlineStr">
        <is>
          <t>1997.08.</t>
        </is>
      </c>
      <c r="F358" s="0" t="n">
        <v>972</v>
      </c>
      <c r="G358" s="0" t="n">
        <v>32.51</v>
      </c>
      <c r="H358" s="0" t="n">
        <v>107.5</v>
      </c>
      <c r="I358" s="0" t="n">
        <v>25.7</v>
      </c>
      <c r="J358" s="0" t="n">
        <v>84.98999999999999</v>
      </c>
      <c r="K358" s="0" t="n">
        <v>804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107</v>
      </c>
      <c r="X358" s="0" t="n">
        <v>19</v>
      </c>
      <c r="Y358" s="0" t="n">
        <v>14</v>
      </c>
      <c r="Z358" s="0" t="inlineStr">
        <is>
          <t>https://new.land.naver.com/complexes/2413?tab=detail&amp;rf=Y</t>
        </is>
      </c>
      <c r="AA358" s="0" t="inlineStr">
        <is>
          <t>인천시 계양구 용종동 228-1</t>
        </is>
      </c>
      <c r="AB358" s="0" t="inlineStr">
        <is>
          <t>인천시</t>
        </is>
      </c>
      <c r="AC358" s="0" t="inlineStr">
        <is>
          <t>계양구</t>
        </is>
      </c>
      <c r="AD358" s="0" t="inlineStr">
        <is>
          <t>용종동</t>
        </is>
      </c>
      <c r="AG358" s="0" t="inlineStr">
        <is>
          <t>인천시 계양구 계양문화로 168</t>
        </is>
      </c>
      <c r="AH358" s="0" t="n">
        <v>0</v>
      </c>
      <c r="AI358" s="0" t="n">
        <v>249</v>
      </c>
      <c r="AJ358" s="0" t="n">
        <v>21</v>
      </c>
      <c r="AK358" s="0" t="n">
        <v>1015</v>
      </c>
      <c r="AL358" s="0" t="n">
        <v>1.04</v>
      </c>
    </row>
    <row r="359">
      <c r="A359" s="0" t="inlineStr">
        <is>
          <t>[용종동]</t>
        </is>
      </c>
      <c r="B359" s="0" t="n">
        <v>2411</v>
      </c>
      <c r="C359" s="0" t="n">
        <v>1</v>
      </c>
      <c r="D359" s="0" t="inlineStr">
        <is>
          <t>초정마을두산쌍용</t>
        </is>
      </c>
      <c r="E359" s="0" t="inlineStr">
        <is>
          <t>1997.10.</t>
        </is>
      </c>
      <c r="F359" s="0" t="n">
        <v>798</v>
      </c>
      <c r="G359" s="0" t="n">
        <v>36.46</v>
      </c>
      <c r="H359" s="0" t="n">
        <v>120.53</v>
      </c>
      <c r="I359" s="0" t="n">
        <v>29.08</v>
      </c>
      <c r="J359" s="0" t="n">
        <v>96.15000000000001</v>
      </c>
      <c r="K359" s="0" t="n">
        <v>288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120(두산)</t>
        </is>
      </c>
      <c r="X359" s="0" t="n">
        <v>21</v>
      </c>
      <c r="Y359" s="0" t="n">
        <v>19</v>
      </c>
      <c r="Z359" s="0" t="inlineStr">
        <is>
          <t>https://new.land.naver.com/complexes/2411?tab=detail&amp;rf=Y</t>
        </is>
      </c>
      <c r="AA359" s="0" t="inlineStr">
        <is>
          <t>인천시 계양구 용종동 213-2</t>
        </is>
      </c>
      <c r="AB359" s="0" t="inlineStr">
        <is>
          <t>인천시</t>
        </is>
      </c>
      <c r="AC359" s="0" t="inlineStr">
        <is>
          <t>계양구</t>
        </is>
      </c>
      <c r="AD359" s="0" t="inlineStr">
        <is>
          <t>용종동</t>
        </is>
      </c>
      <c r="AG359" s="0" t="inlineStr">
        <is>
          <t>인천시 계양구 계양문화로 142</t>
        </is>
      </c>
      <c r="AH359" s="0" t="n">
        <v>0</v>
      </c>
      <c r="AI359" s="0" t="n">
        <v>249</v>
      </c>
      <c r="AJ359" s="0" t="n">
        <v>18</v>
      </c>
      <c r="AK359" s="0" t="n">
        <v>1252</v>
      </c>
      <c r="AL359" s="0" t="n">
        <v>1.57</v>
      </c>
    </row>
    <row r="360">
      <c r="A360" s="0" t="inlineStr">
        <is>
          <t>[용종동]</t>
        </is>
      </c>
      <c r="B360" s="0" t="n">
        <v>2411</v>
      </c>
      <c r="C360" s="0" t="n">
        <v>2</v>
      </c>
      <c r="D360" s="0" t="inlineStr">
        <is>
          <t>초정마을두산쌍용</t>
        </is>
      </c>
      <c r="E360" s="0" t="inlineStr">
        <is>
          <t>1997.10.</t>
        </is>
      </c>
      <c r="F360" s="0" t="n">
        <v>798</v>
      </c>
      <c r="G360" s="0" t="n">
        <v>36.46</v>
      </c>
      <c r="H360" s="0" t="n">
        <v>120.53</v>
      </c>
      <c r="I360" s="0" t="n">
        <v>29.08</v>
      </c>
      <c r="J360" s="0" t="n">
        <v>96.15000000000001</v>
      </c>
      <c r="K360" s="0" t="n">
        <v>228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120(쌍용)</t>
        </is>
      </c>
      <c r="X360" s="0" t="n">
        <v>21</v>
      </c>
      <c r="Y360" s="0" t="n">
        <v>19</v>
      </c>
      <c r="Z360" s="0" t="inlineStr">
        <is>
          <t>https://new.land.naver.com/complexes/2411?tab=detail&amp;rf=Y</t>
        </is>
      </c>
      <c r="AA360" s="0" t="inlineStr">
        <is>
          <t>인천시 계양구 용종동 213-2</t>
        </is>
      </c>
      <c r="AB360" s="0" t="inlineStr">
        <is>
          <t>인천시</t>
        </is>
      </c>
      <c r="AC360" s="0" t="inlineStr">
        <is>
          <t>계양구</t>
        </is>
      </c>
      <c r="AD360" s="0" t="inlineStr">
        <is>
          <t>용종동</t>
        </is>
      </c>
      <c r="AG360" s="0" t="inlineStr">
        <is>
          <t>인천시 계양구 계양문화로 142</t>
        </is>
      </c>
      <c r="AH360" s="0" t="n">
        <v>0</v>
      </c>
      <c r="AI360" s="0" t="n">
        <v>249</v>
      </c>
      <c r="AJ360" s="0" t="n">
        <v>18</v>
      </c>
      <c r="AK360" s="0" t="n">
        <v>1252</v>
      </c>
      <c r="AL360" s="0" t="n">
        <v>1.57</v>
      </c>
    </row>
    <row r="361">
      <c r="A361" s="0" t="inlineStr">
        <is>
          <t>[용종동]</t>
        </is>
      </c>
      <c r="B361" s="0" t="n">
        <v>2411</v>
      </c>
      <c r="C361" s="0" t="n">
        <v>3</v>
      </c>
      <c r="D361" s="0" t="inlineStr">
        <is>
          <t>초정마을두산쌍용</t>
        </is>
      </c>
      <c r="E361" s="0" t="inlineStr">
        <is>
          <t>1997.10.</t>
        </is>
      </c>
      <c r="F361" s="0" t="n">
        <v>798</v>
      </c>
      <c r="G361" s="0" t="n">
        <v>45.29</v>
      </c>
      <c r="H361" s="0" t="n">
        <v>149.75</v>
      </c>
      <c r="I361" s="0" t="n">
        <v>36.91</v>
      </c>
      <c r="J361" s="0" t="n">
        <v>122.04</v>
      </c>
      <c r="K361" s="0" t="n">
        <v>156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149(쌍용)</t>
        </is>
      </c>
      <c r="X361" s="0" t="n">
        <v>21</v>
      </c>
      <c r="Y361" s="0" t="n">
        <v>19</v>
      </c>
      <c r="Z361" s="0" t="inlineStr">
        <is>
          <t>https://new.land.naver.com/complexes/2411?tab=detail&amp;rf=Y</t>
        </is>
      </c>
      <c r="AA361" s="0" t="inlineStr">
        <is>
          <t>인천시 계양구 용종동 213-2</t>
        </is>
      </c>
      <c r="AB361" s="0" t="inlineStr">
        <is>
          <t>인천시</t>
        </is>
      </c>
      <c r="AC361" s="0" t="inlineStr">
        <is>
          <t>계양구</t>
        </is>
      </c>
      <c r="AD361" s="0" t="inlineStr">
        <is>
          <t>용종동</t>
        </is>
      </c>
      <c r="AG361" s="0" t="inlineStr">
        <is>
          <t>인천시 계양구 계양문화로 142</t>
        </is>
      </c>
      <c r="AH361" s="0" t="n">
        <v>0</v>
      </c>
      <c r="AI361" s="0" t="n">
        <v>249</v>
      </c>
      <c r="AJ361" s="0" t="n">
        <v>18</v>
      </c>
      <c r="AK361" s="0" t="n">
        <v>1252</v>
      </c>
      <c r="AL361" s="0" t="n">
        <v>1.57</v>
      </c>
    </row>
    <row r="362">
      <c r="A362" s="0" t="inlineStr">
        <is>
          <t>[용종동]</t>
        </is>
      </c>
      <c r="B362" s="0" t="n">
        <v>2411</v>
      </c>
      <c r="C362" s="0" t="n">
        <v>4</v>
      </c>
      <c r="D362" s="0" t="inlineStr">
        <is>
          <t>초정마을두산쌍용</t>
        </is>
      </c>
      <c r="E362" s="0" t="inlineStr">
        <is>
          <t>1997.10.</t>
        </is>
      </c>
      <c r="F362" s="0" t="n">
        <v>798</v>
      </c>
      <c r="G362" s="0" t="n">
        <v>45.29</v>
      </c>
      <c r="H362" s="0" t="n">
        <v>149.75</v>
      </c>
      <c r="I362" s="0" t="n">
        <v>36.91</v>
      </c>
      <c r="J362" s="0" t="n">
        <v>122.04</v>
      </c>
      <c r="K362" s="0" t="n">
        <v>126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149(두산)</t>
        </is>
      </c>
      <c r="X362" s="0" t="n">
        <v>21</v>
      </c>
      <c r="Y362" s="0" t="n">
        <v>19</v>
      </c>
      <c r="Z362" s="0" t="inlineStr">
        <is>
          <t>https://new.land.naver.com/complexes/2411?tab=detail&amp;rf=Y</t>
        </is>
      </c>
      <c r="AA362" s="0" t="inlineStr">
        <is>
          <t>인천시 계양구 용종동 213-2</t>
        </is>
      </c>
      <c r="AB362" s="0" t="inlineStr">
        <is>
          <t>인천시</t>
        </is>
      </c>
      <c r="AC362" s="0" t="inlineStr">
        <is>
          <t>계양구</t>
        </is>
      </c>
      <c r="AD362" s="0" t="inlineStr">
        <is>
          <t>용종동</t>
        </is>
      </c>
      <c r="AG362" s="0" t="inlineStr">
        <is>
          <t>인천시 계양구 계양문화로 142</t>
        </is>
      </c>
      <c r="AH362" s="0" t="n">
        <v>0</v>
      </c>
      <c r="AI362" s="0" t="n">
        <v>249</v>
      </c>
      <c r="AJ362" s="0" t="n">
        <v>18</v>
      </c>
      <c r="AK362" s="0" t="n">
        <v>1252</v>
      </c>
      <c r="AL362" s="0" t="n">
        <v>1.57</v>
      </c>
    </row>
    <row r="363">
      <c r="A363" s="0" t="inlineStr">
        <is>
          <t>[용종동]</t>
        </is>
      </c>
      <c r="B363" s="0" t="n">
        <v>2412</v>
      </c>
      <c r="C363" s="0" t="n">
        <v>1</v>
      </c>
      <c r="D363" s="0" t="inlineStr">
        <is>
          <t>용종마을신대진</t>
        </is>
      </c>
      <c r="E363" s="0" t="inlineStr">
        <is>
          <t>1997.08.</t>
        </is>
      </c>
      <c r="F363" s="0" t="n">
        <v>562</v>
      </c>
      <c r="G363" s="0" t="n">
        <v>15.55</v>
      </c>
      <c r="H363" s="0" t="n">
        <v>51.41</v>
      </c>
      <c r="I363" s="0" t="n">
        <v>11.24</v>
      </c>
      <c r="J363" s="0" t="n">
        <v>37.17</v>
      </c>
      <c r="K363" s="0" t="n">
        <v>160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51</v>
      </c>
      <c r="X363" s="0" t="n">
        <v>17</v>
      </c>
      <c r="Y363" s="0" t="n">
        <v>16</v>
      </c>
      <c r="Z363" s="0" t="inlineStr">
        <is>
          <t>https://new.land.naver.com/complexes/2412?tab=detail&amp;rf=Y</t>
        </is>
      </c>
      <c r="AA363" s="0" t="inlineStr">
        <is>
          <t>인천시 계양구 용종동 214-1</t>
        </is>
      </c>
      <c r="AB363" s="0" t="inlineStr">
        <is>
          <t>인천시</t>
        </is>
      </c>
      <c r="AC363" s="0" t="inlineStr">
        <is>
          <t>계양구</t>
        </is>
      </c>
      <c r="AD363" s="0" t="inlineStr">
        <is>
          <t>용종동</t>
        </is>
      </c>
      <c r="AG363" s="0" t="inlineStr">
        <is>
          <t>인천시 계양구 용종로 97</t>
        </is>
      </c>
      <c r="AH363" s="0" t="n">
        <v>0</v>
      </c>
      <c r="AI363" s="0" t="n">
        <v>249</v>
      </c>
      <c r="AJ363" s="0" t="n">
        <v>22</v>
      </c>
      <c r="AK363" s="0" t="n">
        <v>562</v>
      </c>
      <c r="AL363" s="0" t="n">
        <v>1</v>
      </c>
    </row>
    <row r="364">
      <c r="A364" s="0" t="inlineStr">
        <is>
          <t>[용종동]</t>
        </is>
      </c>
      <c r="B364" s="0" t="n">
        <v>2412</v>
      </c>
      <c r="C364" s="0" t="n">
        <v>2</v>
      </c>
      <c r="D364" s="0" t="inlineStr">
        <is>
          <t>용종마을신대진</t>
        </is>
      </c>
      <c r="E364" s="0" t="inlineStr">
        <is>
          <t>1997.08.</t>
        </is>
      </c>
      <c r="F364" s="0" t="n">
        <v>562</v>
      </c>
      <c r="G364" s="0" t="n">
        <v>31.92</v>
      </c>
      <c r="H364" s="0" t="n">
        <v>105.53</v>
      </c>
      <c r="I364" s="0" t="n">
        <v>25.7</v>
      </c>
      <c r="J364" s="0" t="n">
        <v>84.95999999999999</v>
      </c>
      <c r="K364" s="0" t="n">
        <v>402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105</v>
      </c>
      <c r="X364" s="0" t="n">
        <v>17</v>
      </c>
      <c r="Y364" s="0" t="n">
        <v>16</v>
      </c>
      <c r="Z364" s="0" t="inlineStr">
        <is>
          <t>https://new.land.naver.com/complexes/2412?tab=detail&amp;rf=Y</t>
        </is>
      </c>
      <c r="AA364" s="0" t="inlineStr">
        <is>
          <t>인천시 계양구 용종동 214-1</t>
        </is>
      </c>
      <c r="AB364" s="0" t="inlineStr">
        <is>
          <t>인천시</t>
        </is>
      </c>
      <c r="AC364" s="0" t="inlineStr">
        <is>
          <t>계양구</t>
        </is>
      </c>
      <c r="AD364" s="0" t="inlineStr">
        <is>
          <t>용종동</t>
        </is>
      </c>
      <c r="AG364" s="0" t="inlineStr">
        <is>
          <t>인천시 계양구 용종로 97</t>
        </is>
      </c>
      <c r="AH364" s="0" t="n">
        <v>0</v>
      </c>
      <c r="AI364" s="0" t="n">
        <v>249</v>
      </c>
      <c r="AJ364" s="0" t="n">
        <v>22</v>
      </c>
      <c r="AK364" s="0" t="n">
        <v>562</v>
      </c>
      <c r="AL364" s="0" t="n">
        <v>1</v>
      </c>
    </row>
    <row r="365">
      <c r="A365" s="0" t="inlineStr">
        <is>
          <t>[용종동]</t>
        </is>
      </c>
      <c r="B365" s="0" t="n">
        <v>2410</v>
      </c>
      <c r="C365" s="0" t="n">
        <v>1</v>
      </c>
      <c r="D365" s="0" t="inlineStr">
        <is>
          <t>초정마을동아</t>
        </is>
      </c>
      <c r="E365" s="0" t="inlineStr">
        <is>
          <t>1998.01.</t>
        </is>
      </c>
      <c r="F365" s="0" t="n">
        <v>616</v>
      </c>
      <c r="G365" s="0" t="n">
        <v>36.4</v>
      </c>
      <c r="H365" s="0" t="n">
        <v>120.36</v>
      </c>
      <c r="I365" s="0" t="n">
        <v>28.87</v>
      </c>
      <c r="J365" s="0" t="n">
        <v>95.45999999999999</v>
      </c>
      <c r="K365" s="0" t="n">
        <v>440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120</v>
      </c>
      <c r="X365" s="0" t="n">
        <v>22</v>
      </c>
      <c r="Y365" s="0" t="n">
        <v>22</v>
      </c>
      <c r="Z365" s="0" t="inlineStr">
        <is>
          <t>https://new.land.naver.com/complexes/2410?tab=detail&amp;rf=Y</t>
        </is>
      </c>
      <c r="AA365" s="0" t="inlineStr">
        <is>
          <t>인천시 계양구 용종동 213-3</t>
        </is>
      </c>
      <c r="AB365" s="0" t="inlineStr">
        <is>
          <t>인천시</t>
        </is>
      </c>
      <c r="AC365" s="0" t="inlineStr">
        <is>
          <t>계양구</t>
        </is>
      </c>
      <c r="AD365" s="0" t="inlineStr">
        <is>
          <t>용종동</t>
        </is>
      </c>
      <c r="AG365" s="0" t="inlineStr">
        <is>
          <t>인천시 계양구 계산새로 109</t>
        </is>
      </c>
      <c r="AH365" s="0" t="n">
        <v>0</v>
      </c>
      <c r="AI365" s="0" t="n">
        <v>0</v>
      </c>
      <c r="AJ365" s="0" t="n">
        <v>0</v>
      </c>
      <c r="AK365" s="0" t="n">
        <v>942</v>
      </c>
      <c r="AL365" s="0" t="n">
        <v>1.53</v>
      </c>
    </row>
    <row r="366">
      <c r="A366" s="0" t="inlineStr">
        <is>
          <t>[용종동]</t>
        </is>
      </c>
      <c r="B366" s="0" t="n">
        <v>2410</v>
      </c>
      <c r="C366" s="0" t="n">
        <v>2</v>
      </c>
      <c r="D366" s="0" t="inlineStr">
        <is>
          <t>초정마을동아</t>
        </is>
      </c>
      <c r="E366" s="0" t="inlineStr">
        <is>
          <t>1998.01.</t>
        </is>
      </c>
      <c r="F366" s="0" t="n">
        <v>616</v>
      </c>
      <c r="G366" s="0" t="n">
        <v>46.9</v>
      </c>
      <c r="H366" s="0" t="n">
        <v>155.05</v>
      </c>
      <c r="I366" s="0" t="n">
        <v>38.43</v>
      </c>
      <c r="J366" s="0" t="n">
        <v>127.05</v>
      </c>
      <c r="K366" s="0" t="n">
        <v>176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155</v>
      </c>
      <c r="X366" s="0" t="n">
        <v>22</v>
      </c>
      <c r="Y366" s="0" t="n">
        <v>22</v>
      </c>
      <c r="Z366" s="0" t="inlineStr">
        <is>
          <t>https://new.land.naver.com/complexes/2410?tab=detail&amp;rf=Y</t>
        </is>
      </c>
      <c r="AA366" s="0" t="inlineStr">
        <is>
          <t>인천시 계양구 용종동 213-3</t>
        </is>
      </c>
      <c r="AB366" s="0" t="inlineStr">
        <is>
          <t>인천시</t>
        </is>
      </c>
      <c r="AC366" s="0" t="inlineStr">
        <is>
          <t>계양구</t>
        </is>
      </c>
      <c r="AD366" s="0" t="inlineStr">
        <is>
          <t>용종동</t>
        </is>
      </c>
      <c r="AG366" s="0" t="inlineStr">
        <is>
          <t>인천시 계양구 계산새로 109</t>
        </is>
      </c>
      <c r="AH366" s="0" t="n">
        <v>0</v>
      </c>
      <c r="AI366" s="0" t="n">
        <v>0</v>
      </c>
      <c r="AJ366" s="0" t="n">
        <v>0</v>
      </c>
      <c r="AK366" s="0" t="n">
        <v>942</v>
      </c>
      <c r="AL366" s="0" t="n">
        <v>1.53</v>
      </c>
    </row>
    <row r="367">
      <c r="A367" s="0" t="inlineStr">
        <is>
          <t>[용종동]</t>
        </is>
      </c>
      <c r="B367" s="0" t="n">
        <v>108762</v>
      </c>
      <c r="C367" s="0" t="n">
        <v>1</v>
      </c>
      <c r="D367" s="0" t="inlineStr">
        <is>
          <t>인천계양코아루센트럴파크</t>
        </is>
      </c>
      <c r="E367" s="0" t="inlineStr">
        <is>
          <t>2017.06.</t>
        </is>
      </c>
      <c r="F367" s="0" t="n">
        <v>724</v>
      </c>
      <c r="G367" s="0" t="n">
        <v>25.25</v>
      </c>
      <c r="H367" s="0" t="n">
        <v>83.48</v>
      </c>
      <c r="I367" s="0" t="n">
        <v>18.14</v>
      </c>
      <c r="J367" s="0" t="n">
        <v>59.99</v>
      </c>
      <c r="K367" s="0" t="n">
        <v>56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83B</t>
        </is>
      </c>
      <c r="X367" s="0" t="n">
        <v>21</v>
      </c>
      <c r="Y367" s="0" t="n">
        <v>19</v>
      </c>
      <c r="Z367" s="0" t="inlineStr">
        <is>
          <t>https://new.land.naver.com/complexes/108762?tab=detail&amp;rf=Y</t>
        </is>
      </c>
      <c r="AA367" s="0" t="inlineStr">
        <is>
          <t>인천시 계양구 용종동 207-1</t>
        </is>
      </c>
      <c r="AB367" s="0" t="inlineStr">
        <is>
          <t>인천시</t>
        </is>
      </c>
      <c r="AC367" s="0" t="inlineStr">
        <is>
          <t>계양구</t>
        </is>
      </c>
      <c r="AD367" s="0" t="inlineStr">
        <is>
          <t>용종동</t>
        </is>
      </c>
      <c r="AG367" s="0" t="inlineStr">
        <is>
          <t>인천시 계양구 계양문화로 119</t>
        </is>
      </c>
      <c r="AH367" s="0" t="n">
        <v>0</v>
      </c>
      <c r="AI367" s="0" t="n">
        <v>440</v>
      </c>
      <c r="AJ367" s="0" t="n">
        <v>43</v>
      </c>
      <c r="AK367" s="0" t="n">
        <v>994</v>
      </c>
      <c r="AL367" s="0" t="n">
        <v>1.37</v>
      </c>
    </row>
    <row r="368">
      <c r="A368" s="0" t="inlineStr">
        <is>
          <t>[용종동]</t>
        </is>
      </c>
      <c r="B368" s="0" t="n">
        <v>108762</v>
      </c>
      <c r="C368" s="0" t="n">
        <v>2</v>
      </c>
      <c r="D368" s="0" t="inlineStr">
        <is>
          <t>인천계양코아루센트럴파크</t>
        </is>
      </c>
      <c r="E368" s="0" t="inlineStr">
        <is>
          <t>2017.06.</t>
        </is>
      </c>
      <c r="F368" s="0" t="n">
        <v>724</v>
      </c>
      <c r="G368" s="0" t="n">
        <v>25.46</v>
      </c>
      <c r="H368" s="0" t="n">
        <v>84.19</v>
      </c>
      <c r="I368" s="0" t="n">
        <v>18.14</v>
      </c>
      <c r="J368" s="0" t="n">
        <v>59.97</v>
      </c>
      <c r="K368" s="0" t="n">
        <v>57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84A</t>
        </is>
      </c>
      <c r="X368" s="0" t="n">
        <v>21</v>
      </c>
      <c r="Y368" s="0" t="n">
        <v>19</v>
      </c>
      <c r="Z368" s="0" t="inlineStr">
        <is>
          <t>https://new.land.naver.com/complexes/108762?tab=detail&amp;rf=Y</t>
        </is>
      </c>
      <c r="AA368" s="0" t="inlineStr">
        <is>
          <t>인천시 계양구 용종동 207-1</t>
        </is>
      </c>
      <c r="AB368" s="0" t="inlineStr">
        <is>
          <t>인천시</t>
        </is>
      </c>
      <c r="AC368" s="0" t="inlineStr">
        <is>
          <t>계양구</t>
        </is>
      </c>
      <c r="AD368" s="0" t="inlineStr">
        <is>
          <t>용종동</t>
        </is>
      </c>
      <c r="AG368" s="0" t="inlineStr">
        <is>
          <t>인천시 계양구 계양문화로 119</t>
        </is>
      </c>
      <c r="AH368" s="0" t="n">
        <v>0</v>
      </c>
      <c r="AI368" s="0" t="n">
        <v>440</v>
      </c>
      <c r="AJ368" s="0" t="n">
        <v>43</v>
      </c>
      <c r="AK368" s="0" t="n">
        <v>994</v>
      </c>
      <c r="AL368" s="0" t="n">
        <v>1.37</v>
      </c>
    </row>
    <row r="369">
      <c r="A369" s="0" t="inlineStr">
        <is>
          <t>[용종동]</t>
        </is>
      </c>
      <c r="B369" s="0" t="n">
        <v>108762</v>
      </c>
      <c r="C369" s="0" t="n">
        <v>3</v>
      </c>
      <c r="D369" s="0" t="inlineStr">
        <is>
          <t>인천계양코아루센트럴파크</t>
        </is>
      </c>
      <c r="E369" s="0" t="inlineStr">
        <is>
          <t>2017.06.</t>
        </is>
      </c>
      <c r="F369" s="0" t="n">
        <v>724</v>
      </c>
      <c r="G369" s="0" t="n">
        <v>25.44</v>
      </c>
      <c r="H369" s="0" t="n">
        <v>84.12</v>
      </c>
      <c r="I369" s="0" t="n">
        <v>18.12</v>
      </c>
      <c r="J369" s="0" t="n">
        <v>59.93</v>
      </c>
      <c r="K369" s="0" t="n">
        <v>37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84C</t>
        </is>
      </c>
      <c r="X369" s="0" t="n">
        <v>21</v>
      </c>
      <c r="Y369" s="0" t="n">
        <v>19</v>
      </c>
      <c r="Z369" s="0" t="inlineStr">
        <is>
          <t>https://new.land.naver.com/complexes/108762?tab=detail&amp;rf=Y</t>
        </is>
      </c>
      <c r="AA369" s="0" t="inlineStr">
        <is>
          <t>인천시 계양구 용종동 207-1</t>
        </is>
      </c>
      <c r="AB369" s="0" t="inlineStr">
        <is>
          <t>인천시</t>
        </is>
      </c>
      <c r="AC369" s="0" t="inlineStr">
        <is>
          <t>계양구</t>
        </is>
      </c>
      <c r="AD369" s="0" t="inlineStr">
        <is>
          <t>용종동</t>
        </is>
      </c>
      <c r="AG369" s="0" t="inlineStr">
        <is>
          <t>인천시 계양구 계양문화로 119</t>
        </is>
      </c>
      <c r="AH369" s="0" t="n">
        <v>0</v>
      </c>
      <c r="AI369" s="0" t="n">
        <v>440</v>
      </c>
      <c r="AJ369" s="0" t="n">
        <v>43</v>
      </c>
      <c r="AK369" s="0" t="n">
        <v>994</v>
      </c>
      <c r="AL369" s="0" t="n">
        <v>1.37</v>
      </c>
    </row>
    <row r="370">
      <c r="A370" s="0" t="inlineStr">
        <is>
          <t>[용종동]</t>
        </is>
      </c>
      <c r="B370" s="0" t="n">
        <v>108762</v>
      </c>
      <c r="C370" s="0" t="n">
        <v>4</v>
      </c>
      <c r="D370" s="0" t="inlineStr">
        <is>
          <t>인천계양코아루센트럴파크</t>
        </is>
      </c>
      <c r="E370" s="0" t="inlineStr">
        <is>
          <t>2017.06.</t>
        </is>
      </c>
      <c r="F370" s="0" t="n">
        <v>724</v>
      </c>
      <c r="G370" s="0" t="n">
        <v>31.3</v>
      </c>
      <c r="H370" s="0" t="n">
        <v>103.49</v>
      </c>
      <c r="I370" s="0" t="n">
        <v>22.56</v>
      </c>
      <c r="J370" s="0" t="n">
        <v>74.61</v>
      </c>
      <c r="K370" s="0" t="n">
        <v>82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103</v>
      </c>
      <c r="X370" s="0" t="n">
        <v>21</v>
      </c>
      <c r="Y370" s="0" t="n">
        <v>19</v>
      </c>
      <c r="Z370" s="0" t="inlineStr">
        <is>
          <t>https://new.land.naver.com/complexes/108762?tab=detail&amp;rf=Y</t>
        </is>
      </c>
      <c r="AA370" s="0" t="inlineStr">
        <is>
          <t>인천시 계양구 용종동 207-1</t>
        </is>
      </c>
      <c r="AB370" s="0" t="inlineStr">
        <is>
          <t>인천시</t>
        </is>
      </c>
      <c r="AC370" s="0" t="inlineStr">
        <is>
          <t>계양구</t>
        </is>
      </c>
      <c r="AD370" s="0" t="inlineStr">
        <is>
          <t>용종동</t>
        </is>
      </c>
      <c r="AG370" s="0" t="inlineStr">
        <is>
          <t>인천시 계양구 계양문화로 119</t>
        </is>
      </c>
      <c r="AH370" s="0" t="n">
        <v>0</v>
      </c>
      <c r="AI370" s="0" t="n">
        <v>440</v>
      </c>
      <c r="AJ370" s="0" t="n">
        <v>43</v>
      </c>
      <c r="AK370" s="0" t="n">
        <v>994</v>
      </c>
      <c r="AL370" s="0" t="n">
        <v>1.37</v>
      </c>
    </row>
    <row r="371">
      <c r="A371" s="0" t="inlineStr">
        <is>
          <t>[용종동]</t>
        </is>
      </c>
      <c r="B371" s="0" t="n">
        <v>108762</v>
      </c>
      <c r="C371" s="0" t="n">
        <v>5</v>
      </c>
      <c r="D371" s="0" t="inlineStr">
        <is>
          <t>인천계양코아루센트럴파크</t>
        </is>
      </c>
      <c r="E371" s="0" t="inlineStr">
        <is>
          <t>2017.06.</t>
        </is>
      </c>
      <c r="F371" s="0" t="n">
        <v>724</v>
      </c>
      <c r="G371" s="0" t="n">
        <v>35.31</v>
      </c>
      <c r="H371" s="0" t="n">
        <v>116.73</v>
      </c>
      <c r="I371" s="0" t="n">
        <v>25.54</v>
      </c>
      <c r="J371" s="0" t="n">
        <v>84.45</v>
      </c>
      <c r="K371" s="0" t="n">
        <v>99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21</v>
      </c>
      <c r="Y371" s="0" t="n">
        <v>19</v>
      </c>
      <c r="Z371" s="0" t="inlineStr">
        <is>
          <t>https://new.land.naver.com/complexes/108762?tab=detail&amp;rf=Y</t>
        </is>
      </c>
      <c r="AA371" s="0" t="inlineStr">
        <is>
          <t>인천시 계양구 용종동 207-1</t>
        </is>
      </c>
      <c r="AB371" s="0" t="inlineStr">
        <is>
          <t>인천시</t>
        </is>
      </c>
      <c r="AC371" s="0" t="inlineStr">
        <is>
          <t>계양구</t>
        </is>
      </c>
      <c r="AD371" s="0" t="inlineStr">
        <is>
          <t>용종동</t>
        </is>
      </c>
      <c r="AG371" s="0" t="inlineStr">
        <is>
          <t>인천시 계양구 계양문화로 119</t>
        </is>
      </c>
      <c r="AH371" s="0" t="n">
        <v>0</v>
      </c>
      <c r="AI371" s="0" t="n">
        <v>440</v>
      </c>
      <c r="AJ371" s="0" t="n">
        <v>43</v>
      </c>
      <c r="AK371" s="0" t="n">
        <v>994</v>
      </c>
      <c r="AL371" s="0" t="n">
        <v>1.37</v>
      </c>
    </row>
    <row r="372">
      <c r="A372" s="0" t="inlineStr">
        <is>
          <t>[용종동]</t>
        </is>
      </c>
      <c r="B372" s="0" t="n">
        <v>108762</v>
      </c>
      <c r="C372" s="0" t="n">
        <v>6</v>
      </c>
      <c r="D372" s="0" t="inlineStr">
        <is>
          <t>인천계양코아루센트럴파크</t>
        </is>
      </c>
      <c r="E372" s="0" t="inlineStr">
        <is>
          <t>2017.06.</t>
        </is>
      </c>
      <c r="F372" s="0" t="n">
        <v>724</v>
      </c>
      <c r="G372" s="0" t="n">
        <v>35.55</v>
      </c>
      <c r="H372" s="0" t="n">
        <v>117.53</v>
      </c>
      <c r="I372" s="0" t="n">
        <v>25.63</v>
      </c>
      <c r="J372" s="0" t="n">
        <v>84.75</v>
      </c>
      <c r="K372" s="0" t="n">
        <v>198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117B</t>
        </is>
      </c>
      <c r="X372" s="0" t="n">
        <v>21</v>
      </c>
      <c r="Y372" s="0" t="n">
        <v>19</v>
      </c>
      <c r="Z372" s="0" t="inlineStr">
        <is>
          <t>https://new.land.naver.com/complexes/108762?tab=detail&amp;rf=Y</t>
        </is>
      </c>
      <c r="AA372" s="0" t="inlineStr">
        <is>
          <t>인천시 계양구 용종동 207-1</t>
        </is>
      </c>
      <c r="AB372" s="0" t="inlineStr">
        <is>
          <t>인천시</t>
        </is>
      </c>
      <c r="AC372" s="0" t="inlineStr">
        <is>
          <t>계양구</t>
        </is>
      </c>
      <c r="AD372" s="0" t="inlineStr">
        <is>
          <t>용종동</t>
        </is>
      </c>
      <c r="AG372" s="0" t="inlineStr">
        <is>
          <t>인천시 계양구 계양문화로 119</t>
        </is>
      </c>
      <c r="AH372" s="0" t="n">
        <v>0</v>
      </c>
      <c r="AI372" s="0" t="n">
        <v>440</v>
      </c>
      <c r="AJ372" s="0" t="n">
        <v>43</v>
      </c>
      <c r="AK372" s="0" t="n">
        <v>994</v>
      </c>
      <c r="AL372" s="0" t="n">
        <v>1.37</v>
      </c>
    </row>
    <row r="373">
      <c r="A373" s="0" t="inlineStr">
        <is>
          <t>[용종동]</t>
        </is>
      </c>
      <c r="B373" s="0" t="n">
        <v>108762</v>
      </c>
      <c r="C373" s="0" t="n">
        <v>7</v>
      </c>
      <c r="D373" s="0" t="inlineStr">
        <is>
          <t>인천계양코아루센트럴파크</t>
        </is>
      </c>
      <c r="E373" s="0" t="inlineStr">
        <is>
          <t>2017.06.</t>
        </is>
      </c>
      <c r="F373" s="0" t="n">
        <v>724</v>
      </c>
      <c r="G373" s="0" t="n">
        <v>35.53</v>
      </c>
      <c r="H373" s="0" t="n">
        <v>117.47</v>
      </c>
      <c r="I373" s="0" t="n">
        <v>25.7</v>
      </c>
      <c r="J373" s="0" t="n">
        <v>84.98999999999999</v>
      </c>
      <c r="K373" s="0" t="n">
        <v>99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117D</t>
        </is>
      </c>
      <c r="X373" s="0" t="n">
        <v>21</v>
      </c>
      <c r="Y373" s="0" t="n">
        <v>19</v>
      </c>
      <c r="Z373" s="0" t="inlineStr">
        <is>
          <t>https://new.land.naver.com/complexes/108762?tab=detail&amp;rf=Y</t>
        </is>
      </c>
      <c r="AA373" s="0" t="inlineStr">
        <is>
          <t>인천시 계양구 용종동 207-1</t>
        </is>
      </c>
      <c r="AB373" s="0" t="inlineStr">
        <is>
          <t>인천시</t>
        </is>
      </c>
      <c r="AC373" s="0" t="inlineStr">
        <is>
          <t>계양구</t>
        </is>
      </c>
      <c r="AD373" s="0" t="inlineStr">
        <is>
          <t>용종동</t>
        </is>
      </c>
      <c r="AG373" s="0" t="inlineStr">
        <is>
          <t>인천시 계양구 계양문화로 119</t>
        </is>
      </c>
      <c r="AH373" s="0" t="n">
        <v>0</v>
      </c>
      <c r="AI373" s="0" t="n">
        <v>440</v>
      </c>
      <c r="AJ373" s="0" t="n">
        <v>43</v>
      </c>
      <c r="AK373" s="0" t="n">
        <v>994</v>
      </c>
      <c r="AL373" s="0" t="n">
        <v>1.37</v>
      </c>
    </row>
    <row r="374">
      <c r="A374" s="0" t="inlineStr">
        <is>
          <t>[용종동]</t>
        </is>
      </c>
      <c r="B374" s="0" t="n">
        <v>108762</v>
      </c>
      <c r="C374" s="0" t="n">
        <v>8</v>
      </c>
      <c r="D374" s="0" t="inlineStr">
        <is>
          <t>인천계양코아루센트럴파크</t>
        </is>
      </c>
      <c r="E374" s="0" t="inlineStr">
        <is>
          <t>2017.06.</t>
        </is>
      </c>
      <c r="F374" s="0" t="n">
        <v>724</v>
      </c>
      <c r="G374" s="0" t="n">
        <v>35.73</v>
      </c>
      <c r="H374" s="0" t="n">
        <v>118.13</v>
      </c>
      <c r="I374" s="0" t="n">
        <v>25.69</v>
      </c>
      <c r="J374" s="0" t="n">
        <v>84.95</v>
      </c>
      <c r="K374" s="0" t="n">
        <v>96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118A</t>
        </is>
      </c>
      <c r="X374" s="0" t="n">
        <v>21</v>
      </c>
      <c r="Y374" s="0" t="n">
        <v>19</v>
      </c>
      <c r="Z374" s="0" t="inlineStr">
        <is>
          <t>https://new.land.naver.com/complexes/108762?tab=detail&amp;rf=Y</t>
        </is>
      </c>
      <c r="AA374" s="0" t="inlineStr">
        <is>
          <t>인천시 계양구 용종동 207-1</t>
        </is>
      </c>
      <c r="AB374" s="0" t="inlineStr">
        <is>
          <t>인천시</t>
        </is>
      </c>
      <c r="AC374" s="0" t="inlineStr">
        <is>
          <t>계양구</t>
        </is>
      </c>
      <c r="AD374" s="0" t="inlineStr">
        <is>
          <t>용종동</t>
        </is>
      </c>
      <c r="AG374" s="0" t="inlineStr">
        <is>
          <t>인천시 계양구 계양문화로 119</t>
        </is>
      </c>
      <c r="AH374" s="0" t="n">
        <v>0</v>
      </c>
      <c r="AI374" s="0" t="n">
        <v>440</v>
      </c>
      <c r="AJ374" s="0" t="n">
        <v>43</v>
      </c>
      <c r="AK374" s="0" t="n">
        <v>994</v>
      </c>
      <c r="AL374" s="0" t="n">
        <v>1.37</v>
      </c>
    </row>
    <row r="375">
      <c r="A375" s="0" t="inlineStr">
        <is>
          <t>[용종동]</t>
        </is>
      </c>
      <c r="B375" s="0" t="n">
        <v>8536</v>
      </c>
      <c r="C375" s="0" t="n">
        <v>1</v>
      </c>
      <c r="D375" s="0" t="inlineStr">
        <is>
          <t>용종마을중앙</t>
        </is>
      </c>
      <c r="E375" s="0" t="inlineStr">
        <is>
          <t>1997.10.</t>
        </is>
      </c>
      <c r="F375" s="0" t="n">
        <v>428</v>
      </c>
      <c r="G375" s="0" t="n">
        <v>16.98</v>
      </c>
      <c r="H375" s="0" t="n">
        <v>56.15</v>
      </c>
      <c r="I375" s="0" t="n">
        <v>12.04</v>
      </c>
      <c r="J375" s="0" t="n">
        <v>39.82</v>
      </c>
      <c r="K375" s="0" t="n">
        <v>128</v>
      </c>
      <c r="T375" s="0" t="n">
        <v>2</v>
      </c>
      <c r="U375" s="0" t="n">
        <v>1</v>
      </c>
      <c r="V375" s="0" t="inlineStr">
        <is>
          <t>복도식</t>
        </is>
      </c>
      <c r="W375" s="0" t="n">
        <v>56</v>
      </c>
      <c r="X375" s="0" t="n">
        <v>18</v>
      </c>
      <c r="Y375" s="0" t="n">
        <v>16</v>
      </c>
      <c r="Z375" s="0" t="inlineStr">
        <is>
          <t>https://new.land.naver.com/complexes/8536?tab=detail&amp;rf=Y</t>
        </is>
      </c>
      <c r="AA375" s="0" t="inlineStr">
        <is>
          <t>인천시 계양구 용종동 214-2</t>
        </is>
      </c>
      <c r="AB375" s="0" t="inlineStr">
        <is>
          <t>인천시</t>
        </is>
      </c>
      <c r="AC375" s="0" t="inlineStr">
        <is>
          <t>계양구</t>
        </is>
      </c>
      <c r="AD375" s="0" t="inlineStr">
        <is>
          <t>용종동</t>
        </is>
      </c>
      <c r="AG375" s="0" t="inlineStr">
        <is>
          <t>인천시 계양구 계양문화로 141</t>
        </is>
      </c>
      <c r="AH375" s="0" t="n">
        <v>0</v>
      </c>
      <c r="AI375" s="0" t="n">
        <v>246</v>
      </c>
      <c r="AJ375" s="0" t="n">
        <v>21</v>
      </c>
      <c r="AK375" s="0" t="n">
        <v>448</v>
      </c>
      <c r="AL375" s="0" t="n">
        <v>1.05</v>
      </c>
    </row>
    <row r="376">
      <c r="A376" s="0" t="inlineStr">
        <is>
          <t>[용종동]</t>
        </is>
      </c>
      <c r="B376" s="0" t="n">
        <v>8536</v>
      </c>
      <c r="C376" s="0" t="n">
        <v>2</v>
      </c>
      <c r="D376" s="0" t="inlineStr">
        <is>
          <t>용종마을중앙</t>
        </is>
      </c>
      <c r="E376" s="0" t="inlineStr">
        <is>
          <t>1997.10.</t>
        </is>
      </c>
      <c r="F376" s="0" t="n">
        <v>428</v>
      </c>
      <c r="G376" s="0" t="n">
        <v>31.98</v>
      </c>
      <c r="H376" s="0" t="n">
        <v>105.72</v>
      </c>
      <c r="I376" s="0" t="n">
        <v>25.64</v>
      </c>
      <c r="J376" s="0" t="n">
        <v>84.79000000000001</v>
      </c>
      <c r="K376" s="0" t="n">
        <v>300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105</v>
      </c>
      <c r="X376" s="0" t="n">
        <v>18</v>
      </c>
      <c r="Y376" s="0" t="n">
        <v>16</v>
      </c>
      <c r="Z376" s="0" t="inlineStr">
        <is>
          <t>https://new.land.naver.com/complexes/8536?tab=detail&amp;rf=Y</t>
        </is>
      </c>
      <c r="AA376" s="0" t="inlineStr">
        <is>
          <t>인천시 계양구 용종동 214-2</t>
        </is>
      </c>
      <c r="AB376" s="0" t="inlineStr">
        <is>
          <t>인천시</t>
        </is>
      </c>
      <c r="AC376" s="0" t="inlineStr">
        <is>
          <t>계양구</t>
        </is>
      </c>
      <c r="AD376" s="0" t="inlineStr">
        <is>
          <t>용종동</t>
        </is>
      </c>
      <c r="AG376" s="0" t="inlineStr">
        <is>
          <t>인천시 계양구 계양문화로 141</t>
        </is>
      </c>
      <c r="AH376" s="0" t="n">
        <v>0</v>
      </c>
      <c r="AI376" s="0" t="n">
        <v>246</v>
      </c>
      <c r="AJ376" s="0" t="n">
        <v>21</v>
      </c>
      <c r="AK376" s="0" t="n">
        <v>448</v>
      </c>
      <c r="AL376" s="0" t="n">
        <v>1.05</v>
      </c>
    </row>
    <row r="377">
      <c r="A377" s="0" t="inlineStr">
        <is>
          <t>[이화동]</t>
        </is>
      </c>
      <c r="B377" s="0" t="n">
        <v>25336</v>
      </c>
      <c r="C377" s="0" t="n">
        <v>1</v>
      </c>
      <c r="D377" s="0" t="inlineStr">
        <is>
          <t>이화신동아파밀리에</t>
        </is>
      </c>
      <c r="E377" s="0" t="inlineStr">
        <is>
          <t>2007.07.</t>
        </is>
      </c>
      <c r="F377" s="0" t="n">
        <v>399</v>
      </c>
      <c r="G377" s="0" t="n">
        <v>34.04</v>
      </c>
      <c r="H377" s="0" t="n">
        <v>112.54</v>
      </c>
      <c r="I377" s="0" t="n">
        <v>25.67</v>
      </c>
      <c r="J377" s="0" t="n">
        <v>84.88</v>
      </c>
      <c r="K377" s="0" t="n">
        <v>146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13</v>
      </c>
      <c r="Y377" s="0" t="n">
        <v>10</v>
      </c>
      <c r="Z377" s="0" t="inlineStr">
        <is>
          <t>https://new.land.naver.com/complexes/25336?tab=detail&amp;rf=Y</t>
        </is>
      </c>
      <c r="AA377" s="0" t="inlineStr">
        <is>
          <t>인천시 계양구 이화동 407</t>
        </is>
      </c>
      <c r="AB377" s="0" t="inlineStr">
        <is>
          <t>인천시</t>
        </is>
      </c>
      <c r="AC377" s="0" t="inlineStr">
        <is>
          <t>계양구</t>
        </is>
      </c>
      <c r="AD377" s="0" t="inlineStr">
        <is>
          <t>이화동</t>
        </is>
      </c>
      <c r="AG377" s="0" t="inlineStr">
        <is>
          <t>인천시 계양구 황어로 139</t>
        </is>
      </c>
      <c r="AH377" s="0" t="n">
        <v>0</v>
      </c>
      <c r="AI377" s="0" t="n">
        <v>199</v>
      </c>
      <c r="AJ377" s="0" t="n">
        <v>20</v>
      </c>
      <c r="AK377" s="0" t="n">
        <v>450</v>
      </c>
      <c r="AL377" s="0" t="n">
        <v>1.13</v>
      </c>
    </row>
    <row r="378">
      <c r="A378" s="0" t="inlineStr">
        <is>
          <t>[이화동]</t>
        </is>
      </c>
      <c r="B378" s="0" t="n">
        <v>25336</v>
      </c>
      <c r="C378" s="0" t="n">
        <v>2</v>
      </c>
      <c r="D378" s="0" t="inlineStr">
        <is>
          <t>이화신동아파밀리에</t>
        </is>
      </c>
      <c r="E378" s="0" t="inlineStr">
        <is>
          <t>2007.07.</t>
        </is>
      </c>
      <c r="F378" s="0" t="n">
        <v>399</v>
      </c>
      <c r="G378" s="0" t="n">
        <v>34.16</v>
      </c>
      <c r="H378" s="0" t="n">
        <v>112.93</v>
      </c>
      <c r="I378" s="0" t="n">
        <v>25.69</v>
      </c>
      <c r="J378" s="0" t="n">
        <v>84.94</v>
      </c>
      <c r="K378" s="0" t="n">
        <v>127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112C</t>
        </is>
      </c>
      <c r="X378" s="0" t="n">
        <v>13</v>
      </c>
      <c r="Y378" s="0" t="n">
        <v>10</v>
      </c>
      <c r="Z378" s="0" t="inlineStr">
        <is>
          <t>https://new.land.naver.com/complexes/25336?tab=detail&amp;rf=Y</t>
        </is>
      </c>
      <c r="AA378" s="0" t="inlineStr">
        <is>
          <t>인천시 계양구 이화동 407</t>
        </is>
      </c>
      <c r="AB378" s="0" t="inlineStr">
        <is>
          <t>인천시</t>
        </is>
      </c>
      <c r="AC378" s="0" t="inlineStr">
        <is>
          <t>계양구</t>
        </is>
      </c>
      <c r="AD378" s="0" t="inlineStr">
        <is>
          <t>이화동</t>
        </is>
      </c>
      <c r="AG378" s="0" t="inlineStr">
        <is>
          <t>인천시 계양구 황어로 139</t>
        </is>
      </c>
      <c r="AH378" s="0" t="n">
        <v>0</v>
      </c>
      <c r="AI378" s="0" t="n">
        <v>199</v>
      </c>
      <c r="AJ378" s="0" t="n">
        <v>20</v>
      </c>
      <c r="AK378" s="0" t="n">
        <v>450</v>
      </c>
      <c r="AL378" s="0" t="n">
        <v>1.13</v>
      </c>
    </row>
    <row r="379">
      <c r="A379" s="0" t="inlineStr">
        <is>
          <t>[이화동]</t>
        </is>
      </c>
      <c r="B379" s="0" t="n">
        <v>25336</v>
      </c>
      <c r="C379" s="0" t="n">
        <v>3</v>
      </c>
      <c r="D379" s="0" t="inlineStr">
        <is>
          <t>이화신동아파밀리에</t>
        </is>
      </c>
      <c r="E379" s="0" t="inlineStr">
        <is>
          <t>2007.07.</t>
        </is>
      </c>
      <c r="F379" s="0" t="n">
        <v>399</v>
      </c>
      <c r="G379" s="0" t="n">
        <v>34.03</v>
      </c>
      <c r="H379" s="0" t="n">
        <v>112.51</v>
      </c>
      <c r="I379" s="0" t="n">
        <v>25.69</v>
      </c>
      <c r="J379" s="0" t="n">
        <v>84.94</v>
      </c>
      <c r="K379" s="0" t="n">
        <v>61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112B</t>
        </is>
      </c>
      <c r="X379" s="0" t="n">
        <v>13</v>
      </c>
      <c r="Y379" s="0" t="n">
        <v>10</v>
      </c>
      <c r="Z379" s="0" t="inlineStr">
        <is>
          <t>https://new.land.naver.com/complexes/25336?tab=detail&amp;rf=Y</t>
        </is>
      </c>
      <c r="AA379" s="0" t="inlineStr">
        <is>
          <t>인천시 계양구 이화동 407</t>
        </is>
      </c>
      <c r="AB379" s="0" t="inlineStr">
        <is>
          <t>인천시</t>
        </is>
      </c>
      <c r="AC379" s="0" t="inlineStr">
        <is>
          <t>계양구</t>
        </is>
      </c>
      <c r="AD379" s="0" t="inlineStr">
        <is>
          <t>이화동</t>
        </is>
      </c>
      <c r="AG379" s="0" t="inlineStr">
        <is>
          <t>인천시 계양구 황어로 139</t>
        </is>
      </c>
      <c r="AH379" s="0" t="n">
        <v>0</v>
      </c>
      <c r="AI379" s="0" t="n">
        <v>199</v>
      </c>
      <c r="AJ379" s="0" t="n">
        <v>20</v>
      </c>
      <c r="AK379" s="0" t="n">
        <v>450</v>
      </c>
      <c r="AL379" s="0" t="n">
        <v>1.13</v>
      </c>
    </row>
    <row r="380">
      <c r="A380" s="0" t="inlineStr">
        <is>
          <t>[이화동]</t>
        </is>
      </c>
      <c r="B380" s="0" t="n">
        <v>25336</v>
      </c>
      <c r="C380" s="0" t="n">
        <v>4</v>
      </c>
      <c r="D380" s="0" t="inlineStr">
        <is>
          <t>이화신동아파밀리에</t>
        </is>
      </c>
      <c r="E380" s="0" t="inlineStr">
        <is>
          <t>2007.07.</t>
        </is>
      </c>
      <c r="F380" s="0" t="n">
        <v>399</v>
      </c>
      <c r="G380" s="0" t="n">
        <v>41.12</v>
      </c>
      <c r="H380" s="0" t="n">
        <v>135.94</v>
      </c>
      <c r="I380" s="0" t="n">
        <v>32.71</v>
      </c>
      <c r="J380" s="0" t="n">
        <v>108.15</v>
      </c>
      <c r="K380" s="0" t="n">
        <v>13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135B</t>
        </is>
      </c>
      <c r="X380" s="0" t="n">
        <v>13</v>
      </c>
      <c r="Y380" s="0" t="n">
        <v>10</v>
      </c>
      <c r="Z380" s="0" t="inlineStr">
        <is>
          <t>https://new.land.naver.com/complexes/25336?tab=detail&amp;rf=Y</t>
        </is>
      </c>
      <c r="AA380" s="0" t="inlineStr">
        <is>
          <t>인천시 계양구 이화동 407</t>
        </is>
      </c>
      <c r="AB380" s="0" t="inlineStr">
        <is>
          <t>인천시</t>
        </is>
      </c>
      <c r="AC380" s="0" t="inlineStr">
        <is>
          <t>계양구</t>
        </is>
      </c>
      <c r="AD380" s="0" t="inlineStr">
        <is>
          <t>이화동</t>
        </is>
      </c>
      <c r="AG380" s="0" t="inlineStr">
        <is>
          <t>인천시 계양구 황어로 139</t>
        </is>
      </c>
      <c r="AH380" s="0" t="n">
        <v>0</v>
      </c>
      <c r="AI380" s="0" t="n">
        <v>199</v>
      </c>
      <c r="AJ380" s="0" t="n">
        <v>20</v>
      </c>
      <c r="AK380" s="0" t="n">
        <v>450</v>
      </c>
      <c r="AL380" s="0" t="n">
        <v>1.13</v>
      </c>
    </row>
    <row r="381">
      <c r="A381" s="0" t="inlineStr">
        <is>
          <t>[이화동]</t>
        </is>
      </c>
      <c r="B381" s="0" t="n">
        <v>25336</v>
      </c>
      <c r="C381" s="0" t="n">
        <v>5</v>
      </c>
      <c r="D381" s="0" t="inlineStr">
        <is>
          <t>이화신동아파밀리에</t>
        </is>
      </c>
      <c r="E381" s="0" t="inlineStr">
        <is>
          <t>2007.07.</t>
        </is>
      </c>
      <c r="F381" s="0" t="n">
        <v>399</v>
      </c>
      <c r="G381" s="0" t="n">
        <v>41.15</v>
      </c>
      <c r="H381" s="0" t="n">
        <v>136.06</v>
      </c>
      <c r="I381" s="0" t="n">
        <v>32.78</v>
      </c>
      <c r="J381" s="0" t="n">
        <v>108.39</v>
      </c>
      <c r="K381" s="0" t="n">
        <v>52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136A</t>
        </is>
      </c>
      <c r="X381" s="0" t="n">
        <v>13</v>
      </c>
      <c r="Y381" s="0" t="n">
        <v>10</v>
      </c>
      <c r="Z381" s="0" t="inlineStr">
        <is>
          <t>https://new.land.naver.com/complexes/25336?tab=detail&amp;rf=Y</t>
        </is>
      </c>
      <c r="AA381" s="0" t="inlineStr">
        <is>
          <t>인천시 계양구 이화동 407</t>
        </is>
      </c>
      <c r="AB381" s="0" t="inlineStr">
        <is>
          <t>인천시</t>
        </is>
      </c>
      <c r="AC381" s="0" t="inlineStr">
        <is>
          <t>계양구</t>
        </is>
      </c>
      <c r="AD381" s="0" t="inlineStr">
        <is>
          <t>이화동</t>
        </is>
      </c>
      <c r="AG381" s="0" t="inlineStr">
        <is>
          <t>인천시 계양구 황어로 139</t>
        </is>
      </c>
      <c r="AH381" s="0" t="n">
        <v>0</v>
      </c>
      <c r="AI381" s="0" t="n">
        <v>199</v>
      </c>
      <c r="AJ381" s="0" t="n">
        <v>20</v>
      </c>
      <c r="AK381" s="0" t="n">
        <v>450</v>
      </c>
      <c r="AL381" s="0" t="n">
        <v>1.13</v>
      </c>
    </row>
    <row r="382">
      <c r="A382" s="0" t="inlineStr">
        <is>
          <t>[임학동]</t>
        </is>
      </c>
      <c r="B382" s="0" t="n">
        <v>8266</v>
      </c>
      <c r="C382" s="0" t="n">
        <v>1</v>
      </c>
      <c r="D382" s="0" t="inlineStr">
        <is>
          <t>용정</t>
        </is>
      </c>
      <c r="E382" s="0" t="inlineStr">
        <is>
          <t>1989.12.</t>
        </is>
      </c>
      <c r="F382" s="0" t="n">
        <v>84</v>
      </c>
      <c r="G382" s="0" t="n">
        <v>19.02</v>
      </c>
      <c r="H382" s="0" t="n">
        <v>62.88</v>
      </c>
      <c r="I382" s="0" t="n">
        <v>14.78</v>
      </c>
      <c r="J382" s="0" t="n">
        <v>48.87</v>
      </c>
      <c r="K382" s="0" t="n">
        <v>60</v>
      </c>
      <c r="T382" s="0" t="n">
        <v>2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6</v>
      </c>
      <c r="Y382" s="0" t="n">
        <v>6</v>
      </c>
      <c r="Z382" s="0" t="inlineStr">
        <is>
          <t>https://new.land.naver.com/complexes/8266?tab=detail&amp;rf=Y</t>
        </is>
      </c>
      <c r="AA382" s="0" t="inlineStr">
        <is>
          <t>인천시 계양구 임학동 25-3</t>
        </is>
      </c>
      <c r="AB382" s="0" t="inlineStr">
        <is>
          <t>인천시</t>
        </is>
      </c>
      <c r="AC382" s="0" t="inlineStr">
        <is>
          <t>계양구</t>
        </is>
      </c>
      <c r="AD382" s="0" t="inlineStr">
        <is>
          <t>임학동</t>
        </is>
      </c>
      <c r="AG382" s="0" t="inlineStr">
        <is>
          <t>인천시 계양구 계양산로216번길 20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[임학동]</t>
        </is>
      </c>
      <c r="B383" s="0" t="n">
        <v>8266</v>
      </c>
      <c r="C383" s="0" t="n">
        <v>2</v>
      </c>
      <c r="D383" s="0" t="inlineStr">
        <is>
          <t>용정</t>
        </is>
      </c>
      <c r="E383" s="0" t="inlineStr">
        <is>
          <t>1989.12.</t>
        </is>
      </c>
      <c r="F383" s="0" t="n">
        <v>84</v>
      </c>
      <c r="G383" s="0" t="n">
        <v>20.76</v>
      </c>
      <c r="H383" s="0" t="n">
        <v>68.64</v>
      </c>
      <c r="I383" s="0" t="n">
        <v>16.3</v>
      </c>
      <c r="J383" s="0" t="n">
        <v>53.91</v>
      </c>
      <c r="K383" s="0" t="n">
        <v>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68</v>
      </c>
      <c r="X383" s="0" t="n">
        <v>6</v>
      </c>
      <c r="Y383" s="0" t="n">
        <v>6</v>
      </c>
      <c r="Z383" s="0" t="inlineStr">
        <is>
          <t>https://new.land.naver.com/complexes/8266?tab=detail&amp;rf=Y</t>
        </is>
      </c>
      <c r="AA383" s="0" t="inlineStr">
        <is>
          <t>인천시 계양구 임학동 25-3</t>
        </is>
      </c>
      <c r="AB383" s="0" t="inlineStr">
        <is>
          <t>인천시</t>
        </is>
      </c>
      <c r="AC383" s="0" t="inlineStr">
        <is>
          <t>계양구</t>
        </is>
      </c>
      <c r="AD383" s="0" t="inlineStr">
        <is>
          <t>임학동</t>
        </is>
      </c>
      <c r="AG383" s="0" t="inlineStr">
        <is>
          <t>인천시 계양구 계양산로216번길 20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[임학동]</t>
        </is>
      </c>
      <c r="B384" s="0" t="n">
        <v>8274</v>
      </c>
      <c r="C384" s="0" t="n">
        <v>1</v>
      </c>
      <c r="D384" s="0" t="inlineStr">
        <is>
          <t>인우</t>
        </is>
      </c>
      <c r="E384" s="0" t="inlineStr">
        <is>
          <t>1984.08.</t>
        </is>
      </c>
      <c r="F384" s="0" t="n">
        <v>80</v>
      </c>
      <c r="G384" s="0" t="n">
        <v>19.1</v>
      </c>
      <c r="H384" s="0" t="n">
        <v>63.15</v>
      </c>
      <c r="I384" s="0" t="n">
        <v>16.61</v>
      </c>
      <c r="J384" s="0" t="n">
        <v>54.93</v>
      </c>
      <c r="K384" s="0" t="n">
        <v>40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5</v>
      </c>
      <c r="Y384" s="0" t="n">
        <v>5</v>
      </c>
      <c r="Z384" s="0" t="inlineStr">
        <is>
          <t>https://new.land.naver.com/complexes/8274?tab=detail&amp;rf=Y</t>
        </is>
      </c>
      <c r="AA384" s="0" t="inlineStr">
        <is>
          <t>인천시 계양구 임학동 62</t>
        </is>
      </c>
      <c r="AB384" s="0" t="inlineStr">
        <is>
          <t>인천시</t>
        </is>
      </c>
      <c r="AC384" s="0" t="inlineStr">
        <is>
          <t>계양구</t>
        </is>
      </c>
      <c r="AD384" s="0" t="inlineStr">
        <is>
          <t>임학동</t>
        </is>
      </c>
      <c r="AG384" s="0" t="inlineStr">
        <is>
          <t>인천시 계양구 임학서로6번길 14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[임학동]</t>
        </is>
      </c>
      <c r="B385" s="0" t="n">
        <v>8274</v>
      </c>
      <c r="C385" s="0" t="n">
        <v>2</v>
      </c>
      <c r="D385" s="0" t="inlineStr">
        <is>
          <t>인우</t>
        </is>
      </c>
      <c r="E385" s="0" t="inlineStr">
        <is>
          <t>1984.08.</t>
        </is>
      </c>
      <c r="F385" s="0" t="n">
        <v>80</v>
      </c>
      <c r="G385" s="0" t="n">
        <v>21.86</v>
      </c>
      <c r="H385" s="0" t="n">
        <v>72.27</v>
      </c>
      <c r="I385" s="0" t="n">
        <v>19.01</v>
      </c>
      <c r="J385" s="0" t="n">
        <v>62.85</v>
      </c>
      <c r="K385" s="0" t="n">
        <v>40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72</v>
      </c>
      <c r="X385" s="0" t="n">
        <v>5</v>
      </c>
      <c r="Y385" s="0" t="n">
        <v>5</v>
      </c>
      <c r="Z385" s="0" t="inlineStr">
        <is>
          <t>https://new.land.naver.com/complexes/8274?tab=detail&amp;rf=Y</t>
        </is>
      </c>
      <c r="AA385" s="0" t="inlineStr">
        <is>
          <t>인천시 계양구 임학동 62</t>
        </is>
      </c>
      <c r="AB385" s="0" t="inlineStr">
        <is>
          <t>인천시</t>
        </is>
      </c>
      <c r="AC385" s="0" t="inlineStr">
        <is>
          <t>계양구</t>
        </is>
      </c>
      <c r="AD385" s="0" t="inlineStr">
        <is>
          <t>임학동</t>
        </is>
      </c>
      <c r="AG385" s="0" t="inlineStr">
        <is>
          <t>인천시 계양구 임학서로6번길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[임학동]</t>
        </is>
      </c>
      <c r="B386" s="0" t="n">
        <v>109732</v>
      </c>
      <c r="C386" s="0" t="n">
        <v>1</v>
      </c>
      <c r="D386" s="0" t="inlineStr">
        <is>
          <t>해마루</t>
        </is>
      </c>
      <c r="E386" s="0" t="inlineStr">
        <is>
          <t>2008.12.</t>
        </is>
      </c>
      <c r="F386" s="0" t="n">
        <v>18</v>
      </c>
      <c r="G386" s="0" t="n">
        <v>24.57</v>
      </c>
      <c r="H386" s="0" t="n">
        <v>81.25</v>
      </c>
      <c r="I386" s="0" t="n">
        <v>21.22</v>
      </c>
      <c r="J386" s="0" t="n">
        <v>70.18000000000001</v>
      </c>
      <c r="K386" s="0" t="n">
        <v>2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81</v>
      </c>
      <c r="X386" s="0" t="n">
        <v>10</v>
      </c>
      <c r="Y386" s="0" t="n">
        <v>10</v>
      </c>
      <c r="Z386" s="0" t="inlineStr">
        <is>
          <t>https://new.land.naver.com/complexes/109732?tab=detail&amp;rf=Y</t>
        </is>
      </c>
      <c r="AA386" s="0" t="inlineStr">
        <is>
          <t>인천시 계양구 임학동 69-5</t>
        </is>
      </c>
      <c r="AB386" s="0" t="inlineStr">
        <is>
          <t>인천시</t>
        </is>
      </c>
      <c r="AC386" s="0" t="inlineStr">
        <is>
          <t>계양구</t>
        </is>
      </c>
      <c r="AD386" s="0" t="inlineStr">
        <is>
          <t>임학동</t>
        </is>
      </c>
      <c r="AG386" s="0" t="inlineStr">
        <is>
          <t>인천시 계양구 임학동로 28</t>
        </is>
      </c>
      <c r="AH386" s="0" t="n">
        <v>0</v>
      </c>
      <c r="AI386" s="0" t="n">
        <v>293</v>
      </c>
      <c r="AJ386" s="0" t="n">
        <v>41</v>
      </c>
      <c r="AK386" s="0" t="n">
        <v>22</v>
      </c>
      <c r="AL386" s="0" t="n">
        <v>1.22</v>
      </c>
    </row>
    <row r="387">
      <c r="A387" s="0" t="inlineStr">
        <is>
          <t>[임학동]</t>
        </is>
      </c>
      <c r="B387" s="0" t="n">
        <v>109732</v>
      </c>
      <c r="C387" s="0" t="n">
        <v>2</v>
      </c>
      <c r="D387" s="0" t="inlineStr">
        <is>
          <t>해마루</t>
        </is>
      </c>
      <c r="E387" s="0" t="inlineStr">
        <is>
          <t>2008.12.</t>
        </is>
      </c>
      <c r="F387" s="0" t="n">
        <v>18</v>
      </c>
      <c r="G387" s="0" t="n">
        <v>28.08</v>
      </c>
      <c r="H387" s="0" t="n">
        <v>92.83</v>
      </c>
      <c r="I387" s="0" t="n">
        <v>24.25</v>
      </c>
      <c r="J387" s="0" t="n">
        <v>80.18000000000001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92</v>
      </c>
      <c r="X387" s="0" t="n">
        <v>10</v>
      </c>
      <c r="Y387" s="0" t="n">
        <v>10</v>
      </c>
      <c r="Z387" s="0" t="inlineStr">
        <is>
          <t>https://new.land.naver.com/complexes/109732?tab=detail&amp;rf=Y</t>
        </is>
      </c>
      <c r="AA387" s="0" t="inlineStr">
        <is>
          <t>인천시 계양구 임학동 69-5</t>
        </is>
      </c>
      <c r="AB387" s="0" t="inlineStr">
        <is>
          <t>인천시</t>
        </is>
      </c>
      <c r="AC387" s="0" t="inlineStr">
        <is>
          <t>계양구</t>
        </is>
      </c>
      <c r="AD387" s="0" t="inlineStr">
        <is>
          <t>임학동</t>
        </is>
      </c>
      <c r="AG387" s="0" t="inlineStr">
        <is>
          <t>인천시 계양구 임학동로 28</t>
        </is>
      </c>
      <c r="AH387" s="0" t="n">
        <v>0</v>
      </c>
      <c r="AI387" s="0" t="n">
        <v>293</v>
      </c>
      <c r="AJ387" s="0" t="n">
        <v>41</v>
      </c>
      <c r="AK387" s="0" t="n">
        <v>22</v>
      </c>
      <c r="AL387" s="0" t="n">
        <v>1.22</v>
      </c>
    </row>
    <row r="388">
      <c r="A388" s="0" t="inlineStr">
        <is>
          <t>[임학동]</t>
        </is>
      </c>
      <c r="B388" s="0" t="n">
        <v>109732</v>
      </c>
      <c r="C388" s="0" t="n">
        <v>3</v>
      </c>
      <c r="D388" s="0" t="inlineStr">
        <is>
          <t>해마루</t>
        </is>
      </c>
      <c r="E388" s="0" t="inlineStr">
        <is>
          <t>2008.12.</t>
        </is>
      </c>
      <c r="F388" s="0" t="n">
        <v>18</v>
      </c>
      <c r="G388" s="0" t="n">
        <v>28.74</v>
      </c>
      <c r="H388" s="0" t="n">
        <v>95.04000000000001</v>
      </c>
      <c r="I388" s="0" t="n">
        <v>24.83</v>
      </c>
      <c r="J388" s="0" t="n">
        <v>82.09</v>
      </c>
      <c r="K388" s="0" t="n">
        <v>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95A</t>
        </is>
      </c>
      <c r="X388" s="0" t="n">
        <v>10</v>
      </c>
      <c r="Y388" s="0" t="n">
        <v>10</v>
      </c>
      <c r="Z388" s="0" t="inlineStr">
        <is>
          <t>https://new.land.naver.com/complexes/109732?tab=detail&amp;rf=Y</t>
        </is>
      </c>
      <c r="AA388" s="0" t="inlineStr">
        <is>
          <t>인천시 계양구 임학동 69-5</t>
        </is>
      </c>
      <c r="AB388" s="0" t="inlineStr">
        <is>
          <t>인천시</t>
        </is>
      </c>
      <c r="AC388" s="0" t="inlineStr">
        <is>
          <t>계양구</t>
        </is>
      </c>
      <c r="AD388" s="0" t="inlineStr">
        <is>
          <t>임학동</t>
        </is>
      </c>
      <c r="AG388" s="0" t="inlineStr">
        <is>
          <t>인천시 계양구 임학동로 28</t>
        </is>
      </c>
      <c r="AH388" s="0" t="n">
        <v>0</v>
      </c>
      <c r="AI388" s="0" t="n">
        <v>293</v>
      </c>
      <c r="AJ388" s="0" t="n">
        <v>41</v>
      </c>
      <c r="AK388" s="0" t="n">
        <v>22</v>
      </c>
      <c r="AL388" s="0" t="n">
        <v>1.22</v>
      </c>
    </row>
    <row r="389">
      <c r="A389" s="0" t="inlineStr">
        <is>
          <t>[임학동]</t>
        </is>
      </c>
      <c r="B389" s="0" t="n">
        <v>109732</v>
      </c>
      <c r="C389" s="0" t="n">
        <v>4</v>
      </c>
      <c r="D389" s="0" t="inlineStr">
        <is>
          <t>해마루</t>
        </is>
      </c>
      <c r="E389" s="0" t="inlineStr">
        <is>
          <t>2008.12.</t>
        </is>
      </c>
      <c r="F389" s="0" t="n">
        <v>18</v>
      </c>
      <c r="G389" s="0" t="n">
        <v>29.2</v>
      </c>
      <c r="H389" s="0" t="n">
        <v>96.54000000000001</v>
      </c>
      <c r="I389" s="0" t="n">
        <v>25.22</v>
      </c>
      <c r="J389" s="0" t="n">
        <v>83.38</v>
      </c>
      <c r="K389" s="0" t="n">
        <v>2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96B</t>
        </is>
      </c>
      <c r="X389" s="0" t="n">
        <v>10</v>
      </c>
      <c r="Y389" s="0" t="n">
        <v>10</v>
      </c>
      <c r="Z389" s="0" t="inlineStr">
        <is>
          <t>https://new.land.naver.com/complexes/109732?tab=detail&amp;rf=Y</t>
        </is>
      </c>
      <c r="AA389" s="0" t="inlineStr">
        <is>
          <t>인천시 계양구 임학동 69-5</t>
        </is>
      </c>
      <c r="AB389" s="0" t="inlineStr">
        <is>
          <t>인천시</t>
        </is>
      </c>
      <c r="AC389" s="0" t="inlineStr">
        <is>
          <t>계양구</t>
        </is>
      </c>
      <c r="AD389" s="0" t="inlineStr">
        <is>
          <t>임학동</t>
        </is>
      </c>
      <c r="AG389" s="0" t="inlineStr">
        <is>
          <t>인천시 계양구 임학동로 28</t>
        </is>
      </c>
      <c r="AH389" s="0" t="n">
        <v>0</v>
      </c>
      <c r="AI389" s="0" t="n">
        <v>293</v>
      </c>
      <c r="AJ389" s="0" t="n">
        <v>41</v>
      </c>
      <c r="AK389" s="0" t="n">
        <v>22</v>
      </c>
      <c r="AL389" s="0" t="n">
        <v>1.22</v>
      </c>
    </row>
    <row r="390">
      <c r="A390" s="0" t="inlineStr">
        <is>
          <t>[임학동]</t>
        </is>
      </c>
      <c r="B390" s="0" t="n">
        <v>109732</v>
      </c>
      <c r="C390" s="0" t="n">
        <v>5</v>
      </c>
      <c r="D390" s="0" t="inlineStr">
        <is>
          <t>해마루</t>
        </is>
      </c>
      <c r="E390" s="0" t="inlineStr">
        <is>
          <t>2008.12.</t>
        </is>
      </c>
      <c r="F390" s="0" t="n">
        <v>18</v>
      </c>
      <c r="G390" s="0" t="n">
        <v>29.7</v>
      </c>
      <c r="H390" s="0" t="n">
        <v>98.19</v>
      </c>
      <c r="I390" s="0" t="n">
        <v>25.65</v>
      </c>
      <c r="J390" s="0" t="n">
        <v>84.81</v>
      </c>
      <c r="K390" s="0" t="n">
        <v>10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98</v>
      </c>
      <c r="X390" s="0" t="n">
        <v>10</v>
      </c>
      <c r="Y390" s="0" t="n">
        <v>10</v>
      </c>
      <c r="Z390" s="0" t="inlineStr">
        <is>
          <t>https://new.land.naver.com/complexes/109732?tab=detail&amp;rf=Y</t>
        </is>
      </c>
      <c r="AA390" s="0" t="inlineStr">
        <is>
          <t>인천시 계양구 임학동 69-5</t>
        </is>
      </c>
      <c r="AB390" s="0" t="inlineStr">
        <is>
          <t>인천시</t>
        </is>
      </c>
      <c r="AC390" s="0" t="inlineStr">
        <is>
          <t>계양구</t>
        </is>
      </c>
      <c r="AD390" s="0" t="inlineStr">
        <is>
          <t>임학동</t>
        </is>
      </c>
      <c r="AG390" s="0" t="inlineStr">
        <is>
          <t>인천시 계양구 임학동로 28</t>
        </is>
      </c>
      <c r="AH390" s="0" t="n">
        <v>0</v>
      </c>
      <c r="AI390" s="0" t="n">
        <v>293</v>
      </c>
      <c r="AJ390" s="0" t="n">
        <v>41</v>
      </c>
      <c r="AK390" s="0" t="n">
        <v>22</v>
      </c>
      <c r="AL390" s="0" t="n">
        <v>1.22</v>
      </c>
    </row>
    <row r="391">
      <c r="A391" s="0" t="inlineStr">
        <is>
          <t>[임학동]</t>
        </is>
      </c>
      <c r="B391" s="0" t="n">
        <v>8278</v>
      </c>
      <c r="C391" s="0" t="n">
        <v>1</v>
      </c>
      <c r="D391" s="0" t="inlineStr">
        <is>
          <t>한일</t>
        </is>
      </c>
      <c r="E391" s="0" t="inlineStr">
        <is>
          <t>1989.05.</t>
        </is>
      </c>
      <c r="F391" s="0" t="n">
        <v>96</v>
      </c>
      <c r="G391" s="0" t="n">
        <v>14.53</v>
      </c>
      <c r="H391" s="0" t="n">
        <v>48.05</v>
      </c>
      <c r="I391" s="0" t="n">
        <v>11.87</v>
      </c>
      <c r="J391" s="0" t="n">
        <v>39.24</v>
      </c>
      <c r="K391" s="0" t="n">
        <v>36</v>
      </c>
      <c r="T391" s="0" t="n">
        <v>2</v>
      </c>
      <c r="U391" s="0" t="n">
        <v>1</v>
      </c>
      <c r="V391" s="0" t="inlineStr">
        <is>
          <t>계단식</t>
        </is>
      </c>
      <c r="W391" s="0" t="n">
        <v>48</v>
      </c>
      <c r="X391" s="0" t="n">
        <v>6</v>
      </c>
      <c r="Y391" s="0" t="n">
        <v>6</v>
      </c>
      <c r="Z391" s="0" t="inlineStr">
        <is>
          <t>https://new.land.naver.com/complexes/8278?tab=detail&amp;rf=Y</t>
        </is>
      </c>
      <c r="AA391" s="0" t="inlineStr">
        <is>
          <t>인천시 계양구 임학동 32-2</t>
        </is>
      </c>
      <c r="AB391" s="0" t="inlineStr">
        <is>
          <t>인천시</t>
        </is>
      </c>
      <c r="AC391" s="0" t="inlineStr">
        <is>
          <t>계양구</t>
        </is>
      </c>
      <c r="AD391" s="0" t="inlineStr">
        <is>
          <t>임학동</t>
        </is>
      </c>
      <c r="AG391" s="0" t="inlineStr">
        <is>
          <t>인천시 계양구 임학안로 29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[임학동]</t>
        </is>
      </c>
      <c r="B392" s="0" t="n">
        <v>8278</v>
      </c>
      <c r="C392" s="0" t="n">
        <v>2</v>
      </c>
      <c r="D392" s="0" t="inlineStr">
        <is>
          <t>한일</t>
        </is>
      </c>
      <c r="E392" s="0" t="inlineStr">
        <is>
          <t>1989.05.</t>
        </is>
      </c>
      <c r="F392" s="0" t="n">
        <v>96</v>
      </c>
      <c r="G392" s="0" t="n">
        <v>19.21</v>
      </c>
      <c r="H392" s="0" t="n">
        <v>63.51</v>
      </c>
      <c r="I392" s="0" t="n">
        <v>16.17</v>
      </c>
      <c r="J392" s="0" t="n">
        <v>53.46</v>
      </c>
      <c r="K392" s="0" t="n">
        <v>36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63</v>
      </c>
      <c r="X392" s="0" t="n">
        <v>6</v>
      </c>
      <c r="Y392" s="0" t="n">
        <v>6</v>
      </c>
      <c r="Z392" s="0" t="inlineStr">
        <is>
          <t>https://new.land.naver.com/complexes/8278?tab=detail&amp;rf=Y</t>
        </is>
      </c>
      <c r="AA392" s="0" t="inlineStr">
        <is>
          <t>인천시 계양구 임학동 32-2</t>
        </is>
      </c>
      <c r="AB392" s="0" t="inlineStr">
        <is>
          <t>인천시</t>
        </is>
      </c>
      <c r="AC392" s="0" t="inlineStr">
        <is>
          <t>계양구</t>
        </is>
      </c>
      <c r="AD392" s="0" t="inlineStr">
        <is>
          <t>임학동</t>
        </is>
      </c>
      <c r="AG392" s="0" t="inlineStr">
        <is>
          <t>인천시 계양구 임학안로 29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[임학동]</t>
        </is>
      </c>
      <c r="B393" s="0" t="n">
        <v>8278</v>
      </c>
      <c r="C393" s="0" t="n">
        <v>3</v>
      </c>
      <c r="D393" s="0" t="inlineStr">
        <is>
          <t>한일</t>
        </is>
      </c>
      <c r="E393" s="0" t="inlineStr">
        <is>
          <t>1989.05.</t>
        </is>
      </c>
      <c r="F393" s="0" t="n">
        <v>96</v>
      </c>
      <c r="G393" s="0" t="n">
        <v>22.23</v>
      </c>
      <c r="H393" s="0" t="n">
        <v>73.48999999999999</v>
      </c>
      <c r="I393" s="0" t="n">
        <v>18.94</v>
      </c>
      <c r="J393" s="0" t="n">
        <v>62.64</v>
      </c>
      <c r="K393" s="0" t="n">
        <v>24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73</v>
      </c>
      <c r="X393" s="0" t="n">
        <v>6</v>
      </c>
      <c r="Y393" s="0" t="n">
        <v>6</v>
      </c>
      <c r="Z393" s="0" t="inlineStr">
        <is>
          <t>https://new.land.naver.com/complexes/8278?tab=detail&amp;rf=Y</t>
        </is>
      </c>
      <c r="AA393" s="0" t="inlineStr">
        <is>
          <t>인천시 계양구 임학동 32-2</t>
        </is>
      </c>
      <c r="AB393" s="0" t="inlineStr">
        <is>
          <t>인천시</t>
        </is>
      </c>
      <c r="AC393" s="0" t="inlineStr">
        <is>
          <t>계양구</t>
        </is>
      </c>
      <c r="AD393" s="0" t="inlineStr">
        <is>
          <t>임학동</t>
        </is>
      </c>
      <c r="AG393" s="0" t="inlineStr">
        <is>
          <t>인천시 계양구 임학안로 29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[임학동]</t>
        </is>
      </c>
      <c r="B394" s="0" t="n">
        <v>8275</v>
      </c>
      <c r="C394" s="0" t="n">
        <v>1</v>
      </c>
      <c r="D394" s="0" t="inlineStr">
        <is>
          <t>중원</t>
        </is>
      </c>
      <c r="E394" s="0" t="inlineStr">
        <is>
          <t>1986.07.</t>
        </is>
      </c>
      <c r="F394" s="0" t="n">
        <v>72</v>
      </c>
      <c r="G394" s="0" t="n">
        <v>19.92</v>
      </c>
      <c r="H394" s="0" t="n">
        <v>65.87</v>
      </c>
      <c r="I394" s="0" t="n">
        <v>14.42</v>
      </c>
      <c r="J394" s="0" t="n">
        <v>47.7</v>
      </c>
      <c r="K394" s="0" t="n">
        <v>16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65</v>
      </c>
      <c r="X394" s="0" t="n">
        <v>4</v>
      </c>
      <c r="Y394" s="0" t="n">
        <v>4</v>
      </c>
      <c r="Z394" s="0" t="inlineStr">
        <is>
          <t>https://new.land.naver.com/complexes/8275?tab=detail&amp;rf=Y</t>
        </is>
      </c>
      <c r="AA394" s="0" t="inlineStr">
        <is>
          <t>인천시 계양구 임학동 60-6</t>
        </is>
      </c>
      <c r="AB394" s="0" t="inlineStr">
        <is>
          <t>인천시</t>
        </is>
      </c>
      <c r="AC394" s="0" t="inlineStr">
        <is>
          <t>계양구</t>
        </is>
      </c>
      <c r="AD394" s="0" t="inlineStr">
        <is>
          <t>임학동</t>
        </is>
      </c>
      <c r="AG394" s="0" t="inlineStr">
        <is>
          <t>인천시 계양구 임학안로 25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[임학동]</t>
        </is>
      </c>
      <c r="B395" s="0" t="n">
        <v>8275</v>
      </c>
      <c r="C395" s="0" t="n">
        <v>2</v>
      </c>
      <c r="D395" s="0" t="inlineStr">
        <is>
          <t>중원</t>
        </is>
      </c>
      <c r="E395" s="0" t="inlineStr">
        <is>
          <t>1986.07.</t>
        </is>
      </c>
      <c r="F395" s="0" t="n">
        <v>72</v>
      </c>
      <c r="G395" s="0" t="n">
        <v>20.87</v>
      </c>
      <c r="H395" s="0" t="n">
        <v>69.01000000000001</v>
      </c>
      <c r="I395" s="0" t="n">
        <v>15.84</v>
      </c>
      <c r="J395" s="0" t="n">
        <v>52.38</v>
      </c>
      <c r="K395" s="0" t="n">
        <v>40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69</v>
      </c>
      <c r="X395" s="0" t="n">
        <v>4</v>
      </c>
      <c r="Y395" s="0" t="n">
        <v>4</v>
      </c>
      <c r="Z395" s="0" t="inlineStr">
        <is>
          <t>https://new.land.naver.com/complexes/8275?tab=detail&amp;rf=Y</t>
        </is>
      </c>
      <c r="AA395" s="0" t="inlineStr">
        <is>
          <t>인천시 계양구 임학동 60-6</t>
        </is>
      </c>
      <c r="AB395" s="0" t="inlineStr">
        <is>
          <t>인천시</t>
        </is>
      </c>
      <c r="AC395" s="0" t="inlineStr">
        <is>
          <t>계양구</t>
        </is>
      </c>
      <c r="AD395" s="0" t="inlineStr">
        <is>
          <t>임학동</t>
        </is>
      </c>
      <c r="AG395" s="0" t="inlineStr">
        <is>
          <t>인천시 계양구 임학안로 25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[임학동]</t>
        </is>
      </c>
      <c r="B396" s="0" t="n">
        <v>8275</v>
      </c>
      <c r="C396" s="0" t="n">
        <v>3</v>
      </c>
      <c r="D396" s="0" t="inlineStr">
        <is>
          <t>중원</t>
        </is>
      </c>
      <c r="E396" s="0" t="inlineStr">
        <is>
          <t>1986.07.</t>
        </is>
      </c>
      <c r="F396" s="0" t="n">
        <v>72</v>
      </c>
      <c r="G396" s="0" t="n">
        <v>24.4</v>
      </c>
      <c r="H396" s="0" t="n">
        <v>80.69</v>
      </c>
      <c r="I396" s="0" t="n">
        <v>17.96</v>
      </c>
      <c r="J396" s="0" t="n">
        <v>59.4</v>
      </c>
      <c r="K396" s="0" t="n">
        <v>16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4</v>
      </c>
      <c r="Y396" s="0" t="n">
        <v>4</v>
      </c>
      <c r="Z396" s="0" t="inlineStr">
        <is>
          <t>https://new.land.naver.com/complexes/8275?tab=detail&amp;rf=Y</t>
        </is>
      </c>
      <c r="AA396" s="0" t="inlineStr">
        <is>
          <t>인천시 계양구 임학동 60-6</t>
        </is>
      </c>
      <c r="AB396" s="0" t="inlineStr">
        <is>
          <t>인천시</t>
        </is>
      </c>
      <c r="AC396" s="0" t="inlineStr">
        <is>
          <t>계양구</t>
        </is>
      </c>
      <c r="AD396" s="0" t="inlineStr">
        <is>
          <t>임학동</t>
        </is>
      </c>
      <c r="AG396" s="0" t="inlineStr">
        <is>
          <t>인천시 계양구 임학안로 25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[임학동]</t>
        </is>
      </c>
      <c r="B397" s="0" t="n">
        <v>26992</v>
      </c>
      <c r="C397" s="0" t="n">
        <v>1</v>
      </c>
      <c r="D397" s="0" t="inlineStr">
        <is>
          <t>금광포란재</t>
        </is>
      </c>
      <c r="E397" s="0" t="inlineStr">
        <is>
          <t>2007.12.</t>
        </is>
      </c>
      <c r="F397" s="0" t="n">
        <v>40</v>
      </c>
      <c r="G397" s="0" t="n">
        <v>29.4</v>
      </c>
      <c r="H397" s="0" t="n">
        <v>97.22</v>
      </c>
      <c r="I397" s="0" t="n">
        <v>25.37</v>
      </c>
      <c r="J397" s="0" t="n">
        <v>83.90000000000001</v>
      </c>
      <c r="K397" s="0" t="n">
        <v>40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97</v>
      </c>
      <c r="X397" s="0" t="n">
        <v>11</v>
      </c>
      <c r="Y397" s="0" t="n">
        <v>11</v>
      </c>
      <c r="Z397" s="0" t="inlineStr">
        <is>
          <t>https://new.land.naver.com/complexes/26992?tab=detail&amp;rf=Y</t>
        </is>
      </c>
      <c r="AA397" s="0" t="inlineStr">
        <is>
          <t>인천시 계양구 임학동 67-5</t>
        </is>
      </c>
      <c r="AB397" s="0" t="inlineStr">
        <is>
          <t>인천시</t>
        </is>
      </c>
      <c r="AC397" s="0" t="inlineStr">
        <is>
          <t>계양구</t>
        </is>
      </c>
      <c r="AD397" s="0" t="inlineStr">
        <is>
          <t>임학동</t>
        </is>
      </c>
      <c r="AG397" s="0" t="inlineStr">
        <is>
          <t>인천시 계양구 장제로875번길 7</t>
        </is>
      </c>
      <c r="AH397" s="0" t="n">
        <v>0</v>
      </c>
      <c r="AI397" s="0" t="n">
        <v>268</v>
      </c>
      <c r="AJ397" s="0" t="n">
        <v>58</v>
      </c>
      <c r="AK397" s="0" t="n">
        <v>43</v>
      </c>
      <c r="AL397" s="0" t="n">
        <v>1.07</v>
      </c>
    </row>
    <row r="398">
      <c r="A398" s="0" t="inlineStr">
        <is>
          <t>[임학동]</t>
        </is>
      </c>
      <c r="B398" s="0" t="n">
        <v>8263</v>
      </c>
      <c r="C398" s="0" t="n">
        <v>1</v>
      </c>
      <c r="D398" s="0" t="inlineStr">
        <is>
          <t>삼우</t>
        </is>
      </c>
      <c r="E398" s="0" t="inlineStr">
        <is>
          <t>1986.01.</t>
        </is>
      </c>
      <c r="F398" s="0" t="n">
        <v>95</v>
      </c>
      <c r="G398" s="0" t="n">
        <v>19.22</v>
      </c>
      <c r="H398" s="0" t="n">
        <v>63.57</v>
      </c>
      <c r="I398" s="0" t="n">
        <v>14.45</v>
      </c>
      <c r="J398" s="0" t="n">
        <v>47.79</v>
      </c>
      <c r="K398" s="0" t="n">
        <v>90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5</v>
      </c>
      <c r="Y398" s="0" t="n">
        <v>5</v>
      </c>
      <c r="Z398" s="0" t="inlineStr">
        <is>
          <t>https://new.land.naver.com/complexes/8263?tab=detail&amp;rf=Y</t>
        </is>
      </c>
      <c r="AA398" s="0" t="inlineStr">
        <is>
          <t>인천시 계양구 임학동 32-1</t>
        </is>
      </c>
      <c r="AB398" s="0" t="inlineStr">
        <is>
          <t>인천시</t>
        </is>
      </c>
      <c r="AC398" s="0" t="inlineStr">
        <is>
          <t>계양구</t>
        </is>
      </c>
      <c r="AD398" s="0" t="inlineStr">
        <is>
          <t>임학동</t>
        </is>
      </c>
      <c r="AG398" s="0" t="inlineStr">
        <is>
          <t>인천시 계양구 임학안로27번길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[임학동]</t>
        </is>
      </c>
      <c r="B399" s="0" t="n">
        <v>8263</v>
      </c>
      <c r="C399" s="0" t="n">
        <v>2</v>
      </c>
      <c r="D399" s="0" t="inlineStr">
        <is>
          <t>삼우</t>
        </is>
      </c>
      <c r="E399" s="0" t="inlineStr">
        <is>
          <t>1986.01.</t>
        </is>
      </c>
      <c r="F399" s="0" t="n">
        <v>95</v>
      </c>
      <c r="G399" s="0" t="n">
        <v>22.05</v>
      </c>
      <c r="H399" s="0" t="n">
        <v>72.92</v>
      </c>
      <c r="I399" s="0" t="n">
        <v>15.43</v>
      </c>
      <c r="J399" s="0" t="n">
        <v>51.03</v>
      </c>
      <c r="K399" s="0" t="n">
        <v>5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72</v>
      </c>
      <c r="X399" s="0" t="n">
        <v>5</v>
      </c>
      <c r="Y399" s="0" t="n">
        <v>5</v>
      </c>
      <c r="Z399" s="0" t="inlineStr">
        <is>
          <t>https://new.land.naver.com/complexes/8263?tab=detail&amp;rf=Y</t>
        </is>
      </c>
      <c r="AA399" s="0" t="inlineStr">
        <is>
          <t>인천시 계양구 임학동 32-1</t>
        </is>
      </c>
      <c r="AB399" s="0" t="inlineStr">
        <is>
          <t>인천시</t>
        </is>
      </c>
      <c r="AC399" s="0" t="inlineStr">
        <is>
          <t>계양구</t>
        </is>
      </c>
      <c r="AD399" s="0" t="inlineStr">
        <is>
          <t>임학동</t>
        </is>
      </c>
      <c r="AG399" s="0" t="inlineStr">
        <is>
          <t>인천시 계양구 임학안로27번길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[임학동]</t>
        </is>
      </c>
      <c r="B400" s="0" t="n">
        <v>8270</v>
      </c>
      <c r="C400" s="0" t="n">
        <v>1</v>
      </c>
      <c r="D400" s="0" t="inlineStr">
        <is>
          <t>유호</t>
        </is>
      </c>
      <c r="E400" s="0" t="inlineStr">
        <is>
          <t>1990.09.</t>
        </is>
      </c>
      <c r="F400" s="0" t="n">
        <v>156</v>
      </c>
      <c r="G400" s="0" t="n">
        <v>22.11</v>
      </c>
      <c r="H400" s="0" t="n">
        <v>73.12</v>
      </c>
      <c r="I400" s="0" t="n">
        <v>17.38</v>
      </c>
      <c r="J400" s="0" t="n">
        <v>57.48</v>
      </c>
      <c r="K400" s="0" t="n">
        <v>72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73</v>
      </c>
      <c r="X400" s="0" t="n">
        <v>6</v>
      </c>
      <c r="Y400" s="0" t="n">
        <v>6</v>
      </c>
      <c r="Z400" s="0" t="inlineStr">
        <is>
          <t>https://new.land.naver.com/complexes/8270?tab=detail&amp;rf=Y</t>
        </is>
      </c>
      <c r="AA400" s="0" t="inlineStr">
        <is>
          <t>인천시 계양구 임학동 30</t>
        </is>
      </c>
      <c r="AB400" s="0" t="inlineStr">
        <is>
          <t>인천시</t>
        </is>
      </c>
      <c r="AC400" s="0" t="inlineStr">
        <is>
          <t>계양구</t>
        </is>
      </c>
      <c r="AD400" s="0" t="inlineStr">
        <is>
          <t>임학동</t>
        </is>
      </c>
      <c r="AG400" s="0" t="inlineStr">
        <is>
          <t>인천시 계양구 임학안로 34-10</t>
        </is>
      </c>
      <c r="AH400" s="0" t="n">
        <v>0</v>
      </c>
      <c r="AI400" s="0" t="n">
        <v>237</v>
      </c>
      <c r="AJ400" s="0" t="n">
        <v>39</v>
      </c>
      <c r="AK400" s="0" t="n">
        <v>32</v>
      </c>
      <c r="AL400" s="0" t="n">
        <v>0.21</v>
      </c>
    </row>
    <row r="401">
      <c r="A401" s="0" t="inlineStr">
        <is>
          <t>[임학동]</t>
        </is>
      </c>
      <c r="B401" s="0" t="n">
        <v>8270</v>
      </c>
      <c r="C401" s="0" t="n">
        <v>2</v>
      </c>
      <c r="D401" s="0" t="inlineStr">
        <is>
          <t>유호</t>
        </is>
      </c>
      <c r="E401" s="0" t="inlineStr">
        <is>
          <t>1990.09.</t>
        </is>
      </c>
      <c r="F401" s="0" t="n">
        <v>156</v>
      </c>
      <c r="G401" s="0" t="n">
        <v>22.99</v>
      </c>
      <c r="H401" s="0" t="n">
        <v>76.02</v>
      </c>
      <c r="I401" s="0" t="n">
        <v>18.13</v>
      </c>
      <c r="J401" s="0" t="n">
        <v>59.94</v>
      </c>
      <c r="K401" s="0" t="n">
        <v>84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76</v>
      </c>
      <c r="X401" s="0" t="n">
        <v>6</v>
      </c>
      <c r="Y401" s="0" t="n">
        <v>6</v>
      </c>
      <c r="Z401" s="0" t="inlineStr">
        <is>
          <t>https://new.land.naver.com/complexes/8270?tab=detail&amp;rf=Y</t>
        </is>
      </c>
      <c r="AA401" s="0" t="inlineStr">
        <is>
          <t>인천시 계양구 임학동 30</t>
        </is>
      </c>
      <c r="AB401" s="0" t="inlineStr">
        <is>
          <t>인천시</t>
        </is>
      </c>
      <c r="AC401" s="0" t="inlineStr">
        <is>
          <t>계양구</t>
        </is>
      </c>
      <c r="AD401" s="0" t="inlineStr">
        <is>
          <t>임학동</t>
        </is>
      </c>
      <c r="AG401" s="0" t="inlineStr">
        <is>
          <t>인천시 계양구 임학안로 34-10</t>
        </is>
      </c>
      <c r="AH401" s="0" t="n">
        <v>0</v>
      </c>
      <c r="AI401" s="0" t="n">
        <v>237</v>
      </c>
      <c r="AJ401" s="0" t="n">
        <v>39</v>
      </c>
      <c r="AK401" s="0" t="n">
        <v>32</v>
      </c>
      <c r="AL401" s="0" t="n">
        <v>0.21</v>
      </c>
    </row>
    <row r="402">
      <c r="A402" s="0" t="inlineStr">
        <is>
          <t>[임학동]</t>
        </is>
      </c>
      <c r="B402" s="0" t="n">
        <v>8272</v>
      </c>
      <c r="C402" s="0" t="n">
        <v>1</v>
      </c>
      <c r="D402" s="0" t="inlineStr">
        <is>
          <t>윤성</t>
        </is>
      </c>
      <c r="E402" s="0" t="inlineStr">
        <is>
          <t>1989.01.</t>
        </is>
      </c>
      <c r="F402" s="0" t="n">
        <v>60</v>
      </c>
      <c r="G402" s="0" t="n">
        <v>16.37</v>
      </c>
      <c r="H402" s="0" t="n">
        <v>54.14</v>
      </c>
      <c r="I402" s="0" t="n">
        <v>12.35</v>
      </c>
      <c r="J402" s="0" t="n">
        <v>40.83</v>
      </c>
      <c r="K402" s="0" t="n">
        <v>60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54</v>
      </c>
      <c r="X402" s="0" t="n">
        <v>5</v>
      </c>
      <c r="Y402" s="0" t="n">
        <v>5</v>
      </c>
      <c r="Z402" s="0" t="inlineStr">
        <is>
          <t>https://new.land.naver.com/complexes/8272?tab=detail&amp;rf=Y</t>
        </is>
      </c>
      <c r="AA402" s="0" t="inlineStr">
        <is>
          <t>인천시 계양구 임학동 35-7</t>
        </is>
      </c>
      <c r="AB402" s="0" t="inlineStr">
        <is>
          <t>인천시</t>
        </is>
      </c>
      <c r="AC402" s="0" t="inlineStr">
        <is>
          <t>계양구</t>
        </is>
      </c>
      <c r="AD402" s="0" t="inlineStr">
        <is>
          <t>임학동</t>
        </is>
      </c>
      <c r="AG402" s="0" t="inlineStr">
        <is>
          <t>인천시 계양구 임학서로46번길 7</t>
        </is>
      </c>
      <c r="AH402" s="0" t="n">
        <v>0</v>
      </c>
      <c r="AI402" s="0" t="n">
        <v>132</v>
      </c>
      <c r="AJ402" s="0" t="n">
        <v>26</v>
      </c>
      <c r="AK402" s="0" t="n">
        <v>0</v>
      </c>
      <c r="AL402" s="0" t="n">
        <v>0</v>
      </c>
    </row>
    <row r="403">
      <c r="A403" s="0" t="inlineStr">
        <is>
          <t>[임학동]</t>
        </is>
      </c>
      <c r="B403" s="0" t="n">
        <v>8276</v>
      </c>
      <c r="C403" s="0" t="n">
        <v>1</v>
      </c>
      <c r="D403" s="0" t="inlineStr">
        <is>
          <t>한국</t>
        </is>
      </c>
      <c r="E403" s="0" t="inlineStr">
        <is>
          <t>1989.04.</t>
        </is>
      </c>
      <c r="F403" s="0" t="n">
        <v>180</v>
      </c>
      <c r="G403" s="0" t="n">
        <v>16.24</v>
      </c>
      <c r="H403" s="0" t="n">
        <v>53.7</v>
      </c>
      <c r="I403" s="0" t="n">
        <v>12.33</v>
      </c>
      <c r="J403" s="0" t="n">
        <v>40.77</v>
      </c>
      <c r="K403" s="0" t="n">
        <v>96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53</v>
      </c>
      <c r="X403" s="0" t="n">
        <v>6</v>
      </c>
      <c r="Y403" s="0" t="n">
        <v>6</v>
      </c>
      <c r="Z403" s="0" t="inlineStr">
        <is>
          <t>https://new.land.naver.com/complexes/8276?tab=detail&amp;rf=Y</t>
        </is>
      </c>
      <c r="AA403" s="0" t="inlineStr">
        <is>
          <t>인천시 계양구 임학동 31-1</t>
        </is>
      </c>
      <c r="AB403" s="0" t="inlineStr">
        <is>
          <t>인천시</t>
        </is>
      </c>
      <c r="AC403" s="0" t="inlineStr">
        <is>
          <t>계양구</t>
        </is>
      </c>
      <c r="AD403" s="0" t="inlineStr">
        <is>
          <t>임학동</t>
        </is>
      </c>
      <c r="AG403" s="0" t="inlineStr">
        <is>
          <t>인천시 계양구 임학안로6번길 23</t>
        </is>
      </c>
      <c r="AH403" s="0" t="n">
        <v>0</v>
      </c>
      <c r="AI403" s="0" t="n">
        <v>227</v>
      </c>
      <c r="AJ403" s="0" t="n">
        <v>52</v>
      </c>
      <c r="AK403" s="0" t="n">
        <v>180</v>
      </c>
      <c r="AL403" s="0" t="n">
        <v>1</v>
      </c>
    </row>
    <row r="404">
      <c r="A404" s="0" t="inlineStr">
        <is>
          <t>[임학동]</t>
        </is>
      </c>
      <c r="B404" s="0" t="n">
        <v>8276</v>
      </c>
      <c r="C404" s="0" t="n">
        <v>2</v>
      </c>
      <c r="D404" s="0" t="inlineStr">
        <is>
          <t>한국</t>
        </is>
      </c>
      <c r="E404" s="0" t="inlineStr">
        <is>
          <t>1989.04.</t>
        </is>
      </c>
      <c r="F404" s="0" t="n">
        <v>180</v>
      </c>
      <c r="G404" s="0" t="n">
        <v>19.23</v>
      </c>
      <c r="H404" s="0" t="n">
        <v>63.58</v>
      </c>
      <c r="I404" s="0" t="n">
        <v>14.85</v>
      </c>
      <c r="J404" s="0" t="n">
        <v>49.1</v>
      </c>
      <c r="K404" s="0" t="n">
        <v>72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63</v>
      </c>
      <c r="X404" s="0" t="n">
        <v>6</v>
      </c>
      <c r="Y404" s="0" t="n">
        <v>6</v>
      </c>
      <c r="Z404" s="0" t="inlineStr">
        <is>
          <t>https://new.land.naver.com/complexes/8276?tab=detail&amp;rf=Y</t>
        </is>
      </c>
      <c r="AA404" s="0" t="inlineStr">
        <is>
          <t>인천시 계양구 임학동 31-1</t>
        </is>
      </c>
      <c r="AB404" s="0" t="inlineStr">
        <is>
          <t>인천시</t>
        </is>
      </c>
      <c r="AC404" s="0" t="inlineStr">
        <is>
          <t>계양구</t>
        </is>
      </c>
      <c r="AD404" s="0" t="inlineStr">
        <is>
          <t>임학동</t>
        </is>
      </c>
      <c r="AG404" s="0" t="inlineStr">
        <is>
          <t>인천시 계양구 임학안로6번길 23</t>
        </is>
      </c>
      <c r="AH404" s="0" t="n">
        <v>0</v>
      </c>
      <c r="AI404" s="0" t="n">
        <v>227</v>
      </c>
      <c r="AJ404" s="0" t="n">
        <v>52</v>
      </c>
      <c r="AK404" s="0" t="n">
        <v>180</v>
      </c>
      <c r="AL404" s="0" t="n">
        <v>1</v>
      </c>
    </row>
    <row r="405">
      <c r="A405" s="0" t="inlineStr">
        <is>
          <t>[임학동]</t>
        </is>
      </c>
      <c r="B405" s="0" t="n">
        <v>8276</v>
      </c>
      <c r="C405" s="0" t="n">
        <v>3</v>
      </c>
      <c r="D405" s="0" t="inlineStr">
        <is>
          <t>한국</t>
        </is>
      </c>
      <c r="E405" s="0" t="inlineStr">
        <is>
          <t>1989.04.</t>
        </is>
      </c>
      <c r="F405" s="0" t="n">
        <v>180</v>
      </c>
      <c r="G405" s="0" t="n">
        <v>20.08</v>
      </c>
      <c r="H405" s="0" t="n">
        <v>66.40000000000001</v>
      </c>
      <c r="I405" s="0" t="n">
        <v>15.57</v>
      </c>
      <c r="J405" s="0" t="n">
        <v>51.5</v>
      </c>
      <c r="K405" s="0" t="n">
        <v>12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66</v>
      </c>
      <c r="X405" s="0" t="n">
        <v>6</v>
      </c>
      <c r="Y405" s="0" t="n">
        <v>6</v>
      </c>
      <c r="Z405" s="0" t="inlineStr">
        <is>
          <t>https://new.land.naver.com/complexes/8276?tab=detail&amp;rf=Y</t>
        </is>
      </c>
      <c r="AA405" s="0" t="inlineStr">
        <is>
          <t>인천시 계양구 임학동 31-1</t>
        </is>
      </c>
      <c r="AB405" s="0" t="inlineStr">
        <is>
          <t>인천시</t>
        </is>
      </c>
      <c r="AC405" s="0" t="inlineStr">
        <is>
          <t>계양구</t>
        </is>
      </c>
      <c r="AD405" s="0" t="inlineStr">
        <is>
          <t>임학동</t>
        </is>
      </c>
      <c r="AG405" s="0" t="inlineStr">
        <is>
          <t>인천시 계양구 임학안로6번길 23</t>
        </is>
      </c>
      <c r="AH405" s="0" t="n">
        <v>0</v>
      </c>
      <c r="AI405" s="0" t="n">
        <v>227</v>
      </c>
      <c r="AJ405" s="0" t="n">
        <v>52</v>
      </c>
      <c r="AK405" s="0" t="n">
        <v>180</v>
      </c>
      <c r="AL405" s="0" t="n">
        <v>1</v>
      </c>
    </row>
    <row r="406">
      <c r="A406" s="0" t="inlineStr">
        <is>
          <t>[임학동]</t>
        </is>
      </c>
      <c r="B406" s="0" t="n">
        <v>111055</v>
      </c>
      <c r="C406" s="0" t="n">
        <v>1</v>
      </c>
      <c r="D406" s="0" t="inlineStr">
        <is>
          <t>승림</t>
        </is>
      </c>
      <c r="E406" s="0" t="inlineStr">
        <is>
          <t>2003.11.</t>
        </is>
      </c>
      <c r="F406" s="0" t="n">
        <v>19</v>
      </c>
      <c r="G406" s="0" t="n">
        <v>30.07</v>
      </c>
      <c r="H406" s="0" t="n">
        <v>99.41</v>
      </c>
      <c r="I406" s="0" t="n">
        <v>25.5</v>
      </c>
      <c r="J406" s="0" t="n">
        <v>84.31999999999999</v>
      </c>
      <c r="K406" s="0" t="n">
        <v>18</v>
      </c>
      <c r="T406" s="0" t="n">
        <v>3</v>
      </c>
      <c r="U406" s="0" t="n">
        <v>2</v>
      </c>
      <c r="V406" s="0" t="inlineStr">
        <is>
          <t>복합식</t>
        </is>
      </c>
      <c r="W406" s="0" t="n">
        <v>99</v>
      </c>
      <c r="X406" s="0" t="n">
        <v>11</v>
      </c>
      <c r="Y406" s="0" t="n">
        <v>10</v>
      </c>
      <c r="Z406" s="0" t="inlineStr">
        <is>
          <t>https://new.land.naver.com/complexes/111055?tab=detail&amp;rf=Y</t>
        </is>
      </c>
      <c r="AA406" s="0" t="inlineStr">
        <is>
          <t>인천시 계양구 임학동 68-4</t>
        </is>
      </c>
      <c r="AB406" s="0" t="inlineStr">
        <is>
          <t>인천시</t>
        </is>
      </c>
      <c r="AC406" s="0" t="inlineStr">
        <is>
          <t>계양구</t>
        </is>
      </c>
      <c r="AD406" s="0" t="inlineStr">
        <is>
          <t>임학동</t>
        </is>
      </c>
      <c r="AG406" s="0" t="inlineStr">
        <is>
          <t>인천시 계양구 장제로863번길 41</t>
        </is>
      </c>
      <c r="AH406" s="0" t="n">
        <v>0</v>
      </c>
      <c r="AI406" s="0" t="n">
        <v>302</v>
      </c>
      <c r="AJ406" s="0" t="n">
        <v>30</v>
      </c>
      <c r="AK406" s="0" t="n">
        <v>23</v>
      </c>
      <c r="AL406" s="0" t="n">
        <v>1.21</v>
      </c>
    </row>
    <row r="407">
      <c r="A407" s="0" t="inlineStr">
        <is>
          <t>[임학동]</t>
        </is>
      </c>
      <c r="B407" s="0" t="n">
        <v>111055</v>
      </c>
      <c r="C407" s="0" t="n">
        <v>2</v>
      </c>
      <c r="D407" s="0" t="inlineStr">
        <is>
          <t>승림</t>
        </is>
      </c>
      <c r="E407" s="0" t="inlineStr">
        <is>
          <t>2003.11.</t>
        </is>
      </c>
      <c r="F407" s="0" t="n">
        <v>19</v>
      </c>
      <c r="G407" s="0" t="n">
        <v>60.14</v>
      </c>
      <c r="H407" s="0" t="n">
        <v>198.82</v>
      </c>
      <c r="I407" s="0" t="n">
        <v>51.01</v>
      </c>
      <c r="J407" s="0" t="n">
        <v>168.64</v>
      </c>
      <c r="K407" s="0" t="n">
        <v>1</v>
      </c>
      <c r="T407" s="0" t="n">
        <v>4</v>
      </c>
      <c r="U407" s="0" t="n">
        <v>2</v>
      </c>
      <c r="V407" s="0" t="inlineStr">
        <is>
          <t>복합식</t>
        </is>
      </c>
      <c r="W407" s="0" t="n">
        <v>198</v>
      </c>
      <c r="X407" s="0" t="n">
        <v>11</v>
      </c>
      <c r="Y407" s="0" t="n">
        <v>10</v>
      </c>
      <c r="Z407" s="0" t="inlineStr">
        <is>
          <t>https://new.land.naver.com/complexes/111055?tab=detail&amp;rf=Y</t>
        </is>
      </c>
      <c r="AA407" s="0" t="inlineStr">
        <is>
          <t>인천시 계양구 임학동 68-4</t>
        </is>
      </c>
      <c r="AB407" s="0" t="inlineStr">
        <is>
          <t>인천시</t>
        </is>
      </c>
      <c r="AC407" s="0" t="inlineStr">
        <is>
          <t>계양구</t>
        </is>
      </c>
      <c r="AD407" s="0" t="inlineStr">
        <is>
          <t>임학동</t>
        </is>
      </c>
      <c r="AG407" s="0" t="inlineStr">
        <is>
          <t>인천시 계양구 장제로863번길 41</t>
        </is>
      </c>
      <c r="AH407" s="0" t="n">
        <v>0</v>
      </c>
      <c r="AI407" s="0" t="n">
        <v>302</v>
      </c>
      <c r="AJ407" s="0" t="n">
        <v>30</v>
      </c>
      <c r="AK407" s="0" t="n">
        <v>23</v>
      </c>
      <c r="AL407" s="0" t="n">
        <v>1.21</v>
      </c>
    </row>
    <row r="408">
      <c r="A408" s="0" t="inlineStr">
        <is>
          <t>[임학동]</t>
        </is>
      </c>
      <c r="B408" s="0" t="n">
        <v>121385</v>
      </c>
      <c r="C408" s="0" t="n">
        <v>1</v>
      </c>
      <c r="D408" s="0" t="inlineStr">
        <is>
          <t>샘앤샘</t>
        </is>
      </c>
      <c r="E408" s="0" t="inlineStr">
        <is>
          <t>2003.04.</t>
        </is>
      </c>
      <c r="F408" s="0" t="n">
        <v>19</v>
      </c>
      <c r="G408" s="0" t="n">
        <v>14.49</v>
      </c>
      <c r="H408" s="0" t="n">
        <v>47.92</v>
      </c>
      <c r="I408" s="0" t="n">
        <v>13.05</v>
      </c>
      <c r="J408" s="0" t="n">
        <v>43.16</v>
      </c>
      <c r="K408" s="0" t="n">
        <v>3</v>
      </c>
      <c r="T408" s="0" t="n">
        <v>2</v>
      </c>
      <c r="U408" s="0" t="n">
        <v>1</v>
      </c>
      <c r="V408" s="0" t="inlineStr">
        <is>
          <t>계단식</t>
        </is>
      </c>
      <c r="W408" s="0" t="n">
        <v>47</v>
      </c>
      <c r="X408" s="0" t="n">
        <v>5</v>
      </c>
      <c r="Y408" s="0" t="n">
        <v>4</v>
      </c>
      <c r="Z408" s="0" t="inlineStr">
        <is>
          <t>https://new.land.naver.com/complexes/121385?tab=detail&amp;rf=Y</t>
        </is>
      </c>
      <c r="AA408" s="0" t="inlineStr">
        <is>
          <t>인천시 계양구 임학동 28-25</t>
        </is>
      </c>
      <c r="AB408" s="0" t="inlineStr">
        <is>
          <t>인천시</t>
        </is>
      </c>
      <c r="AC408" s="0" t="inlineStr">
        <is>
          <t>계양구</t>
        </is>
      </c>
      <c r="AD408" s="0" t="inlineStr">
        <is>
          <t>임학동</t>
        </is>
      </c>
      <c r="AG408" s="0" t="inlineStr">
        <is>
          <t>인천시 계양구 임학안로6번길 28</t>
        </is>
      </c>
      <c r="AH408" s="0" t="n">
        <v>0</v>
      </c>
      <c r="AI408" s="0" t="n">
        <v>201</v>
      </c>
      <c r="AJ408" s="0" t="n">
        <v>50</v>
      </c>
      <c r="AK408" s="0" t="n">
        <v>10</v>
      </c>
      <c r="AL408" s="0" t="n">
        <v>0.53</v>
      </c>
    </row>
    <row r="409">
      <c r="A409" s="0" t="inlineStr">
        <is>
          <t>[임학동]</t>
        </is>
      </c>
      <c r="B409" s="0" t="n">
        <v>121385</v>
      </c>
      <c r="C409" s="0" t="n">
        <v>2</v>
      </c>
      <c r="D409" s="0" t="inlineStr">
        <is>
          <t>샘앤샘</t>
        </is>
      </c>
      <c r="E409" s="0" t="inlineStr">
        <is>
          <t>2003.04.</t>
        </is>
      </c>
      <c r="F409" s="0" t="n">
        <v>19</v>
      </c>
      <c r="G409" s="0" t="n">
        <v>19.89</v>
      </c>
      <c r="H409" s="0" t="n">
        <v>65.76000000000001</v>
      </c>
      <c r="I409" s="0" t="n">
        <v>17.91</v>
      </c>
      <c r="J409" s="0" t="n">
        <v>59.23</v>
      </c>
      <c r="K409" s="0" t="n">
        <v>15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65</v>
      </c>
      <c r="X409" s="0" t="n">
        <v>5</v>
      </c>
      <c r="Y409" s="0" t="n">
        <v>4</v>
      </c>
      <c r="Z409" s="0" t="inlineStr">
        <is>
          <t>https://new.land.naver.com/complexes/121385?tab=detail&amp;rf=Y</t>
        </is>
      </c>
      <c r="AA409" s="0" t="inlineStr">
        <is>
          <t>인천시 계양구 임학동 28-25</t>
        </is>
      </c>
      <c r="AB409" s="0" t="inlineStr">
        <is>
          <t>인천시</t>
        </is>
      </c>
      <c r="AC409" s="0" t="inlineStr">
        <is>
          <t>계양구</t>
        </is>
      </c>
      <c r="AD409" s="0" t="inlineStr">
        <is>
          <t>임학동</t>
        </is>
      </c>
      <c r="AG409" s="0" t="inlineStr">
        <is>
          <t>인천시 계양구 임학안로6번길 28</t>
        </is>
      </c>
      <c r="AH409" s="0" t="n">
        <v>0</v>
      </c>
      <c r="AI409" s="0" t="n">
        <v>201</v>
      </c>
      <c r="AJ409" s="0" t="n">
        <v>50</v>
      </c>
      <c r="AK409" s="0" t="n">
        <v>10</v>
      </c>
      <c r="AL409" s="0" t="n">
        <v>0.53</v>
      </c>
    </row>
    <row r="410">
      <c r="A410" s="0" t="inlineStr">
        <is>
          <t>[임학동]</t>
        </is>
      </c>
      <c r="B410" s="0" t="n">
        <v>121385</v>
      </c>
      <c r="C410" s="0" t="n">
        <v>3</v>
      </c>
      <c r="D410" s="0" t="inlineStr">
        <is>
          <t>샘앤샘</t>
        </is>
      </c>
      <c r="E410" s="0" t="inlineStr">
        <is>
          <t>2003.04.</t>
        </is>
      </c>
      <c r="F410" s="0" t="n">
        <v>19</v>
      </c>
      <c r="G410" s="0" t="n">
        <v>30.25</v>
      </c>
      <c r="H410" s="0" t="n">
        <v>100.01</v>
      </c>
      <c r="I410" s="0" t="n">
        <v>27.24</v>
      </c>
      <c r="J410" s="0" t="n">
        <v>90.06999999999999</v>
      </c>
      <c r="K410" s="0" t="n">
        <v>1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100</v>
      </c>
      <c r="X410" s="0" t="n">
        <v>5</v>
      </c>
      <c r="Y410" s="0" t="n">
        <v>4</v>
      </c>
      <c r="Z410" s="0" t="inlineStr">
        <is>
          <t>https://new.land.naver.com/complexes/121385?tab=detail&amp;rf=Y</t>
        </is>
      </c>
      <c r="AA410" s="0" t="inlineStr">
        <is>
          <t>인천시 계양구 임학동 28-25</t>
        </is>
      </c>
      <c r="AB410" s="0" t="inlineStr">
        <is>
          <t>인천시</t>
        </is>
      </c>
      <c r="AC410" s="0" t="inlineStr">
        <is>
          <t>계양구</t>
        </is>
      </c>
      <c r="AD410" s="0" t="inlineStr">
        <is>
          <t>임학동</t>
        </is>
      </c>
      <c r="AG410" s="0" t="inlineStr">
        <is>
          <t>인천시 계양구 임학안로6번길 28</t>
        </is>
      </c>
      <c r="AH410" s="0" t="n">
        <v>0</v>
      </c>
      <c r="AI410" s="0" t="n">
        <v>201</v>
      </c>
      <c r="AJ410" s="0" t="n">
        <v>50</v>
      </c>
      <c r="AK410" s="0" t="n">
        <v>10</v>
      </c>
      <c r="AL410" s="0" t="n">
        <v>0.53</v>
      </c>
    </row>
    <row r="411">
      <c r="A411" s="0" t="inlineStr">
        <is>
          <t>[임학동]</t>
        </is>
      </c>
      <c r="B411" s="0" t="n">
        <v>8273</v>
      </c>
      <c r="C411" s="0" t="n">
        <v>1</v>
      </c>
      <c r="D411" s="0" t="inlineStr">
        <is>
          <t>은영(칠성)</t>
        </is>
      </c>
      <c r="E411" s="0" t="inlineStr">
        <is>
          <t>1988.12.</t>
        </is>
      </c>
      <c r="F411" s="0" t="n">
        <v>99</v>
      </c>
      <c r="G411" s="0" t="n">
        <v>16.76</v>
      </c>
      <c r="H411" s="0" t="n">
        <v>55.43</v>
      </c>
      <c r="I411" s="0" t="n">
        <v>12.33</v>
      </c>
      <c r="J411" s="0" t="n">
        <v>40.77</v>
      </c>
      <c r="K411" s="0" t="n">
        <v>25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55</v>
      </c>
      <c r="X411" s="0" t="n">
        <v>5</v>
      </c>
      <c r="Y411" s="0" t="n">
        <v>4</v>
      </c>
      <c r="Z411" s="0" t="inlineStr">
        <is>
          <t>https://new.land.naver.com/complexes/8273?tab=detail&amp;rf=Y</t>
        </is>
      </c>
      <c r="AA411" s="0" t="inlineStr">
        <is>
          <t>인천시 계양구 임학동 31</t>
        </is>
      </c>
      <c r="AB411" s="0" t="inlineStr">
        <is>
          <t>인천시</t>
        </is>
      </c>
      <c r="AC411" s="0" t="inlineStr">
        <is>
          <t>계양구</t>
        </is>
      </c>
      <c r="AD411" s="0" t="inlineStr">
        <is>
          <t>임학동</t>
        </is>
      </c>
      <c r="AG411" s="0" t="inlineStr">
        <is>
          <t>인천시 계양구 임학안로 30</t>
        </is>
      </c>
      <c r="AH411" s="0" t="n">
        <v>0</v>
      </c>
      <c r="AI411" s="0" t="n">
        <v>147</v>
      </c>
      <c r="AJ411" s="0" t="n">
        <v>32</v>
      </c>
      <c r="AK411" s="0" t="n">
        <v>18</v>
      </c>
      <c r="AL411" s="0" t="n">
        <v>0.18</v>
      </c>
    </row>
    <row r="412">
      <c r="A412" s="0" t="inlineStr">
        <is>
          <t>[임학동]</t>
        </is>
      </c>
      <c r="B412" s="0" t="n">
        <v>8273</v>
      </c>
      <c r="C412" s="0" t="n">
        <v>2</v>
      </c>
      <c r="D412" s="0" t="inlineStr">
        <is>
          <t>은영(칠성)</t>
        </is>
      </c>
      <c r="E412" s="0" t="inlineStr">
        <is>
          <t>1988.12.</t>
        </is>
      </c>
      <c r="F412" s="0" t="n">
        <v>99</v>
      </c>
      <c r="G412" s="0" t="n">
        <v>17.66</v>
      </c>
      <c r="H412" s="0" t="n">
        <v>58.39</v>
      </c>
      <c r="I412" s="0" t="n">
        <v>13.06</v>
      </c>
      <c r="J412" s="0" t="n">
        <v>43.2</v>
      </c>
      <c r="K412" s="0" t="n">
        <v>24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58A</t>
        </is>
      </c>
      <c r="X412" s="0" t="n">
        <v>5</v>
      </c>
      <c r="Y412" s="0" t="n">
        <v>4</v>
      </c>
      <c r="Z412" s="0" t="inlineStr">
        <is>
          <t>https://new.land.naver.com/complexes/8273?tab=detail&amp;rf=Y</t>
        </is>
      </c>
      <c r="AA412" s="0" t="inlineStr">
        <is>
          <t>인천시 계양구 임학동 31</t>
        </is>
      </c>
      <c r="AB412" s="0" t="inlineStr">
        <is>
          <t>인천시</t>
        </is>
      </c>
      <c r="AC412" s="0" t="inlineStr">
        <is>
          <t>계양구</t>
        </is>
      </c>
      <c r="AD412" s="0" t="inlineStr">
        <is>
          <t>임학동</t>
        </is>
      </c>
      <c r="AG412" s="0" t="inlineStr">
        <is>
          <t>인천시 계양구 임학안로 30</t>
        </is>
      </c>
      <c r="AH412" s="0" t="n">
        <v>0</v>
      </c>
      <c r="AI412" s="0" t="n">
        <v>147</v>
      </c>
      <c r="AJ412" s="0" t="n">
        <v>32</v>
      </c>
      <c r="AK412" s="0" t="n">
        <v>18</v>
      </c>
      <c r="AL412" s="0" t="n">
        <v>0.18</v>
      </c>
    </row>
    <row r="413">
      <c r="A413" s="0" t="inlineStr">
        <is>
          <t>[임학동]</t>
        </is>
      </c>
      <c r="B413" s="0" t="n">
        <v>8273</v>
      </c>
      <c r="C413" s="0" t="n">
        <v>3</v>
      </c>
      <c r="D413" s="0" t="inlineStr">
        <is>
          <t>은영(칠성)</t>
        </is>
      </c>
      <c r="E413" s="0" t="inlineStr">
        <is>
          <t>1988.12.</t>
        </is>
      </c>
      <c r="F413" s="0" t="n">
        <v>99</v>
      </c>
      <c r="G413" s="0" t="n">
        <v>17.93</v>
      </c>
      <c r="H413" s="0" t="n">
        <v>59.28</v>
      </c>
      <c r="I413" s="0" t="n">
        <v>13.3</v>
      </c>
      <c r="J413" s="0" t="n">
        <v>43.99</v>
      </c>
      <c r="K413" s="0" t="n">
        <v>10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59</v>
      </c>
      <c r="X413" s="0" t="n">
        <v>5</v>
      </c>
      <c r="Y413" s="0" t="n">
        <v>4</v>
      </c>
      <c r="Z413" s="0" t="inlineStr">
        <is>
          <t>https://new.land.naver.com/complexes/8273?tab=detail&amp;rf=Y</t>
        </is>
      </c>
      <c r="AA413" s="0" t="inlineStr">
        <is>
          <t>인천시 계양구 임학동 31</t>
        </is>
      </c>
      <c r="AB413" s="0" t="inlineStr">
        <is>
          <t>인천시</t>
        </is>
      </c>
      <c r="AC413" s="0" t="inlineStr">
        <is>
          <t>계양구</t>
        </is>
      </c>
      <c r="AD413" s="0" t="inlineStr">
        <is>
          <t>임학동</t>
        </is>
      </c>
      <c r="AG413" s="0" t="inlineStr">
        <is>
          <t>인천시 계양구 임학안로 30</t>
        </is>
      </c>
      <c r="AH413" s="0" t="n">
        <v>0</v>
      </c>
      <c r="AI413" s="0" t="n">
        <v>147</v>
      </c>
      <c r="AJ413" s="0" t="n">
        <v>32</v>
      </c>
      <c r="AK413" s="0" t="n">
        <v>18</v>
      </c>
      <c r="AL413" s="0" t="n">
        <v>0.18</v>
      </c>
    </row>
    <row r="414">
      <c r="A414" s="0" t="inlineStr">
        <is>
          <t>[임학동]</t>
        </is>
      </c>
      <c r="B414" s="0" t="n">
        <v>8273</v>
      </c>
      <c r="C414" s="0" t="n">
        <v>4</v>
      </c>
      <c r="D414" s="0" t="inlineStr">
        <is>
          <t>은영(칠성)</t>
        </is>
      </c>
      <c r="E414" s="0" t="inlineStr">
        <is>
          <t>1988.12.</t>
        </is>
      </c>
      <c r="F414" s="0" t="n">
        <v>99</v>
      </c>
      <c r="G414" s="0" t="n">
        <v>18.94</v>
      </c>
      <c r="H414" s="0" t="n">
        <v>62.63</v>
      </c>
      <c r="I414" s="0" t="n">
        <v>14.15</v>
      </c>
      <c r="J414" s="0" t="n">
        <v>46.78</v>
      </c>
      <c r="K414" s="0" t="n">
        <v>40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62B</t>
        </is>
      </c>
      <c r="X414" s="0" t="n">
        <v>5</v>
      </c>
      <c r="Y414" s="0" t="n">
        <v>4</v>
      </c>
      <c r="Z414" s="0" t="inlineStr">
        <is>
          <t>https://new.land.naver.com/complexes/8273?tab=detail&amp;rf=Y</t>
        </is>
      </c>
      <c r="AA414" s="0" t="inlineStr">
        <is>
          <t>인천시 계양구 임학동 31</t>
        </is>
      </c>
      <c r="AB414" s="0" t="inlineStr">
        <is>
          <t>인천시</t>
        </is>
      </c>
      <c r="AC414" s="0" t="inlineStr">
        <is>
          <t>계양구</t>
        </is>
      </c>
      <c r="AD414" s="0" t="inlineStr">
        <is>
          <t>임학동</t>
        </is>
      </c>
      <c r="AG414" s="0" t="inlineStr">
        <is>
          <t>인천시 계양구 임학안로 30</t>
        </is>
      </c>
      <c r="AH414" s="0" t="n">
        <v>0</v>
      </c>
      <c r="AI414" s="0" t="n">
        <v>147</v>
      </c>
      <c r="AJ414" s="0" t="n">
        <v>32</v>
      </c>
      <c r="AK414" s="0" t="n">
        <v>18</v>
      </c>
      <c r="AL414" s="0" t="n">
        <v>0.18</v>
      </c>
    </row>
    <row r="415">
      <c r="A415" s="0" t="inlineStr">
        <is>
          <t>[작전동]</t>
        </is>
      </c>
      <c r="B415" s="0" t="n">
        <v>8230</v>
      </c>
      <c r="C415" s="0" t="n">
        <v>1</v>
      </c>
      <c r="D415" s="0" t="inlineStr">
        <is>
          <t>도두리마을동남,롯데</t>
        </is>
      </c>
      <c r="E415" s="0" t="inlineStr">
        <is>
          <t>1997.10.</t>
        </is>
      </c>
      <c r="F415" s="0" t="n">
        <v>1282</v>
      </c>
      <c r="G415" s="0" t="n">
        <v>16.88</v>
      </c>
      <c r="H415" s="0" t="n">
        <v>55.83</v>
      </c>
      <c r="I415" s="0" t="n">
        <v>12.19</v>
      </c>
      <c r="J415" s="0" t="n">
        <v>40.32</v>
      </c>
      <c r="K415" s="0" t="n">
        <v>658</v>
      </c>
      <c r="T415" s="0" t="n">
        <v>2</v>
      </c>
      <c r="U415" s="0" t="n">
        <v>1</v>
      </c>
      <c r="V415" s="0" t="inlineStr">
        <is>
          <t>복도식</t>
        </is>
      </c>
      <c r="W415" s="0" t="n">
        <v>55</v>
      </c>
      <c r="X415" s="0" t="n">
        <v>21</v>
      </c>
      <c r="Y415" s="0" t="n">
        <v>15</v>
      </c>
      <c r="Z415" s="0" t="inlineStr">
        <is>
          <t>https://new.land.naver.com/complexes/8230?tab=detail&amp;rf=Y</t>
        </is>
      </c>
      <c r="AA415" s="0" t="inlineStr">
        <is>
          <t>인천시 계양구 작전동 912-4</t>
        </is>
      </c>
      <c r="AB415" s="0" t="inlineStr">
        <is>
          <t>인천시</t>
        </is>
      </c>
      <c r="AC415" s="0" t="inlineStr">
        <is>
          <t>계양구</t>
        </is>
      </c>
      <c r="AD415" s="0" t="inlineStr">
        <is>
          <t>작전동</t>
        </is>
      </c>
      <c r="AG415" s="0" t="inlineStr">
        <is>
          <t>인천시 계양구 도두리로 62</t>
        </is>
      </c>
      <c r="AH415" s="0" t="n">
        <v>0</v>
      </c>
      <c r="AI415" s="0" t="n">
        <v>245</v>
      </c>
      <c r="AJ415" s="0" t="n">
        <v>19</v>
      </c>
      <c r="AK415" s="0" t="n">
        <v>1309</v>
      </c>
      <c r="AL415" s="0" t="n">
        <v>1.02</v>
      </c>
    </row>
    <row r="416">
      <c r="A416" s="0" t="inlineStr">
        <is>
          <t>[작전동]</t>
        </is>
      </c>
      <c r="B416" s="0" t="n">
        <v>8230</v>
      </c>
      <c r="C416" s="0" t="n">
        <v>2</v>
      </c>
      <c r="D416" s="0" t="inlineStr">
        <is>
          <t>도두리마을동남,롯데</t>
        </is>
      </c>
      <c r="E416" s="0" t="inlineStr">
        <is>
          <t>1997.10.</t>
        </is>
      </c>
      <c r="F416" s="0" t="n">
        <v>1282</v>
      </c>
      <c r="G416" s="0" t="n">
        <v>23.67</v>
      </c>
      <c r="H416" s="0" t="n">
        <v>78.26000000000001</v>
      </c>
      <c r="I416" s="0" t="n">
        <v>18</v>
      </c>
      <c r="J416" s="0" t="n">
        <v>59.52</v>
      </c>
      <c r="K416" s="0" t="n">
        <v>624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78</v>
      </c>
      <c r="X416" s="0" t="n">
        <v>21</v>
      </c>
      <c r="Y416" s="0" t="n">
        <v>15</v>
      </c>
      <c r="Z416" s="0" t="inlineStr">
        <is>
          <t>https://new.land.naver.com/complexes/8230?tab=detail&amp;rf=Y</t>
        </is>
      </c>
      <c r="AA416" s="0" t="inlineStr">
        <is>
          <t>인천시 계양구 작전동 912-4</t>
        </is>
      </c>
      <c r="AB416" s="0" t="inlineStr">
        <is>
          <t>인천시</t>
        </is>
      </c>
      <c r="AC416" s="0" t="inlineStr">
        <is>
          <t>계양구</t>
        </is>
      </c>
      <c r="AD416" s="0" t="inlineStr">
        <is>
          <t>작전동</t>
        </is>
      </c>
      <c r="AG416" s="0" t="inlineStr">
        <is>
          <t>인천시 계양구 도두리로 62</t>
        </is>
      </c>
      <c r="AH416" s="0" t="n">
        <v>0</v>
      </c>
      <c r="AI416" s="0" t="n">
        <v>245</v>
      </c>
      <c r="AJ416" s="0" t="n">
        <v>19</v>
      </c>
      <c r="AK416" s="0" t="n">
        <v>1309</v>
      </c>
      <c r="AL416" s="0" t="n">
        <v>1.02</v>
      </c>
    </row>
    <row r="417">
      <c r="A417" s="0" t="inlineStr">
        <is>
          <t>[작전동]</t>
        </is>
      </c>
      <c r="B417" s="0" t="n">
        <v>27072</v>
      </c>
      <c r="C417" s="0" t="n">
        <v>1</v>
      </c>
      <c r="D417" s="0" t="inlineStr">
        <is>
          <t>부민렉스타운</t>
        </is>
      </c>
      <c r="E417" s="0" t="inlineStr">
        <is>
          <t>2008.05.</t>
        </is>
      </c>
      <c r="F417" s="0" t="n">
        <v>48</v>
      </c>
      <c r="G417" s="0" t="n">
        <v>22.8</v>
      </c>
      <c r="H417" s="0" t="n">
        <v>75.38</v>
      </c>
      <c r="I417" s="0" t="n">
        <v>18.09</v>
      </c>
      <c r="J417" s="0" t="n">
        <v>59.83</v>
      </c>
      <c r="K417" s="0" t="n">
        <v>4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75</v>
      </c>
      <c r="X417" s="0" t="n">
        <v>9</v>
      </c>
      <c r="Y417" s="0" t="n">
        <v>9</v>
      </c>
      <c r="Z417" s="0" t="inlineStr">
        <is>
          <t>https://new.land.naver.com/complexes/27072?tab=detail&amp;rf=Y</t>
        </is>
      </c>
      <c r="AA417" s="0" t="inlineStr">
        <is>
          <t>인천시 계양구 작전동 28-8</t>
        </is>
      </c>
      <c r="AB417" s="0" t="inlineStr">
        <is>
          <t>인천시</t>
        </is>
      </c>
      <c r="AC417" s="0" t="inlineStr">
        <is>
          <t>계양구</t>
        </is>
      </c>
      <c r="AD417" s="0" t="inlineStr">
        <is>
          <t>작전동</t>
        </is>
      </c>
      <c r="AG417" s="0" t="inlineStr">
        <is>
          <t>인천시 계양구 주부토로472번길 43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[작전동]</t>
        </is>
      </c>
      <c r="B418" s="0" t="n">
        <v>27072</v>
      </c>
      <c r="C418" s="0" t="n">
        <v>2</v>
      </c>
      <c r="D418" s="0" t="inlineStr">
        <is>
          <t>부민렉스타운</t>
        </is>
      </c>
      <c r="E418" s="0" t="inlineStr">
        <is>
          <t>2008.05.</t>
        </is>
      </c>
      <c r="F418" s="0" t="n">
        <v>48</v>
      </c>
      <c r="G418" s="0" t="n">
        <v>24.71</v>
      </c>
      <c r="H418" s="0" t="n">
        <v>81.70999999999999</v>
      </c>
      <c r="I418" s="0" t="n">
        <v>19.49</v>
      </c>
      <c r="J418" s="0" t="n">
        <v>64.45</v>
      </c>
      <c r="K418" s="0" t="n">
        <v>28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81</v>
      </c>
      <c r="X418" s="0" t="n">
        <v>9</v>
      </c>
      <c r="Y418" s="0" t="n">
        <v>9</v>
      </c>
      <c r="Z418" s="0" t="inlineStr">
        <is>
          <t>https://new.land.naver.com/complexes/27072?tab=detail&amp;rf=Y</t>
        </is>
      </c>
      <c r="AA418" s="0" t="inlineStr">
        <is>
          <t>인천시 계양구 작전동 28-8</t>
        </is>
      </c>
      <c r="AB418" s="0" t="inlineStr">
        <is>
          <t>인천시</t>
        </is>
      </c>
      <c r="AC418" s="0" t="inlineStr">
        <is>
          <t>계양구</t>
        </is>
      </c>
      <c r="AD418" s="0" t="inlineStr">
        <is>
          <t>작전동</t>
        </is>
      </c>
      <c r="AG418" s="0" t="inlineStr">
        <is>
          <t>인천시 계양구 주부토로472번길 43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[작전동]</t>
        </is>
      </c>
      <c r="B419" s="0" t="n">
        <v>27072</v>
      </c>
      <c r="C419" s="0" t="n">
        <v>3</v>
      </c>
      <c r="D419" s="0" t="inlineStr">
        <is>
          <t>부민렉스타운</t>
        </is>
      </c>
      <c r="E419" s="0" t="inlineStr">
        <is>
          <t>2008.05.</t>
        </is>
      </c>
      <c r="F419" s="0" t="n">
        <v>48</v>
      </c>
      <c r="G419" s="0" t="n">
        <v>29.46</v>
      </c>
      <c r="H419" s="0" t="n">
        <v>97.40000000000001</v>
      </c>
      <c r="I419" s="0" t="n">
        <v>23.61</v>
      </c>
      <c r="J419" s="0" t="n">
        <v>78.06999999999999</v>
      </c>
      <c r="K419" s="0" t="n">
        <v>2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9</v>
      </c>
      <c r="Y419" s="0" t="n">
        <v>9</v>
      </c>
      <c r="Z419" s="0" t="inlineStr">
        <is>
          <t>https://new.land.naver.com/complexes/27072?tab=detail&amp;rf=Y</t>
        </is>
      </c>
      <c r="AA419" s="0" t="inlineStr">
        <is>
          <t>인천시 계양구 작전동 28-8</t>
        </is>
      </c>
      <c r="AB419" s="0" t="inlineStr">
        <is>
          <t>인천시</t>
        </is>
      </c>
      <c r="AC419" s="0" t="inlineStr">
        <is>
          <t>계양구</t>
        </is>
      </c>
      <c r="AD419" s="0" t="inlineStr">
        <is>
          <t>작전동</t>
        </is>
      </c>
      <c r="AG419" s="0" t="inlineStr">
        <is>
          <t>인천시 계양구 주부토로472번길 43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[작전동]</t>
        </is>
      </c>
      <c r="B420" s="0" t="n">
        <v>27072</v>
      </c>
      <c r="C420" s="0" t="n">
        <v>4</v>
      </c>
      <c r="D420" s="0" t="inlineStr">
        <is>
          <t>부민렉스타운</t>
        </is>
      </c>
      <c r="E420" s="0" t="inlineStr">
        <is>
          <t>2008.05.</t>
        </is>
      </c>
      <c r="F420" s="0" t="n">
        <v>48</v>
      </c>
      <c r="G420" s="0" t="n">
        <v>31.88</v>
      </c>
      <c r="H420" s="0" t="n">
        <v>105.42</v>
      </c>
      <c r="I420" s="0" t="n">
        <v>25.61</v>
      </c>
      <c r="J420" s="0" t="n">
        <v>84.69</v>
      </c>
      <c r="K420" s="0" t="n">
        <v>14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105</v>
      </c>
      <c r="X420" s="0" t="n">
        <v>9</v>
      </c>
      <c r="Y420" s="0" t="n">
        <v>9</v>
      </c>
      <c r="Z420" s="0" t="inlineStr">
        <is>
          <t>https://new.land.naver.com/complexes/27072?tab=detail&amp;rf=Y</t>
        </is>
      </c>
      <c r="AA420" s="0" t="inlineStr">
        <is>
          <t>인천시 계양구 작전동 28-8</t>
        </is>
      </c>
      <c r="AB420" s="0" t="inlineStr">
        <is>
          <t>인천시</t>
        </is>
      </c>
      <c r="AC420" s="0" t="inlineStr">
        <is>
          <t>계양구</t>
        </is>
      </c>
      <c r="AD420" s="0" t="inlineStr">
        <is>
          <t>작전동</t>
        </is>
      </c>
      <c r="AG420" s="0" t="inlineStr">
        <is>
          <t>인천시 계양구 주부토로472번길 43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[작전동]</t>
        </is>
      </c>
      <c r="B421" s="0" t="n">
        <v>2430</v>
      </c>
      <c r="C421" s="0" t="n">
        <v>1</v>
      </c>
      <c r="D421" s="0" t="inlineStr">
        <is>
          <t>삼천리</t>
        </is>
      </c>
      <c r="E421" s="0" t="inlineStr">
        <is>
          <t>1988.12.</t>
        </is>
      </c>
      <c r="F421" s="0" t="n">
        <v>540</v>
      </c>
      <c r="G421" s="0" t="n">
        <v>14.61</v>
      </c>
      <c r="H421" s="0" t="n">
        <v>48.33</v>
      </c>
      <c r="I421" s="0" t="n">
        <v>10.8</v>
      </c>
      <c r="J421" s="0" t="n">
        <v>35.71</v>
      </c>
      <c r="K421" s="0" t="n">
        <v>72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48</v>
      </c>
      <c r="X421" s="0" t="n">
        <v>6</v>
      </c>
      <c r="Y421" s="0" t="n">
        <v>6</v>
      </c>
      <c r="Z421" s="0" t="inlineStr">
        <is>
          <t>https://new.land.naver.com/complexes/2430?tab=detail&amp;rf=Y</t>
        </is>
      </c>
      <c r="AA421" s="0" t="inlineStr">
        <is>
          <t>인천시 계양구 작전동 34-5</t>
        </is>
      </c>
      <c r="AB421" s="0" t="inlineStr">
        <is>
          <t>인천시</t>
        </is>
      </c>
      <c r="AC421" s="0" t="inlineStr">
        <is>
          <t>계양구</t>
        </is>
      </c>
      <c r="AD421" s="0" t="inlineStr">
        <is>
          <t>작전동</t>
        </is>
      </c>
      <c r="AG421" s="0" t="inlineStr">
        <is>
          <t>인천시 계양구 주부토로 470</t>
        </is>
      </c>
      <c r="AH421" s="0" t="n">
        <v>0</v>
      </c>
      <c r="AI421" s="0" t="n">
        <v>134</v>
      </c>
      <c r="AJ421" s="0" t="n">
        <v>23</v>
      </c>
      <c r="AK421" s="0" t="n">
        <v>127</v>
      </c>
      <c r="AL421" s="0" t="n">
        <v>0.24</v>
      </c>
    </row>
    <row r="422">
      <c r="A422" s="0" t="inlineStr">
        <is>
          <t>[작전동]</t>
        </is>
      </c>
      <c r="B422" s="0" t="n">
        <v>2430</v>
      </c>
      <c r="C422" s="0" t="n">
        <v>2</v>
      </c>
      <c r="D422" s="0" t="inlineStr">
        <is>
          <t>삼천리</t>
        </is>
      </c>
      <c r="E422" s="0" t="inlineStr">
        <is>
          <t>1988.12.</t>
        </is>
      </c>
      <c r="F422" s="0" t="n">
        <v>540</v>
      </c>
      <c r="G422" s="0" t="n">
        <v>16.57</v>
      </c>
      <c r="H422" s="0" t="n">
        <v>54.8</v>
      </c>
      <c r="I422" s="0" t="n">
        <v>12.66</v>
      </c>
      <c r="J422" s="0" t="n">
        <v>41.88</v>
      </c>
      <c r="K422" s="0" t="n">
        <v>324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54</v>
      </c>
      <c r="X422" s="0" t="n">
        <v>6</v>
      </c>
      <c r="Y422" s="0" t="n">
        <v>6</v>
      </c>
      <c r="Z422" s="0" t="inlineStr">
        <is>
          <t>https://new.land.naver.com/complexes/2430?tab=detail&amp;rf=Y</t>
        </is>
      </c>
      <c r="AA422" s="0" t="inlineStr">
        <is>
          <t>인천시 계양구 작전동 34-5</t>
        </is>
      </c>
      <c r="AB422" s="0" t="inlineStr">
        <is>
          <t>인천시</t>
        </is>
      </c>
      <c r="AC422" s="0" t="inlineStr">
        <is>
          <t>계양구</t>
        </is>
      </c>
      <c r="AD422" s="0" t="inlineStr">
        <is>
          <t>작전동</t>
        </is>
      </c>
      <c r="AG422" s="0" t="inlineStr">
        <is>
          <t>인천시 계양구 주부토로 470</t>
        </is>
      </c>
      <c r="AH422" s="0" t="n">
        <v>0</v>
      </c>
      <c r="AI422" s="0" t="n">
        <v>134</v>
      </c>
      <c r="AJ422" s="0" t="n">
        <v>23</v>
      </c>
      <c r="AK422" s="0" t="n">
        <v>127</v>
      </c>
      <c r="AL422" s="0" t="n">
        <v>0.24</v>
      </c>
    </row>
    <row r="423">
      <c r="A423" s="0" t="inlineStr">
        <is>
          <t>[작전동]</t>
        </is>
      </c>
      <c r="B423" s="0" t="n">
        <v>2430</v>
      </c>
      <c r="C423" s="0" t="n">
        <v>3</v>
      </c>
      <c r="D423" s="0" t="inlineStr">
        <is>
          <t>삼천리</t>
        </is>
      </c>
      <c r="E423" s="0" t="inlineStr">
        <is>
          <t>1988.12.</t>
        </is>
      </c>
      <c r="F423" s="0" t="n">
        <v>540</v>
      </c>
      <c r="G423" s="0" t="n">
        <v>17.71</v>
      </c>
      <c r="H423" s="0" t="n">
        <v>58.56</v>
      </c>
      <c r="I423" s="0" t="n">
        <v>13.51</v>
      </c>
      <c r="J423" s="0" t="n">
        <v>44.67</v>
      </c>
      <c r="K423" s="0" t="n">
        <v>108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58</v>
      </c>
      <c r="X423" s="0" t="n">
        <v>6</v>
      </c>
      <c r="Y423" s="0" t="n">
        <v>6</v>
      </c>
      <c r="Z423" s="0" t="inlineStr">
        <is>
          <t>https://new.land.naver.com/complexes/2430?tab=detail&amp;rf=Y</t>
        </is>
      </c>
      <c r="AA423" s="0" t="inlineStr">
        <is>
          <t>인천시 계양구 작전동 34-5</t>
        </is>
      </c>
      <c r="AB423" s="0" t="inlineStr">
        <is>
          <t>인천시</t>
        </is>
      </c>
      <c r="AC423" s="0" t="inlineStr">
        <is>
          <t>계양구</t>
        </is>
      </c>
      <c r="AD423" s="0" t="inlineStr">
        <is>
          <t>작전동</t>
        </is>
      </c>
      <c r="AG423" s="0" t="inlineStr">
        <is>
          <t>인천시 계양구 주부토로 470</t>
        </is>
      </c>
      <c r="AH423" s="0" t="n">
        <v>0</v>
      </c>
      <c r="AI423" s="0" t="n">
        <v>134</v>
      </c>
      <c r="AJ423" s="0" t="n">
        <v>23</v>
      </c>
      <c r="AK423" s="0" t="n">
        <v>127</v>
      </c>
      <c r="AL423" s="0" t="n">
        <v>0.24</v>
      </c>
    </row>
    <row r="424">
      <c r="A424" s="0" t="inlineStr">
        <is>
          <t>[작전동]</t>
        </is>
      </c>
      <c r="B424" s="0" t="n">
        <v>2430</v>
      </c>
      <c r="C424" s="0" t="n">
        <v>4</v>
      </c>
      <c r="D424" s="0" t="inlineStr">
        <is>
          <t>삼천리</t>
        </is>
      </c>
      <c r="E424" s="0" t="inlineStr">
        <is>
          <t>1988.12.</t>
        </is>
      </c>
      <c r="F424" s="0" t="n">
        <v>540</v>
      </c>
      <c r="G424" s="0" t="n">
        <v>19.64</v>
      </c>
      <c r="H424" s="0" t="n">
        <v>64.95</v>
      </c>
      <c r="I424" s="0" t="n">
        <v>15.29</v>
      </c>
      <c r="J424" s="0" t="n">
        <v>50.55</v>
      </c>
      <c r="K424" s="0" t="n">
        <v>36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64</v>
      </c>
      <c r="X424" s="0" t="n">
        <v>6</v>
      </c>
      <c r="Y424" s="0" t="n">
        <v>6</v>
      </c>
      <c r="Z424" s="0" t="inlineStr">
        <is>
          <t>https://new.land.naver.com/complexes/2430?tab=detail&amp;rf=Y</t>
        </is>
      </c>
      <c r="AA424" s="0" t="inlineStr">
        <is>
          <t>인천시 계양구 작전동 34-5</t>
        </is>
      </c>
      <c r="AB424" s="0" t="inlineStr">
        <is>
          <t>인천시</t>
        </is>
      </c>
      <c r="AC424" s="0" t="inlineStr">
        <is>
          <t>계양구</t>
        </is>
      </c>
      <c r="AD424" s="0" t="inlineStr">
        <is>
          <t>작전동</t>
        </is>
      </c>
      <c r="AG424" s="0" t="inlineStr">
        <is>
          <t>인천시 계양구 주부토로 470</t>
        </is>
      </c>
      <c r="AH424" s="0" t="n">
        <v>0</v>
      </c>
      <c r="AI424" s="0" t="n">
        <v>134</v>
      </c>
      <c r="AJ424" s="0" t="n">
        <v>23</v>
      </c>
      <c r="AK424" s="0" t="n">
        <v>127</v>
      </c>
      <c r="AL424" s="0" t="n">
        <v>0.24</v>
      </c>
    </row>
    <row r="425">
      <c r="A425" s="0" t="inlineStr">
        <is>
          <t>[작전동]</t>
        </is>
      </c>
      <c r="B425" s="0" t="n">
        <v>107502</v>
      </c>
      <c r="C425" s="0" t="n">
        <v>1</v>
      </c>
      <c r="D425" s="0" t="inlineStr">
        <is>
          <t>상록파라브</t>
        </is>
      </c>
      <c r="E425" s="0" t="inlineStr">
        <is>
          <t>2013.07.</t>
        </is>
      </c>
      <c r="F425" s="0" t="n">
        <v>59</v>
      </c>
      <c r="G425" s="0" t="n">
        <v>25.65</v>
      </c>
      <c r="H425" s="0" t="n">
        <v>84.81999999999999</v>
      </c>
      <c r="I425" s="0" t="n">
        <v>19.04</v>
      </c>
      <c r="J425" s="0" t="n">
        <v>62.97</v>
      </c>
      <c r="K425" s="0" t="n">
        <v>34</v>
      </c>
      <c r="T425" s="0" t="n">
        <v>3</v>
      </c>
      <c r="U425" s="0" t="n">
        <v>2</v>
      </c>
      <c r="V425" s="0" t="inlineStr">
        <is>
          <t>복합식</t>
        </is>
      </c>
      <c r="W425" s="0" t="n">
        <v>84</v>
      </c>
      <c r="X425" s="0" t="n">
        <v>18</v>
      </c>
      <c r="Y425" s="0" t="n">
        <v>13</v>
      </c>
      <c r="Z425" s="0" t="inlineStr">
        <is>
          <t>https://new.land.naver.com/complexes/107502?tab=detail&amp;rf=Y</t>
        </is>
      </c>
      <c r="AA425" s="0" t="inlineStr">
        <is>
          <t>인천시 계양구 작전동 948</t>
        </is>
      </c>
      <c r="AB425" s="0" t="inlineStr">
        <is>
          <t>인천시</t>
        </is>
      </c>
      <c r="AC425" s="0" t="inlineStr">
        <is>
          <t>계양구</t>
        </is>
      </c>
      <c r="AD425" s="0" t="inlineStr">
        <is>
          <t>작전동</t>
        </is>
      </c>
      <c r="AG425" s="0" t="inlineStr">
        <is>
          <t>인천시 계양구 주부토로 442</t>
        </is>
      </c>
      <c r="AH425" s="0" t="n">
        <v>0</v>
      </c>
      <c r="AI425" s="0" t="n">
        <v>249</v>
      </c>
      <c r="AJ425" s="0" t="n">
        <v>22</v>
      </c>
      <c r="AK425" s="0" t="n">
        <v>62</v>
      </c>
      <c r="AL425" s="0" t="n">
        <v>1.05</v>
      </c>
    </row>
    <row r="426">
      <c r="A426" s="0" t="inlineStr">
        <is>
          <t>[작전동]</t>
        </is>
      </c>
      <c r="B426" s="0" t="n">
        <v>107502</v>
      </c>
      <c r="C426" s="0" t="n">
        <v>2</v>
      </c>
      <c r="D426" s="0" t="inlineStr">
        <is>
          <t>상록파라브</t>
        </is>
      </c>
      <c r="E426" s="0" t="inlineStr">
        <is>
          <t>2013.07.</t>
        </is>
      </c>
      <c r="F426" s="0" t="n">
        <v>59</v>
      </c>
      <c r="G426" s="0" t="n">
        <v>32.64</v>
      </c>
      <c r="H426" s="0" t="n">
        <v>107.92</v>
      </c>
      <c r="I426" s="0" t="n">
        <v>25.63</v>
      </c>
      <c r="J426" s="0" t="n">
        <v>84.76000000000001</v>
      </c>
      <c r="K426" s="0" t="n">
        <v>25</v>
      </c>
      <c r="T426" s="0" t="n">
        <v>3</v>
      </c>
      <c r="U426" s="0" t="n">
        <v>2</v>
      </c>
      <c r="V426" s="0" t="inlineStr">
        <is>
          <t>복합식</t>
        </is>
      </c>
      <c r="W426" s="0" t="n">
        <v>107</v>
      </c>
      <c r="X426" s="0" t="n">
        <v>18</v>
      </c>
      <c r="Y426" s="0" t="n">
        <v>13</v>
      </c>
      <c r="Z426" s="0" t="inlineStr">
        <is>
          <t>https://new.land.naver.com/complexes/107502?tab=detail&amp;rf=Y</t>
        </is>
      </c>
      <c r="AA426" s="0" t="inlineStr">
        <is>
          <t>인천시 계양구 작전동 948</t>
        </is>
      </c>
      <c r="AB426" s="0" t="inlineStr">
        <is>
          <t>인천시</t>
        </is>
      </c>
      <c r="AC426" s="0" t="inlineStr">
        <is>
          <t>계양구</t>
        </is>
      </c>
      <c r="AD426" s="0" t="inlineStr">
        <is>
          <t>작전동</t>
        </is>
      </c>
      <c r="AG426" s="0" t="inlineStr">
        <is>
          <t>인천시 계양구 주부토로 442</t>
        </is>
      </c>
      <c r="AH426" s="0" t="n">
        <v>0</v>
      </c>
      <c r="AI426" s="0" t="n">
        <v>249</v>
      </c>
      <c r="AJ426" s="0" t="n">
        <v>22</v>
      </c>
      <c r="AK426" s="0" t="n">
        <v>62</v>
      </c>
      <c r="AL426" s="0" t="n">
        <v>1.05</v>
      </c>
    </row>
    <row r="427">
      <c r="A427" s="0" t="inlineStr">
        <is>
          <t>[작전동]</t>
        </is>
      </c>
      <c r="B427" s="0" t="n">
        <v>8233</v>
      </c>
      <c r="C427" s="0" t="n">
        <v>1</v>
      </c>
      <c r="D427" s="0" t="inlineStr">
        <is>
          <t>광명</t>
        </is>
      </c>
      <c r="E427" s="0" t="inlineStr">
        <is>
          <t>1989.12.</t>
        </is>
      </c>
      <c r="F427" s="0" t="n">
        <v>288</v>
      </c>
      <c r="G427" s="0" t="n">
        <v>18.48</v>
      </c>
      <c r="H427" s="0" t="n">
        <v>61.12</v>
      </c>
      <c r="I427" s="0" t="n">
        <v>14.29</v>
      </c>
      <c r="J427" s="0" t="n">
        <v>47.26</v>
      </c>
      <c r="K427" s="0" t="n">
        <v>108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61</v>
      </c>
      <c r="X427" s="0" t="n">
        <v>6</v>
      </c>
      <c r="Y427" s="0" t="n">
        <v>6</v>
      </c>
      <c r="Z427" s="0" t="inlineStr">
        <is>
          <t>https://new.land.naver.com/complexes/8233?tab=detail&amp;rf=Y</t>
        </is>
      </c>
      <c r="AA427" s="0" t="inlineStr">
        <is>
          <t>인천시 계양구 작전동 131-1</t>
        </is>
      </c>
      <c r="AB427" s="0" t="inlineStr">
        <is>
          <t>인천시</t>
        </is>
      </c>
      <c r="AC427" s="0" t="inlineStr">
        <is>
          <t>계양구</t>
        </is>
      </c>
      <c r="AD427" s="0" t="inlineStr">
        <is>
          <t>작전동</t>
        </is>
      </c>
      <c r="AG427" s="0" t="inlineStr">
        <is>
          <t>인천시 계양구 효서로341번길 5</t>
        </is>
      </c>
      <c r="AH427" s="0" t="n">
        <v>0</v>
      </c>
      <c r="AI427" s="0" t="n">
        <v>153</v>
      </c>
      <c r="AJ427" s="0" t="n">
        <v>25</v>
      </c>
      <c r="AK427" s="0" t="n">
        <v>0</v>
      </c>
      <c r="AL427" s="0" t="n">
        <v>0</v>
      </c>
    </row>
    <row r="428">
      <c r="A428" s="0" t="inlineStr">
        <is>
          <t>[작전동]</t>
        </is>
      </c>
      <c r="B428" s="0" t="n">
        <v>8233</v>
      </c>
      <c r="C428" s="0" t="n">
        <v>2</v>
      </c>
      <c r="D428" s="0" t="inlineStr">
        <is>
          <t>광명</t>
        </is>
      </c>
      <c r="E428" s="0" t="inlineStr">
        <is>
          <t>1989.12.</t>
        </is>
      </c>
      <c r="F428" s="0" t="n">
        <v>288</v>
      </c>
      <c r="G428" s="0" t="n">
        <v>22.48</v>
      </c>
      <c r="H428" s="0" t="n">
        <v>74.33</v>
      </c>
      <c r="I428" s="0" t="n">
        <v>17.72</v>
      </c>
      <c r="J428" s="0" t="n">
        <v>58.59</v>
      </c>
      <c r="K428" s="0" t="n">
        <v>84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74</v>
      </c>
      <c r="X428" s="0" t="n">
        <v>6</v>
      </c>
      <c r="Y428" s="0" t="n">
        <v>6</v>
      </c>
      <c r="Z428" s="0" t="inlineStr">
        <is>
          <t>https://new.land.naver.com/complexes/8233?tab=detail&amp;rf=Y</t>
        </is>
      </c>
      <c r="AA428" s="0" t="inlineStr">
        <is>
          <t>인천시 계양구 작전동 131-1</t>
        </is>
      </c>
      <c r="AB428" s="0" t="inlineStr">
        <is>
          <t>인천시</t>
        </is>
      </c>
      <c r="AC428" s="0" t="inlineStr">
        <is>
          <t>계양구</t>
        </is>
      </c>
      <c r="AD428" s="0" t="inlineStr">
        <is>
          <t>작전동</t>
        </is>
      </c>
      <c r="AG428" s="0" t="inlineStr">
        <is>
          <t>인천시 계양구 효서로341번길 5</t>
        </is>
      </c>
      <c r="AH428" s="0" t="n">
        <v>0</v>
      </c>
      <c r="AI428" s="0" t="n">
        <v>153</v>
      </c>
      <c r="AJ428" s="0" t="n">
        <v>25</v>
      </c>
      <c r="AK428" s="0" t="n">
        <v>0</v>
      </c>
      <c r="AL428" s="0" t="n">
        <v>0</v>
      </c>
    </row>
    <row r="429">
      <c r="A429" s="0" t="inlineStr">
        <is>
          <t>[작전동]</t>
        </is>
      </c>
      <c r="B429" s="0" t="n">
        <v>8233</v>
      </c>
      <c r="C429" s="0" t="n">
        <v>3</v>
      </c>
      <c r="D429" s="0" t="inlineStr">
        <is>
          <t>광명</t>
        </is>
      </c>
      <c r="E429" s="0" t="inlineStr">
        <is>
          <t>1989.12.</t>
        </is>
      </c>
      <c r="F429" s="0" t="n">
        <v>288</v>
      </c>
      <c r="G429" s="0" t="n">
        <v>23.44</v>
      </c>
      <c r="H429" s="0" t="n">
        <v>77.5</v>
      </c>
      <c r="I429" s="0" t="n">
        <v>18.54</v>
      </c>
      <c r="J429" s="0" t="n">
        <v>61.29</v>
      </c>
      <c r="K429" s="0" t="n">
        <v>72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77</v>
      </c>
      <c r="X429" s="0" t="n">
        <v>6</v>
      </c>
      <c r="Y429" s="0" t="n">
        <v>6</v>
      </c>
      <c r="Z429" s="0" t="inlineStr">
        <is>
          <t>https://new.land.naver.com/complexes/8233?tab=detail&amp;rf=Y</t>
        </is>
      </c>
      <c r="AA429" s="0" t="inlineStr">
        <is>
          <t>인천시 계양구 작전동 131-1</t>
        </is>
      </c>
      <c r="AB429" s="0" t="inlineStr">
        <is>
          <t>인천시</t>
        </is>
      </c>
      <c r="AC429" s="0" t="inlineStr">
        <is>
          <t>계양구</t>
        </is>
      </c>
      <c r="AD429" s="0" t="inlineStr">
        <is>
          <t>작전동</t>
        </is>
      </c>
      <c r="AG429" s="0" t="inlineStr">
        <is>
          <t>인천시 계양구 효서로341번길 5</t>
        </is>
      </c>
      <c r="AH429" s="0" t="n">
        <v>0</v>
      </c>
      <c r="AI429" s="0" t="n">
        <v>153</v>
      </c>
      <c r="AJ429" s="0" t="n">
        <v>25</v>
      </c>
      <c r="AK429" s="0" t="n">
        <v>0</v>
      </c>
      <c r="AL429" s="0" t="n">
        <v>0</v>
      </c>
    </row>
    <row r="430">
      <c r="A430" s="0" t="inlineStr">
        <is>
          <t>[작전동]</t>
        </is>
      </c>
      <c r="B430" s="0" t="n">
        <v>8233</v>
      </c>
      <c r="C430" s="0" t="n">
        <v>4</v>
      </c>
      <c r="D430" s="0" t="inlineStr">
        <is>
          <t>광명</t>
        </is>
      </c>
      <c r="E430" s="0" t="inlineStr">
        <is>
          <t>1989.12.</t>
        </is>
      </c>
      <c r="F430" s="0" t="n">
        <v>288</v>
      </c>
      <c r="G430" s="0" t="n">
        <v>24.52</v>
      </c>
      <c r="H430" s="0" t="n">
        <v>81.06999999999999</v>
      </c>
      <c r="I430" s="0" t="n">
        <v>19.46</v>
      </c>
      <c r="J430" s="0" t="n">
        <v>64.34999999999999</v>
      </c>
      <c r="K430" s="0" t="n">
        <v>24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81</v>
      </c>
      <c r="X430" s="0" t="n">
        <v>6</v>
      </c>
      <c r="Y430" s="0" t="n">
        <v>6</v>
      </c>
      <c r="Z430" s="0" t="inlineStr">
        <is>
          <t>https://new.land.naver.com/complexes/8233?tab=detail&amp;rf=Y</t>
        </is>
      </c>
      <c r="AA430" s="0" t="inlineStr">
        <is>
          <t>인천시 계양구 작전동 131-1</t>
        </is>
      </c>
      <c r="AB430" s="0" t="inlineStr">
        <is>
          <t>인천시</t>
        </is>
      </c>
      <c r="AC430" s="0" t="inlineStr">
        <is>
          <t>계양구</t>
        </is>
      </c>
      <c r="AD430" s="0" t="inlineStr">
        <is>
          <t>작전동</t>
        </is>
      </c>
      <c r="AG430" s="0" t="inlineStr">
        <is>
          <t>인천시 계양구 효서로341번길 5</t>
        </is>
      </c>
      <c r="AH430" s="0" t="n">
        <v>0</v>
      </c>
      <c r="AI430" s="0" t="n">
        <v>153</v>
      </c>
      <c r="AJ430" s="0" t="n">
        <v>25</v>
      </c>
      <c r="AK430" s="0" t="n">
        <v>0</v>
      </c>
      <c r="AL430" s="0" t="n">
        <v>0</v>
      </c>
    </row>
    <row r="431">
      <c r="A431" s="0" t="inlineStr">
        <is>
          <t>[작전동]</t>
        </is>
      </c>
      <c r="B431" s="0" t="n">
        <v>10483</v>
      </c>
      <c r="C431" s="0" t="n">
        <v>1</v>
      </c>
      <c r="D431" s="0" t="inlineStr">
        <is>
          <t>대신</t>
        </is>
      </c>
      <c r="E431" s="0" t="inlineStr">
        <is>
          <t>1986.05.</t>
        </is>
      </c>
      <c r="F431" s="0" t="n">
        <v>25</v>
      </c>
      <c r="G431" s="0" t="n">
        <v>20.03</v>
      </c>
      <c r="H431" s="0" t="n">
        <v>66.22</v>
      </c>
      <c r="I431" s="0" t="n">
        <v>16.49</v>
      </c>
      <c r="J431" s="0" t="n">
        <v>54.54</v>
      </c>
      <c r="K431" s="0" t="n">
        <v>20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66B</t>
        </is>
      </c>
      <c r="X431" s="0" t="n">
        <v>5</v>
      </c>
      <c r="Y431" s="0" t="n">
        <v>5</v>
      </c>
      <c r="Z431" s="0" t="inlineStr">
        <is>
          <t>https://new.land.naver.com/complexes/10483?tab=detail&amp;rf=Y</t>
        </is>
      </c>
      <c r="AA431" s="0" t="inlineStr">
        <is>
          <t>인천시 계양구 작전동 860-3</t>
        </is>
      </c>
      <c r="AB431" s="0" t="inlineStr">
        <is>
          <t>인천시</t>
        </is>
      </c>
      <c r="AC431" s="0" t="inlineStr">
        <is>
          <t>계양구</t>
        </is>
      </c>
      <c r="AD431" s="0" t="inlineStr">
        <is>
          <t>작전동</t>
        </is>
      </c>
      <c r="AG431" s="0" t="inlineStr">
        <is>
          <t>인천시 계양구 봉오대로691번길 26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[작전동]</t>
        </is>
      </c>
      <c r="B432" s="0" t="n">
        <v>10483</v>
      </c>
      <c r="C432" s="0" t="n">
        <v>2</v>
      </c>
      <c r="D432" s="0" t="inlineStr">
        <is>
          <t>대신</t>
        </is>
      </c>
      <c r="E432" s="0" t="inlineStr">
        <is>
          <t>1986.05.</t>
        </is>
      </c>
      <c r="F432" s="0" t="n">
        <v>25</v>
      </c>
      <c r="G432" s="0" t="n">
        <v>20.03</v>
      </c>
      <c r="H432" s="0" t="n">
        <v>66.22</v>
      </c>
      <c r="I432" s="0" t="n">
        <v>15.08</v>
      </c>
      <c r="J432" s="0" t="n">
        <v>49.86</v>
      </c>
      <c r="K432" s="0" t="n">
        <v>5</v>
      </c>
      <c r="T432" s="0" t="n">
        <v>2</v>
      </c>
      <c r="U432" s="0" t="n">
        <v>1</v>
      </c>
      <c r="V432" s="0" t="inlineStr">
        <is>
          <t>계단식</t>
        </is>
      </c>
      <c r="W432" s="0" t="inlineStr">
        <is>
          <t>66A</t>
        </is>
      </c>
      <c r="X432" s="0" t="n">
        <v>5</v>
      </c>
      <c r="Y432" s="0" t="n">
        <v>5</v>
      </c>
      <c r="Z432" s="0" t="inlineStr">
        <is>
          <t>https://new.land.naver.com/complexes/10483?tab=detail&amp;rf=Y</t>
        </is>
      </c>
      <c r="AA432" s="0" t="inlineStr">
        <is>
          <t>인천시 계양구 작전동 860-3</t>
        </is>
      </c>
      <c r="AB432" s="0" t="inlineStr">
        <is>
          <t>인천시</t>
        </is>
      </c>
      <c r="AC432" s="0" t="inlineStr">
        <is>
          <t>계양구</t>
        </is>
      </c>
      <c r="AD432" s="0" t="inlineStr">
        <is>
          <t>작전동</t>
        </is>
      </c>
      <c r="AG432" s="0" t="inlineStr">
        <is>
          <t>인천시 계양구 봉오대로691번길 26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[작전동]</t>
        </is>
      </c>
      <c r="B433" s="0" t="n">
        <v>8446</v>
      </c>
      <c r="C433" s="0" t="n">
        <v>1</v>
      </c>
      <c r="D433" s="0" t="inlineStr">
        <is>
          <t>작전</t>
        </is>
      </c>
      <c r="E433" s="0" t="inlineStr">
        <is>
          <t>1985.01.</t>
        </is>
      </c>
      <c r="F433" s="0" t="n">
        <v>85</v>
      </c>
      <c r="G433" s="0" t="n">
        <v>18.98</v>
      </c>
      <c r="H433" s="0" t="n">
        <v>62.76</v>
      </c>
      <c r="I433" s="0" t="n">
        <v>15.44</v>
      </c>
      <c r="J433" s="0" t="n">
        <v>51.06</v>
      </c>
      <c r="K433" s="0" t="n">
        <v>80</v>
      </c>
      <c r="T433" s="0" t="n">
        <v>2</v>
      </c>
      <c r="U433" s="0" t="n">
        <v>1</v>
      </c>
      <c r="V433" s="0" t="inlineStr">
        <is>
          <t>계단식</t>
        </is>
      </c>
      <c r="W433" s="0" t="n">
        <v>62</v>
      </c>
      <c r="X433" s="0" t="n">
        <v>5</v>
      </c>
      <c r="Y433" s="0" t="n">
        <v>5</v>
      </c>
      <c r="Z433" s="0" t="inlineStr">
        <is>
          <t>https://new.land.naver.com/complexes/8446?tab=detail&amp;rf=Y</t>
        </is>
      </c>
      <c r="AA433" s="0" t="inlineStr">
        <is>
          <t>인천시 계양구 작전동 74-1</t>
        </is>
      </c>
      <c r="AB433" s="0" t="inlineStr">
        <is>
          <t>인천시</t>
        </is>
      </c>
      <c r="AC433" s="0" t="inlineStr">
        <is>
          <t>계양구</t>
        </is>
      </c>
      <c r="AD433" s="0" t="inlineStr">
        <is>
          <t>작전동</t>
        </is>
      </c>
      <c r="AG433" s="0" t="inlineStr">
        <is>
          <t>인천시 계양구 봉오대로743번길 17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[작전동]</t>
        </is>
      </c>
      <c r="B434" s="0" t="n">
        <v>8446</v>
      </c>
      <c r="C434" s="0" t="n">
        <v>2</v>
      </c>
      <c r="D434" s="0" t="inlineStr">
        <is>
          <t>작전</t>
        </is>
      </c>
      <c r="E434" s="0" t="inlineStr">
        <is>
          <t>1985.01.</t>
        </is>
      </c>
      <c r="F434" s="0" t="n">
        <v>85</v>
      </c>
      <c r="G434" s="0" t="n">
        <v>22.85</v>
      </c>
      <c r="H434" s="0" t="n">
        <v>75.56</v>
      </c>
      <c r="I434" s="0" t="n">
        <v>17.44</v>
      </c>
      <c r="J434" s="0" t="n">
        <v>57.66</v>
      </c>
      <c r="K434" s="0" t="n">
        <v>5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75</v>
      </c>
      <c r="X434" s="0" t="n">
        <v>5</v>
      </c>
      <c r="Y434" s="0" t="n">
        <v>5</v>
      </c>
      <c r="Z434" s="0" t="inlineStr">
        <is>
          <t>https://new.land.naver.com/complexes/8446?tab=detail&amp;rf=Y</t>
        </is>
      </c>
      <c r="AA434" s="0" t="inlineStr">
        <is>
          <t>인천시 계양구 작전동 74-1</t>
        </is>
      </c>
      <c r="AB434" s="0" t="inlineStr">
        <is>
          <t>인천시</t>
        </is>
      </c>
      <c r="AC434" s="0" t="inlineStr">
        <is>
          <t>계양구</t>
        </is>
      </c>
      <c r="AD434" s="0" t="inlineStr">
        <is>
          <t>작전동</t>
        </is>
      </c>
      <c r="AG434" s="0" t="inlineStr">
        <is>
          <t>인천시 계양구 봉오대로743번길 17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[작전동]</t>
        </is>
      </c>
      <c r="B435" s="0" t="n">
        <v>9238</v>
      </c>
      <c r="C435" s="0" t="n">
        <v>1</v>
      </c>
      <c r="D435" s="0" t="inlineStr">
        <is>
          <t>미림</t>
        </is>
      </c>
      <c r="E435" s="0" t="inlineStr">
        <is>
          <t>1983.12.</t>
        </is>
      </c>
      <c r="F435" s="0" t="n">
        <v>180</v>
      </c>
      <c r="G435" s="0" t="n">
        <v>15.31</v>
      </c>
      <c r="H435" s="0" t="n">
        <v>50.62</v>
      </c>
      <c r="I435" s="0" t="n">
        <v>12.77</v>
      </c>
      <c r="J435" s="0" t="n">
        <v>42.24</v>
      </c>
      <c r="K435" s="0" t="n">
        <v>60</v>
      </c>
      <c r="T435" s="0" t="n">
        <v>2</v>
      </c>
      <c r="U435" s="0" t="n">
        <v>1</v>
      </c>
      <c r="V435" s="0" t="inlineStr">
        <is>
          <t>복합식</t>
        </is>
      </c>
      <c r="W435" s="0" t="n">
        <v>50</v>
      </c>
      <c r="X435" s="0" t="n">
        <v>5</v>
      </c>
      <c r="Y435" s="0" t="n">
        <v>5</v>
      </c>
      <c r="Z435" s="0" t="inlineStr">
        <is>
          <t>https://new.land.naver.com/complexes/9238?tab=detail&amp;rf=Y</t>
        </is>
      </c>
      <c r="AA435" s="0" t="inlineStr">
        <is>
          <t>인천시 계양구 작전동 853</t>
        </is>
      </c>
      <c r="AB435" s="0" t="inlineStr">
        <is>
          <t>인천시</t>
        </is>
      </c>
      <c r="AC435" s="0" t="inlineStr">
        <is>
          <t>계양구</t>
        </is>
      </c>
      <c r="AD435" s="0" t="inlineStr">
        <is>
          <t>작전동</t>
        </is>
      </c>
      <c r="AG435" s="0" t="inlineStr">
        <is>
          <t>인천시 계양구 계양대로119번길 11</t>
        </is>
      </c>
      <c r="AH435" s="0" t="n">
        <v>0</v>
      </c>
      <c r="AI435" s="0" t="n">
        <v>152</v>
      </c>
      <c r="AJ435" s="0" t="n">
        <v>30</v>
      </c>
      <c r="AK435" s="0" t="n">
        <v>0</v>
      </c>
      <c r="AL435" s="0" t="n">
        <v>0</v>
      </c>
    </row>
    <row r="436">
      <c r="A436" s="0" t="inlineStr">
        <is>
          <t>[작전동]</t>
        </is>
      </c>
      <c r="B436" s="0" t="n">
        <v>9238</v>
      </c>
      <c r="C436" s="0" t="n">
        <v>2</v>
      </c>
      <c r="D436" s="0" t="inlineStr">
        <is>
          <t>미림</t>
        </is>
      </c>
      <c r="E436" s="0" t="inlineStr">
        <is>
          <t>1983.12.</t>
        </is>
      </c>
      <c r="F436" s="0" t="n">
        <v>180</v>
      </c>
      <c r="G436" s="0" t="n">
        <v>16.32</v>
      </c>
      <c r="H436" s="0" t="n">
        <v>53.98</v>
      </c>
      <c r="I436" s="0" t="n">
        <v>13.68</v>
      </c>
      <c r="J436" s="0" t="n">
        <v>45.24</v>
      </c>
      <c r="K436" s="0" t="n">
        <v>16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53B</t>
        </is>
      </c>
      <c r="X436" s="0" t="n">
        <v>5</v>
      </c>
      <c r="Y436" s="0" t="n">
        <v>5</v>
      </c>
      <c r="Z436" s="0" t="inlineStr">
        <is>
          <t>https://new.land.naver.com/complexes/9238?tab=detail&amp;rf=Y</t>
        </is>
      </c>
      <c r="AA436" s="0" t="inlineStr">
        <is>
          <t>인천시 계양구 작전동 853</t>
        </is>
      </c>
      <c r="AB436" s="0" t="inlineStr">
        <is>
          <t>인천시</t>
        </is>
      </c>
      <c r="AC436" s="0" t="inlineStr">
        <is>
          <t>계양구</t>
        </is>
      </c>
      <c r="AD436" s="0" t="inlineStr">
        <is>
          <t>작전동</t>
        </is>
      </c>
      <c r="AG436" s="0" t="inlineStr">
        <is>
          <t>인천시 계양구 계양대로119번길 11</t>
        </is>
      </c>
      <c r="AH436" s="0" t="n">
        <v>0</v>
      </c>
      <c r="AI436" s="0" t="n">
        <v>152</v>
      </c>
      <c r="AJ436" s="0" t="n">
        <v>30</v>
      </c>
      <c r="AK436" s="0" t="n">
        <v>0</v>
      </c>
      <c r="AL436" s="0" t="n">
        <v>0</v>
      </c>
    </row>
    <row r="437">
      <c r="A437" s="0" t="inlineStr">
        <is>
          <t>[작전동]</t>
        </is>
      </c>
      <c r="B437" s="0" t="n">
        <v>9238</v>
      </c>
      <c r="C437" s="0" t="n">
        <v>3</v>
      </c>
      <c r="D437" s="0" t="inlineStr">
        <is>
          <t>미림</t>
        </is>
      </c>
      <c r="E437" s="0" t="inlineStr">
        <is>
          <t>1983.12.</t>
        </is>
      </c>
      <c r="F437" s="0" t="n">
        <v>180</v>
      </c>
      <c r="G437" s="0" t="n">
        <v>16.12</v>
      </c>
      <c r="H437" s="0" t="n">
        <v>53.29</v>
      </c>
      <c r="I437" s="0" t="n">
        <v>13.47</v>
      </c>
      <c r="J437" s="0" t="n">
        <v>44.55</v>
      </c>
      <c r="K437" s="0" t="n">
        <v>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53A</t>
        </is>
      </c>
      <c r="X437" s="0" t="n">
        <v>5</v>
      </c>
      <c r="Y437" s="0" t="n">
        <v>5</v>
      </c>
      <c r="Z437" s="0" t="inlineStr">
        <is>
          <t>https://new.land.naver.com/complexes/9238?tab=detail&amp;rf=Y</t>
        </is>
      </c>
      <c r="AA437" s="0" t="inlineStr">
        <is>
          <t>인천시 계양구 작전동 853</t>
        </is>
      </c>
      <c r="AB437" s="0" t="inlineStr">
        <is>
          <t>인천시</t>
        </is>
      </c>
      <c r="AC437" s="0" t="inlineStr">
        <is>
          <t>계양구</t>
        </is>
      </c>
      <c r="AD437" s="0" t="inlineStr">
        <is>
          <t>작전동</t>
        </is>
      </c>
      <c r="AG437" s="0" t="inlineStr">
        <is>
          <t>인천시 계양구 계양대로119번길 11</t>
        </is>
      </c>
      <c r="AH437" s="0" t="n">
        <v>0</v>
      </c>
      <c r="AI437" s="0" t="n">
        <v>152</v>
      </c>
      <c r="AJ437" s="0" t="n">
        <v>30</v>
      </c>
      <c r="AK437" s="0" t="n">
        <v>0</v>
      </c>
      <c r="AL437" s="0" t="n">
        <v>0</v>
      </c>
    </row>
    <row r="438">
      <c r="A438" s="0" t="inlineStr">
        <is>
          <t>[작전동]</t>
        </is>
      </c>
      <c r="B438" s="0" t="n">
        <v>9238</v>
      </c>
      <c r="C438" s="0" t="n">
        <v>4</v>
      </c>
      <c r="D438" s="0" t="inlineStr">
        <is>
          <t>미림</t>
        </is>
      </c>
      <c r="E438" s="0" t="inlineStr">
        <is>
          <t>1983.12.</t>
        </is>
      </c>
      <c r="F438" s="0" t="n">
        <v>180</v>
      </c>
      <c r="G438" s="0" t="n">
        <v>17.12</v>
      </c>
      <c r="H438" s="0" t="n">
        <v>56.62</v>
      </c>
      <c r="I438" s="0" t="n">
        <v>14.32</v>
      </c>
      <c r="J438" s="0" t="n">
        <v>47.34</v>
      </c>
      <c r="K438" s="0" t="n">
        <v>5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56A</t>
        </is>
      </c>
      <c r="X438" s="0" t="n">
        <v>5</v>
      </c>
      <c r="Y438" s="0" t="n">
        <v>5</v>
      </c>
      <c r="Z438" s="0" t="inlineStr">
        <is>
          <t>https://new.land.naver.com/complexes/9238?tab=detail&amp;rf=Y</t>
        </is>
      </c>
      <c r="AA438" s="0" t="inlineStr">
        <is>
          <t>인천시 계양구 작전동 853</t>
        </is>
      </c>
      <c r="AB438" s="0" t="inlineStr">
        <is>
          <t>인천시</t>
        </is>
      </c>
      <c r="AC438" s="0" t="inlineStr">
        <is>
          <t>계양구</t>
        </is>
      </c>
      <c r="AD438" s="0" t="inlineStr">
        <is>
          <t>작전동</t>
        </is>
      </c>
      <c r="AG438" s="0" t="inlineStr">
        <is>
          <t>인천시 계양구 계양대로119번길 11</t>
        </is>
      </c>
      <c r="AH438" s="0" t="n">
        <v>0</v>
      </c>
      <c r="AI438" s="0" t="n">
        <v>152</v>
      </c>
      <c r="AJ438" s="0" t="n">
        <v>30</v>
      </c>
      <c r="AK438" s="0" t="n">
        <v>0</v>
      </c>
      <c r="AL438" s="0" t="n">
        <v>0</v>
      </c>
    </row>
    <row r="439">
      <c r="A439" s="0" t="inlineStr">
        <is>
          <t>[작전동]</t>
        </is>
      </c>
      <c r="B439" s="0" t="n">
        <v>9238</v>
      </c>
      <c r="C439" s="0" t="n">
        <v>5</v>
      </c>
      <c r="D439" s="0" t="inlineStr">
        <is>
          <t>미림</t>
        </is>
      </c>
      <c r="E439" s="0" t="inlineStr">
        <is>
          <t>1983.12.</t>
        </is>
      </c>
      <c r="F439" s="0" t="n">
        <v>180</v>
      </c>
      <c r="G439" s="0" t="n">
        <v>17.35</v>
      </c>
      <c r="H439" s="0" t="n">
        <v>57.37</v>
      </c>
      <c r="I439" s="0" t="n">
        <v>14.54</v>
      </c>
      <c r="J439" s="0" t="n">
        <v>48.09</v>
      </c>
      <c r="K439" s="0" t="n">
        <v>5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57B</t>
        </is>
      </c>
      <c r="X439" s="0" t="n">
        <v>5</v>
      </c>
      <c r="Y439" s="0" t="n">
        <v>5</v>
      </c>
      <c r="Z439" s="0" t="inlineStr">
        <is>
          <t>https://new.land.naver.com/complexes/9238?tab=detail&amp;rf=Y</t>
        </is>
      </c>
      <c r="AA439" s="0" t="inlineStr">
        <is>
          <t>인천시 계양구 작전동 853</t>
        </is>
      </c>
      <c r="AB439" s="0" t="inlineStr">
        <is>
          <t>인천시</t>
        </is>
      </c>
      <c r="AC439" s="0" t="inlineStr">
        <is>
          <t>계양구</t>
        </is>
      </c>
      <c r="AD439" s="0" t="inlineStr">
        <is>
          <t>작전동</t>
        </is>
      </c>
      <c r="AG439" s="0" t="inlineStr">
        <is>
          <t>인천시 계양구 계양대로119번길 11</t>
        </is>
      </c>
      <c r="AH439" s="0" t="n">
        <v>0</v>
      </c>
      <c r="AI439" s="0" t="n">
        <v>152</v>
      </c>
      <c r="AJ439" s="0" t="n">
        <v>30</v>
      </c>
      <c r="AK439" s="0" t="n">
        <v>0</v>
      </c>
      <c r="AL439" s="0" t="n">
        <v>0</v>
      </c>
    </row>
    <row r="440">
      <c r="A440" s="0" t="inlineStr">
        <is>
          <t>[작전동]</t>
        </is>
      </c>
      <c r="B440" s="0" t="n">
        <v>9238</v>
      </c>
      <c r="C440" s="0" t="n">
        <v>6</v>
      </c>
      <c r="D440" s="0" t="inlineStr">
        <is>
          <t>미림</t>
        </is>
      </c>
      <c r="E440" s="0" t="inlineStr">
        <is>
          <t>1983.12.</t>
        </is>
      </c>
      <c r="F440" s="0" t="n">
        <v>180</v>
      </c>
      <c r="G440" s="0" t="n">
        <v>18.09</v>
      </c>
      <c r="H440" s="0" t="n">
        <v>59.81</v>
      </c>
      <c r="I440" s="0" t="n">
        <v>15.09</v>
      </c>
      <c r="J440" s="0" t="n">
        <v>49.91</v>
      </c>
      <c r="K440" s="0" t="n">
        <v>10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59</v>
      </c>
      <c r="X440" s="0" t="n">
        <v>5</v>
      </c>
      <c r="Y440" s="0" t="n">
        <v>5</v>
      </c>
      <c r="Z440" s="0" t="inlineStr">
        <is>
          <t>https://new.land.naver.com/complexes/9238?tab=detail&amp;rf=Y</t>
        </is>
      </c>
      <c r="AA440" s="0" t="inlineStr">
        <is>
          <t>인천시 계양구 작전동 853</t>
        </is>
      </c>
      <c r="AB440" s="0" t="inlineStr">
        <is>
          <t>인천시</t>
        </is>
      </c>
      <c r="AC440" s="0" t="inlineStr">
        <is>
          <t>계양구</t>
        </is>
      </c>
      <c r="AD440" s="0" t="inlineStr">
        <is>
          <t>작전동</t>
        </is>
      </c>
      <c r="AG440" s="0" t="inlineStr">
        <is>
          <t>인천시 계양구 계양대로119번길 11</t>
        </is>
      </c>
      <c r="AH440" s="0" t="n">
        <v>0</v>
      </c>
      <c r="AI440" s="0" t="n">
        <v>152</v>
      </c>
      <c r="AJ440" s="0" t="n">
        <v>30</v>
      </c>
      <c r="AK440" s="0" t="n">
        <v>0</v>
      </c>
      <c r="AL440" s="0" t="n">
        <v>0</v>
      </c>
    </row>
    <row r="441">
      <c r="A441" s="0" t="inlineStr">
        <is>
          <t>[작전동]</t>
        </is>
      </c>
      <c r="B441" s="0" t="n">
        <v>9238</v>
      </c>
      <c r="C441" s="0" t="n">
        <v>7</v>
      </c>
      <c r="D441" s="0" t="inlineStr">
        <is>
          <t>미림</t>
        </is>
      </c>
      <c r="E441" s="0" t="inlineStr">
        <is>
          <t>1983.12.</t>
        </is>
      </c>
      <c r="F441" s="0" t="n">
        <v>180</v>
      </c>
      <c r="G441" s="0" t="n">
        <v>18.75</v>
      </c>
      <c r="H441" s="0" t="n">
        <v>62.01</v>
      </c>
      <c r="I441" s="0" t="n">
        <v>15.68</v>
      </c>
      <c r="J441" s="0" t="n">
        <v>51.84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62A</t>
        </is>
      </c>
      <c r="X441" s="0" t="n">
        <v>5</v>
      </c>
      <c r="Y441" s="0" t="n">
        <v>5</v>
      </c>
      <c r="Z441" s="0" t="inlineStr">
        <is>
          <t>https://new.land.naver.com/complexes/9238?tab=detail&amp;rf=Y</t>
        </is>
      </c>
      <c r="AA441" s="0" t="inlineStr">
        <is>
          <t>인천시 계양구 작전동 853</t>
        </is>
      </c>
      <c r="AB441" s="0" t="inlineStr">
        <is>
          <t>인천시</t>
        </is>
      </c>
      <c r="AC441" s="0" t="inlineStr">
        <is>
          <t>계양구</t>
        </is>
      </c>
      <c r="AD441" s="0" t="inlineStr">
        <is>
          <t>작전동</t>
        </is>
      </c>
      <c r="AG441" s="0" t="inlineStr">
        <is>
          <t>인천시 계양구 계양대로119번길 11</t>
        </is>
      </c>
      <c r="AH441" s="0" t="n">
        <v>0</v>
      </c>
      <c r="AI441" s="0" t="n">
        <v>152</v>
      </c>
      <c r="AJ441" s="0" t="n">
        <v>30</v>
      </c>
      <c r="AK441" s="0" t="n">
        <v>0</v>
      </c>
      <c r="AL441" s="0" t="n">
        <v>0</v>
      </c>
    </row>
    <row r="442">
      <c r="A442" s="0" t="inlineStr">
        <is>
          <t>[작전동]</t>
        </is>
      </c>
      <c r="B442" s="0" t="n">
        <v>9238</v>
      </c>
      <c r="C442" s="0" t="n">
        <v>8</v>
      </c>
      <c r="D442" s="0" t="inlineStr">
        <is>
          <t>미림</t>
        </is>
      </c>
      <c r="E442" s="0" t="inlineStr">
        <is>
          <t>1983.12.</t>
        </is>
      </c>
      <c r="F442" s="0" t="n">
        <v>180</v>
      </c>
      <c r="G442" s="0" t="n">
        <v>19.25</v>
      </c>
      <c r="H442" s="0" t="n">
        <v>63.64</v>
      </c>
      <c r="I442" s="0" t="n">
        <v>16.07</v>
      </c>
      <c r="J442" s="0" t="n">
        <v>53.13</v>
      </c>
      <c r="K442" s="0" t="n">
        <v>50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63B</t>
        </is>
      </c>
      <c r="X442" s="0" t="n">
        <v>5</v>
      </c>
      <c r="Y442" s="0" t="n">
        <v>5</v>
      </c>
      <c r="Z442" s="0" t="inlineStr">
        <is>
          <t>https://new.land.naver.com/complexes/9238?tab=detail&amp;rf=Y</t>
        </is>
      </c>
      <c r="AA442" s="0" t="inlineStr">
        <is>
          <t>인천시 계양구 작전동 853</t>
        </is>
      </c>
      <c r="AB442" s="0" t="inlineStr">
        <is>
          <t>인천시</t>
        </is>
      </c>
      <c r="AC442" s="0" t="inlineStr">
        <is>
          <t>계양구</t>
        </is>
      </c>
      <c r="AD442" s="0" t="inlineStr">
        <is>
          <t>작전동</t>
        </is>
      </c>
      <c r="AG442" s="0" t="inlineStr">
        <is>
          <t>인천시 계양구 계양대로119번길 11</t>
        </is>
      </c>
      <c r="AH442" s="0" t="n">
        <v>0</v>
      </c>
      <c r="AI442" s="0" t="n">
        <v>152</v>
      </c>
      <c r="AJ442" s="0" t="n">
        <v>30</v>
      </c>
      <c r="AK442" s="0" t="n">
        <v>0</v>
      </c>
      <c r="AL442" s="0" t="n">
        <v>0</v>
      </c>
    </row>
    <row r="443">
      <c r="A443" s="0" t="inlineStr">
        <is>
          <t>[작전동]</t>
        </is>
      </c>
      <c r="B443" s="0" t="n">
        <v>9238</v>
      </c>
      <c r="C443" s="0" t="n">
        <v>9</v>
      </c>
      <c r="D443" s="0" t="inlineStr">
        <is>
          <t>미림</t>
        </is>
      </c>
      <c r="E443" s="0" t="inlineStr">
        <is>
          <t>1983.12.</t>
        </is>
      </c>
      <c r="F443" s="0" t="n">
        <v>180</v>
      </c>
      <c r="G443" s="0" t="n">
        <v>20.74</v>
      </c>
      <c r="H443" s="0" t="n">
        <v>68.59</v>
      </c>
      <c r="I443" s="0" t="n">
        <v>17.36</v>
      </c>
      <c r="J443" s="0" t="n">
        <v>57.42</v>
      </c>
      <c r="K443" s="0" t="n">
        <v>20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68</v>
      </c>
      <c r="X443" s="0" t="n">
        <v>5</v>
      </c>
      <c r="Y443" s="0" t="n">
        <v>5</v>
      </c>
      <c r="Z443" s="0" t="inlineStr">
        <is>
          <t>https://new.land.naver.com/complexes/9238?tab=detail&amp;rf=Y</t>
        </is>
      </c>
      <c r="AA443" s="0" t="inlineStr">
        <is>
          <t>인천시 계양구 작전동 853</t>
        </is>
      </c>
      <c r="AB443" s="0" t="inlineStr">
        <is>
          <t>인천시</t>
        </is>
      </c>
      <c r="AC443" s="0" t="inlineStr">
        <is>
          <t>계양구</t>
        </is>
      </c>
      <c r="AD443" s="0" t="inlineStr">
        <is>
          <t>작전동</t>
        </is>
      </c>
      <c r="AG443" s="0" t="inlineStr">
        <is>
          <t>인천시 계양구 계양대로119번길 11</t>
        </is>
      </c>
      <c r="AH443" s="0" t="n">
        <v>0</v>
      </c>
      <c r="AI443" s="0" t="n">
        <v>152</v>
      </c>
      <c r="AJ443" s="0" t="n">
        <v>30</v>
      </c>
      <c r="AK443" s="0" t="n">
        <v>0</v>
      </c>
      <c r="AL443" s="0" t="n">
        <v>0</v>
      </c>
    </row>
    <row r="444">
      <c r="A444" s="0" t="inlineStr">
        <is>
          <t>[작전동]</t>
        </is>
      </c>
      <c r="B444" s="0" t="n">
        <v>9238</v>
      </c>
      <c r="C444" s="0" t="n">
        <v>10</v>
      </c>
      <c r="D444" s="0" t="inlineStr">
        <is>
          <t>미림</t>
        </is>
      </c>
      <c r="E444" s="0" t="inlineStr">
        <is>
          <t>1983.12.</t>
        </is>
      </c>
      <c r="F444" s="0" t="n">
        <v>180</v>
      </c>
      <c r="G444" s="0" t="n">
        <v>21.52</v>
      </c>
      <c r="H444" s="0" t="n">
        <v>71.16</v>
      </c>
      <c r="I444" s="0" t="n">
        <v>17.99</v>
      </c>
      <c r="J444" s="0" t="n">
        <v>59.48</v>
      </c>
      <c r="K444" s="0" t="n">
        <v>5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71</v>
      </c>
      <c r="X444" s="0" t="n">
        <v>5</v>
      </c>
      <c r="Y444" s="0" t="n">
        <v>5</v>
      </c>
      <c r="Z444" s="0" t="inlineStr">
        <is>
          <t>https://new.land.naver.com/complexes/9238?tab=detail&amp;rf=Y</t>
        </is>
      </c>
      <c r="AA444" s="0" t="inlineStr">
        <is>
          <t>인천시 계양구 작전동 853</t>
        </is>
      </c>
      <c r="AB444" s="0" t="inlineStr">
        <is>
          <t>인천시</t>
        </is>
      </c>
      <c r="AC444" s="0" t="inlineStr">
        <is>
          <t>계양구</t>
        </is>
      </c>
      <c r="AD444" s="0" t="inlineStr">
        <is>
          <t>작전동</t>
        </is>
      </c>
      <c r="AG444" s="0" t="inlineStr">
        <is>
          <t>인천시 계양구 계양대로119번길 11</t>
        </is>
      </c>
      <c r="AH444" s="0" t="n">
        <v>0</v>
      </c>
      <c r="AI444" s="0" t="n">
        <v>152</v>
      </c>
      <c r="AJ444" s="0" t="n">
        <v>30</v>
      </c>
      <c r="AK444" s="0" t="n">
        <v>0</v>
      </c>
      <c r="AL444" s="0" t="n">
        <v>0</v>
      </c>
    </row>
    <row r="445">
      <c r="A445" s="0" t="inlineStr">
        <is>
          <t>[작전동]</t>
        </is>
      </c>
      <c r="B445" s="0" t="n">
        <v>10771</v>
      </c>
      <c r="C445" s="0" t="n">
        <v>1</v>
      </c>
      <c r="D445" s="0" t="inlineStr">
        <is>
          <t>삼미</t>
        </is>
      </c>
      <c r="E445" s="0" t="inlineStr">
        <is>
          <t>1984.12.</t>
        </is>
      </c>
      <c r="F445" s="0" t="n">
        <v>90</v>
      </c>
      <c r="G445" s="0" t="n">
        <v>21.31</v>
      </c>
      <c r="H445" s="0" t="n">
        <v>70.47</v>
      </c>
      <c r="I445" s="0" t="n">
        <v>17.56</v>
      </c>
      <c r="J445" s="0" t="n">
        <v>58.05</v>
      </c>
      <c r="K445" s="0" t="n">
        <v>40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70</v>
      </c>
      <c r="X445" s="0" t="n">
        <v>5</v>
      </c>
      <c r="Y445" s="0" t="n">
        <v>5</v>
      </c>
      <c r="Z445" s="0" t="inlineStr">
        <is>
          <t>https://new.land.naver.com/complexes/10771?tab=detail&amp;rf=Y</t>
        </is>
      </c>
      <c r="AA445" s="0" t="inlineStr">
        <is>
          <t>인천시 계양구 작전동 858-9</t>
        </is>
      </c>
      <c r="AB445" s="0" t="inlineStr">
        <is>
          <t>인천시</t>
        </is>
      </c>
      <c r="AC445" s="0" t="inlineStr">
        <is>
          <t>계양구</t>
        </is>
      </c>
      <c r="AD445" s="0" t="inlineStr">
        <is>
          <t>작전동</t>
        </is>
      </c>
      <c r="AG445" s="0" t="inlineStr">
        <is>
          <t>인천시 계양구 주부토로459번길 5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[작전동]</t>
        </is>
      </c>
      <c r="B446" s="0" t="n">
        <v>10771</v>
      </c>
      <c r="C446" s="0" t="n">
        <v>2</v>
      </c>
      <c r="D446" s="0" t="inlineStr">
        <is>
          <t>삼미</t>
        </is>
      </c>
      <c r="E446" s="0" t="inlineStr">
        <is>
          <t>1984.12.</t>
        </is>
      </c>
      <c r="F446" s="0" t="n">
        <v>90</v>
      </c>
      <c r="G446" s="0" t="n">
        <v>23.79</v>
      </c>
      <c r="H446" s="0" t="n">
        <v>78.66</v>
      </c>
      <c r="I446" s="0" t="n">
        <v>19.6</v>
      </c>
      <c r="J446" s="0" t="n">
        <v>64.8</v>
      </c>
      <c r="K446" s="0" t="n">
        <v>50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78</v>
      </c>
      <c r="X446" s="0" t="n">
        <v>5</v>
      </c>
      <c r="Y446" s="0" t="n">
        <v>5</v>
      </c>
      <c r="Z446" s="0" t="inlineStr">
        <is>
          <t>https://new.land.naver.com/complexes/10771?tab=detail&amp;rf=Y</t>
        </is>
      </c>
      <c r="AA446" s="0" t="inlineStr">
        <is>
          <t>인천시 계양구 작전동 858-9</t>
        </is>
      </c>
      <c r="AB446" s="0" t="inlineStr">
        <is>
          <t>인천시</t>
        </is>
      </c>
      <c r="AC446" s="0" t="inlineStr">
        <is>
          <t>계양구</t>
        </is>
      </c>
      <c r="AD446" s="0" t="inlineStr">
        <is>
          <t>작전동</t>
        </is>
      </c>
      <c r="AG446" s="0" t="inlineStr">
        <is>
          <t>인천시 계양구 주부토로459번길 5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[작전동]</t>
        </is>
      </c>
      <c r="B447" s="0" t="n">
        <v>126844</v>
      </c>
      <c r="C447" s="0" t="n">
        <v>1</v>
      </c>
      <c r="D447" s="0" t="inlineStr">
        <is>
          <t>안톤스테이(도시형)</t>
        </is>
      </c>
      <c r="E447" s="0" t="inlineStr">
        <is>
          <t>2019.08.</t>
        </is>
      </c>
      <c r="F447" s="0" t="n">
        <v>98</v>
      </c>
      <c r="G447" s="0" t="n">
        <v>11.73</v>
      </c>
      <c r="H447" s="0" t="n">
        <v>38.8</v>
      </c>
      <c r="I447" s="0" t="n">
        <v>8.33</v>
      </c>
      <c r="J447" s="0" t="n">
        <v>27.57</v>
      </c>
      <c r="K447" s="0" t="n">
        <v>10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38A</t>
        </is>
      </c>
      <c r="X447" s="0" t="n">
        <v>10</v>
      </c>
      <c r="Y447" s="0" t="n">
        <v>10</v>
      </c>
      <c r="Z447" s="0" t="inlineStr">
        <is>
          <t>https://new.land.naver.com/complexes/126844?tab=detail&amp;rf=Y</t>
        </is>
      </c>
      <c r="AA447" s="0" t="inlineStr">
        <is>
          <t>인천시 계양구 작전동 853-7</t>
        </is>
      </c>
      <c r="AB447" s="0" t="inlineStr">
        <is>
          <t>인천시</t>
        </is>
      </c>
      <c r="AC447" s="0" t="inlineStr">
        <is>
          <t>계양구</t>
        </is>
      </c>
      <c r="AD447" s="0" t="inlineStr">
        <is>
          <t>작전동</t>
        </is>
      </c>
      <c r="AG447" s="0" t="inlineStr">
        <is>
          <t>인천시 계양구 계양대로119번길 1</t>
        </is>
      </c>
      <c r="AH447" s="0" t="n">
        <v>0</v>
      </c>
      <c r="AI447" s="0" t="n">
        <v>499</v>
      </c>
      <c r="AJ447" s="0" t="n">
        <v>65</v>
      </c>
      <c r="AK447" s="0" t="n">
        <v>63</v>
      </c>
      <c r="AL447" s="0" t="n">
        <v>0.64</v>
      </c>
    </row>
    <row r="448">
      <c r="A448" s="0" t="inlineStr">
        <is>
          <t>[작전동]</t>
        </is>
      </c>
      <c r="B448" s="0" t="n">
        <v>126844</v>
      </c>
      <c r="C448" s="0" t="n">
        <v>2</v>
      </c>
      <c r="D448" s="0" t="inlineStr">
        <is>
          <t>안톤스테이(도시형)</t>
        </is>
      </c>
      <c r="E448" s="0" t="inlineStr">
        <is>
          <t>2019.08.</t>
        </is>
      </c>
      <c r="F448" s="0" t="n">
        <v>98</v>
      </c>
      <c r="G448" s="0" t="n">
        <v>11.89</v>
      </c>
      <c r="H448" s="0" t="n">
        <v>39.33</v>
      </c>
      <c r="I448" s="0" t="n">
        <v>8.539999999999999</v>
      </c>
      <c r="J448" s="0" t="n">
        <v>28.24</v>
      </c>
      <c r="K448" s="0" t="n">
        <v>18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39B</t>
        </is>
      </c>
      <c r="X448" s="0" t="n">
        <v>10</v>
      </c>
      <c r="Y448" s="0" t="n">
        <v>10</v>
      </c>
      <c r="Z448" s="0" t="inlineStr">
        <is>
          <t>https://new.land.naver.com/complexes/126844?tab=detail&amp;rf=Y</t>
        </is>
      </c>
      <c r="AA448" s="0" t="inlineStr">
        <is>
          <t>인천시 계양구 작전동 853-7</t>
        </is>
      </c>
      <c r="AB448" s="0" t="inlineStr">
        <is>
          <t>인천시</t>
        </is>
      </c>
      <c r="AC448" s="0" t="inlineStr">
        <is>
          <t>계양구</t>
        </is>
      </c>
      <c r="AD448" s="0" t="inlineStr">
        <is>
          <t>작전동</t>
        </is>
      </c>
      <c r="AG448" s="0" t="inlineStr">
        <is>
          <t>인천시 계양구 계양대로119번길 1</t>
        </is>
      </c>
      <c r="AH448" s="0" t="n">
        <v>0</v>
      </c>
      <c r="AI448" s="0" t="n">
        <v>499</v>
      </c>
      <c r="AJ448" s="0" t="n">
        <v>65</v>
      </c>
      <c r="AK448" s="0" t="n">
        <v>63</v>
      </c>
      <c r="AL448" s="0" t="n">
        <v>0.64</v>
      </c>
    </row>
    <row r="449">
      <c r="A449" s="0" t="inlineStr">
        <is>
          <t>[작전동]</t>
        </is>
      </c>
      <c r="B449" s="0" t="n">
        <v>126844</v>
      </c>
      <c r="C449" s="0" t="n">
        <v>3</v>
      </c>
      <c r="D449" s="0" t="inlineStr">
        <is>
          <t>안톤스테이(도시형)</t>
        </is>
      </c>
      <c r="E449" s="0" t="inlineStr">
        <is>
          <t>2019.08.</t>
        </is>
      </c>
      <c r="F449" s="0" t="n">
        <v>98</v>
      </c>
      <c r="G449" s="0" t="n">
        <v>15.04</v>
      </c>
      <c r="H449" s="0" t="n">
        <v>49.72</v>
      </c>
      <c r="I449" s="0" t="n">
        <v>10.86</v>
      </c>
      <c r="J449" s="0" t="n">
        <v>35.92</v>
      </c>
      <c r="K449" s="0" t="n">
        <v>27</v>
      </c>
      <c r="T449" s="0" t="n">
        <v>1</v>
      </c>
      <c r="U449" s="0" t="n">
        <v>1</v>
      </c>
      <c r="V449" s="0" t="inlineStr">
        <is>
          <t>계단식</t>
        </is>
      </c>
      <c r="W449" s="0" t="n">
        <v>49</v>
      </c>
      <c r="X449" s="0" t="n">
        <v>10</v>
      </c>
      <c r="Y449" s="0" t="n">
        <v>10</v>
      </c>
      <c r="Z449" s="0" t="inlineStr">
        <is>
          <t>https://new.land.naver.com/complexes/126844?tab=detail&amp;rf=Y</t>
        </is>
      </c>
      <c r="AA449" s="0" t="inlineStr">
        <is>
          <t>인천시 계양구 작전동 853-7</t>
        </is>
      </c>
      <c r="AB449" s="0" t="inlineStr">
        <is>
          <t>인천시</t>
        </is>
      </c>
      <c r="AC449" s="0" t="inlineStr">
        <is>
          <t>계양구</t>
        </is>
      </c>
      <c r="AD449" s="0" t="inlineStr">
        <is>
          <t>작전동</t>
        </is>
      </c>
      <c r="AG449" s="0" t="inlineStr">
        <is>
          <t>인천시 계양구 계양대로119번길 1</t>
        </is>
      </c>
      <c r="AH449" s="0" t="n">
        <v>0</v>
      </c>
      <c r="AI449" s="0" t="n">
        <v>499</v>
      </c>
      <c r="AJ449" s="0" t="n">
        <v>65</v>
      </c>
      <c r="AK449" s="0" t="n">
        <v>63</v>
      </c>
      <c r="AL449" s="0" t="n">
        <v>0.64</v>
      </c>
    </row>
    <row r="450">
      <c r="A450" s="0" t="inlineStr">
        <is>
          <t>[작전동]</t>
        </is>
      </c>
      <c r="B450" s="0" t="n">
        <v>126844</v>
      </c>
      <c r="C450" s="0" t="n">
        <v>4</v>
      </c>
      <c r="D450" s="0" t="inlineStr">
        <is>
          <t>안톤스테이(도시형)</t>
        </is>
      </c>
      <c r="E450" s="0" t="inlineStr">
        <is>
          <t>2019.08.</t>
        </is>
      </c>
      <c r="F450" s="0" t="n">
        <v>98</v>
      </c>
      <c r="G450" s="0" t="n">
        <v>16.18</v>
      </c>
      <c r="H450" s="0" t="n">
        <v>53.52</v>
      </c>
      <c r="I450" s="0" t="n">
        <v>11.68</v>
      </c>
      <c r="J450" s="0" t="n">
        <v>38.63</v>
      </c>
      <c r="K450" s="0" t="n">
        <v>16</v>
      </c>
      <c r="T450" s="0" t="n">
        <v>1</v>
      </c>
      <c r="U450" s="0" t="n">
        <v>1</v>
      </c>
      <c r="V450" s="0" t="inlineStr">
        <is>
          <t>계단식</t>
        </is>
      </c>
      <c r="W450" s="0" t="n">
        <v>53</v>
      </c>
      <c r="X450" s="0" t="n">
        <v>10</v>
      </c>
      <c r="Y450" s="0" t="n">
        <v>10</v>
      </c>
      <c r="Z450" s="0" t="inlineStr">
        <is>
          <t>https://new.land.naver.com/complexes/126844?tab=detail&amp;rf=Y</t>
        </is>
      </c>
      <c r="AA450" s="0" t="inlineStr">
        <is>
          <t>인천시 계양구 작전동 853-7</t>
        </is>
      </c>
      <c r="AB450" s="0" t="inlineStr">
        <is>
          <t>인천시</t>
        </is>
      </c>
      <c r="AC450" s="0" t="inlineStr">
        <is>
          <t>계양구</t>
        </is>
      </c>
      <c r="AD450" s="0" t="inlineStr">
        <is>
          <t>작전동</t>
        </is>
      </c>
      <c r="AG450" s="0" t="inlineStr">
        <is>
          <t>인천시 계양구 계양대로119번길 1</t>
        </is>
      </c>
      <c r="AH450" s="0" t="n">
        <v>0</v>
      </c>
      <c r="AI450" s="0" t="n">
        <v>499</v>
      </c>
      <c r="AJ450" s="0" t="n">
        <v>65</v>
      </c>
      <c r="AK450" s="0" t="n">
        <v>63</v>
      </c>
      <c r="AL450" s="0" t="n">
        <v>0.64</v>
      </c>
    </row>
    <row r="451">
      <c r="A451" s="0" t="inlineStr">
        <is>
          <t>[작전동]</t>
        </is>
      </c>
      <c r="B451" s="0" t="n">
        <v>126844</v>
      </c>
      <c r="C451" s="0" t="n">
        <v>5</v>
      </c>
      <c r="D451" s="0" t="inlineStr">
        <is>
          <t>안톤스테이(도시형)</t>
        </is>
      </c>
      <c r="E451" s="0" t="inlineStr">
        <is>
          <t>2019.08.</t>
        </is>
      </c>
      <c r="F451" s="0" t="n">
        <v>98</v>
      </c>
      <c r="G451" s="0" t="n">
        <v>19.44</v>
      </c>
      <c r="H451" s="0" t="n">
        <v>64.27</v>
      </c>
      <c r="I451" s="0" t="n">
        <v>14.13</v>
      </c>
      <c r="J451" s="0" t="n">
        <v>46.73</v>
      </c>
      <c r="K451" s="0" t="n">
        <v>18</v>
      </c>
      <c r="T451" s="0" t="n">
        <v>1</v>
      </c>
      <c r="U451" s="0" t="n">
        <v>1</v>
      </c>
      <c r="V451" s="0" t="inlineStr">
        <is>
          <t>계단식</t>
        </is>
      </c>
      <c r="W451" s="0" t="n">
        <v>64</v>
      </c>
      <c r="X451" s="0" t="n">
        <v>10</v>
      </c>
      <c r="Y451" s="0" t="n">
        <v>10</v>
      </c>
      <c r="Z451" s="0" t="inlineStr">
        <is>
          <t>https://new.land.naver.com/complexes/126844?tab=detail&amp;rf=Y</t>
        </is>
      </c>
      <c r="AA451" s="0" t="inlineStr">
        <is>
          <t>인천시 계양구 작전동 853-7</t>
        </is>
      </c>
      <c r="AB451" s="0" t="inlineStr">
        <is>
          <t>인천시</t>
        </is>
      </c>
      <c r="AC451" s="0" t="inlineStr">
        <is>
          <t>계양구</t>
        </is>
      </c>
      <c r="AD451" s="0" t="inlineStr">
        <is>
          <t>작전동</t>
        </is>
      </c>
      <c r="AG451" s="0" t="inlineStr">
        <is>
          <t>인천시 계양구 계양대로119번길 1</t>
        </is>
      </c>
      <c r="AH451" s="0" t="n">
        <v>0</v>
      </c>
      <c r="AI451" s="0" t="n">
        <v>499</v>
      </c>
      <c r="AJ451" s="0" t="n">
        <v>65</v>
      </c>
      <c r="AK451" s="0" t="n">
        <v>63</v>
      </c>
      <c r="AL451" s="0" t="n">
        <v>0.64</v>
      </c>
    </row>
    <row r="452">
      <c r="A452" s="0" t="inlineStr">
        <is>
          <t>[작전동]</t>
        </is>
      </c>
      <c r="B452" s="0" t="n">
        <v>126844</v>
      </c>
      <c r="C452" s="0" t="n">
        <v>6</v>
      </c>
      <c r="D452" s="0" t="inlineStr">
        <is>
          <t>안톤스테이(도시형)</t>
        </is>
      </c>
      <c r="E452" s="0" t="inlineStr">
        <is>
          <t>2019.08.</t>
        </is>
      </c>
      <c r="F452" s="0" t="n">
        <v>98</v>
      </c>
      <c r="G452" s="0" t="n">
        <v>20.63</v>
      </c>
      <c r="H452" s="0" t="n">
        <v>68.22</v>
      </c>
      <c r="I452" s="0" t="n">
        <v>15.03</v>
      </c>
      <c r="J452" s="0" t="n">
        <v>49.7</v>
      </c>
      <c r="K452" s="0" t="n">
        <v>9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68</v>
      </c>
      <c r="X452" s="0" t="n">
        <v>10</v>
      </c>
      <c r="Y452" s="0" t="n">
        <v>10</v>
      </c>
      <c r="Z452" s="0" t="inlineStr">
        <is>
          <t>https://new.land.naver.com/complexes/126844?tab=detail&amp;rf=Y</t>
        </is>
      </c>
      <c r="AA452" s="0" t="inlineStr">
        <is>
          <t>인천시 계양구 작전동 853-7</t>
        </is>
      </c>
      <c r="AB452" s="0" t="inlineStr">
        <is>
          <t>인천시</t>
        </is>
      </c>
      <c r="AC452" s="0" t="inlineStr">
        <is>
          <t>계양구</t>
        </is>
      </c>
      <c r="AD452" s="0" t="inlineStr">
        <is>
          <t>작전동</t>
        </is>
      </c>
      <c r="AG452" s="0" t="inlineStr">
        <is>
          <t>인천시 계양구 계양대로119번길 1</t>
        </is>
      </c>
      <c r="AH452" s="0" t="n">
        <v>0</v>
      </c>
      <c r="AI452" s="0" t="n">
        <v>499</v>
      </c>
      <c r="AJ452" s="0" t="n">
        <v>65</v>
      </c>
      <c r="AK452" s="0" t="n">
        <v>63</v>
      </c>
      <c r="AL452" s="0" t="n">
        <v>0.64</v>
      </c>
    </row>
    <row r="453">
      <c r="A453" s="0" t="inlineStr">
        <is>
          <t>[작전동]</t>
        </is>
      </c>
      <c r="B453" s="0" t="n">
        <v>128537</v>
      </c>
      <c r="C453" s="0" t="n">
        <v>1</v>
      </c>
      <c r="D453" s="0" t="inlineStr">
        <is>
          <t>온누리베일리</t>
        </is>
      </c>
      <c r="E453" s="0" t="inlineStr">
        <is>
          <t>2019.09.</t>
        </is>
      </c>
      <c r="F453" s="0" t="n">
        <v>28</v>
      </c>
      <c r="G453" s="0" t="n">
        <v>24.54</v>
      </c>
      <c r="H453" s="0" t="n">
        <v>81.13</v>
      </c>
      <c r="I453" s="0" t="n">
        <v>19.45</v>
      </c>
      <c r="J453" s="0" t="n">
        <v>64.31</v>
      </c>
      <c r="K453" s="0" t="n">
        <v>4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81D</t>
        </is>
      </c>
      <c r="X453" s="0" t="n">
        <v>11</v>
      </c>
      <c r="Y453" s="0" t="n">
        <v>5</v>
      </c>
      <c r="Z453" s="0" t="inlineStr">
        <is>
          <t>https://new.land.naver.com/complexes/128537?tab=detail&amp;rf=Y</t>
        </is>
      </c>
      <c r="AA453" s="0" t="inlineStr">
        <is>
          <t>인천시 계양구 작전동 858-11</t>
        </is>
      </c>
      <c r="AB453" s="0" t="inlineStr">
        <is>
          <t>인천시</t>
        </is>
      </c>
      <c r="AC453" s="0" t="inlineStr">
        <is>
          <t>계양구</t>
        </is>
      </c>
      <c r="AD453" s="0" t="inlineStr">
        <is>
          <t>작전동</t>
        </is>
      </c>
      <c r="AG453" s="0" t="inlineStr">
        <is>
          <t>인천시 계양구 주부토로 453</t>
        </is>
      </c>
      <c r="AH453" s="0" t="n">
        <v>0</v>
      </c>
      <c r="AI453" s="0" t="n">
        <v>247</v>
      </c>
      <c r="AJ453" s="0" t="n">
        <v>52</v>
      </c>
      <c r="AK453" s="0" t="n">
        <v>27</v>
      </c>
      <c r="AL453" s="0" t="n">
        <v>0.96</v>
      </c>
    </row>
    <row r="454">
      <c r="A454" s="0" t="inlineStr">
        <is>
          <t>[작전동]</t>
        </is>
      </c>
      <c r="B454" s="0" t="n">
        <v>128537</v>
      </c>
      <c r="C454" s="0" t="n">
        <v>2</v>
      </c>
      <c r="D454" s="0" t="inlineStr">
        <is>
          <t>온누리베일리</t>
        </is>
      </c>
      <c r="E454" s="0" t="inlineStr">
        <is>
          <t>2019.09.</t>
        </is>
      </c>
      <c r="F454" s="0" t="n">
        <v>28</v>
      </c>
      <c r="G454" s="0" t="n">
        <v>24.54</v>
      </c>
      <c r="H454" s="0" t="n">
        <v>81.13</v>
      </c>
      <c r="I454" s="0" t="n">
        <v>19.11</v>
      </c>
      <c r="J454" s="0" t="n">
        <v>63.19</v>
      </c>
      <c r="K454" s="0" t="n">
        <v>2</v>
      </c>
      <c r="T454" s="0" t="n">
        <v>3</v>
      </c>
      <c r="U454" s="0" t="n">
        <v>1</v>
      </c>
      <c r="V454" s="0" t="inlineStr">
        <is>
          <t>복합식</t>
        </is>
      </c>
      <c r="W454" s="0" t="inlineStr">
        <is>
          <t>81A</t>
        </is>
      </c>
      <c r="X454" s="0" t="n">
        <v>11</v>
      </c>
      <c r="Y454" s="0" t="n">
        <v>5</v>
      </c>
      <c r="Z454" s="0" t="inlineStr">
        <is>
          <t>https://new.land.naver.com/complexes/128537?tab=detail&amp;rf=Y</t>
        </is>
      </c>
      <c r="AA454" s="0" t="inlineStr">
        <is>
          <t>인천시 계양구 작전동 858-11</t>
        </is>
      </c>
      <c r="AB454" s="0" t="inlineStr">
        <is>
          <t>인천시</t>
        </is>
      </c>
      <c r="AC454" s="0" t="inlineStr">
        <is>
          <t>계양구</t>
        </is>
      </c>
      <c r="AD454" s="0" t="inlineStr">
        <is>
          <t>작전동</t>
        </is>
      </c>
      <c r="AG454" s="0" t="inlineStr">
        <is>
          <t>인천시 계양구 주부토로 453</t>
        </is>
      </c>
      <c r="AH454" s="0" t="n">
        <v>0</v>
      </c>
      <c r="AI454" s="0" t="n">
        <v>247</v>
      </c>
      <c r="AJ454" s="0" t="n">
        <v>52</v>
      </c>
      <c r="AK454" s="0" t="n">
        <v>27</v>
      </c>
      <c r="AL454" s="0" t="n">
        <v>0.96</v>
      </c>
    </row>
    <row r="455">
      <c r="A455" s="0" t="inlineStr">
        <is>
          <t>[작전동]</t>
        </is>
      </c>
      <c r="B455" s="0" t="n">
        <v>128537</v>
      </c>
      <c r="C455" s="0" t="n">
        <v>3</v>
      </c>
      <c r="D455" s="0" t="inlineStr">
        <is>
          <t>온누리베일리</t>
        </is>
      </c>
      <c r="E455" s="0" t="inlineStr">
        <is>
          <t>2019.09.</t>
        </is>
      </c>
      <c r="F455" s="0" t="n">
        <v>28</v>
      </c>
      <c r="G455" s="0" t="n">
        <v>24.54</v>
      </c>
      <c r="H455" s="0" t="n">
        <v>81.13</v>
      </c>
      <c r="I455" s="0" t="n">
        <v>19.38</v>
      </c>
      <c r="J455" s="0" t="n">
        <v>64.08</v>
      </c>
      <c r="K455" s="0" t="n">
        <v>2</v>
      </c>
      <c r="T455" s="0" t="n">
        <v>3</v>
      </c>
      <c r="U455" s="0" t="n">
        <v>1</v>
      </c>
      <c r="V455" s="0" t="inlineStr">
        <is>
          <t>계단식</t>
        </is>
      </c>
      <c r="W455" s="0" t="inlineStr">
        <is>
          <t>81C</t>
        </is>
      </c>
      <c r="X455" s="0" t="n">
        <v>11</v>
      </c>
      <c r="Y455" s="0" t="n">
        <v>5</v>
      </c>
      <c r="Z455" s="0" t="inlineStr">
        <is>
          <t>https://new.land.naver.com/complexes/128537?tab=detail&amp;rf=Y</t>
        </is>
      </c>
      <c r="AA455" s="0" t="inlineStr">
        <is>
          <t>인천시 계양구 작전동 858-11</t>
        </is>
      </c>
      <c r="AB455" s="0" t="inlineStr">
        <is>
          <t>인천시</t>
        </is>
      </c>
      <c r="AC455" s="0" t="inlineStr">
        <is>
          <t>계양구</t>
        </is>
      </c>
      <c r="AD455" s="0" t="inlineStr">
        <is>
          <t>작전동</t>
        </is>
      </c>
      <c r="AG455" s="0" t="inlineStr">
        <is>
          <t>인천시 계양구 주부토로 453</t>
        </is>
      </c>
      <c r="AH455" s="0" t="n">
        <v>0</v>
      </c>
      <c r="AI455" s="0" t="n">
        <v>247</v>
      </c>
      <c r="AJ455" s="0" t="n">
        <v>52</v>
      </c>
      <c r="AK455" s="0" t="n">
        <v>27</v>
      </c>
      <c r="AL455" s="0" t="n">
        <v>0.96</v>
      </c>
    </row>
    <row r="456">
      <c r="A456" s="0" t="inlineStr">
        <is>
          <t>[작전동]</t>
        </is>
      </c>
      <c r="B456" s="0" t="n">
        <v>128537</v>
      </c>
      <c r="C456" s="0" t="n">
        <v>4</v>
      </c>
      <c r="D456" s="0" t="inlineStr">
        <is>
          <t>온누리베일리</t>
        </is>
      </c>
      <c r="E456" s="0" t="inlineStr">
        <is>
          <t>2019.09.</t>
        </is>
      </c>
      <c r="F456" s="0" t="n">
        <v>28</v>
      </c>
      <c r="G456" s="0" t="n">
        <v>24.57</v>
      </c>
      <c r="H456" s="0" t="n">
        <v>81.23999999999999</v>
      </c>
      <c r="I456" s="0" t="n">
        <v>19.29</v>
      </c>
      <c r="J456" s="0" t="n">
        <v>63.78</v>
      </c>
      <c r="K456" s="0" t="n">
        <v>1</v>
      </c>
      <c r="T456" s="0" t="n">
        <v>3</v>
      </c>
      <c r="U456" s="0" t="n">
        <v>1</v>
      </c>
      <c r="V456" s="0" t="inlineStr">
        <is>
          <t>복합식</t>
        </is>
      </c>
      <c r="W456" s="0" t="inlineStr">
        <is>
          <t>81B</t>
        </is>
      </c>
      <c r="X456" s="0" t="n">
        <v>11</v>
      </c>
      <c r="Y456" s="0" t="n">
        <v>5</v>
      </c>
      <c r="Z456" s="0" t="inlineStr">
        <is>
          <t>https://new.land.naver.com/complexes/128537?tab=detail&amp;rf=Y</t>
        </is>
      </c>
      <c r="AA456" s="0" t="inlineStr">
        <is>
          <t>인천시 계양구 작전동 858-11</t>
        </is>
      </c>
      <c r="AB456" s="0" t="inlineStr">
        <is>
          <t>인천시</t>
        </is>
      </c>
      <c r="AC456" s="0" t="inlineStr">
        <is>
          <t>계양구</t>
        </is>
      </c>
      <c r="AD456" s="0" t="inlineStr">
        <is>
          <t>작전동</t>
        </is>
      </c>
      <c r="AG456" s="0" t="inlineStr">
        <is>
          <t>인천시 계양구 주부토로 453</t>
        </is>
      </c>
      <c r="AH456" s="0" t="n">
        <v>0</v>
      </c>
      <c r="AI456" s="0" t="n">
        <v>247</v>
      </c>
      <c r="AJ456" s="0" t="n">
        <v>52</v>
      </c>
      <c r="AK456" s="0" t="n">
        <v>27</v>
      </c>
      <c r="AL456" s="0" t="n">
        <v>0.96</v>
      </c>
    </row>
    <row r="457">
      <c r="A457" s="0" t="inlineStr">
        <is>
          <t>[작전동]</t>
        </is>
      </c>
      <c r="B457" s="0" t="n">
        <v>128537</v>
      </c>
      <c r="C457" s="0" t="n">
        <v>5</v>
      </c>
      <c r="D457" s="0" t="inlineStr">
        <is>
          <t>온누리베일리</t>
        </is>
      </c>
      <c r="E457" s="0" t="inlineStr">
        <is>
          <t>2019.09.</t>
        </is>
      </c>
      <c r="F457" s="0" t="n">
        <v>28</v>
      </c>
      <c r="G457" s="0" t="n">
        <v>25.16</v>
      </c>
      <c r="H457" s="0" t="n">
        <v>83.2</v>
      </c>
      <c r="I457" s="0" t="n">
        <v>19.74</v>
      </c>
      <c r="J457" s="0" t="n">
        <v>65.27</v>
      </c>
      <c r="K457" s="0" t="n">
        <v>4</v>
      </c>
      <c r="T457" s="0" t="n">
        <v>3</v>
      </c>
      <c r="U457" s="0" t="n">
        <v>2</v>
      </c>
      <c r="V457" s="0" t="inlineStr">
        <is>
          <t>복합식</t>
        </is>
      </c>
      <c r="W457" s="0" t="inlineStr">
        <is>
          <t>83F</t>
        </is>
      </c>
      <c r="X457" s="0" t="n">
        <v>11</v>
      </c>
      <c r="Y457" s="0" t="n">
        <v>5</v>
      </c>
      <c r="Z457" s="0" t="inlineStr">
        <is>
          <t>https://new.land.naver.com/complexes/128537?tab=detail&amp;rf=Y</t>
        </is>
      </c>
      <c r="AA457" s="0" t="inlineStr">
        <is>
          <t>인천시 계양구 작전동 858-11</t>
        </is>
      </c>
      <c r="AB457" s="0" t="inlineStr">
        <is>
          <t>인천시</t>
        </is>
      </c>
      <c r="AC457" s="0" t="inlineStr">
        <is>
          <t>계양구</t>
        </is>
      </c>
      <c r="AD457" s="0" t="inlineStr">
        <is>
          <t>작전동</t>
        </is>
      </c>
      <c r="AG457" s="0" t="inlineStr">
        <is>
          <t>인천시 계양구 주부토로 453</t>
        </is>
      </c>
      <c r="AH457" s="0" t="n">
        <v>0</v>
      </c>
      <c r="AI457" s="0" t="n">
        <v>247</v>
      </c>
      <c r="AJ457" s="0" t="n">
        <v>52</v>
      </c>
      <c r="AK457" s="0" t="n">
        <v>27</v>
      </c>
      <c r="AL457" s="0" t="n">
        <v>0.96</v>
      </c>
    </row>
    <row r="458">
      <c r="A458" s="0" t="inlineStr">
        <is>
          <t>[작전동]</t>
        </is>
      </c>
      <c r="B458" s="0" t="n">
        <v>128537</v>
      </c>
      <c r="C458" s="0" t="n">
        <v>6</v>
      </c>
      <c r="D458" s="0" t="inlineStr">
        <is>
          <t>온누리베일리</t>
        </is>
      </c>
      <c r="E458" s="0" t="inlineStr">
        <is>
          <t>2019.09.</t>
        </is>
      </c>
      <c r="F458" s="0" t="n">
        <v>28</v>
      </c>
      <c r="G458" s="0" t="n">
        <v>25.16</v>
      </c>
      <c r="H458" s="0" t="n">
        <v>83.2</v>
      </c>
      <c r="I458" s="0" t="n">
        <v>19.82</v>
      </c>
      <c r="J458" s="0" t="n">
        <v>65.54000000000001</v>
      </c>
      <c r="K458" s="0" t="n">
        <v>2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83G</t>
        </is>
      </c>
      <c r="X458" s="0" t="n">
        <v>11</v>
      </c>
      <c r="Y458" s="0" t="n">
        <v>5</v>
      </c>
      <c r="Z458" s="0" t="inlineStr">
        <is>
          <t>https://new.land.naver.com/complexes/128537?tab=detail&amp;rf=Y</t>
        </is>
      </c>
      <c r="AA458" s="0" t="inlineStr">
        <is>
          <t>인천시 계양구 작전동 858-11</t>
        </is>
      </c>
      <c r="AB458" s="0" t="inlineStr">
        <is>
          <t>인천시</t>
        </is>
      </c>
      <c r="AC458" s="0" t="inlineStr">
        <is>
          <t>계양구</t>
        </is>
      </c>
      <c r="AD458" s="0" t="inlineStr">
        <is>
          <t>작전동</t>
        </is>
      </c>
      <c r="AG458" s="0" t="inlineStr">
        <is>
          <t>인천시 계양구 주부토로 453</t>
        </is>
      </c>
      <c r="AH458" s="0" t="n">
        <v>0</v>
      </c>
      <c r="AI458" s="0" t="n">
        <v>247</v>
      </c>
      <c r="AJ458" s="0" t="n">
        <v>52</v>
      </c>
      <c r="AK458" s="0" t="n">
        <v>27</v>
      </c>
      <c r="AL458" s="0" t="n">
        <v>0.96</v>
      </c>
    </row>
    <row r="459">
      <c r="A459" s="0" t="inlineStr">
        <is>
          <t>[작전동]</t>
        </is>
      </c>
      <c r="B459" s="0" t="n">
        <v>128537</v>
      </c>
      <c r="C459" s="0" t="n">
        <v>7</v>
      </c>
      <c r="D459" s="0" t="inlineStr">
        <is>
          <t>온누리베일리</t>
        </is>
      </c>
      <c r="E459" s="0" t="inlineStr">
        <is>
          <t>2019.09.</t>
        </is>
      </c>
      <c r="F459" s="0" t="n">
        <v>28</v>
      </c>
      <c r="G459" s="0" t="n">
        <v>25.16</v>
      </c>
      <c r="H459" s="0" t="n">
        <v>83.2</v>
      </c>
      <c r="I459" s="0" t="n">
        <v>19.56</v>
      </c>
      <c r="J459" s="0" t="n">
        <v>64.69</v>
      </c>
      <c r="K459" s="0" t="n">
        <v>1</v>
      </c>
      <c r="T459" s="0" t="n">
        <v>3</v>
      </c>
      <c r="U459" s="0" t="n">
        <v>2</v>
      </c>
      <c r="V459" s="0" t="inlineStr">
        <is>
          <t>복합식</t>
        </is>
      </c>
      <c r="W459" s="0" t="inlineStr">
        <is>
          <t>83E</t>
        </is>
      </c>
      <c r="X459" s="0" t="n">
        <v>11</v>
      </c>
      <c r="Y459" s="0" t="n">
        <v>5</v>
      </c>
      <c r="Z459" s="0" t="inlineStr">
        <is>
          <t>https://new.land.naver.com/complexes/128537?tab=detail&amp;rf=Y</t>
        </is>
      </c>
      <c r="AA459" s="0" t="inlineStr">
        <is>
          <t>인천시 계양구 작전동 858-11</t>
        </is>
      </c>
      <c r="AB459" s="0" t="inlineStr">
        <is>
          <t>인천시</t>
        </is>
      </c>
      <c r="AC459" s="0" t="inlineStr">
        <is>
          <t>계양구</t>
        </is>
      </c>
      <c r="AD459" s="0" t="inlineStr">
        <is>
          <t>작전동</t>
        </is>
      </c>
      <c r="AG459" s="0" t="inlineStr">
        <is>
          <t>인천시 계양구 주부토로 453</t>
        </is>
      </c>
      <c r="AH459" s="0" t="n">
        <v>0</v>
      </c>
      <c r="AI459" s="0" t="n">
        <v>247</v>
      </c>
      <c r="AJ459" s="0" t="n">
        <v>52</v>
      </c>
      <c r="AK459" s="0" t="n">
        <v>27</v>
      </c>
      <c r="AL459" s="0" t="n">
        <v>0.96</v>
      </c>
    </row>
    <row r="460">
      <c r="A460" s="0" t="inlineStr">
        <is>
          <t>[작전동]</t>
        </is>
      </c>
      <c r="B460" s="0" t="n">
        <v>128537</v>
      </c>
      <c r="C460" s="0" t="n">
        <v>8</v>
      </c>
      <c r="D460" s="0" t="inlineStr">
        <is>
          <t>온누리베일리</t>
        </is>
      </c>
      <c r="E460" s="0" t="inlineStr">
        <is>
          <t>2019.09.</t>
        </is>
      </c>
      <c r="F460" s="0" t="n">
        <v>28</v>
      </c>
      <c r="G460" s="0" t="n">
        <v>26.17</v>
      </c>
      <c r="H460" s="0" t="n">
        <v>86.53</v>
      </c>
      <c r="I460" s="0" t="n">
        <v>20.87</v>
      </c>
      <c r="J460" s="0" t="n">
        <v>69</v>
      </c>
      <c r="K460" s="0" t="n">
        <v>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86</v>
      </c>
      <c r="X460" s="0" t="n">
        <v>11</v>
      </c>
      <c r="Y460" s="0" t="n">
        <v>5</v>
      </c>
      <c r="Z460" s="0" t="inlineStr">
        <is>
          <t>https://new.land.naver.com/complexes/128537?tab=detail&amp;rf=Y</t>
        </is>
      </c>
      <c r="AA460" s="0" t="inlineStr">
        <is>
          <t>인천시 계양구 작전동 858-11</t>
        </is>
      </c>
      <c r="AB460" s="0" t="inlineStr">
        <is>
          <t>인천시</t>
        </is>
      </c>
      <c r="AC460" s="0" t="inlineStr">
        <is>
          <t>계양구</t>
        </is>
      </c>
      <c r="AD460" s="0" t="inlineStr">
        <is>
          <t>작전동</t>
        </is>
      </c>
      <c r="AG460" s="0" t="inlineStr">
        <is>
          <t>인천시 계양구 주부토로 453</t>
        </is>
      </c>
      <c r="AH460" s="0" t="n">
        <v>0</v>
      </c>
      <c r="AI460" s="0" t="n">
        <v>247</v>
      </c>
      <c r="AJ460" s="0" t="n">
        <v>52</v>
      </c>
      <c r="AK460" s="0" t="n">
        <v>27</v>
      </c>
      <c r="AL460" s="0" t="n">
        <v>0.96</v>
      </c>
    </row>
    <row r="461">
      <c r="A461" s="0" t="inlineStr">
        <is>
          <t>[작전동]</t>
        </is>
      </c>
      <c r="B461" s="0" t="n">
        <v>128537</v>
      </c>
      <c r="C461" s="0" t="n">
        <v>9</v>
      </c>
      <c r="D461" s="0" t="inlineStr">
        <is>
          <t>온누리베일리</t>
        </is>
      </c>
      <c r="E461" s="0" t="inlineStr">
        <is>
          <t>2019.09.</t>
        </is>
      </c>
      <c r="F461" s="0" t="n">
        <v>28</v>
      </c>
      <c r="G461" s="0" t="n">
        <v>27.85</v>
      </c>
      <c r="H461" s="0" t="n">
        <v>92.09</v>
      </c>
      <c r="I461" s="0" t="n">
        <v>22.25</v>
      </c>
      <c r="J461" s="0" t="n">
        <v>73.56999999999999</v>
      </c>
      <c r="K461" s="0" t="n">
        <v>4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92</v>
      </c>
      <c r="X461" s="0" t="n">
        <v>11</v>
      </c>
      <c r="Y461" s="0" t="n">
        <v>5</v>
      </c>
      <c r="Z461" s="0" t="inlineStr">
        <is>
          <t>https://new.land.naver.com/complexes/128537?tab=detail&amp;rf=Y</t>
        </is>
      </c>
      <c r="AA461" s="0" t="inlineStr">
        <is>
          <t>인천시 계양구 작전동 858-11</t>
        </is>
      </c>
      <c r="AB461" s="0" t="inlineStr">
        <is>
          <t>인천시</t>
        </is>
      </c>
      <c r="AC461" s="0" t="inlineStr">
        <is>
          <t>계양구</t>
        </is>
      </c>
      <c r="AD461" s="0" t="inlineStr">
        <is>
          <t>작전동</t>
        </is>
      </c>
      <c r="AG461" s="0" t="inlineStr">
        <is>
          <t>인천시 계양구 주부토로 453</t>
        </is>
      </c>
      <c r="AH461" s="0" t="n">
        <v>0</v>
      </c>
      <c r="AI461" s="0" t="n">
        <v>247</v>
      </c>
      <c r="AJ461" s="0" t="n">
        <v>52</v>
      </c>
      <c r="AK461" s="0" t="n">
        <v>27</v>
      </c>
      <c r="AL461" s="0" t="n">
        <v>0.96</v>
      </c>
    </row>
    <row r="462">
      <c r="A462" s="0" t="inlineStr">
        <is>
          <t>[작전동]</t>
        </is>
      </c>
      <c r="B462" s="0" t="n">
        <v>128537</v>
      </c>
      <c r="C462" s="0" t="n">
        <v>10</v>
      </c>
      <c r="D462" s="0" t="inlineStr">
        <is>
          <t>온누리베일리</t>
        </is>
      </c>
      <c r="E462" s="0" t="inlineStr">
        <is>
          <t>2019.09.</t>
        </is>
      </c>
      <c r="F462" s="0" t="n">
        <v>28</v>
      </c>
      <c r="G462" s="0" t="n">
        <v>29.2</v>
      </c>
      <c r="H462" s="0" t="n">
        <v>96.53</v>
      </c>
      <c r="I462" s="0" t="n">
        <v>22.54</v>
      </c>
      <c r="J462" s="0" t="n">
        <v>74.53</v>
      </c>
      <c r="K462" s="0" t="n">
        <v>1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96</v>
      </c>
      <c r="X462" s="0" t="n">
        <v>11</v>
      </c>
      <c r="Y462" s="0" t="n">
        <v>5</v>
      </c>
      <c r="Z462" s="0" t="inlineStr">
        <is>
          <t>https://new.land.naver.com/complexes/128537?tab=detail&amp;rf=Y</t>
        </is>
      </c>
      <c r="AA462" s="0" t="inlineStr">
        <is>
          <t>인천시 계양구 작전동 858-11</t>
        </is>
      </c>
      <c r="AB462" s="0" t="inlineStr">
        <is>
          <t>인천시</t>
        </is>
      </c>
      <c r="AC462" s="0" t="inlineStr">
        <is>
          <t>계양구</t>
        </is>
      </c>
      <c r="AD462" s="0" t="inlineStr">
        <is>
          <t>작전동</t>
        </is>
      </c>
      <c r="AG462" s="0" t="inlineStr">
        <is>
          <t>인천시 계양구 주부토로 453</t>
        </is>
      </c>
      <c r="AH462" s="0" t="n">
        <v>0</v>
      </c>
      <c r="AI462" s="0" t="n">
        <v>247</v>
      </c>
      <c r="AJ462" s="0" t="n">
        <v>52</v>
      </c>
      <c r="AK462" s="0" t="n">
        <v>27</v>
      </c>
      <c r="AL462" s="0" t="n">
        <v>0.96</v>
      </c>
    </row>
    <row r="463">
      <c r="A463" s="0" t="inlineStr">
        <is>
          <t>[작전동]</t>
        </is>
      </c>
      <c r="B463" s="0" t="n">
        <v>128537</v>
      </c>
      <c r="C463" s="0" t="n">
        <v>11</v>
      </c>
      <c r="D463" s="0" t="inlineStr">
        <is>
          <t>온누리베일리</t>
        </is>
      </c>
      <c r="E463" s="0" t="inlineStr">
        <is>
          <t>2019.09.</t>
        </is>
      </c>
      <c r="F463" s="0" t="n">
        <v>28</v>
      </c>
      <c r="G463" s="0" t="n">
        <v>29.58</v>
      </c>
      <c r="H463" s="0" t="n">
        <v>97.81</v>
      </c>
      <c r="I463" s="0" t="n">
        <v>22.94</v>
      </c>
      <c r="J463" s="0" t="n">
        <v>75.84</v>
      </c>
      <c r="K463" s="0" t="n">
        <v>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97A</t>
        </is>
      </c>
      <c r="X463" s="0" t="n">
        <v>11</v>
      </c>
      <c r="Y463" s="0" t="n">
        <v>5</v>
      </c>
      <c r="Z463" s="0" t="inlineStr">
        <is>
          <t>https://new.land.naver.com/complexes/128537?tab=detail&amp;rf=Y</t>
        </is>
      </c>
      <c r="AA463" s="0" t="inlineStr">
        <is>
          <t>인천시 계양구 작전동 858-11</t>
        </is>
      </c>
      <c r="AB463" s="0" t="inlineStr">
        <is>
          <t>인천시</t>
        </is>
      </c>
      <c r="AC463" s="0" t="inlineStr">
        <is>
          <t>계양구</t>
        </is>
      </c>
      <c r="AD463" s="0" t="inlineStr">
        <is>
          <t>작전동</t>
        </is>
      </c>
      <c r="AG463" s="0" t="inlineStr">
        <is>
          <t>인천시 계양구 주부토로 453</t>
        </is>
      </c>
      <c r="AH463" s="0" t="n">
        <v>0</v>
      </c>
      <c r="AI463" s="0" t="n">
        <v>247</v>
      </c>
      <c r="AJ463" s="0" t="n">
        <v>52</v>
      </c>
      <c r="AK463" s="0" t="n">
        <v>27</v>
      </c>
      <c r="AL463" s="0" t="n">
        <v>0.96</v>
      </c>
    </row>
    <row r="464">
      <c r="A464" s="0" t="inlineStr">
        <is>
          <t>[작전동]</t>
        </is>
      </c>
      <c r="B464" s="0" t="n">
        <v>128537</v>
      </c>
      <c r="C464" s="0" t="n">
        <v>12</v>
      </c>
      <c r="D464" s="0" t="inlineStr">
        <is>
          <t>온누리베일리</t>
        </is>
      </c>
      <c r="E464" s="0" t="inlineStr">
        <is>
          <t>2019.09.</t>
        </is>
      </c>
      <c r="F464" s="0" t="n">
        <v>28</v>
      </c>
      <c r="G464" s="0" t="n">
        <v>29.73</v>
      </c>
      <c r="H464" s="0" t="n">
        <v>98.29000000000001</v>
      </c>
      <c r="I464" s="0" t="n">
        <v>23.3</v>
      </c>
      <c r="J464" s="0" t="n">
        <v>77.04000000000001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98B</t>
        </is>
      </c>
      <c r="X464" s="0" t="n">
        <v>11</v>
      </c>
      <c r="Y464" s="0" t="n">
        <v>5</v>
      </c>
      <c r="Z464" s="0" t="inlineStr">
        <is>
          <t>https://new.land.naver.com/complexes/128537?tab=detail&amp;rf=Y</t>
        </is>
      </c>
      <c r="AA464" s="0" t="inlineStr">
        <is>
          <t>인천시 계양구 작전동 858-11</t>
        </is>
      </c>
      <c r="AB464" s="0" t="inlineStr">
        <is>
          <t>인천시</t>
        </is>
      </c>
      <c r="AC464" s="0" t="inlineStr">
        <is>
          <t>계양구</t>
        </is>
      </c>
      <c r="AD464" s="0" t="inlineStr">
        <is>
          <t>작전동</t>
        </is>
      </c>
      <c r="AG464" s="0" t="inlineStr">
        <is>
          <t>인천시 계양구 주부토로 453</t>
        </is>
      </c>
      <c r="AH464" s="0" t="n">
        <v>0</v>
      </c>
      <c r="AI464" s="0" t="n">
        <v>247</v>
      </c>
      <c r="AJ464" s="0" t="n">
        <v>52</v>
      </c>
      <c r="AK464" s="0" t="n">
        <v>27</v>
      </c>
      <c r="AL464" s="0" t="n">
        <v>0.96</v>
      </c>
    </row>
    <row r="465">
      <c r="A465" s="0" t="inlineStr">
        <is>
          <t>[작전동]</t>
        </is>
      </c>
      <c r="B465" s="0" t="n">
        <v>128537</v>
      </c>
      <c r="C465" s="0" t="n">
        <v>13</v>
      </c>
      <c r="D465" s="0" t="inlineStr">
        <is>
          <t>온누리베일리</t>
        </is>
      </c>
      <c r="E465" s="0" t="inlineStr">
        <is>
          <t>2019.09.</t>
        </is>
      </c>
      <c r="F465" s="0" t="n">
        <v>28</v>
      </c>
      <c r="G465" s="0" t="n">
        <v>38.82</v>
      </c>
      <c r="H465" s="0" t="n">
        <v>128.34</v>
      </c>
      <c r="I465" s="0" t="n">
        <v>30.32</v>
      </c>
      <c r="J465" s="0" t="n">
        <v>100.26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128</v>
      </c>
      <c r="X465" s="0" t="n">
        <v>11</v>
      </c>
      <c r="Y465" s="0" t="n">
        <v>5</v>
      </c>
      <c r="Z465" s="0" t="inlineStr">
        <is>
          <t>https://new.land.naver.com/complexes/128537?tab=detail&amp;rf=Y</t>
        </is>
      </c>
      <c r="AA465" s="0" t="inlineStr">
        <is>
          <t>인천시 계양구 작전동 858-11</t>
        </is>
      </c>
      <c r="AB465" s="0" t="inlineStr">
        <is>
          <t>인천시</t>
        </is>
      </c>
      <c r="AC465" s="0" t="inlineStr">
        <is>
          <t>계양구</t>
        </is>
      </c>
      <c r="AD465" s="0" t="inlineStr">
        <is>
          <t>작전동</t>
        </is>
      </c>
      <c r="AG465" s="0" t="inlineStr">
        <is>
          <t>인천시 계양구 주부토로 453</t>
        </is>
      </c>
      <c r="AH465" s="0" t="n">
        <v>0</v>
      </c>
      <c r="AI465" s="0" t="n">
        <v>247</v>
      </c>
      <c r="AJ465" s="0" t="n">
        <v>52</v>
      </c>
      <c r="AK465" s="0" t="n">
        <v>27</v>
      </c>
      <c r="AL465" s="0" t="n">
        <v>0.96</v>
      </c>
    </row>
    <row r="466">
      <c r="A466" s="0" t="inlineStr">
        <is>
          <t>[작전동]</t>
        </is>
      </c>
      <c r="B466" s="0" t="n">
        <v>2438</v>
      </c>
      <c r="C466" s="0" t="n">
        <v>1</v>
      </c>
      <c r="D466" s="0" t="inlineStr">
        <is>
          <t>현대1차</t>
        </is>
      </c>
      <c r="E466" s="0" t="inlineStr">
        <is>
          <t>1990.09.</t>
        </is>
      </c>
      <c r="F466" s="0" t="n">
        <v>570</v>
      </c>
      <c r="G466" s="0" t="n">
        <v>26.12</v>
      </c>
      <c r="H466" s="0" t="n">
        <v>86.37</v>
      </c>
      <c r="I466" s="0" t="n">
        <v>21.52</v>
      </c>
      <c r="J466" s="0" t="n">
        <v>71.17</v>
      </c>
      <c r="K466" s="0" t="n">
        <v>150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86</v>
      </c>
      <c r="X466" s="0" t="n">
        <v>15</v>
      </c>
      <c r="Y466" s="0" t="n">
        <v>15</v>
      </c>
      <c r="Z466" s="0" t="inlineStr">
        <is>
          <t>https://new.land.naver.com/complexes/2438?tab=detail&amp;rf=Y</t>
        </is>
      </c>
      <c r="AA466" s="0" t="inlineStr">
        <is>
          <t>인천시 계양구 작전동 111</t>
        </is>
      </c>
      <c r="AB466" s="0" t="inlineStr">
        <is>
          <t>인천시</t>
        </is>
      </c>
      <c r="AC466" s="0" t="inlineStr">
        <is>
          <t>계양구</t>
        </is>
      </c>
      <c r="AD466" s="0" t="inlineStr">
        <is>
          <t>작전동</t>
        </is>
      </c>
      <c r="AG466" s="0" t="inlineStr">
        <is>
          <t>인천시 계양구 봉오대로743번길 8</t>
        </is>
      </c>
      <c r="AH466" s="0" t="n">
        <v>0</v>
      </c>
      <c r="AI466" s="0" t="n">
        <v>219</v>
      </c>
      <c r="AJ466" s="0" t="n">
        <v>18</v>
      </c>
      <c r="AK466" s="0" t="n">
        <v>377</v>
      </c>
      <c r="AL466" s="0" t="n">
        <v>0.66</v>
      </c>
    </row>
    <row r="467">
      <c r="A467" s="0" t="inlineStr">
        <is>
          <t>[작전동]</t>
        </is>
      </c>
      <c r="B467" s="0" t="n">
        <v>2438</v>
      </c>
      <c r="C467" s="0" t="n">
        <v>2</v>
      </c>
      <c r="D467" s="0" t="inlineStr">
        <is>
          <t>현대1차</t>
        </is>
      </c>
      <c r="E467" s="0" t="inlineStr">
        <is>
          <t>1990.09.</t>
        </is>
      </c>
      <c r="F467" s="0" t="n">
        <v>570</v>
      </c>
      <c r="G467" s="0" t="n">
        <v>31.17</v>
      </c>
      <c r="H467" s="0" t="n">
        <v>103.07</v>
      </c>
      <c r="I467" s="0" t="n">
        <v>25.69</v>
      </c>
      <c r="J467" s="0" t="n">
        <v>84.94</v>
      </c>
      <c r="K467" s="0" t="n">
        <v>420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103</v>
      </c>
      <c r="X467" s="0" t="n">
        <v>15</v>
      </c>
      <c r="Y467" s="0" t="n">
        <v>15</v>
      </c>
      <c r="Z467" s="0" t="inlineStr">
        <is>
          <t>https://new.land.naver.com/complexes/2438?tab=detail&amp;rf=Y</t>
        </is>
      </c>
      <c r="AA467" s="0" t="inlineStr">
        <is>
          <t>인천시 계양구 작전동 111</t>
        </is>
      </c>
      <c r="AB467" s="0" t="inlineStr">
        <is>
          <t>인천시</t>
        </is>
      </c>
      <c r="AC467" s="0" t="inlineStr">
        <is>
          <t>계양구</t>
        </is>
      </c>
      <c r="AD467" s="0" t="inlineStr">
        <is>
          <t>작전동</t>
        </is>
      </c>
      <c r="AG467" s="0" t="inlineStr">
        <is>
          <t>인천시 계양구 봉오대로743번길 8</t>
        </is>
      </c>
      <c r="AH467" s="0" t="n">
        <v>0</v>
      </c>
      <c r="AI467" s="0" t="n">
        <v>219</v>
      </c>
      <c r="AJ467" s="0" t="n">
        <v>18</v>
      </c>
      <c r="AK467" s="0" t="n">
        <v>377</v>
      </c>
      <c r="AL467" s="0" t="n">
        <v>0.66</v>
      </c>
    </row>
    <row r="468">
      <c r="A468" s="0" t="inlineStr">
        <is>
          <t>[작전동]</t>
        </is>
      </c>
      <c r="B468" s="0" t="n">
        <v>8542</v>
      </c>
      <c r="C468" s="0" t="n">
        <v>1</v>
      </c>
      <c r="D468" s="0" t="inlineStr">
        <is>
          <t>현대3차</t>
        </is>
      </c>
      <c r="E468" s="0" t="inlineStr">
        <is>
          <t>1992.11.</t>
        </is>
      </c>
      <c r="F468" s="0" t="n">
        <v>390</v>
      </c>
      <c r="G468" s="0" t="n">
        <v>22.63</v>
      </c>
      <c r="H468" s="0" t="n">
        <v>74.81999999999999</v>
      </c>
      <c r="I468" s="0" t="n">
        <v>17.96</v>
      </c>
      <c r="J468" s="0" t="n">
        <v>59.4</v>
      </c>
      <c r="K468" s="0" t="n">
        <v>153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74</v>
      </c>
      <c r="X468" s="0" t="n">
        <v>17</v>
      </c>
      <c r="Y468" s="0" t="n">
        <v>14</v>
      </c>
      <c r="Z468" s="0" t="inlineStr">
        <is>
          <t>https://new.land.naver.com/complexes/8542?tab=detail&amp;rf=Y</t>
        </is>
      </c>
      <c r="AA468" s="0" t="inlineStr">
        <is>
          <t>인천시 계양구 작전동 859-14</t>
        </is>
      </c>
      <c r="AB468" s="0" t="inlineStr">
        <is>
          <t>인천시</t>
        </is>
      </c>
      <c r="AC468" s="0" t="inlineStr">
        <is>
          <t>계양구</t>
        </is>
      </c>
      <c r="AD468" s="0" t="inlineStr">
        <is>
          <t>작전동</t>
        </is>
      </c>
      <c r="AG468" s="0" t="inlineStr">
        <is>
          <t>인천시 계양구 주부토로413번길 18</t>
        </is>
      </c>
      <c r="AH468" s="0" t="n">
        <v>0</v>
      </c>
      <c r="AI468" s="0" t="n">
        <v>266</v>
      </c>
      <c r="AJ468" s="0" t="n">
        <v>20</v>
      </c>
      <c r="AK468" s="0" t="n">
        <v>246</v>
      </c>
      <c r="AL468" s="0" t="n">
        <v>0.63</v>
      </c>
    </row>
    <row r="469">
      <c r="A469" s="0" t="inlineStr">
        <is>
          <t>[작전동]</t>
        </is>
      </c>
      <c r="B469" s="0" t="n">
        <v>8542</v>
      </c>
      <c r="C469" s="0" t="n">
        <v>2</v>
      </c>
      <c r="D469" s="0" t="inlineStr">
        <is>
          <t>현대3차</t>
        </is>
      </c>
      <c r="E469" s="0" t="inlineStr">
        <is>
          <t>1992.11.</t>
        </is>
      </c>
      <c r="F469" s="0" t="n">
        <v>390</v>
      </c>
      <c r="G469" s="0" t="n">
        <v>29.01</v>
      </c>
      <c r="H469" s="0" t="n">
        <v>95.91</v>
      </c>
      <c r="I469" s="0" t="n">
        <v>23.03</v>
      </c>
      <c r="J469" s="0" t="n">
        <v>76.14</v>
      </c>
      <c r="K469" s="0" t="n">
        <v>54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95A</t>
        </is>
      </c>
      <c r="X469" s="0" t="n">
        <v>17</v>
      </c>
      <c r="Y469" s="0" t="n">
        <v>14</v>
      </c>
      <c r="Z469" s="0" t="inlineStr">
        <is>
          <t>https://new.land.naver.com/complexes/8542?tab=detail&amp;rf=Y</t>
        </is>
      </c>
      <c r="AA469" s="0" t="inlineStr">
        <is>
          <t>인천시 계양구 작전동 859-14</t>
        </is>
      </c>
      <c r="AB469" s="0" t="inlineStr">
        <is>
          <t>인천시</t>
        </is>
      </c>
      <c r="AC469" s="0" t="inlineStr">
        <is>
          <t>계양구</t>
        </is>
      </c>
      <c r="AD469" s="0" t="inlineStr">
        <is>
          <t>작전동</t>
        </is>
      </c>
      <c r="AG469" s="0" t="inlineStr">
        <is>
          <t>인천시 계양구 주부토로413번길 18</t>
        </is>
      </c>
      <c r="AH469" s="0" t="n">
        <v>0</v>
      </c>
      <c r="AI469" s="0" t="n">
        <v>266</v>
      </c>
      <c r="AJ469" s="0" t="n">
        <v>20</v>
      </c>
      <c r="AK469" s="0" t="n">
        <v>246</v>
      </c>
      <c r="AL469" s="0" t="n">
        <v>0.63</v>
      </c>
    </row>
    <row r="470">
      <c r="A470" s="0" t="inlineStr">
        <is>
          <t>[작전동]</t>
        </is>
      </c>
      <c r="B470" s="0" t="n">
        <v>8542</v>
      </c>
      <c r="C470" s="0" t="n">
        <v>3</v>
      </c>
      <c r="D470" s="0" t="inlineStr">
        <is>
          <t>현대3차</t>
        </is>
      </c>
      <c r="E470" s="0" t="inlineStr">
        <is>
          <t>1992.11.</t>
        </is>
      </c>
      <c r="F470" s="0" t="n">
        <v>390</v>
      </c>
      <c r="G470" s="0" t="n">
        <v>29.47</v>
      </c>
      <c r="H470" s="0" t="n">
        <v>97.45</v>
      </c>
      <c r="I470" s="0" t="n">
        <v>23.4</v>
      </c>
      <c r="J470" s="0" t="n">
        <v>77.36</v>
      </c>
      <c r="K470" s="0" t="n">
        <v>17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97B</t>
        </is>
      </c>
      <c r="X470" s="0" t="n">
        <v>17</v>
      </c>
      <c r="Y470" s="0" t="n">
        <v>14</v>
      </c>
      <c r="Z470" s="0" t="inlineStr">
        <is>
          <t>https://new.land.naver.com/complexes/8542?tab=detail&amp;rf=Y</t>
        </is>
      </c>
      <c r="AA470" s="0" t="inlineStr">
        <is>
          <t>인천시 계양구 작전동 859-14</t>
        </is>
      </c>
      <c r="AB470" s="0" t="inlineStr">
        <is>
          <t>인천시</t>
        </is>
      </c>
      <c r="AC470" s="0" t="inlineStr">
        <is>
          <t>계양구</t>
        </is>
      </c>
      <c r="AD470" s="0" t="inlineStr">
        <is>
          <t>작전동</t>
        </is>
      </c>
      <c r="AG470" s="0" t="inlineStr">
        <is>
          <t>인천시 계양구 주부토로413번길 18</t>
        </is>
      </c>
      <c r="AH470" s="0" t="n">
        <v>0</v>
      </c>
      <c r="AI470" s="0" t="n">
        <v>266</v>
      </c>
      <c r="AJ470" s="0" t="n">
        <v>20</v>
      </c>
      <c r="AK470" s="0" t="n">
        <v>246</v>
      </c>
      <c r="AL470" s="0" t="n">
        <v>0.63</v>
      </c>
    </row>
    <row r="471">
      <c r="A471" s="0" t="inlineStr">
        <is>
          <t>[작전동]</t>
        </is>
      </c>
      <c r="B471" s="0" t="n">
        <v>8542</v>
      </c>
      <c r="C471" s="0" t="n">
        <v>4</v>
      </c>
      <c r="D471" s="0" t="inlineStr">
        <is>
          <t>현대3차</t>
        </is>
      </c>
      <c r="E471" s="0" t="inlineStr">
        <is>
          <t>1992.11.</t>
        </is>
      </c>
      <c r="F471" s="0" t="n">
        <v>390</v>
      </c>
      <c r="G471" s="0" t="n">
        <v>32.29</v>
      </c>
      <c r="H471" s="0" t="n">
        <v>106.77</v>
      </c>
      <c r="I471" s="0" t="n">
        <v>25.63</v>
      </c>
      <c r="J471" s="0" t="n">
        <v>84.76000000000001</v>
      </c>
      <c r="K471" s="0" t="n">
        <v>166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17</v>
      </c>
      <c r="Y471" s="0" t="n">
        <v>14</v>
      </c>
      <c r="Z471" s="0" t="inlineStr">
        <is>
          <t>https://new.land.naver.com/complexes/8542?tab=detail&amp;rf=Y</t>
        </is>
      </c>
      <c r="AA471" s="0" t="inlineStr">
        <is>
          <t>인천시 계양구 작전동 859-14</t>
        </is>
      </c>
      <c r="AB471" s="0" t="inlineStr">
        <is>
          <t>인천시</t>
        </is>
      </c>
      <c r="AC471" s="0" t="inlineStr">
        <is>
          <t>계양구</t>
        </is>
      </c>
      <c r="AD471" s="0" t="inlineStr">
        <is>
          <t>작전동</t>
        </is>
      </c>
      <c r="AG471" s="0" t="inlineStr">
        <is>
          <t>인천시 계양구 주부토로413번길 18</t>
        </is>
      </c>
      <c r="AH471" s="0" t="n">
        <v>0</v>
      </c>
      <c r="AI471" s="0" t="n">
        <v>266</v>
      </c>
      <c r="AJ471" s="0" t="n">
        <v>20</v>
      </c>
      <c r="AK471" s="0" t="n">
        <v>246</v>
      </c>
      <c r="AL471" s="0" t="n">
        <v>0.63</v>
      </c>
    </row>
    <row r="472">
      <c r="A472" s="0" t="inlineStr">
        <is>
          <t>[작전동]</t>
        </is>
      </c>
      <c r="B472" s="0" t="n">
        <v>9312</v>
      </c>
      <c r="C472" s="0" t="n">
        <v>1</v>
      </c>
      <c r="D472" s="0" t="inlineStr">
        <is>
          <t>선우</t>
        </is>
      </c>
      <c r="E472" s="0" t="inlineStr">
        <is>
          <t>1986.02.</t>
        </is>
      </c>
      <c r="F472" s="0" t="n">
        <v>210</v>
      </c>
      <c r="G472" s="0" t="n">
        <v>19.53</v>
      </c>
      <c r="H472" s="0" t="n">
        <v>64.58</v>
      </c>
      <c r="I472" s="0" t="n">
        <v>14.81</v>
      </c>
      <c r="J472" s="0" t="n">
        <v>48.96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64</v>
      </c>
      <c r="X472" s="0" t="n">
        <v>5</v>
      </c>
      <c r="Y472" s="0" t="n">
        <v>5</v>
      </c>
      <c r="Z472" s="0" t="inlineStr">
        <is>
          <t>https://new.land.naver.com/complexes/9312?tab=detail&amp;rf=Y</t>
        </is>
      </c>
      <c r="AA472" s="0" t="inlineStr">
        <is>
          <t>인천시 계양구 작전동 30-1</t>
        </is>
      </c>
      <c r="AB472" s="0" t="inlineStr">
        <is>
          <t>인천시</t>
        </is>
      </c>
      <c r="AC472" s="0" t="inlineStr">
        <is>
          <t>계양구</t>
        </is>
      </c>
      <c r="AD472" s="0" t="inlineStr">
        <is>
          <t>작전동</t>
        </is>
      </c>
      <c r="AG472" s="0" t="inlineStr">
        <is>
          <t>인천시 계양구 주부토로472번길 51</t>
        </is>
      </c>
      <c r="AH472" s="0" t="n">
        <v>0</v>
      </c>
      <c r="AI472" s="0" t="n">
        <v>107</v>
      </c>
      <c r="AJ472" s="0" t="n">
        <v>22</v>
      </c>
      <c r="AK472" s="0" t="n">
        <v>210</v>
      </c>
      <c r="AL472" s="0" t="n">
        <v>1</v>
      </c>
    </row>
    <row r="473">
      <c r="A473" s="0" t="inlineStr">
        <is>
          <t>[작전동]</t>
        </is>
      </c>
      <c r="B473" s="0" t="n">
        <v>9312</v>
      </c>
      <c r="C473" s="0" t="n">
        <v>2</v>
      </c>
      <c r="D473" s="0" t="inlineStr">
        <is>
          <t>선우</t>
        </is>
      </c>
      <c r="E473" s="0" t="inlineStr">
        <is>
          <t>1986.02.</t>
        </is>
      </c>
      <c r="F473" s="0" t="n">
        <v>210</v>
      </c>
      <c r="G473" s="0" t="n">
        <v>23</v>
      </c>
      <c r="H473" s="0" t="n">
        <v>76.06</v>
      </c>
      <c r="I473" s="0" t="n">
        <v>17.72</v>
      </c>
      <c r="J473" s="0" t="n">
        <v>58.59</v>
      </c>
      <c r="K473" s="0" t="n">
        <v>150</v>
      </c>
      <c r="T473" s="0" t="n">
        <v>3</v>
      </c>
      <c r="U473" s="0" t="n">
        <v>1</v>
      </c>
      <c r="V473" s="0" t="inlineStr">
        <is>
          <t>계단식</t>
        </is>
      </c>
      <c r="W473" s="0" t="n">
        <v>76</v>
      </c>
      <c r="X473" s="0" t="n">
        <v>5</v>
      </c>
      <c r="Y473" s="0" t="n">
        <v>5</v>
      </c>
      <c r="Z473" s="0" t="inlineStr">
        <is>
          <t>https://new.land.naver.com/complexes/9312?tab=detail&amp;rf=Y</t>
        </is>
      </c>
      <c r="AA473" s="0" t="inlineStr">
        <is>
          <t>인천시 계양구 작전동 30-1</t>
        </is>
      </c>
      <c r="AB473" s="0" t="inlineStr">
        <is>
          <t>인천시</t>
        </is>
      </c>
      <c r="AC473" s="0" t="inlineStr">
        <is>
          <t>계양구</t>
        </is>
      </c>
      <c r="AD473" s="0" t="inlineStr">
        <is>
          <t>작전동</t>
        </is>
      </c>
      <c r="AG473" s="0" t="inlineStr">
        <is>
          <t>인천시 계양구 주부토로472번길 51</t>
        </is>
      </c>
      <c r="AH473" s="0" t="n">
        <v>0</v>
      </c>
      <c r="AI473" s="0" t="n">
        <v>107</v>
      </c>
      <c r="AJ473" s="0" t="n">
        <v>22</v>
      </c>
      <c r="AK473" s="0" t="n">
        <v>210</v>
      </c>
      <c r="AL473" s="0" t="n">
        <v>1</v>
      </c>
    </row>
    <row r="474">
      <c r="A474" s="0" t="inlineStr">
        <is>
          <t>[작전동]</t>
        </is>
      </c>
      <c r="B474" s="0" t="n">
        <v>2427</v>
      </c>
      <c r="C474" s="0" t="n">
        <v>1</v>
      </c>
      <c r="D474" s="0" t="inlineStr">
        <is>
          <t>도두리마을동보</t>
        </is>
      </c>
      <c r="E474" s="0" t="inlineStr">
        <is>
          <t>1996.12.</t>
        </is>
      </c>
      <c r="F474" s="0" t="n">
        <v>1276</v>
      </c>
      <c r="G474" s="0" t="n">
        <v>10.75</v>
      </c>
      <c r="H474" s="0" t="n">
        <v>35.57</v>
      </c>
      <c r="I474" s="0" t="n">
        <v>7.21</v>
      </c>
      <c r="J474" s="0" t="n">
        <v>23.85</v>
      </c>
      <c r="K474" s="0" t="n">
        <v>208</v>
      </c>
      <c r="T474" s="0" t="n">
        <v>1</v>
      </c>
      <c r="U474" s="0" t="n">
        <v>1</v>
      </c>
      <c r="V474" s="0" t="inlineStr">
        <is>
          <t>복도식</t>
        </is>
      </c>
      <c r="W474" s="0" t="n">
        <v>35</v>
      </c>
      <c r="X474" s="0" t="n">
        <v>21</v>
      </c>
      <c r="Y474" s="0" t="n">
        <v>16</v>
      </c>
      <c r="Z474" s="0" t="inlineStr">
        <is>
          <t>https://new.land.naver.com/complexes/2427?tab=detail&amp;rf=Y</t>
        </is>
      </c>
      <c r="AA474" s="0" t="inlineStr">
        <is>
          <t>인천시 계양구 작전동 912-3</t>
        </is>
      </c>
      <c r="AB474" s="0" t="inlineStr">
        <is>
          <t>인천시</t>
        </is>
      </c>
      <c r="AC474" s="0" t="inlineStr">
        <is>
          <t>계양구</t>
        </is>
      </c>
      <c r="AD474" s="0" t="inlineStr">
        <is>
          <t>작전동</t>
        </is>
      </c>
      <c r="AG474" s="0" t="inlineStr">
        <is>
          <t>인천시 계양구 도두리로 52</t>
        </is>
      </c>
      <c r="AH474" s="0" t="n">
        <v>0</v>
      </c>
      <c r="AI474" s="0" t="n">
        <v>249</v>
      </c>
      <c r="AJ474" s="0" t="n">
        <v>21</v>
      </c>
      <c r="AK474" s="0" t="n">
        <v>1340</v>
      </c>
      <c r="AL474" s="0" t="n">
        <v>1.05</v>
      </c>
    </row>
    <row r="475">
      <c r="A475" s="0" t="inlineStr">
        <is>
          <t>[작전동]</t>
        </is>
      </c>
      <c r="B475" s="0" t="n">
        <v>2427</v>
      </c>
      <c r="C475" s="0" t="n">
        <v>2</v>
      </c>
      <c r="D475" s="0" t="inlineStr">
        <is>
          <t>도두리마을동보</t>
        </is>
      </c>
      <c r="E475" s="0" t="inlineStr">
        <is>
          <t>1996.12.</t>
        </is>
      </c>
      <c r="F475" s="0" t="n">
        <v>1276</v>
      </c>
      <c r="G475" s="0" t="n">
        <v>24.1</v>
      </c>
      <c r="H475" s="0" t="n">
        <v>79.68000000000001</v>
      </c>
      <c r="I475" s="0" t="n">
        <v>18.11</v>
      </c>
      <c r="J475" s="0" t="n">
        <v>59.88</v>
      </c>
      <c r="K475" s="0" t="n">
        <v>1068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79</v>
      </c>
      <c r="X475" s="0" t="n">
        <v>21</v>
      </c>
      <c r="Y475" s="0" t="n">
        <v>16</v>
      </c>
      <c r="Z475" s="0" t="inlineStr">
        <is>
          <t>https://new.land.naver.com/complexes/2427?tab=detail&amp;rf=Y</t>
        </is>
      </c>
      <c r="AA475" s="0" t="inlineStr">
        <is>
          <t>인천시 계양구 작전동 912-3</t>
        </is>
      </c>
      <c r="AB475" s="0" t="inlineStr">
        <is>
          <t>인천시</t>
        </is>
      </c>
      <c r="AC475" s="0" t="inlineStr">
        <is>
          <t>계양구</t>
        </is>
      </c>
      <c r="AD475" s="0" t="inlineStr">
        <is>
          <t>작전동</t>
        </is>
      </c>
      <c r="AG475" s="0" t="inlineStr">
        <is>
          <t>인천시 계양구 도두리로 52</t>
        </is>
      </c>
      <c r="AH475" s="0" t="n">
        <v>0</v>
      </c>
      <c r="AI475" s="0" t="n">
        <v>249</v>
      </c>
      <c r="AJ475" s="0" t="n">
        <v>21</v>
      </c>
      <c r="AK475" s="0" t="n">
        <v>1340</v>
      </c>
      <c r="AL475" s="0" t="n">
        <v>1.05</v>
      </c>
    </row>
    <row r="476">
      <c r="A476" s="0" t="inlineStr">
        <is>
          <t>[작전동]</t>
        </is>
      </c>
      <c r="B476" s="0" t="n">
        <v>11045</v>
      </c>
      <c r="C476" s="0" t="n">
        <v>1</v>
      </c>
      <c r="D476" s="0" t="inlineStr">
        <is>
          <t>대진</t>
        </is>
      </c>
      <c r="E476" s="0" t="inlineStr">
        <is>
          <t>1979.07.</t>
        </is>
      </c>
      <c r="F476" s="0" t="n">
        <v>48</v>
      </c>
      <c r="G476" s="0" t="n">
        <v>20.99</v>
      </c>
      <c r="H476" s="0" t="n">
        <v>69.42</v>
      </c>
      <c r="I476" s="0" t="n">
        <v>18.51</v>
      </c>
      <c r="J476" s="0" t="n">
        <v>61.22</v>
      </c>
      <c r="K476" s="0" t="n">
        <v>18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69</v>
      </c>
      <c r="X476" s="0" t="n">
        <v>5</v>
      </c>
      <c r="Y476" s="0" t="n">
        <v>4</v>
      </c>
      <c r="Z476" s="0" t="inlineStr">
        <is>
          <t>https://new.land.naver.com/complexes/11045?tab=detail&amp;rf=Y</t>
        </is>
      </c>
      <c r="AA476" s="0" t="inlineStr">
        <is>
          <t>인천시 계양구 작전동 439-7</t>
        </is>
      </c>
      <c r="AB476" s="0" t="inlineStr">
        <is>
          <t>인천시</t>
        </is>
      </c>
      <c r="AC476" s="0" t="inlineStr">
        <is>
          <t>계양구</t>
        </is>
      </c>
      <c r="AD476" s="0" t="inlineStr">
        <is>
          <t>작전동</t>
        </is>
      </c>
      <c r="AG476" s="0" t="inlineStr">
        <is>
          <t>인천시 계양구 효서로217번길 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[작전동]</t>
        </is>
      </c>
      <c r="B477" s="0" t="n">
        <v>11045</v>
      </c>
      <c r="C477" s="0" t="n">
        <v>2</v>
      </c>
      <c r="D477" s="0" t="inlineStr">
        <is>
          <t>대진</t>
        </is>
      </c>
      <c r="E477" s="0" t="inlineStr">
        <is>
          <t>1979.07.</t>
        </is>
      </c>
      <c r="F477" s="0" t="n">
        <v>48</v>
      </c>
      <c r="G477" s="0" t="n">
        <v>21.52</v>
      </c>
      <c r="H477" s="0" t="n">
        <v>71.17</v>
      </c>
      <c r="I477" s="0" t="n">
        <v>19.16</v>
      </c>
      <c r="J477" s="0" t="n">
        <v>63.37</v>
      </c>
      <c r="K477" s="0" t="n">
        <v>20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71</v>
      </c>
      <c r="X477" s="0" t="n">
        <v>5</v>
      </c>
      <c r="Y477" s="0" t="n">
        <v>4</v>
      </c>
      <c r="Z477" s="0" t="inlineStr">
        <is>
          <t>https://new.land.naver.com/complexes/11045?tab=detail&amp;rf=Y</t>
        </is>
      </c>
      <c r="AA477" s="0" t="inlineStr">
        <is>
          <t>인천시 계양구 작전동 439-7</t>
        </is>
      </c>
      <c r="AB477" s="0" t="inlineStr">
        <is>
          <t>인천시</t>
        </is>
      </c>
      <c r="AC477" s="0" t="inlineStr">
        <is>
          <t>계양구</t>
        </is>
      </c>
      <c r="AD477" s="0" t="inlineStr">
        <is>
          <t>작전동</t>
        </is>
      </c>
      <c r="AG477" s="0" t="inlineStr">
        <is>
          <t>인천시 계양구 효서로217번길 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[작전동]</t>
        </is>
      </c>
      <c r="B478" s="0" t="n">
        <v>11045</v>
      </c>
      <c r="C478" s="0" t="n">
        <v>3</v>
      </c>
      <c r="D478" s="0" t="inlineStr">
        <is>
          <t>대진</t>
        </is>
      </c>
      <c r="E478" s="0" t="inlineStr">
        <is>
          <t>1979.07.</t>
        </is>
      </c>
      <c r="F478" s="0" t="n">
        <v>48</v>
      </c>
      <c r="G478" s="0" t="n">
        <v>24.18</v>
      </c>
      <c r="H478" s="0" t="n">
        <v>79.95999999999999</v>
      </c>
      <c r="I478" s="0" t="n">
        <v>21.68</v>
      </c>
      <c r="J478" s="0" t="n">
        <v>71.7</v>
      </c>
      <c r="K478" s="0" t="n">
        <v>5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79</v>
      </c>
      <c r="X478" s="0" t="n">
        <v>5</v>
      </c>
      <c r="Y478" s="0" t="n">
        <v>4</v>
      </c>
      <c r="Z478" s="0" t="inlineStr">
        <is>
          <t>https://new.land.naver.com/complexes/11045?tab=detail&amp;rf=Y</t>
        </is>
      </c>
      <c r="AA478" s="0" t="inlineStr">
        <is>
          <t>인천시 계양구 작전동 439-7</t>
        </is>
      </c>
      <c r="AB478" s="0" t="inlineStr">
        <is>
          <t>인천시</t>
        </is>
      </c>
      <c r="AC478" s="0" t="inlineStr">
        <is>
          <t>계양구</t>
        </is>
      </c>
      <c r="AD478" s="0" t="inlineStr">
        <is>
          <t>작전동</t>
        </is>
      </c>
      <c r="AG478" s="0" t="inlineStr">
        <is>
          <t>인천시 계양구 효서로217번길 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[작전동]</t>
        </is>
      </c>
      <c r="B479" s="0" t="n">
        <v>11045</v>
      </c>
      <c r="C479" s="0" t="n">
        <v>4</v>
      </c>
      <c r="D479" s="0" t="inlineStr">
        <is>
          <t>대진</t>
        </is>
      </c>
      <c r="E479" s="0" t="inlineStr">
        <is>
          <t>1979.07.</t>
        </is>
      </c>
      <c r="F479" s="0" t="n">
        <v>48</v>
      </c>
      <c r="G479" s="0" t="n">
        <v>24.51</v>
      </c>
      <c r="H479" s="0" t="n">
        <v>81.05</v>
      </c>
      <c r="I479" s="0" t="n">
        <v>22.11</v>
      </c>
      <c r="J479" s="0" t="n">
        <v>73.12</v>
      </c>
      <c r="K479" s="0" t="n">
        <v>5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81</v>
      </c>
      <c r="X479" s="0" t="n">
        <v>5</v>
      </c>
      <c r="Y479" s="0" t="n">
        <v>4</v>
      </c>
      <c r="Z479" s="0" t="inlineStr">
        <is>
          <t>https://new.land.naver.com/complexes/11045?tab=detail&amp;rf=Y</t>
        </is>
      </c>
      <c r="AA479" s="0" t="inlineStr">
        <is>
          <t>인천시 계양구 작전동 439-7</t>
        </is>
      </c>
      <c r="AB479" s="0" t="inlineStr">
        <is>
          <t>인천시</t>
        </is>
      </c>
      <c r="AC479" s="0" t="inlineStr">
        <is>
          <t>계양구</t>
        </is>
      </c>
      <c r="AD479" s="0" t="inlineStr">
        <is>
          <t>작전동</t>
        </is>
      </c>
      <c r="AG479" s="0" t="inlineStr">
        <is>
          <t>인천시 계양구 효서로217번길 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[작전동]</t>
        </is>
      </c>
      <c r="B480" s="0" t="n">
        <v>10746</v>
      </c>
      <c r="C480" s="0" t="n">
        <v>1</v>
      </c>
      <c r="D480" s="0" t="inlineStr">
        <is>
          <t>동아</t>
        </is>
      </c>
      <c r="E480" s="0" t="inlineStr">
        <is>
          <t>1983.12.</t>
        </is>
      </c>
      <c r="F480" s="0" t="n">
        <v>105</v>
      </c>
      <c r="G480" s="0" t="n">
        <v>24</v>
      </c>
      <c r="H480" s="0" t="n">
        <v>79.34</v>
      </c>
      <c r="I480" s="0" t="n">
        <v>18.56</v>
      </c>
      <c r="J480" s="0" t="n">
        <v>61.38</v>
      </c>
      <c r="K480" s="0" t="n">
        <v>60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79</v>
      </c>
      <c r="X480" s="0" t="n">
        <v>5</v>
      </c>
      <c r="Y480" s="0" t="n">
        <v>5</v>
      </c>
      <c r="Z480" s="0" t="inlineStr">
        <is>
          <t>https://new.land.naver.com/complexes/10746?tab=detail&amp;rf=Y</t>
        </is>
      </c>
      <c r="AA480" s="0" t="inlineStr">
        <is>
          <t>인천시 계양구 작전동 854-12</t>
        </is>
      </c>
      <c r="AB480" s="0" t="inlineStr">
        <is>
          <t>인천시</t>
        </is>
      </c>
      <c r="AC480" s="0" t="inlineStr">
        <is>
          <t>계양구</t>
        </is>
      </c>
      <c r="AD480" s="0" t="inlineStr">
        <is>
          <t>작전동</t>
        </is>
      </c>
      <c r="AG480" s="0" t="inlineStr">
        <is>
          <t>인천시 계양구 작전시장로 3</t>
        </is>
      </c>
      <c r="AH480" s="0" t="n">
        <v>0</v>
      </c>
      <c r="AI480" s="0" t="n">
        <v>147</v>
      </c>
      <c r="AJ480" s="0" t="n">
        <v>29</v>
      </c>
      <c r="AK480" s="0" t="n">
        <v>0</v>
      </c>
      <c r="AL480" s="0" t="n">
        <v>0</v>
      </c>
    </row>
    <row r="481">
      <c r="A481" s="0" t="inlineStr">
        <is>
          <t>[작전동]</t>
        </is>
      </c>
      <c r="B481" s="0" t="n">
        <v>10746</v>
      </c>
      <c r="C481" s="0" t="n">
        <v>2</v>
      </c>
      <c r="D481" s="0" t="inlineStr">
        <is>
          <t>동아</t>
        </is>
      </c>
      <c r="E481" s="0" t="inlineStr">
        <is>
          <t>1983.12.</t>
        </is>
      </c>
      <c r="F481" s="0" t="n">
        <v>105</v>
      </c>
      <c r="G481" s="0" t="n">
        <v>25.99</v>
      </c>
      <c r="H481" s="0" t="n">
        <v>85.95</v>
      </c>
      <c r="I481" s="0" t="n">
        <v>20.74</v>
      </c>
      <c r="J481" s="0" t="n">
        <v>68.58</v>
      </c>
      <c r="K481" s="0" t="n">
        <v>30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85</v>
      </c>
      <c r="X481" s="0" t="n">
        <v>5</v>
      </c>
      <c r="Y481" s="0" t="n">
        <v>5</v>
      </c>
      <c r="Z481" s="0" t="inlineStr">
        <is>
          <t>https://new.land.naver.com/complexes/10746?tab=detail&amp;rf=Y</t>
        </is>
      </c>
      <c r="AA481" s="0" t="inlineStr">
        <is>
          <t>인천시 계양구 작전동 854-12</t>
        </is>
      </c>
      <c r="AB481" s="0" t="inlineStr">
        <is>
          <t>인천시</t>
        </is>
      </c>
      <c r="AC481" s="0" t="inlineStr">
        <is>
          <t>계양구</t>
        </is>
      </c>
      <c r="AD481" s="0" t="inlineStr">
        <is>
          <t>작전동</t>
        </is>
      </c>
      <c r="AG481" s="0" t="inlineStr">
        <is>
          <t>인천시 계양구 작전시장로 3</t>
        </is>
      </c>
      <c r="AH481" s="0" t="n">
        <v>0</v>
      </c>
      <c r="AI481" s="0" t="n">
        <v>147</v>
      </c>
      <c r="AJ481" s="0" t="n">
        <v>29</v>
      </c>
      <c r="AK481" s="0" t="n">
        <v>0</v>
      </c>
      <c r="AL481" s="0" t="n">
        <v>0</v>
      </c>
    </row>
    <row r="482">
      <c r="A482" s="0" t="inlineStr">
        <is>
          <t>[작전동]</t>
        </is>
      </c>
      <c r="B482" s="0" t="n">
        <v>10746</v>
      </c>
      <c r="C482" s="0" t="n">
        <v>3</v>
      </c>
      <c r="D482" s="0" t="inlineStr">
        <is>
          <t>동아</t>
        </is>
      </c>
      <c r="E482" s="0" t="inlineStr">
        <is>
          <t>1983.12.</t>
        </is>
      </c>
      <c r="F482" s="0" t="n">
        <v>105</v>
      </c>
      <c r="G482" s="0" t="n">
        <v>26.99</v>
      </c>
      <c r="H482" s="0" t="n">
        <v>89.25</v>
      </c>
      <c r="I482" s="0" t="n">
        <v>21.61</v>
      </c>
      <c r="J482" s="0" t="n">
        <v>71.45999999999999</v>
      </c>
      <c r="K482" s="0" t="n">
        <v>10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89</v>
      </c>
      <c r="X482" s="0" t="n">
        <v>5</v>
      </c>
      <c r="Y482" s="0" t="n">
        <v>5</v>
      </c>
      <c r="Z482" s="0" t="inlineStr">
        <is>
          <t>https://new.land.naver.com/complexes/10746?tab=detail&amp;rf=Y</t>
        </is>
      </c>
      <c r="AA482" s="0" t="inlineStr">
        <is>
          <t>인천시 계양구 작전동 854-12</t>
        </is>
      </c>
      <c r="AB482" s="0" t="inlineStr">
        <is>
          <t>인천시</t>
        </is>
      </c>
      <c r="AC482" s="0" t="inlineStr">
        <is>
          <t>계양구</t>
        </is>
      </c>
      <c r="AD482" s="0" t="inlineStr">
        <is>
          <t>작전동</t>
        </is>
      </c>
      <c r="AG482" s="0" t="inlineStr">
        <is>
          <t>인천시 계양구 작전시장로 3</t>
        </is>
      </c>
      <c r="AH482" s="0" t="n">
        <v>0</v>
      </c>
      <c r="AI482" s="0" t="n">
        <v>147</v>
      </c>
      <c r="AJ482" s="0" t="n">
        <v>29</v>
      </c>
      <c r="AK482" s="0" t="n">
        <v>0</v>
      </c>
      <c r="AL482" s="0" t="n">
        <v>0</v>
      </c>
    </row>
    <row r="483">
      <c r="A483" s="0" t="inlineStr">
        <is>
          <t>[작전동]</t>
        </is>
      </c>
      <c r="B483" s="0" t="n">
        <v>10746</v>
      </c>
      <c r="C483" s="0" t="n">
        <v>4</v>
      </c>
      <c r="D483" s="0" t="inlineStr">
        <is>
          <t>동아</t>
        </is>
      </c>
      <c r="E483" s="0" t="inlineStr">
        <is>
          <t>1983.12.</t>
        </is>
      </c>
      <c r="F483" s="0" t="n">
        <v>105</v>
      </c>
      <c r="G483" s="0" t="n">
        <v>29</v>
      </c>
      <c r="H483" s="0" t="n">
        <v>95.87</v>
      </c>
      <c r="I483" s="0" t="n">
        <v>24.33</v>
      </c>
      <c r="J483" s="0" t="n">
        <v>80.45999999999999</v>
      </c>
      <c r="K483" s="0" t="n">
        <v>5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95</v>
      </c>
      <c r="X483" s="0" t="n">
        <v>5</v>
      </c>
      <c r="Y483" s="0" t="n">
        <v>5</v>
      </c>
      <c r="Z483" s="0" t="inlineStr">
        <is>
          <t>https://new.land.naver.com/complexes/10746?tab=detail&amp;rf=Y</t>
        </is>
      </c>
      <c r="AA483" s="0" t="inlineStr">
        <is>
          <t>인천시 계양구 작전동 854-12</t>
        </is>
      </c>
      <c r="AB483" s="0" t="inlineStr">
        <is>
          <t>인천시</t>
        </is>
      </c>
      <c r="AC483" s="0" t="inlineStr">
        <is>
          <t>계양구</t>
        </is>
      </c>
      <c r="AD483" s="0" t="inlineStr">
        <is>
          <t>작전동</t>
        </is>
      </c>
      <c r="AG483" s="0" t="inlineStr">
        <is>
          <t>인천시 계양구 작전시장로 3</t>
        </is>
      </c>
      <c r="AH483" s="0" t="n">
        <v>0</v>
      </c>
      <c r="AI483" s="0" t="n">
        <v>147</v>
      </c>
      <c r="AJ483" s="0" t="n">
        <v>29</v>
      </c>
      <c r="AK483" s="0" t="n">
        <v>0</v>
      </c>
      <c r="AL483" s="0" t="n">
        <v>0</v>
      </c>
    </row>
    <row r="484">
      <c r="A484" s="0" t="inlineStr">
        <is>
          <t>[작전동]</t>
        </is>
      </c>
      <c r="B484" s="0" t="n">
        <v>8540</v>
      </c>
      <c r="C484" s="0" t="n">
        <v>1</v>
      </c>
      <c r="D484" s="0" t="inlineStr">
        <is>
          <t>동성</t>
        </is>
      </c>
      <c r="E484" s="0" t="inlineStr">
        <is>
          <t>1985.11.</t>
        </is>
      </c>
      <c r="F484" s="0" t="n">
        <v>80</v>
      </c>
      <c r="G484" s="0" t="n">
        <v>19.02</v>
      </c>
      <c r="H484" s="0" t="n">
        <v>62.88</v>
      </c>
      <c r="I484" s="0" t="n">
        <v>14.55</v>
      </c>
      <c r="J484" s="0" t="n">
        <v>48.12</v>
      </c>
      <c r="K484" s="0" t="n">
        <v>80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62</v>
      </c>
      <c r="X484" s="0" t="n">
        <v>5</v>
      </c>
      <c r="Y484" s="0" t="n">
        <v>5</v>
      </c>
      <c r="Z484" s="0" t="inlineStr">
        <is>
          <t>https://new.land.naver.com/complexes/8540?tab=detail&amp;rf=Y</t>
        </is>
      </c>
      <c r="AA484" s="0" t="inlineStr">
        <is>
          <t>인천시 계양구 작전동 869-19</t>
        </is>
      </c>
      <c r="AB484" s="0" t="inlineStr">
        <is>
          <t>인천시</t>
        </is>
      </c>
      <c r="AC484" s="0" t="inlineStr">
        <is>
          <t>계양구</t>
        </is>
      </c>
      <c r="AD484" s="0" t="inlineStr">
        <is>
          <t>작전동</t>
        </is>
      </c>
      <c r="AG484" s="0" t="inlineStr">
        <is>
          <t>인천시 계양구 봉오대로698번길 18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[작전동]</t>
        </is>
      </c>
      <c r="B485" s="0" t="n">
        <v>10235</v>
      </c>
      <c r="C485" s="0" t="n">
        <v>1</v>
      </c>
      <c r="D485" s="0" t="inlineStr">
        <is>
          <t>수정</t>
        </is>
      </c>
      <c r="E485" s="0" t="inlineStr">
        <is>
          <t>1989.12.</t>
        </is>
      </c>
      <c r="F485" s="0" t="n">
        <v>48</v>
      </c>
      <c r="G485" s="0" t="n">
        <v>19.43</v>
      </c>
      <c r="H485" s="0" t="n">
        <v>64.23999999999999</v>
      </c>
      <c r="I485" s="0" t="n">
        <v>14.92</v>
      </c>
      <c r="J485" s="0" t="n">
        <v>49.33</v>
      </c>
      <c r="K485" s="0" t="n">
        <v>36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64</v>
      </c>
      <c r="X485" s="0" t="n">
        <v>6</v>
      </c>
      <c r="Y485" s="0" t="n">
        <v>6</v>
      </c>
      <c r="Z485" s="0" t="inlineStr">
        <is>
          <t>https://new.land.naver.com/complexes/10235?tab=detail&amp;rf=Y</t>
        </is>
      </c>
      <c r="AA485" s="0" t="inlineStr">
        <is>
          <t>인천시 계양구 작전동 445-8</t>
        </is>
      </c>
      <c r="AB485" s="0" t="inlineStr">
        <is>
          <t>인천시</t>
        </is>
      </c>
      <c r="AC485" s="0" t="inlineStr">
        <is>
          <t>계양구</t>
        </is>
      </c>
      <c r="AD485" s="0" t="inlineStr">
        <is>
          <t>작전동</t>
        </is>
      </c>
      <c r="AG485" s="0" t="inlineStr">
        <is>
          <t>인천시 계양구 효서로 222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[작전동]</t>
        </is>
      </c>
      <c r="B486" s="0" t="n">
        <v>10235</v>
      </c>
      <c r="C486" s="0" t="n">
        <v>2</v>
      </c>
      <c r="D486" s="0" t="inlineStr">
        <is>
          <t>수정</t>
        </is>
      </c>
      <c r="E486" s="0" t="inlineStr">
        <is>
          <t>1989.12.</t>
        </is>
      </c>
      <c r="F486" s="0" t="n">
        <v>48</v>
      </c>
      <c r="G486" s="0" t="n">
        <v>20.47</v>
      </c>
      <c r="H486" s="0" t="n">
        <v>67.69</v>
      </c>
      <c r="I486" s="0" t="n">
        <v>15.85</v>
      </c>
      <c r="J486" s="0" t="n">
        <v>52.42</v>
      </c>
      <c r="K486" s="0" t="n">
        <v>12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67</v>
      </c>
      <c r="X486" s="0" t="n">
        <v>6</v>
      </c>
      <c r="Y486" s="0" t="n">
        <v>6</v>
      </c>
      <c r="Z486" s="0" t="inlineStr">
        <is>
          <t>https://new.land.naver.com/complexes/10235?tab=detail&amp;rf=Y</t>
        </is>
      </c>
      <c r="AA486" s="0" t="inlineStr">
        <is>
          <t>인천시 계양구 작전동 445-8</t>
        </is>
      </c>
      <c r="AB486" s="0" t="inlineStr">
        <is>
          <t>인천시</t>
        </is>
      </c>
      <c r="AC486" s="0" t="inlineStr">
        <is>
          <t>계양구</t>
        </is>
      </c>
      <c r="AD486" s="0" t="inlineStr">
        <is>
          <t>작전동</t>
        </is>
      </c>
      <c r="AG486" s="0" t="inlineStr">
        <is>
          <t>인천시 계양구 효서로 222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[작전동]</t>
        </is>
      </c>
      <c r="B487" s="0" t="n">
        <v>2431</v>
      </c>
      <c r="C487" s="0" t="n">
        <v>1</v>
      </c>
      <c r="D487" s="0" t="inlineStr">
        <is>
          <t>유호</t>
        </is>
      </c>
      <c r="E487" s="0" t="inlineStr">
        <is>
          <t>1995.03.</t>
        </is>
      </c>
      <c r="F487" s="0" t="n">
        <v>299</v>
      </c>
      <c r="G487" s="0" t="n">
        <v>24.23</v>
      </c>
      <c r="H487" s="0" t="n">
        <v>80.12</v>
      </c>
      <c r="I487" s="0" t="n">
        <v>18.03</v>
      </c>
      <c r="J487" s="0" t="n">
        <v>59.61</v>
      </c>
      <c r="K487" s="0" t="n">
        <v>125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80</v>
      </c>
      <c r="X487" s="0" t="n">
        <v>18</v>
      </c>
      <c r="Y487" s="0" t="n">
        <v>8</v>
      </c>
      <c r="Z487" s="0" t="inlineStr">
        <is>
          <t>https://new.land.naver.com/complexes/2431?tab=detail&amp;rf=Y</t>
        </is>
      </c>
      <c r="AA487" s="0" t="inlineStr">
        <is>
          <t>인천시 계양구 작전동 381-3</t>
        </is>
      </c>
      <c r="AB487" s="0" t="inlineStr">
        <is>
          <t>인천시</t>
        </is>
      </c>
      <c r="AC487" s="0" t="inlineStr">
        <is>
          <t>계양구</t>
        </is>
      </c>
      <c r="AD487" s="0" t="inlineStr">
        <is>
          <t>작전동</t>
        </is>
      </c>
      <c r="AG487" s="0" t="inlineStr">
        <is>
          <t>인천시 계양구 주부토로363번길 4</t>
        </is>
      </c>
      <c r="AH487" s="0" t="n">
        <v>0</v>
      </c>
      <c r="AI487" s="0" t="n">
        <v>297</v>
      </c>
      <c r="AJ487" s="0" t="n">
        <v>24</v>
      </c>
      <c r="AK487" s="0" t="n">
        <v>219</v>
      </c>
      <c r="AL487" s="0" t="n">
        <v>0.73</v>
      </c>
    </row>
    <row r="488">
      <c r="A488" s="0" t="inlineStr">
        <is>
          <t>[작전동]</t>
        </is>
      </c>
      <c r="B488" s="0" t="n">
        <v>2431</v>
      </c>
      <c r="C488" s="0" t="n">
        <v>2</v>
      </c>
      <c r="D488" s="0" t="inlineStr">
        <is>
          <t>유호</t>
        </is>
      </c>
      <c r="E488" s="0" t="inlineStr">
        <is>
          <t>1995.03.</t>
        </is>
      </c>
      <c r="F488" s="0" t="n">
        <v>299</v>
      </c>
      <c r="G488" s="0" t="n">
        <v>31.93</v>
      </c>
      <c r="H488" s="0" t="n">
        <v>105.58</v>
      </c>
      <c r="I488" s="0" t="n">
        <v>25.69</v>
      </c>
      <c r="J488" s="0" t="n">
        <v>84.94</v>
      </c>
      <c r="K488" s="0" t="n">
        <v>174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105</v>
      </c>
      <c r="X488" s="0" t="n">
        <v>18</v>
      </c>
      <c r="Y488" s="0" t="n">
        <v>8</v>
      </c>
      <c r="Z488" s="0" t="inlineStr">
        <is>
          <t>https://new.land.naver.com/complexes/2431?tab=detail&amp;rf=Y</t>
        </is>
      </c>
      <c r="AA488" s="0" t="inlineStr">
        <is>
          <t>인천시 계양구 작전동 381-3</t>
        </is>
      </c>
      <c r="AB488" s="0" t="inlineStr">
        <is>
          <t>인천시</t>
        </is>
      </c>
      <c r="AC488" s="0" t="inlineStr">
        <is>
          <t>계양구</t>
        </is>
      </c>
      <c r="AD488" s="0" t="inlineStr">
        <is>
          <t>작전동</t>
        </is>
      </c>
      <c r="AG488" s="0" t="inlineStr">
        <is>
          <t>인천시 계양구 주부토로363번길 4</t>
        </is>
      </c>
      <c r="AH488" s="0" t="n">
        <v>0</v>
      </c>
      <c r="AI488" s="0" t="n">
        <v>297</v>
      </c>
      <c r="AJ488" s="0" t="n">
        <v>24</v>
      </c>
      <c r="AK488" s="0" t="n">
        <v>219</v>
      </c>
      <c r="AL488" s="0" t="n">
        <v>0.73</v>
      </c>
    </row>
    <row r="489">
      <c r="A489" s="0" t="inlineStr">
        <is>
          <t>[작전동]</t>
        </is>
      </c>
      <c r="B489" s="0" t="n">
        <v>2254</v>
      </c>
      <c r="C489" s="0" t="n">
        <v>1</v>
      </c>
      <c r="D489" s="0" t="inlineStr">
        <is>
          <t>도두리마을대동</t>
        </is>
      </c>
      <c r="E489" s="0" t="inlineStr">
        <is>
          <t>1997.09.</t>
        </is>
      </c>
      <c r="F489" s="0" t="n">
        <v>1299</v>
      </c>
      <c r="G489" s="0" t="n">
        <v>17.02</v>
      </c>
      <c r="H489" s="0" t="n">
        <v>56.28</v>
      </c>
      <c r="I489" s="0" t="n">
        <v>12.11</v>
      </c>
      <c r="J489" s="0" t="n">
        <v>40.05</v>
      </c>
      <c r="K489" s="0" t="n">
        <v>597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56</v>
      </c>
      <c r="X489" s="0" t="n">
        <v>22</v>
      </c>
      <c r="Y489" s="0" t="n">
        <v>19</v>
      </c>
      <c r="Z489" s="0" t="inlineStr">
        <is>
          <t>https://new.land.naver.com/complexes/2254?tab=detail&amp;rf=Y</t>
        </is>
      </c>
      <c r="AA489" s="0" t="inlineStr">
        <is>
          <t>인천시 계양구 작전동 912-5</t>
        </is>
      </c>
      <c r="AB489" s="0" t="inlineStr">
        <is>
          <t>인천시</t>
        </is>
      </c>
      <c r="AC489" s="0" t="inlineStr">
        <is>
          <t>계양구</t>
        </is>
      </c>
      <c r="AD489" s="0" t="inlineStr">
        <is>
          <t>작전동</t>
        </is>
      </c>
      <c r="AG489" s="0" t="inlineStr">
        <is>
          <t>인천시 계양구 도두리로 74</t>
        </is>
      </c>
      <c r="AH489" s="0" t="n">
        <v>0</v>
      </c>
      <c r="AI489" s="0" t="n">
        <v>249</v>
      </c>
      <c r="AJ489" s="0" t="n">
        <v>18</v>
      </c>
      <c r="AK489" s="0" t="n">
        <v>1331</v>
      </c>
      <c r="AL489" s="0" t="n">
        <v>1.02</v>
      </c>
    </row>
    <row r="490">
      <c r="A490" s="0" t="inlineStr">
        <is>
          <t>[작전동]</t>
        </is>
      </c>
      <c r="B490" s="0" t="n">
        <v>2254</v>
      </c>
      <c r="C490" s="0" t="n">
        <v>2</v>
      </c>
      <c r="D490" s="0" t="inlineStr">
        <is>
          <t>도두리마을대동</t>
        </is>
      </c>
      <c r="E490" s="0" t="inlineStr">
        <is>
          <t>1997.09.</t>
        </is>
      </c>
      <c r="F490" s="0" t="n">
        <v>1299</v>
      </c>
      <c r="G490" s="0" t="n">
        <v>24.47</v>
      </c>
      <c r="H490" s="0" t="n">
        <v>80.91</v>
      </c>
      <c r="I490" s="0" t="n">
        <v>18.1</v>
      </c>
      <c r="J490" s="0" t="n">
        <v>59.84</v>
      </c>
      <c r="K490" s="0" t="n">
        <v>702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80</v>
      </c>
      <c r="X490" s="0" t="n">
        <v>22</v>
      </c>
      <c r="Y490" s="0" t="n">
        <v>19</v>
      </c>
      <c r="Z490" s="0" t="inlineStr">
        <is>
          <t>https://new.land.naver.com/complexes/2254?tab=detail&amp;rf=Y</t>
        </is>
      </c>
      <c r="AA490" s="0" t="inlineStr">
        <is>
          <t>인천시 계양구 작전동 912-5</t>
        </is>
      </c>
      <c r="AB490" s="0" t="inlineStr">
        <is>
          <t>인천시</t>
        </is>
      </c>
      <c r="AC490" s="0" t="inlineStr">
        <is>
          <t>계양구</t>
        </is>
      </c>
      <c r="AD490" s="0" t="inlineStr">
        <is>
          <t>작전동</t>
        </is>
      </c>
      <c r="AG490" s="0" t="inlineStr">
        <is>
          <t>인천시 계양구 도두리로 74</t>
        </is>
      </c>
      <c r="AH490" s="0" t="n">
        <v>0</v>
      </c>
      <c r="AI490" s="0" t="n">
        <v>249</v>
      </c>
      <c r="AJ490" s="0" t="n">
        <v>18</v>
      </c>
      <c r="AK490" s="0" t="n">
        <v>1331</v>
      </c>
      <c r="AL490" s="0" t="n">
        <v>1.02</v>
      </c>
    </row>
    <row r="491">
      <c r="A491" s="0" t="inlineStr">
        <is>
          <t>[작전동]</t>
        </is>
      </c>
      <c r="B491" s="0" t="n">
        <v>8237</v>
      </c>
      <c r="C491" s="0" t="n">
        <v>1</v>
      </c>
      <c r="D491" s="0" t="inlineStr">
        <is>
          <t>작전동보2차</t>
        </is>
      </c>
      <c r="E491" s="0" t="inlineStr">
        <is>
          <t>2000.05.</t>
        </is>
      </c>
      <c r="F491" s="0" t="n">
        <v>502</v>
      </c>
      <c r="G491" s="0" t="n">
        <v>33.97</v>
      </c>
      <c r="H491" s="0" t="n">
        <v>112.3</v>
      </c>
      <c r="I491" s="0" t="n">
        <v>25.69</v>
      </c>
      <c r="J491" s="0" t="n">
        <v>84.94</v>
      </c>
      <c r="K491" s="0" t="n">
        <v>468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112</v>
      </c>
      <c r="X491" s="0" t="n">
        <v>18</v>
      </c>
      <c r="Y491" s="0" t="n">
        <v>17</v>
      </c>
      <c r="Z491" s="0" t="inlineStr">
        <is>
          <t>https://new.land.naver.com/complexes/8237?tab=detail&amp;rf=Y</t>
        </is>
      </c>
      <c r="AA491" s="0" t="inlineStr">
        <is>
          <t>인천시 계양구 작전동 286-1</t>
        </is>
      </c>
      <c r="AB491" s="0" t="inlineStr">
        <is>
          <t>인천시</t>
        </is>
      </c>
      <c r="AC491" s="0" t="inlineStr">
        <is>
          <t>계양구</t>
        </is>
      </c>
      <c r="AD491" s="0" t="inlineStr">
        <is>
          <t>작전동</t>
        </is>
      </c>
      <c r="AG491" s="0" t="inlineStr">
        <is>
          <t>인천시 계양구 장제로663번길 13</t>
        </is>
      </c>
      <c r="AH491" s="0" t="n">
        <v>0</v>
      </c>
      <c r="AI491" s="0" t="n">
        <v>243</v>
      </c>
      <c r="AJ491" s="0" t="n">
        <v>18</v>
      </c>
      <c r="AK491" s="0" t="n">
        <v>618</v>
      </c>
      <c r="AL491" s="0" t="n">
        <v>1.23</v>
      </c>
    </row>
    <row r="492">
      <c r="A492" s="0" t="inlineStr">
        <is>
          <t>[작전동]</t>
        </is>
      </c>
      <c r="B492" s="0" t="n">
        <v>8237</v>
      </c>
      <c r="C492" s="0" t="n">
        <v>2</v>
      </c>
      <c r="D492" s="0" t="inlineStr">
        <is>
          <t>작전동보2차</t>
        </is>
      </c>
      <c r="E492" s="0" t="inlineStr">
        <is>
          <t>2000.05.</t>
        </is>
      </c>
      <c r="F492" s="0" t="n">
        <v>502</v>
      </c>
      <c r="G492" s="0" t="n">
        <v>83.39</v>
      </c>
      <c r="H492" s="0" t="n">
        <v>275.69</v>
      </c>
      <c r="I492" s="0" t="n">
        <v>70.79000000000001</v>
      </c>
      <c r="J492" s="0" t="n">
        <v>234.03</v>
      </c>
      <c r="K492" s="0" t="n">
        <v>34</v>
      </c>
      <c r="T492" s="0" t="n">
        <v>5</v>
      </c>
      <c r="U492" s="0" t="n">
        <v>2</v>
      </c>
      <c r="V492" s="0" t="inlineStr">
        <is>
          <t>계단식</t>
        </is>
      </c>
      <c r="W492" s="0" t="n">
        <v>275</v>
      </c>
      <c r="X492" s="0" t="n">
        <v>18</v>
      </c>
      <c r="Y492" s="0" t="n">
        <v>17</v>
      </c>
      <c r="Z492" s="0" t="inlineStr">
        <is>
          <t>https://new.land.naver.com/complexes/8237?tab=detail&amp;rf=Y</t>
        </is>
      </c>
      <c r="AA492" s="0" t="inlineStr">
        <is>
          <t>인천시 계양구 작전동 286-1</t>
        </is>
      </c>
      <c r="AB492" s="0" t="inlineStr">
        <is>
          <t>인천시</t>
        </is>
      </c>
      <c r="AC492" s="0" t="inlineStr">
        <is>
          <t>계양구</t>
        </is>
      </c>
      <c r="AD492" s="0" t="inlineStr">
        <is>
          <t>작전동</t>
        </is>
      </c>
      <c r="AG492" s="0" t="inlineStr">
        <is>
          <t>인천시 계양구 장제로663번길 13</t>
        </is>
      </c>
      <c r="AH492" s="0" t="n">
        <v>0</v>
      </c>
      <c r="AI492" s="0" t="n">
        <v>243</v>
      </c>
      <c r="AJ492" s="0" t="n">
        <v>18</v>
      </c>
      <c r="AK492" s="0" t="n">
        <v>618</v>
      </c>
      <c r="AL492" s="0" t="n">
        <v>1.23</v>
      </c>
    </row>
    <row r="493">
      <c r="A493" s="0" t="inlineStr">
        <is>
          <t>[작전동]</t>
        </is>
      </c>
      <c r="B493" s="0" t="n">
        <v>8236</v>
      </c>
      <c r="C493" s="0" t="n">
        <v>1</v>
      </c>
      <c r="D493" s="0" t="inlineStr">
        <is>
          <t>동보1차</t>
        </is>
      </c>
      <c r="E493" s="0" t="inlineStr">
        <is>
          <t>1995.04.</t>
        </is>
      </c>
      <c r="F493" s="0" t="n">
        <v>1187</v>
      </c>
      <c r="G493" s="0" t="n">
        <v>24.87</v>
      </c>
      <c r="H493" s="0" t="n">
        <v>82.23999999999999</v>
      </c>
      <c r="I493" s="0" t="n">
        <v>18.15</v>
      </c>
      <c r="J493" s="0" t="n">
        <v>60</v>
      </c>
      <c r="K493" s="0" t="n">
        <v>475</v>
      </c>
      <c r="T493" s="0" t="n">
        <v>3</v>
      </c>
      <c r="U493" s="0" t="n">
        <v>1</v>
      </c>
      <c r="V493" s="0" t="inlineStr">
        <is>
          <t>복도식</t>
        </is>
      </c>
      <c r="W493" s="0" t="n">
        <v>82</v>
      </c>
      <c r="X493" s="0" t="n">
        <v>20</v>
      </c>
      <c r="Y493" s="0" t="n">
        <v>10</v>
      </c>
      <c r="Z493" s="0" t="inlineStr">
        <is>
          <t>https://new.land.naver.com/complexes/8236?tab=detail&amp;rf=Y</t>
        </is>
      </c>
      <c r="AA493" s="0" t="inlineStr">
        <is>
          <t>인천시 계양구 작전동 388-2</t>
        </is>
      </c>
      <c r="AB493" s="0" t="inlineStr">
        <is>
          <t>인천시</t>
        </is>
      </c>
      <c r="AC493" s="0" t="inlineStr">
        <is>
          <t>계양구</t>
        </is>
      </c>
      <c r="AD493" s="0" t="inlineStr">
        <is>
          <t>작전동</t>
        </is>
      </c>
      <c r="AG493" s="0" t="inlineStr">
        <is>
          <t>인천시 계양구 주부토로363번길 27</t>
        </is>
      </c>
      <c r="AH493" s="0" t="n">
        <v>0</v>
      </c>
      <c r="AI493" s="0" t="n">
        <v>295</v>
      </c>
      <c r="AJ493" s="0" t="n">
        <v>18</v>
      </c>
      <c r="AK493" s="0" t="n">
        <v>1272</v>
      </c>
      <c r="AL493" s="0" t="n">
        <v>1.07</v>
      </c>
    </row>
    <row r="494">
      <c r="A494" s="0" t="inlineStr">
        <is>
          <t>[작전동]</t>
        </is>
      </c>
      <c r="B494" s="0" t="n">
        <v>8236</v>
      </c>
      <c r="C494" s="0" t="n">
        <v>2</v>
      </c>
      <c r="D494" s="0" t="inlineStr">
        <is>
          <t>동보1차</t>
        </is>
      </c>
      <c r="E494" s="0" t="inlineStr">
        <is>
          <t>1995.04.</t>
        </is>
      </c>
      <c r="F494" s="0" t="n">
        <v>1187</v>
      </c>
      <c r="G494" s="0" t="n">
        <v>30.95</v>
      </c>
      <c r="H494" s="0" t="n">
        <v>102.32</v>
      </c>
      <c r="I494" s="0" t="n">
        <v>25.58</v>
      </c>
      <c r="J494" s="0" t="n">
        <v>84.58</v>
      </c>
      <c r="K494" s="0" t="n">
        <v>632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102</v>
      </c>
      <c r="X494" s="0" t="n">
        <v>20</v>
      </c>
      <c r="Y494" s="0" t="n">
        <v>10</v>
      </c>
      <c r="Z494" s="0" t="inlineStr">
        <is>
          <t>https://new.land.naver.com/complexes/8236?tab=detail&amp;rf=Y</t>
        </is>
      </c>
      <c r="AA494" s="0" t="inlineStr">
        <is>
          <t>인천시 계양구 작전동 388-2</t>
        </is>
      </c>
      <c r="AB494" s="0" t="inlineStr">
        <is>
          <t>인천시</t>
        </is>
      </c>
      <c r="AC494" s="0" t="inlineStr">
        <is>
          <t>계양구</t>
        </is>
      </c>
      <c r="AD494" s="0" t="inlineStr">
        <is>
          <t>작전동</t>
        </is>
      </c>
      <c r="AG494" s="0" t="inlineStr">
        <is>
          <t>인천시 계양구 주부토로363번길 27</t>
        </is>
      </c>
      <c r="AH494" s="0" t="n">
        <v>0</v>
      </c>
      <c r="AI494" s="0" t="n">
        <v>295</v>
      </c>
      <c r="AJ494" s="0" t="n">
        <v>18</v>
      </c>
      <c r="AK494" s="0" t="n">
        <v>1272</v>
      </c>
      <c r="AL494" s="0" t="n">
        <v>1.07</v>
      </c>
    </row>
    <row r="495">
      <c r="A495" s="0" t="inlineStr">
        <is>
          <t>[작전동]</t>
        </is>
      </c>
      <c r="B495" s="0" t="n">
        <v>8236</v>
      </c>
      <c r="C495" s="0" t="n">
        <v>3</v>
      </c>
      <c r="D495" s="0" t="inlineStr">
        <is>
          <t>동보1차</t>
        </is>
      </c>
      <c r="E495" s="0" t="inlineStr">
        <is>
          <t>1995.04.</t>
        </is>
      </c>
      <c r="F495" s="0" t="n">
        <v>1187</v>
      </c>
      <c r="G495" s="0" t="n">
        <v>41.64</v>
      </c>
      <c r="H495" s="0" t="n">
        <v>137.68</v>
      </c>
      <c r="I495" s="0" t="n">
        <v>35.8</v>
      </c>
      <c r="J495" s="0" t="n">
        <v>118.38</v>
      </c>
      <c r="K495" s="0" t="n">
        <v>80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137</v>
      </c>
      <c r="X495" s="0" t="n">
        <v>20</v>
      </c>
      <c r="Y495" s="0" t="n">
        <v>10</v>
      </c>
      <c r="Z495" s="0" t="inlineStr">
        <is>
          <t>https://new.land.naver.com/complexes/8236?tab=detail&amp;rf=Y</t>
        </is>
      </c>
      <c r="AA495" s="0" t="inlineStr">
        <is>
          <t>인천시 계양구 작전동 388-2</t>
        </is>
      </c>
      <c r="AB495" s="0" t="inlineStr">
        <is>
          <t>인천시</t>
        </is>
      </c>
      <c r="AC495" s="0" t="inlineStr">
        <is>
          <t>계양구</t>
        </is>
      </c>
      <c r="AD495" s="0" t="inlineStr">
        <is>
          <t>작전동</t>
        </is>
      </c>
      <c r="AG495" s="0" t="inlineStr">
        <is>
          <t>인천시 계양구 주부토로363번길 27</t>
        </is>
      </c>
      <c r="AH495" s="0" t="n">
        <v>0</v>
      </c>
      <c r="AI495" s="0" t="n">
        <v>295</v>
      </c>
      <c r="AJ495" s="0" t="n">
        <v>18</v>
      </c>
      <c r="AK495" s="0" t="n">
        <v>1272</v>
      </c>
      <c r="AL495" s="0" t="n">
        <v>1.07</v>
      </c>
    </row>
    <row r="496">
      <c r="A496" s="0" t="inlineStr">
        <is>
          <t>[작전동]</t>
        </is>
      </c>
      <c r="B496" s="0" t="n">
        <v>9192</v>
      </c>
      <c r="C496" s="0" t="n">
        <v>1</v>
      </c>
      <c r="D496" s="0" t="inlineStr">
        <is>
          <t>신진</t>
        </is>
      </c>
      <c r="E496" s="0" t="inlineStr">
        <is>
          <t>1987.12.</t>
        </is>
      </c>
      <c r="F496" s="0" t="n">
        <v>410</v>
      </c>
      <c r="G496" s="0" t="n">
        <v>15.86</v>
      </c>
      <c r="H496" s="0" t="n">
        <v>52.44</v>
      </c>
      <c r="I496" s="0" t="n">
        <v>12.29</v>
      </c>
      <c r="J496" s="0" t="n">
        <v>40.66</v>
      </c>
      <c r="K496" s="0" t="n">
        <v>220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https://new.land.naver.com/complexes/9192?tab=detail&amp;rf=Y</t>
        </is>
      </c>
      <c r="AA496" s="0" t="inlineStr">
        <is>
          <t>인천시 계양구 작전동 140-2</t>
        </is>
      </c>
      <c r="AB496" s="0" t="inlineStr">
        <is>
          <t>인천시</t>
        </is>
      </c>
      <c r="AC496" s="0" t="inlineStr">
        <is>
          <t>계양구</t>
        </is>
      </c>
      <c r="AD496" s="0" t="inlineStr">
        <is>
          <t>작전동</t>
        </is>
      </c>
      <c r="AG496" s="0" t="inlineStr">
        <is>
          <t>인천시 계양구 봉오대로744번길 17</t>
        </is>
      </c>
      <c r="AH496" s="0" t="n">
        <v>0</v>
      </c>
      <c r="AI496" s="0" t="n">
        <v>153</v>
      </c>
      <c r="AJ496" s="0" t="n">
        <v>30</v>
      </c>
      <c r="AK496" s="0" t="n">
        <v>200</v>
      </c>
      <c r="AL496" s="0" t="n">
        <v>0.49</v>
      </c>
    </row>
    <row r="497">
      <c r="A497" s="0" t="inlineStr">
        <is>
          <t>[작전동]</t>
        </is>
      </c>
      <c r="B497" s="0" t="n">
        <v>9192</v>
      </c>
      <c r="C497" s="0" t="n">
        <v>2</v>
      </c>
      <c r="D497" s="0" t="inlineStr">
        <is>
          <t>신진</t>
        </is>
      </c>
      <c r="E497" s="0" t="inlineStr">
        <is>
          <t>1987.12.</t>
        </is>
      </c>
      <c r="F497" s="0" t="n">
        <v>410</v>
      </c>
      <c r="G497" s="0" t="n">
        <v>16.8</v>
      </c>
      <c r="H497" s="0" t="n">
        <v>55.56</v>
      </c>
      <c r="I497" s="0" t="n">
        <v>13.06</v>
      </c>
      <c r="J497" s="0" t="n">
        <v>43.2</v>
      </c>
      <c r="K497" s="0" t="n">
        <v>100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55A</t>
        </is>
      </c>
      <c r="X497" s="0" t="n">
        <v>5</v>
      </c>
      <c r="Y497" s="0" t="n">
        <v>5</v>
      </c>
      <c r="Z497" s="0" t="inlineStr">
        <is>
          <t>https://new.land.naver.com/complexes/9192?tab=detail&amp;rf=Y</t>
        </is>
      </c>
      <c r="AA497" s="0" t="inlineStr">
        <is>
          <t>인천시 계양구 작전동 140-2</t>
        </is>
      </c>
      <c r="AB497" s="0" t="inlineStr">
        <is>
          <t>인천시</t>
        </is>
      </c>
      <c r="AC497" s="0" t="inlineStr">
        <is>
          <t>계양구</t>
        </is>
      </c>
      <c r="AD497" s="0" t="inlineStr">
        <is>
          <t>작전동</t>
        </is>
      </c>
      <c r="AG497" s="0" t="inlineStr">
        <is>
          <t>인천시 계양구 봉오대로744번길 17</t>
        </is>
      </c>
      <c r="AH497" s="0" t="n">
        <v>0</v>
      </c>
      <c r="AI497" s="0" t="n">
        <v>153</v>
      </c>
      <c r="AJ497" s="0" t="n">
        <v>30</v>
      </c>
      <c r="AK497" s="0" t="n">
        <v>200</v>
      </c>
      <c r="AL497" s="0" t="n">
        <v>0.49</v>
      </c>
    </row>
    <row r="498">
      <c r="A498" s="0" t="inlineStr">
        <is>
          <t>[작전동]</t>
        </is>
      </c>
      <c r="B498" s="0" t="n">
        <v>9192</v>
      </c>
      <c r="C498" s="0" t="n">
        <v>3</v>
      </c>
      <c r="D498" s="0" t="inlineStr">
        <is>
          <t>신진</t>
        </is>
      </c>
      <c r="E498" s="0" t="inlineStr">
        <is>
          <t>1987.12.</t>
        </is>
      </c>
      <c r="F498" s="0" t="n">
        <v>410</v>
      </c>
      <c r="G498" s="0" t="n">
        <v>16.69</v>
      </c>
      <c r="H498" s="0" t="n">
        <v>55.19</v>
      </c>
      <c r="I498" s="0" t="n">
        <v>13.11</v>
      </c>
      <c r="J498" s="0" t="n">
        <v>43.36</v>
      </c>
      <c r="K498" s="0" t="n">
        <v>90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55B</t>
        </is>
      </c>
      <c r="X498" s="0" t="n">
        <v>5</v>
      </c>
      <c r="Y498" s="0" t="n">
        <v>5</v>
      </c>
      <c r="Z498" s="0" t="inlineStr">
        <is>
          <t>https://new.land.naver.com/complexes/9192?tab=detail&amp;rf=Y</t>
        </is>
      </c>
      <c r="AA498" s="0" t="inlineStr">
        <is>
          <t>인천시 계양구 작전동 140-2</t>
        </is>
      </c>
      <c r="AB498" s="0" t="inlineStr">
        <is>
          <t>인천시</t>
        </is>
      </c>
      <c r="AC498" s="0" t="inlineStr">
        <is>
          <t>계양구</t>
        </is>
      </c>
      <c r="AD498" s="0" t="inlineStr">
        <is>
          <t>작전동</t>
        </is>
      </c>
      <c r="AG498" s="0" t="inlineStr">
        <is>
          <t>인천시 계양구 봉오대로744번길 17</t>
        </is>
      </c>
      <c r="AH498" s="0" t="n">
        <v>0</v>
      </c>
      <c r="AI498" s="0" t="n">
        <v>153</v>
      </c>
      <c r="AJ498" s="0" t="n">
        <v>30</v>
      </c>
      <c r="AK498" s="0" t="n">
        <v>200</v>
      </c>
      <c r="AL498" s="0" t="n">
        <v>0.49</v>
      </c>
    </row>
    <row r="499">
      <c r="A499" s="0" t="inlineStr">
        <is>
          <t>[작전동]</t>
        </is>
      </c>
      <c r="B499" s="0" t="n">
        <v>22393</v>
      </c>
      <c r="C499" s="0" t="n">
        <v>1</v>
      </c>
      <c r="D499" s="0" t="inlineStr">
        <is>
          <t>팬더(53)</t>
        </is>
      </c>
      <c r="E499" s="0" t="inlineStr">
        <is>
          <t>1989.12.</t>
        </is>
      </c>
      <c r="F499" s="0" t="n">
        <v>100</v>
      </c>
      <c r="G499" s="0" t="n">
        <v>18.94</v>
      </c>
      <c r="H499" s="0" t="n">
        <v>62.62</v>
      </c>
      <c r="I499" s="0" t="n">
        <v>14.29</v>
      </c>
      <c r="J499" s="0" t="n">
        <v>47.24</v>
      </c>
      <c r="K499" s="0" t="n">
        <v>50</v>
      </c>
      <c r="T499" s="0" t="n">
        <v>2</v>
      </c>
      <c r="U499" s="0" t="n">
        <v>1</v>
      </c>
      <c r="V499" s="0" t="inlineStr">
        <is>
          <t>계단식</t>
        </is>
      </c>
      <c r="W499" s="0" t="n">
        <v>62</v>
      </c>
      <c r="X499" s="0" t="n">
        <v>5</v>
      </c>
      <c r="Y499" s="0" t="n">
        <v>5</v>
      </c>
      <c r="Z499" s="0" t="inlineStr">
        <is>
          <t>https://new.land.naver.com/complexes/22393?tab=detail&amp;rf=Y</t>
        </is>
      </c>
      <c r="AA499" s="0" t="inlineStr">
        <is>
          <t>인천시 계양구 작전동 53</t>
        </is>
      </c>
      <c r="AB499" s="0" t="inlineStr">
        <is>
          <t>인천시</t>
        </is>
      </c>
      <c r="AC499" s="0" t="inlineStr">
        <is>
          <t>계양구</t>
        </is>
      </c>
      <c r="AD499" s="0" t="inlineStr">
        <is>
          <t>작전동</t>
        </is>
      </c>
      <c r="AG499" s="0" t="inlineStr">
        <is>
          <t>인천시 계양구 주부토로448번길 2</t>
        </is>
      </c>
      <c r="AH499" s="0" t="n">
        <v>0</v>
      </c>
      <c r="AI499" s="0" t="n">
        <v>171</v>
      </c>
      <c r="AJ499" s="0" t="n">
        <v>34</v>
      </c>
      <c r="AK499" s="0" t="n">
        <v>110</v>
      </c>
      <c r="AL499" s="0" t="n">
        <v>1.1</v>
      </c>
    </row>
    <row r="500">
      <c r="A500" s="0" t="inlineStr">
        <is>
          <t>[작전동]</t>
        </is>
      </c>
      <c r="B500" s="0" t="n">
        <v>22393</v>
      </c>
      <c r="C500" s="0" t="n">
        <v>2</v>
      </c>
      <c r="D500" s="0" t="inlineStr">
        <is>
          <t>팬더(53)</t>
        </is>
      </c>
      <c r="E500" s="0" t="inlineStr">
        <is>
          <t>1989.12.</t>
        </is>
      </c>
      <c r="F500" s="0" t="n">
        <v>100</v>
      </c>
      <c r="G500" s="0" t="n">
        <v>22.83</v>
      </c>
      <c r="H500" s="0" t="n">
        <v>75.48999999999999</v>
      </c>
      <c r="I500" s="0" t="n">
        <v>17.41</v>
      </c>
      <c r="J500" s="0" t="n">
        <v>57.57</v>
      </c>
      <c r="K500" s="0" t="n">
        <v>50</v>
      </c>
      <c r="T500" s="0" t="n">
        <v>3</v>
      </c>
      <c r="U500" s="0" t="n">
        <v>1</v>
      </c>
      <c r="V500" s="0" t="inlineStr">
        <is>
          <t>계단식</t>
        </is>
      </c>
      <c r="W500" s="0" t="n">
        <v>75</v>
      </c>
      <c r="X500" s="0" t="n">
        <v>5</v>
      </c>
      <c r="Y500" s="0" t="n">
        <v>5</v>
      </c>
      <c r="Z500" s="0" t="inlineStr">
        <is>
          <t>https://new.land.naver.com/complexes/22393?tab=detail&amp;rf=Y</t>
        </is>
      </c>
      <c r="AA500" s="0" t="inlineStr">
        <is>
          <t>인천시 계양구 작전동 53</t>
        </is>
      </c>
      <c r="AB500" s="0" t="inlineStr">
        <is>
          <t>인천시</t>
        </is>
      </c>
      <c r="AC500" s="0" t="inlineStr">
        <is>
          <t>계양구</t>
        </is>
      </c>
      <c r="AD500" s="0" t="inlineStr">
        <is>
          <t>작전동</t>
        </is>
      </c>
      <c r="AG500" s="0" t="inlineStr">
        <is>
          <t>인천시 계양구 주부토로448번길 2</t>
        </is>
      </c>
      <c r="AH500" s="0" t="n">
        <v>0</v>
      </c>
      <c r="AI500" s="0" t="n">
        <v>171</v>
      </c>
      <c r="AJ500" s="0" t="n">
        <v>34</v>
      </c>
      <c r="AK500" s="0" t="n">
        <v>110</v>
      </c>
      <c r="AL500" s="0" t="n">
        <v>1.1</v>
      </c>
    </row>
    <row r="501">
      <c r="A501" s="0" t="inlineStr">
        <is>
          <t>[작전동]</t>
        </is>
      </c>
      <c r="B501" s="0" t="n">
        <v>8456</v>
      </c>
      <c r="C501" s="0" t="n">
        <v>1</v>
      </c>
      <c r="D501" s="0" t="inlineStr">
        <is>
          <t>백합</t>
        </is>
      </c>
      <c r="E501" s="0" t="inlineStr">
        <is>
          <t>1985.08.</t>
        </is>
      </c>
      <c r="F501" s="0" t="n">
        <v>45</v>
      </c>
      <c r="G501" s="0" t="n">
        <v>21.78</v>
      </c>
      <c r="H501" s="0" t="n">
        <v>72</v>
      </c>
      <c r="I501" s="0" t="n">
        <v>16.82</v>
      </c>
      <c r="J501" s="0" t="n">
        <v>55.62</v>
      </c>
      <c r="K501" s="0" t="n">
        <v>20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72</v>
      </c>
      <c r="X501" s="0" t="n">
        <v>5</v>
      </c>
      <c r="Y501" s="0" t="n">
        <v>5</v>
      </c>
      <c r="Z501" s="0" t="inlineStr">
        <is>
          <t>https://new.land.naver.com/complexes/8456?tab=detail&amp;rf=Y</t>
        </is>
      </c>
      <c r="AA501" s="0" t="inlineStr">
        <is>
          <t>인천시 계양구 작전동 44</t>
        </is>
      </c>
      <c r="AB501" s="0" t="inlineStr">
        <is>
          <t>인천시</t>
        </is>
      </c>
      <c r="AC501" s="0" t="inlineStr">
        <is>
          <t>계양구</t>
        </is>
      </c>
      <c r="AD501" s="0" t="inlineStr">
        <is>
          <t>작전동</t>
        </is>
      </c>
      <c r="AG501" s="0" t="inlineStr">
        <is>
          <t>인천시 계양구 주부토로 464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[작전동]</t>
        </is>
      </c>
      <c r="B502" s="0" t="n">
        <v>8456</v>
      </c>
      <c r="C502" s="0" t="n">
        <v>2</v>
      </c>
      <c r="D502" s="0" t="inlineStr">
        <is>
          <t>백합</t>
        </is>
      </c>
      <c r="E502" s="0" t="inlineStr">
        <is>
          <t>1985.08.</t>
        </is>
      </c>
      <c r="F502" s="0" t="n">
        <v>45</v>
      </c>
      <c r="G502" s="0" t="n">
        <v>22.86</v>
      </c>
      <c r="H502" s="0" t="n">
        <v>75.59999999999999</v>
      </c>
      <c r="I502" s="0" t="n">
        <v>17.75</v>
      </c>
      <c r="J502" s="0" t="n">
        <v>58.68</v>
      </c>
      <c r="K502" s="0" t="n">
        <v>10</v>
      </c>
      <c r="T502" s="0" t="n">
        <v>3</v>
      </c>
      <c r="U502" s="0" t="n">
        <v>1</v>
      </c>
      <c r="V502" s="0" t="inlineStr">
        <is>
          <t>계단식</t>
        </is>
      </c>
      <c r="W502" s="0" t="n">
        <v>75</v>
      </c>
      <c r="X502" s="0" t="n">
        <v>5</v>
      </c>
      <c r="Y502" s="0" t="n">
        <v>5</v>
      </c>
      <c r="Z502" s="0" t="inlineStr">
        <is>
          <t>https://new.land.naver.com/complexes/8456?tab=detail&amp;rf=Y</t>
        </is>
      </c>
      <c r="AA502" s="0" t="inlineStr">
        <is>
          <t>인천시 계양구 작전동 44</t>
        </is>
      </c>
      <c r="AB502" s="0" t="inlineStr">
        <is>
          <t>인천시</t>
        </is>
      </c>
      <c r="AC502" s="0" t="inlineStr">
        <is>
          <t>계양구</t>
        </is>
      </c>
      <c r="AD502" s="0" t="inlineStr">
        <is>
          <t>작전동</t>
        </is>
      </c>
      <c r="AG502" s="0" t="inlineStr">
        <is>
          <t>인천시 계양구 주부토로 464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[작전동]</t>
        </is>
      </c>
      <c r="B503" s="0" t="n">
        <v>8456</v>
      </c>
      <c r="C503" s="0" t="n">
        <v>3</v>
      </c>
      <c r="D503" s="0" t="inlineStr">
        <is>
          <t>백합</t>
        </is>
      </c>
      <c r="E503" s="0" t="inlineStr">
        <is>
          <t>1985.08.</t>
        </is>
      </c>
      <c r="F503" s="0" t="n">
        <v>45</v>
      </c>
      <c r="G503" s="0" t="n">
        <v>24.04</v>
      </c>
      <c r="H503" s="0" t="n">
        <v>79.48</v>
      </c>
      <c r="I503" s="0" t="n">
        <v>18.73</v>
      </c>
      <c r="J503" s="0" t="n">
        <v>61.92</v>
      </c>
      <c r="K503" s="0" t="n">
        <v>10</v>
      </c>
      <c r="T503" s="0" t="n">
        <v>3</v>
      </c>
      <c r="U503" s="0" t="n">
        <v>1</v>
      </c>
      <c r="V503" s="0" t="inlineStr">
        <is>
          <t>계단식</t>
        </is>
      </c>
      <c r="W503" s="0" t="n">
        <v>79</v>
      </c>
      <c r="X503" s="0" t="n">
        <v>5</v>
      </c>
      <c r="Y503" s="0" t="n">
        <v>5</v>
      </c>
      <c r="Z503" s="0" t="inlineStr">
        <is>
          <t>https://new.land.naver.com/complexes/8456?tab=detail&amp;rf=Y</t>
        </is>
      </c>
      <c r="AA503" s="0" t="inlineStr">
        <is>
          <t>인천시 계양구 작전동 44</t>
        </is>
      </c>
      <c r="AB503" s="0" t="inlineStr">
        <is>
          <t>인천시</t>
        </is>
      </c>
      <c r="AC503" s="0" t="inlineStr">
        <is>
          <t>계양구</t>
        </is>
      </c>
      <c r="AD503" s="0" t="inlineStr">
        <is>
          <t>작전동</t>
        </is>
      </c>
      <c r="AG503" s="0" t="inlineStr">
        <is>
          <t>인천시 계양구 주부토로 464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[작전동]</t>
        </is>
      </c>
      <c r="B504" s="0" t="n">
        <v>8456</v>
      </c>
      <c r="C504" s="0" t="n">
        <v>4</v>
      </c>
      <c r="D504" s="0" t="inlineStr">
        <is>
          <t>백합</t>
        </is>
      </c>
      <c r="E504" s="0" t="inlineStr">
        <is>
          <t>1985.08.</t>
        </is>
      </c>
      <c r="F504" s="0" t="n">
        <v>45</v>
      </c>
      <c r="G504" s="0" t="n">
        <v>24.95</v>
      </c>
      <c r="H504" s="0" t="n">
        <v>82.51000000000001</v>
      </c>
      <c r="I504" s="0" t="n">
        <v>17.69</v>
      </c>
      <c r="J504" s="0" t="n">
        <v>58.5</v>
      </c>
      <c r="K504" s="0" t="n">
        <v>5</v>
      </c>
      <c r="T504" s="0" t="n">
        <v>3</v>
      </c>
      <c r="U504" s="0" t="n">
        <v>1</v>
      </c>
      <c r="V504" s="0" t="inlineStr">
        <is>
          <t>계단식</t>
        </is>
      </c>
      <c r="W504" s="0" t="n">
        <v>82</v>
      </c>
      <c r="X504" s="0" t="n">
        <v>5</v>
      </c>
      <c r="Y504" s="0" t="n">
        <v>5</v>
      </c>
      <c r="Z504" s="0" t="inlineStr">
        <is>
          <t>https://new.land.naver.com/complexes/8456?tab=detail&amp;rf=Y</t>
        </is>
      </c>
      <c r="AA504" s="0" t="inlineStr">
        <is>
          <t>인천시 계양구 작전동 44</t>
        </is>
      </c>
      <c r="AB504" s="0" t="inlineStr">
        <is>
          <t>인천시</t>
        </is>
      </c>
      <c r="AC504" s="0" t="inlineStr">
        <is>
          <t>계양구</t>
        </is>
      </c>
      <c r="AD504" s="0" t="inlineStr">
        <is>
          <t>작전동</t>
        </is>
      </c>
      <c r="AG504" s="0" t="inlineStr">
        <is>
          <t>인천시 계양구 주부토로 464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[작전동]</t>
        </is>
      </c>
      <c r="B505" s="0" t="n">
        <v>25224</v>
      </c>
      <c r="C505" s="0" t="n">
        <v>1</v>
      </c>
      <c r="D505" s="0" t="inlineStr">
        <is>
          <t>우남푸르미아</t>
        </is>
      </c>
      <c r="E505" s="0" t="inlineStr">
        <is>
          <t>2006.10.</t>
        </is>
      </c>
      <c r="F505" s="0" t="n">
        <v>117</v>
      </c>
      <c r="G505" s="0" t="n">
        <v>22.62</v>
      </c>
      <c r="H505" s="0" t="n">
        <v>74.79000000000001</v>
      </c>
      <c r="I505" s="0" t="n">
        <v>18.14</v>
      </c>
      <c r="J505" s="0" t="n">
        <v>59.98</v>
      </c>
      <c r="K505" s="0" t="n">
        <v>27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74</v>
      </c>
      <c r="X505" s="0" t="n">
        <v>15</v>
      </c>
      <c r="Y505" s="0" t="n">
        <v>8</v>
      </c>
      <c r="Z505" s="0" t="inlineStr">
        <is>
          <t>https://new.land.naver.com/complexes/25224?tab=detail&amp;rf=Y</t>
        </is>
      </c>
      <c r="AA505" s="0" t="inlineStr">
        <is>
          <t>인천시 계양구 작전동 863-17</t>
        </is>
      </c>
      <c r="AB505" s="0" t="inlineStr">
        <is>
          <t>인천시</t>
        </is>
      </c>
      <c r="AC505" s="0" t="inlineStr">
        <is>
          <t>계양구</t>
        </is>
      </c>
      <c r="AD505" s="0" t="inlineStr">
        <is>
          <t>작전동</t>
        </is>
      </c>
      <c r="AG505" s="0" t="inlineStr">
        <is>
          <t>인천시 계양구 봉오대로 671</t>
        </is>
      </c>
      <c r="AH505" s="0" t="n">
        <v>0</v>
      </c>
      <c r="AI505" s="0" t="n">
        <v>337</v>
      </c>
      <c r="AJ505" s="0" t="n">
        <v>35</v>
      </c>
      <c r="AK505" s="0" t="n">
        <v>121</v>
      </c>
      <c r="AL505" s="0" t="n">
        <v>1.03</v>
      </c>
    </row>
    <row r="506">
      <c r="A506" s="0" t="inlineStr">
        <is>
          <t>[작전동]</t>
        </is>
      </c>
      <c r="B506" s="0" t="n">
        <v>25224</v>
      </c>
      <c r="C506" s="0" t="n">
        <v>2</v>
      </c>
      <c r="D506" s="0" t="inlineStr">
        <is>
          <t>우남푸르미아</t>
        </is>
      </c>
      <c r="E506" s="0" t="inlineStr">
        <is>
          <t>2006.10.</t>
        </is>
      </c>
      <c r="F506" s="0" t="n">
        <v>117</v>
      </c>
      <c r="G506" s="0" t="n">
        <v>31.68</v>
      </c>
      <c r="H506" s="0" t="n">
        <v>104.73</v>
      </c>
      <c r="I506" s="0" t="n">
        <v>25.62</v>
      </c>
      <c r="J506" s="0" t="n">
        <v>84.72</v>
      </c>
      <c r="K506" s="0" t="n">
        <v>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104A</t>
        </is>
      </c>
      <c r="X506" s="0" t="n">
        <v>15</v>
      </c>
      <c r="Y506" s="0" t="n">
        <v>8</v>
      </c>
      <c r="Z506" s="0" t="inlineStr">
        <is>
          <t>https://new.land.naver.com/complexes/25224?tab=detail&amp;rf=Y</t>
        </is>
      </c>
      <c r="AA506" s="0" t="inlineStr">
        <is>
          <t>인천시 계양구 작전동 863-17</t>
        </is>
      </c>
      <c r="AB506" s="0" t="inlineStr">
        <is>
          <t>인천시</t>
        </is>
      </c>
      <c r="AC506" s="0" t="inlineStr">
        <is>
          <t>계양구</t>
        </is>
      </c>
      <c r="AD506" s="0" t="inlineStr">
        <is>
          <t>작전동</t>
        </is>
      </c>
      <c r="AG506" s="0" t="inlineStr">
        <is>
          <t>인천시 계양구 봉오대로 671</t>
        </is>
      </c>
      <c r="AH506" s="0" t="n">
        <v>0</v>
      </c>
      <c r="AI506" s="0" t="n">
        <v>337</v>
      </c>
      <c r="AJ506" s="0" t="n">
        <v>35</v>
      </c>
      <c r="AK506" s="0" t="n">
        <v>121</v>
      </c>
      <c r="AL506" s="0" t="n">
        <v>1.03</v>
      </c>
    </row>
    <row r="507">
      <c r="A507" s="0" t="inlineStr">
        <is>
          <t>[작전동]</t>
        </is>
      </c>
      <c r="B507" s="0" t="n">
        <v>25224</v>
      </c>
      <c r="C507" s="0" t="n">
        <v>3</v>
      </c>
      <c r="D507" s="0" t="inlineStr">
        <is>
          <t>우남푸르미아</t>
        </is>
      </c>
      <c r="E507" s="0" t="inlineStr">
        <is>
          <t>2006.10.</t>
        </is>
      </c>
      <c r="F507" s="0" t="n">
        <v>117</v>
      </c>
      <c r="G507" s="0" t="n">
        <v>31.85</v>
      </c>
      <c r="H507" s="0" t="n">
        <v>105.3</v>
      </c>
      <c r="I507" s="0" t="n">
        <v>25.69</v>
      </c>
      <c r="J507" s="0" t="n">
        <v>84.93000000000001</v>
      </c>
      <c r="K507" s="0" t="n">
        <v>14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105C</t>
        </is>
      </c>
      <c r="X507" s="0" t="n">
        <v>15</v>
      </c>
      <c r="Y507" s="0" t="n">
        <v>8</v>
      </c>
      <c r="Z507" s="0" t="inlineStr">
        <is>
          <t>https://new.land.naver.com/complexes/25224?tab=detail&amp;rf=Y</t>
        </is>
      </c>
      <c r="AA507" s="0" t="inlineStr">
        <is>
          <t>인천시 계양구 작전동 863-17</t>
        </is>
      </c>
      <c r="AB507" s="0" t="inlineStr">
        <is>
          <t>인천시</t>
        </is>
      </c>
      <c r="AC507" s="0" t="inlineStr">
        <is>
          <t>계양구</t>
        </is>
      </c>
      <c r="AD507" s="0" t="inlineStr">
        <is>
          <t>작전동</t>
        </is>
      </c>
      <c r="AG507" s="0" t="inlineStr">
        <is>
          <t>인천시 계양구 봉오대로 671</t>
        </is>
      </c>
      <c r="AH507" s="0" t="n">
        <v>0</v>
      </c>
      <c r="AI507" s="0" t="n">
        <v>337</v>
      </c>
      <c r="AJ507" s="0" t="n">
        <v>35</v>
      </c>
      <c r="AK507" s="0" t="n">
        <v>121</v>
      </c>
      <c r="AL507" s="0" t="n">
        <v>1.03</v>
      </c>
    </row>
    <row r="508">
      <c r="A508" s="0" t="inlineStr">
        <is>
          <t>[작전동]</t>
        </is>
      </c>
      <c r="B508" s="0" t="n">
        <v>25224</v>
      </c>
      <c r="C508" s="0" t="n">
        <v>4</v>
      </c>
      <c r="D508" s="0" t="inlineStr">
        <is>
          <t>우남푸르미아</t>
        </is>
      </c>
      <c r="E508" s="0" t="inlineStr">
        <is>
          <t>2006.10.</t>
        </is>
      </c>
      <c r="F508" s="0" t="n">
        <v>117</v>
      </c>
      <c r="G508" s="0" t="n">
        <v>31.9</v>
      </c>
      <c r="H508" s="0" t="n">
        <v>105.47</v>
      </c>
      <c r="I508" s="0" t="n">
        <v>25.59</v>
      </c>
      <c r="J508" s="0" t="n">
        <v>84.59999999999999</v>
      </c>
      <c r="K508" s="0" t="n">
        <v>13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105D</t>
        </is>
      </c>
      <c r="X508" s="0" t="n">
        <v>15</v>
      </c>
      <c r="Y508" s="0" t="n">
        <v>8</v>
      </c>
      <c r="Z508" s="0" t="inlineStr">
        <is>
          <t>https://new.land.naver.com/complexes/25224?tab=detail&amp;rf=Y</t>
        </is>
      </c>
      <c r="AA508" s="0" t="inlineStr">
        <is>
          <t>인천시 계양구 작전동 863-17</t>
        </is>
      </c>
      <c r="AB508" s="0" t="inlineStr">
        <is>
          <t>인천시</t>
        </is>
      </c>
      <c r="AC508" s="0" t="inlineStr">
        <is>
          <t>계양구</t>
        </is>
      </c>
      <c r="AD508" s="0" t="inlineStr">
        <is>
          <t>작전동</t>
        </is>
      </c>
      <c r="AG508" s="0" t="inlineStr">
        <is>
          <t>인천시 계양구 봉오대로 671</t>
        </is>
      </c>
      <c r="AH508" s="0" t="n">
        <v>0</v>
      </c>
      <c r="AI508" s="0" t="n">
        <v>337</v>
      </c>
      <c r="AJ508" s="0" t="n">
        <v>35</v>
      </c>
      <c r="AK508" s="0" t="n">
        <v>121</v>
      </c>
      <c r="AL508" s="0" t="n">
        <v>1.03</v>
      </c>
    </row>
    <row r="509">
      <c r="A509" s="0" t="inlineStr">
        <is>
          <t>[작전동]</t>
        </is>
      </c>
      <c r="B509" s="0" t="n">
        <v>25224</v>
      </c>
      <c r="C509" s="0" t="n">
        <v>5</v>
      </c>
      <c r="D509" s="0" t="inlineStr">
        <is>
          <t>우남푸르미아</t>
        </is>
      </c>
      <c r="E509" s="0" t="inlineStr">
        <is>
          <t>2006.10.</t>
        </is>
      </c>
      <c r="F509" s="0" t="n">
        <v>117</v>
      </c>
      <c r="G509" s="0" t="n">
        <v>31.81</v>
      </c>
      <c r="H509" s="0" t="n">
        <v>105.19</v>
      </c>
      <c r="I509" s="0" t="n">
        <v>25.7</v>
      </c>
      <c r="J509" s="0" t="n">
        <v>84.98999999999999</v>
      </c>
      <c r="K509" s="0" t="n">
        <v>11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105B</t>
        </is>
      </c>
      <c r="X509" s="0" t="n">
        <v>15</v>
      </c>
      <c r="Y509" s="0" t="n">
        <v>8</v>
      </c>
      <c r="Z509" s="0" t="inlineStr">
        <is>
          <t>https://new.land.naver.com/complexes/25224?tab=detail&amp;rf=Y</t>
        </is>
      </c>
      <c r="AA509" s="0" t="inlineStr">
        <is>
          <t>인천시 계양구 작전동 863-17</t>
        </is>
      </c>
      <c r="AB509" s="0" t="inlineStr">
        <is>
          <t>인천시</t>
        </is>
      </c>
      <c r="AC509" s="0" t="inlineStr">
        <is>
          <t>계양구</t>
        </is>
      </c>
      <c r="AD509" s="0" t="inlineStr">
        <is>
          <t>작전동</t>
        </is>
      </c>
      <c r="AG509" s="0" t="inlineStr">
        <is>
          <t>인천시 계양구 봉오대로 671</t>
        </is>
      </c>
      <c r="AH509" s="0" t="n">
        <v>0</v>
      </c>
      <c r="AI509" s="0" t="n">
        <v>337</v>
      </c>
      <c r="AJ509" s="0" t="n">
        <v>35</v>
      </c>
      <c r="AK509" s="0" t="n">
        <v>121</v>
      </c>
      <c r="AL509" s="0" t="n">
        <v>1.03</v>
      </c>
    </row>
    <row r="510">
      <c r="A510" s="0" t="inlineStr">
        <is>
          <t>[작전동]</t>
        </is>
      </c>
      <c r="B510" s="0" t="n">
        <v>8784</v>
      </c>
      <c r="C510" s="0" t="n">
        <v>1</v>
      </c>
      <c r="D510" s="0" t="inlineStr">
        <is>
          <t>작전풍림아이원</t>
        </is>
      </c>
      <c r="E510" s="0" t="inlineStr">
        <is>
          <t>2003.01.</t>
        </is>
      </c>
      <c r="F510" s="0" t="n">
        <v>468</v>
      </c>
      <c r="G510" s="0" t="n">
        <v>27.1</v>
      </c>
      <c r="H510" s="0" t="n">
        <v>89.61</v>
      </c>
      <c r="I510" s="0" t="n">
        <v>20.66</v>
      </c>
      <c r="J510" s="0" t="n">
        <v>68.33</v>
      </c>
      <c r="K510" s="0" t="n">
        <v>164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89</v>
      </c>
      <c r="X510" s="0" t="n">
        <v>18</v>
      </c>
      <c r="Y510" s="0" t="n">
        <v>14</v>
      </c>
      <c r="Z510" s="0" t="inlineStr">
        <is>
          <t>https://new.land.naver.com/complexes/8784?tab=detail&amp;rf=Y</t>
        </is>
      </c>
      <c r="AA510" s="0" t="inlineStr">
        <is>
          <t>인천시 계양구 작전동 169</t>
        </is>
      </c>
      <c r="AB510" s="0" t="inlineStr">
        <is>
          <t>인천시</t>
        </is>
      </c>
      <c r="AC510" s="0" t="inlineStr">
        <is>
          <t>계양구</t>
        </is>
      </c>
      <c r="AD510" s="0" t="inlineStr">
        <is>
          <t>작전동</t>
        </is>
      </c>
      <c r="AG510" s="0" t="inlineStr">
        <is>
          <t>인천시 계양구 효서로 324</t>
        </is>
      </c>
      <c r="AH510" s="0" t="n">
        <v>0</v>
      </c>
      <c r="AI510" s="0" t="n">
        <v>247</v>
      </c>
      <c r="AJ510" s="0" t="n">
        <v>19</v>
      </c>
      <c r="AK510" s="0" t="n">
        <v>483</v>
      </c>
      <c r="AL510" s="0" t="n">
        <v>1.03</v>
      </c>
    </row>
    <row r="511">
      <c r="A511" s="0" t="inlineStr">
        <is>
          <t>[작전동]</t>
        </is>
      </c>
      <c r="B511" s="0" t="n">
        <v>8784</v>
      </c>
      <c r="C511" s="0" t="n">
        <v>2</v>
      </c>
      <c r="D511" s="0" t="inlineStr">
        <is>
          <t>작전풍림아이원</t>
        </is>
      </c>
      <c r="E511" s="0" t="inlineStr">
        <is>
          <t>2003.01.</t>
        </is>
      </c>
      <c r="F511" s="0" t="n">
        <v>468</v>
      </c>
      <c r="G511" s="0" t="n">
        <v>33.16</v>
      </c>
      <c r="H511" s="0" t="n">
        <v>109.62</v>
      </c>
      <c r="I511" s="0" t="n">
        <v>25.69</v>
      </c>
      <c r="J511" s="0" t="n">
        <v>84.93000000000001</v>
      </c>
      <c r="K511" s="0" t="n">
        <v>304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109</v>
      </c>
      <c r="X511" s="0" t="n">
        <v>18</v>
      </c>
      <c r="Y511" s="0" t="n">
        <v>14</v>
      </c>
      <c r="Z511" s="0" t="inlineStr">
        <is>
          <t>https://new.land.naver.com/complexes/8784?tab=detail&amp;rf=Y</t>
        </is>
      </c>
      <c r="AA511" s="0" t="inlineStr">
        <is>
          <t>인천시 계양구 작전동 169</t>
        </is>
      </c>
      <c r="AB511" s="0" t="inlineStr">
        <is>
          <t>인천시</t>
        </is>
      </c>
      <c r="AC511" s="0" t="inlineStr">
        <is>
          <t>계양구</t>
        </is>
      </c>
      <c r="AD511" s="0" t="inlineStr">
        <is>
          <t>작전동</t>
        </is>
      </c>
      <c r="AG511" s="0" t="inlineStr">
        <is>
          <t>인천시 계양구 효서로 324</t>
        </is>
      </c>
      <c r="AH511" s="0" t="n">
        <v>0</v>
      </c>
      <c r="AI511" s="0" t="n">
        <v>247</v>
      </c>
      <c r="AJ511" s="0" t="n">
        <v>19</v>
      </c>
      <c r="AK511" s="0" t="n">
        <v>483</v>
      </c>
      <c r="AL511" s="0" t="n">
        <v>1.03</v>
      </c>
    </row>
    <row r="512">
      <c r="A512" s="0" t="inlineStr">
        <is>
          <t>[작전동]</t>
        </is>
      </c>
      <c r="B512" s="0" t="n">
        <v>8232</v>
      </c>
      <c r="C512" s="0" t="n">
        <v>1</v>
      </c>
      <c r="D512" s="0" t="inlineStr">
        <is>
          <t>한국</t>
        </is>
      </c>
      <c r="E512" s="0" t="inlineStr">
        <is>
          <t>1998.03.</t>
        </is>
      </c>
      <c r="F512" s="0" t="n">
        <v>250</v>
      </c>
      <c r="G512" s="0" t="n">
        <v>25.84</v>
      </c>
      <c r="H512" s="0" t="n">
        <v>85.43000000000001</v>
      </c>
      <c r="I512" s="0" t="n">
        <v>18.14</v>
      </c>
      <c r="J512" s="0" t="n">
        <v>59.97</v>
      </c>
      <c r="K512" s="0" t="n">
        <v>152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10</v>
      </c>
      <c r="Z512" s="0" t="inlineStr">
        <is>
          <t>https://new.land.naver.com/complexes/8232?tab=detail&amp;rf=Y</t>
        </is>
      </c>
      <c r="AA512" s="0" t="inlineStr">
        <is>
          <t>인천시 계양구 작전동 79</t>
        </is>
      </c>
      <c r="AB512" s="0" t="inlineStr">
        <is>
          <t>인천시</t>
        </is>
      </c>
      <c r="AC512" s="0" t="inlineStr">
        <is>
          <t>계양구</t>
        </is>
      </c>
      <c r="AD512" s="0" t="inlineStr">
        <is>
          <t>작전동</t>
        </is>
      </c>
      <c r="AG512" s="0" t="inlineStr">
        <is>
          <t>인천시 계양구 봉오대로743번길 9</t>
        </is>
      </c>
      <c r="AH512" s="0" t="n">
        <v>0</v>
      </c>
      <c r="AI512" s="0" t="n">
        <v>271</v>
      </c>
      <c r="AJ512" s="0" t="n">
        <v>20</v>
      </c>
      <c r="AK512" s="0" t="n">
        <v>262</v>
      </c>
      <c r="AL512" s="0" t="n">
        <v>1.05</v>
      </c>
    </row>
    <row r="513">
      <c r="A513" s="0" t="inlineStr">
        <is>
          <t>[작전동]</t>
        </is>
      </c>
      <c r="B513" s="0" t="n">
        <v>8232</v>
      </c>
      <c r="C513" s="0" t="n">
        <v>2</v>
      </c>
      <c r="D513" s="0" t="inlineStr">
        <is>
          <t>한국</t>
        </is>
      </c>
      <c r="E513" s="0" t="inlineStr">
        <is>
          <t>1998.03.</t>
        </is>
      </c>
      <c r="F513" s="0" t="n">
        <v>250</v>
      </c>
      <c r="G513" s="0" t="n">
        <v>32.86</v>
      </c>
      <c r="H513" s="0" t="n">
        <v>108.66</v>
      </c>
      <c r="I513" s="0" t="n">
        <v>25.69</v>
      </c>
      <c r="J513" s="0" t="n">
        <v>84.94</v>
      </c>
      <c r="K513" s="0" t="n">
        <v>98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108</v>
      </c>
      <c r="X513" s="0" t="n">
        <v>18</v>
      </c>
      <c r="Y513" s="0" t="n">
        <v>10</v>
      </c>
      <c r="Z513" s="0" t="inlineStr">
        <is>
          <t>https://new.land.naver.com/complexes/8232?tab=detail&amp;rf=Y</t>
        </is>
      </c>
      <c r="AA513" s="0" t="inlineStr">
        <is>
          <t>인천시 계양구 작전동 79</t>
        </is>
      </c>
      <c r="AB513" s="0" t="inlineStr">
        <is>
          <t>인천시</t>
        </is>
      </c>
      <c r="AC513" s="0" t="inlineStr">
        <is>
          <t>계양구</t>
        </is>
      </c>
      <c r="AD513" s="0" t="inlineStr">
        <is>
          <t>작전동</t>
        </is>
      </c>
      <c r="AG513" s="0" t="inlineStr">
        <is>
          <t>인천시 계양구 봉오대로743번길 9</t>
        </is>
      </c>
      <c r="AH513" s="0" t="n">
        <v>0</v>
      </c>
      <c r="AI513" s="0" t="n">
        <v>271</v>
      </c>
      <c r="AJ513" s="0" t="n">
        <v>20</v>
      </c>
      <c r="AK513" s="0" t="n">
        <v>262</v>
      </c>
      <c r="AL513" s="0" t="n">
        <v>1.05</v>
      </c>
    </row>
    <row r="514">
      <c r="A514" s="0" t="inlineStr">
        <is>
          <t>[작전동]</t>
        </is>
      </c>
      <c r="B514" s="0" t="n">
        <v>10565</v>
      </c>
      <c r="C514" s="0" t="n">
        <v>1</v>
      </c>
      <c r="D514" s="0" t="inlineStr">
        <is>
          <t>영흥</t>
        </is>
      </c>
      <c r="E514" s="0" t="inlineStr">
        <is>
          <t>1985.09.</t>
        </is>
      </c>
      <c r="F514" s="0" t="n">
        <v>45</v>
      </c>
      <c r="G514" s="0" t="n">
        <v>20.3</v>
      </c>
      <c r="H514" s="0" t="n">
        <v>67.13</v>
      </c>
      <c r="I514" s="0" t="n">
        <v>15.3</v>
      </c>
      <c r="J514" s="0" t="n">
        <v>50.58</v>
      </c>
      <c r="K514" s="0" t="n">
        <v>8</v>
      </c>
      <c r="T514" s="0" t="n">
        <v>3</v>
      </c>
      <c r="U514" s="0" t="n">
        <v>1</v>
      </c>
      <c r="V514" s="0" t="inlineStr">
        <is>
          <t>복합식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https://new.land.naver.com/complexes/10565?tab=detail&amp;rf=Y</t>
        </is>
      </c>
      <c r="AA514" s="0" t="inlineStr">
        <is>
          <t>인천시 계양구 작전동 857-18</t>
        </is>
      </c>
      <c r="AB514" s="0" t="inlineStr">
        <is>
          <t>인천시</t>
        </is>
      </c>
      <c r="AC514" s="0" t="inlineStr">
        <is>
          <t>계양구</t>
        </is>
      </c>
      <c r="AD514" s="0" t="inlineStr">
        <is>
          <t>작전동</t>
        </is>
      </c>
      <c r="AG514" s="0" t="inlineStr">
        <is>
          <t>인천시 계양구 주부토로459번길 8-6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[작전동]</t>
        </is>
      </c>
      <c r="B515" s="0" t="n">
        <v>10565</v>
      </c>
      <c r="C515" s="0" t="n">
        <v>2</v>
      </c>
      <c r="D515" s="0" t="inlineStr">
        <is>
          <t>영흥</t>
        </is>
      </c>
      <c r="E515" s="0" t="inlineStr">
        <is>
          <t>1985.09.</t>
        </is>
      </c>
      <c r="F515" s="0" t="n">
        <v>45</v>
      </c>
      <c r="G515" s="0" t="n">
        <v>20.74</v>
      </c>
      <c r="H515" s="0" t="n">
        <v>68.56999999999999</v>
      </c>
      <c r="I515" s="0" t="n">
        <v>15.73</v>
      </c>
      <c r="J515" s="0" t="n">
        <v>52.02</v>
      </c>
      <c r="K515" s="0" t="n">
        <v>32</v>
      </c>
      <c r="T515" s="0" t="n">
        <v>3</v>
      </c>
      <c r="U515" s="0" t="n">
        <v>1</v>
      </c>
      <c r="V515" s="0" t="inlineStr">
        <is>
          <t>복합식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https://new.land.naver.com/complexes/10565?tab=detail&amp;rf=Y</t>
        </is>
      </c>
      <c r="AA515" s="0" t="inlineStr">
        <is>
          <t>인천시 계양구 작전동 857-18</t>
        </is>
      </c>
      <c r="AB515" s="0" t="inlineStr">
        <is>
          <t>인천시</t>
        </is>
      </c>
      <c r="AC515" s="0" t="inlineStr">
        <is>
          <t>계양구</t>
        </is>
      </c>
      <c r="AD515" s="0" t="inlineStr">
        <is>
          <t>작전동</t>
        </is>
      </c>
      <c r="AG515" s="0" t="inlineStr">
        <is>
          <t>인천시 계양구 주부토로459번길 8-6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[작전동]</t>
        </is>
      </c>
      <c r="B516" s="0" t="n">
        <v>10565</v>
      </c>
      <c r="C516" s="0" t="n">
        <v>3</v>
      </c>
      <c r="D516" s="0" t="inlineStr">
        <is>
          <t>영흥</t>
        </is>
      </c>
      <c r="E516" s="0" t="inlineStr">
        <is>
          <t>1985.09.</t>
        </is>
      </c>
      <c r="F516" s="0" t="n">
        <v>45</v>
      </c>
      <c r="G516" s="0" t="n">
        <v>21.99</v>
      </c>
      <c r="H516" s="0" t="n">
        <v>72.70999999999999</v>
      </c>
      <c r="I516" s="0" t="n">
        <v>15.35</v>
      </c>
      <c r="J516" s="0" t="n">
        <v>50.76</v>
      </c>
      <c r="K516" s="0" t="n">
        <v>1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72</v>
      </c>
      <c r="X516" s="0" t="n">
        <v>5</v>
      </c>
      <c r="Y516" s="0" t="n">
        <v>5</v>
      </c>
      <c r="Z516" s="0" t="inlineStr">
        <is>
          <t>https://new.land.naver.com/complexes/10565?tab=detail&amp;rf=Y</t>
        </is>
      </c>
      <c r="AA516" s="0" t="inlineStr">
        <is>
          <t>인천시 계양구 작전동 857-18</t>
        </is>
      </c>
      <c r="AB516" s="0" t="inlineStr">
        <is>
          <t>인천시</t>
        </is>
      </c>
      <c r="AC516" s="0" t="inlineStr">
        <is>
          <t>계양구</t>
        </is>
      </c>
      <c r="AD516" s="0" t="inlineStr">
        <is>
          <t>작전동</t>
        </is>
      </c>
      <c r="AG516" s="0" t="inlineStr">
        <is>
          <t>인천시 계양구 주부토로459번길 8-6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[작전동]</t>
        </is>
      </c>
      <c r="B517" s="0" t="n">
        <v>10565</v>
      </c>
      <c r="C517" s="0" t="n">
        <v>4</v>
      </c>
      <c r="D517" s="0" t="inlineStr">
        <is>
          <t>영흥</t>
        </is>
      </c>
      <c r="E517" s="0" t="inlineStr">
        <is>
          <t>1985.09.</t>
        </is>
      </c>
      <c r="F517" s="0" t="n">
        <v>45</v>
      </c>
      <c r="G517" s="0" t="n">
        <v>22.53</v>
      </c>
      <c r="H517" s="0" t="n">
        <v>74.51000000000001</v>
      </c>
      <c r="I517" s="0" t="n">
        <v>15.89</v>
      </c>
      <c r="J517" s="0" t="n">
        <v>52.56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74</v>
      </c>
      <c r="X517" s="0" t="n">
        <v>5</v>
      </c>
      <c r="Y517" s="0" t="n">
        <v>5</v>
      </c>
      <c r="Z517" s="0" t="inlineStr">
        <is>
          <t>https://new.land.naver.com/complexes/10565?tab=detail&amp;rf=Y</t>
        </is>
      </c>
      <c r="AA517" s="0" t="inlineStr">
        <is>
          <t>인천시 계양구 작전동 857-18</t>
        </is>
      </c>
      <c r="AB517" s="0" t="inlineStr">
        <is>
          <t>인천시</t>
        </is>
      </c>
      <c r="AC517" s="0" t="inlineStr">
        <is>
          <t>계양구</t>
        </is>
      </c>
      <c r="AD517" s="0" t="inlineStr">
        <is>
          <t>작전동</t>
        </is>
      </c>
      <c r="AG517" s="0" t="inlineStr">
        <is>
          <t>인천시 계양구 주부토로459번길 8-6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[작전동]</t>
        </is>
      </c>
      <c r="B518" s="0" t="n">
        <v>10212</v>
      </c>
      <c r="C518" s="0" t="n">
        <v>1</v>
      </c>
      <c r="D518" s="0" t="inlineStr">
        <is>
          <t>한오</t>
        </is>
      </c>
      <c r="E518" s="0" t="inlineStr">
        <is>
          <t>1987.05.</t>
        </is>
      </c>
      <c r="F518" s="0" t="n">
        <v>75</v>
      </c>
      <c r="G518" s="0" t="n">
        <v>14.91</v>
      </c>
      <c r="H518" s="0" t="n">
        <v>49.31</v>
      </c>
      <c r="I518" s="0" t="n">
        <v>10.12</v>
      </c>
      <c r="J518" s="0" t="n">
        <v>33.48</v>
      </c>
      <c r="K518" s="0" t="n">
        <v>5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49A</t>
        </is>
      </c>
      <c r="X518" s="0" t="n">
        <v>5</v>
      </c>
      <c r="Y518" s="0" t="n">
        <v>5</v>
      </c>
      <c r="Z518" s="0" t="inlineStr">
        <is>
          <t>https://new.land.naver.com/complexes/10212?tab=detail&amp;rf=Y</t>
        </is>
      </c>
      <c r="AA518" s="0" t="inlineStr">
        <is>
          <t>인천시 계양구 작전동 862-18</t>
        </is>
      </c>
      <c r="AB518" s="0" t="inlineStr">
        <is>
          <t>인천시</t>
        </is>
      </c>
      <c r="AC518" s="0" t="inlineStr">
        <is>
          <t>계양구</t>
        </is>
      </c>
      <c r="AD518" s="0" t="inlineStr">
        <is>
          <t>작전동</t>
        </is>
      </c>
      <c r="AG518" s="0" t="inlineStr">
        <is>
          <t>인천시 계양구 봉오대로691번길 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[작전동]</t>
        </is>
      </c>
      <c r="B519" s="0" t="n">
        <v>10212</v>
      </c>
      <c r="C519" s="0" t="n">
        <v>2</v>
      </c>
      <c r="D519" s="0" t="inlineStr">
        <is>
          <t>한오</t>
        </is>
      </c>
      <c r="E519" s="0" t="inlineStr">
        <is>
          <t>1987.05.</t>
        </is>
      </c>
      <c r="F519" s="0" t="n">
        <v>75</v>
      </c>
      <c r="G519" s="0" t="n">
        <v>15.23</v>
      </c>
      <c r="H519" s="0" t="n">
        <v>50.37</v>
      </c>
      <c r="I519" s="0" t="n">
        <v>11.67</v>
      </c>
      <c r="J519" s="0" t="n">
        <v>38.61</v>
      </c>
      <c r="K519" s="0" t="n">
        <v>70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50B</t>
        </is>
      </c>
      <c r="X519" s="0" t="n">
        <v>5</v>
      </c>
      <c r="Y519" s="0" t="n">
        <v>5</v>
      </c>
      <c r="Z519" s="0" t="inlineStr">
        <is>
          <t>https://new.land.naver.com/complexes/10212?tab=detail&amp;rf=Y</t>
        </is>
      </c>
      <c r="AA519" s="0" t="inlineStr">
        <is>
          <t>인천시 계양구 작전동 862-18</t>
        </is>
      </c>
      <c r="AB519" s="0" t="inlineStr">
        <is>
          <t>인천시</t>
        </is>
      </c>
      <c r="AC519" s="0" t="inlineStr">
        <is>
          <t>계양구</t>
        </is>
      </c>
      <c r="AD519" s="0" t="inlineStr">
        <is>
          <t>작전동</t>
        </is>
      </c>
      <c r="AG519" s="0" t="inlineStr">
        <is>
          <t>인천시 계양구 봉오대로691번길 7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[작전동]</t>
        </is>
      </c>
      <c r="B520" s="0" t="n">
        <v>2428</v>
      </c>
      <c r="C520" s="0" t="n">
        <v>1</v>
      </c>
      <c r="D520" s="0" t="inlineStr">
        <is>
          <t>미도</t>
        </is>
      </c>
      <c r="E520" s="0" t="inlineStr">
        <is>
          <t>1990.11.</t>
        </is>
      </c>
      <c r="F520" s="0" t="n">
        <v>480</v>
      </c>
      <c r="G520" s="0" t="n">
        <v>24.28</v>
      </c>
      <c r="H520" s="0" t="n">
        <v>80.28</v>
      </c>
      <c r="I520" s="0" t="n">
        <v>18.12</v>
      </c>
      <c r="J520" s="0" t="n">
        <v>59.93</v>
      </c>
      <c r="K520" s="0" t="n">
        <v>90</v>
      </c>
      <c r="T520" s="0" t="n">
        <v>3</v>
      </c>
      <c r="U520" s="0" t="n">
        <v>1</v>
      </c>
      <c r="V520" s="0" t="inlineStr">
        <is>
          <t>복도식</t>
        </is>
      </c>
      <c r="W520" s="0" t="n">
        <v>80</v>
      </c>
      <c r="X520" s="0" t="n">
        <v>15</v>
      </c>
      <c r="Y520" s="0" t="n">
        <v>15</v>
      </c>
      <c r="Z520" s="0" t="inlineStr">
        <is>
          <t>https://new.land.naver.com/complexes/2428?tab=detail&amp;rf=Y</t>
        </is>
      </c>
      <c r="AA520" s="0" t="inlineStr">
        <is>
          <t>인천시 계양구 작전동 420</t>
        </is>
      </c>
      <c r="AB520" s="0" t="inlineStr">
        <is>
          <t>인천시</t>
        </is>
      </c>
      <c r="AC520" s="0" t="inlineStr">
        <is>
          <t>계양구</t>
        </is>
      </c>
      <c r="AD520" s="0" t="inlineStr">
        <is>
          <t>작전동</t>
        </is>
      </c>
      <c r="AG520" s="0" t="inlineStr">
        <is>
          <t>인천시 계양구 아나지로299번길 17</t>
        </is>
      </c>
      <c r="AH520" s="0" t="n">
        <v>0</v>
      </c>
      <c r="AI520" s="0" t="n">
        <v>298</v>
      </c>
      <c r="AJ520" s="0" t="n">
        <v>21</v>
      </c>
      <c r="AK520" s="0" t="n">
        <v>219</v>
      </c>
      <c r="AL520" s="0" t="n">
        <v>0.46</v>
      </c>
    </row>
    <row r="521">
      <c r="A521" s="0" t="inlineStr">
        <is>
          <t>[작전동]</t>
        </is>
      </c>
      <c r="B521" s="0" t="n">
        <v>2428</v>
      </c>
      <c r="C521" s="0" t="n">
        <v>2</v>
      </c>
      <c r="D521" s="0" t="inlineStr">
        <is>
          <t>미도</t>
        </is>
      </c>
      <c r="E521" s="0" t="inlineStr">
        <is>
          <t>1990.11.</t>
        </is>
      </c>
      <c r="F521" s="0" t="n">
        <v>480</v>
      </c>
      <c r="G521" s="0" t="n">
        <v>27.63</v>
      </c>
      <c r="H521" s="0" t="n">
        <v>91.34</v>
      </c>
      <c r="I521" s="0" t="n">
        <v>21.82</v>
      </c>
      <c r="J521" s="0" t="n">
        <v>72.14</v>
      </c>
      <c r="K521" s="0" t="n">
        <v>30</v>
      </c>
      <c r="T521" s="0" t="n">
        <v>3</v>
      </c>
      <c r="U521" s="0" t="n">
        <v>1</v>
      </c>
      <c r="V521" s="0" t="inlineStr">
        <is>
          <t>복도식</t>
        </is>
      </c>
      <c r="W521" s="0" t="n">
        <v>91</v>
      </c>
      <c r="X521" s="0" t="n">
        <v>15</v>
      </c>
      <c r="Y521" s="0" t="n">
        <v>15</v>
      </c>
      <c r="Z521" s="0" t="inlineStr">
        <is>
          <t>https://new.land.naver.com/complexes/2428?tab=detail&amp;rf=Y</t>
        </is>
      </c>
      <c r="AA521" s="0" t="inlineStr">
        <is>
          <t>인천시 계양구 작전동 420</t>
        </is>
      </c>
      <c r="AB521" s="0" t="inlineStr">
        <is>
          <t>인천시</t>
        </is>
      </c>
      <c r="AC521" s="0" t="inlineStr">
        <is>
          <t>계양구</t>
        </is>
      </c>
      <c r="AD521" s="0" t="inlineStr">
        <is>
          <t>작전동</t>
        </is>
      </c>
      <c r="AG521" s="0" t="inlineStr">
        <is>
          <t>인천시 계양구 아나지로299번길 17</t>
        </is>
      </c>
      <c r="AH521" s="0" t="n">
        <v>0</v>
      </c>
      <c r="AI521" s="0" t="n">
        <v>298</v>
      </c>
      <c r="AJ521" s="0" t="n">
        <v>21</v>
      </c>
      <c r="AK521" s="0" t="n">
        <v>219</v>
      </c>
      <c r="AL521" s="0" t="n">
        <v>0.46</v>
      </c>
    </row>
    <row r="522">
      <c r="A522" s="0" t="inlineStr">
        <is>
          <t>[작전동]</t>
        </is>
      </c>
      <c r="B522" s="0" t="n">
        <v>2428</v>
      </c>
      <c r="C522" s="0" t="n">
        <v>3</v>
      </c>
      <c r="D522" s="0" t="inlineStr">
        <is>
          <t>미도</t>
        </is>
      </c>
      <c r="E522" s="0" t="inlineStr">
        <is>
          <t>1990.11.</t>
        </is>
      </c>
      <c r="F522" s="0" t="n">
        <v>480</v>
      </c>
      <c r="G522" s="0" t="n">
        <v>29.62</v>
      </c>
      <c r="H522" s="0" t="n">
        <v>97.93000000000001</v>
      </c>
      <c r="I522" s="0" t="n">
        <v>24.64</v>
      </c>
      <c r="J522" s="0" t="n">
        <v>81.48</v>
      </c>
      <c r="K522" s="0" t="n">
        <v>180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97</v>
      </c>
      <c r="X522" s="0" t="n">
        <v>15</v>
      </c>
      <c r="Y522" s="0" t="n">
        <v>15</v>
      </c>
      <c r="Z522" s="0" t="inlineStr">
        <is>
          <t>https://new.land.naver.com/complexes/2428?tab=detail&amp;rf=Y</t>
        </is>
      </c>
      <c r="AA522" s="0" t="inlineStr">
        <is>
          <t>인천시 계양구 작전동 420</t>
        </is>
      </c>
      <c r="AB522" s="0" t="inlineStr">
        <is>
          <t>인천시</t>
        </is>
      </c>
      <c r="AC522" s="0" t="inlineStr">
        <is>
          <t>계양구</t>
        </is>
      </c>
      <c r="AD522" s="0" t="inlineStr">
        <is>
          <t>작전동</t>
        </is>
      </c>
      <c r="AG522" s="0" t="inlineStr">
        <is>
          <t>인천시 계양구 아나지로299번길 17</t>
        </is>
      </c>
      <c r="AH522" s="0" t="n">
        <v>0</v>
      </c>
      <c r="AI522" s="0" t="n">
        <v>298</v>
      </c>
      <c r="AJ522" s="0" t="n">
        <v>21</v>
      </c>
      <c r="AK522" s="0" t="n">
        <v>219</v>
      </c>
      <c r="AL522" s="0" t="n">
        <v>0.46</v>
      </c>
    </row>
    <row r="523">
      <c r="A523" s="0" t="inlineStr">
        <is>
          <t>[작전동]</t>
        </is>
      </c>
      <c r="B523" s="0" t="n">
        <v>2428</v>
      </c>
      <c r="C523" s="0" t="n">
        <v>4</v>
      </c>
      <c r="D523" s="0" t="inlineStr">
        <is>
          <t>미도</t>
        </is>
      </c>
      <c r="E523" s="0" t="inlineStr">
        <is>
          <t>1990.11.</t>
        </is>
      </c>
      <c r="F523" s="0" t="n">
        <v>480</v>
      </c>
      <c r="G523" s="0" t="n">
        <v>30.61</v>
      </c>
      <c r="H523" s="0" t="n">
        <v>101.22</v>
      </c>
      <c r="I523" s="0" t="n">
        <v>25.69</v>
      </c>
      <c r="J523" s="0" t="n">
        <v>84.95</v>
      </c>
      <c r="K523" s="0" t="n">
        <v>150</v>
      </c>
      <c r="T523" s="0" t="n">
        <v>3</v>
      </c>
      <c r="U523" s="0" t="n">
        <v>1</v>
      </c>
      <c r="V523" s="0" t="inlineStr">
        <is>
          <t>계단식</t>
        </is>
      </c>
      <c r="W523" s="0" t="inlineStr">
        <is>
          <t>101A</t>
        </is>
      </c>
      <c r="X523" s="0" t="n">
        <v>15</v>
      </c>
      <c r="Y523" s="0" t="n">
        <v>15</v>
      </c>
      <c r="Z523" s="0" t="inlineStr">
        <is>
          <t>https://new.land.naver.com/complexes/2428?tab=detail&amp;rf=Y</t>
        </is>
      </c>
      <c r="AA523" s="0" t="inlineStr">
        <is>
          <t>인천시 계양구 작전동 420</t>
        </is>
      </c>
      <c r="AB523" s="0" t="inlineStr">
        <is>
          <t>인천시</t>
        </is>
      </c>
      <c r="AC523" s="0" t="inlineStr">
        <is>
          <t>계양구</t>
        </is>
      </c>
      <c r="AD523" s="0" t="inlineStr">
        <is>
          <t>작전동</t>
        </is>
      </c>
      <c r="AG523" s="0" t="inlineStr">
        <is>
          <t>인천시 계양구 아나지로299번길 17</t>
        </is>
      </c>
      <c r="AH523" s="0" t="n">
        <v>0</v>
      </c>
      <c r="AI523" s="0" t="n">
        <v>298</v>
      </c>
      <c r="AJ523" s="0" t="n">
        <v>21</v>
      </c>
      <c r="AK523" s="0" t="n">
        <v>219</v>
      </c>
      <c r="AL523" s="0" t="n">
        <v>0.46</v>
      </c>
    </row>
    <row r="524">
      <c r="A524" s="0" t="inlineStr">
        <is>
          <t>[작전동]</t>
        </is>
      </c>
      <c r="B524" s="0" t="n">
        <v>2428</v>
      </c>
      <c r="C524" s="0" t="n">
        <v>5</v>
      </c>
      <c r="D524" s="0" t="inlineStr">
        <is>
          <t>미도</t>
        </is>
      </c>
      <c r="E524" s="0" t="inlineStr">
        <is>
          <t>1990.11.</t>
        </is>
      </c>
      <c r="F524" s="0" t="n">
        <v>480</v>
      </c>
      <c r="G524" s="0" t="n">
        <v>30.93</v>
      </c>
      <c r="H524" s="0" t="n">
        <v>102.25</v>
      </c>
      <c r="I524" s="0" t="n">
        <v>24.42</v>
      </c>
      <c r="J524" s="0" t="n">
        <v>80.76000000000001</v>
      </c>
      <c r="K524" s="0" t="n">
        <v>30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102B</t>
        </is>
      </c>
      <c r="X524" s="0" t="n">
        <v>15</v>
      </c>
      <c r="Y524" s="0" t="n">
        <v>15</v>
      </c>
      <c r="Z524" s="0" t="inlineStr">
        <is>
          <t>https://new.land.naver.com/complexes/2428?tab=detail&amp;rf=Y</t>
        </is>
      </c>
      <c r="AA524" s="0" t="inlineStr">
        <is>
          <t>인천시 계양구 작전동 420</t>
        </is>
      </c>
      <c r="AB524" s="0" t="inlineStr">
        <is>
          <t>인천시</t>
        </is>
      </c>
      <c r="AC524" s="0" t="inlineStr">
        <is>
          <t>계양구</t>
        </is>
      </c>
      <c r="AD524" s="0" t="inlineStr">
        <is>
          <t>작전동</t>
        </is>
      </c>
      <c r="AG524" s="0" t="inlineStr">
        <is>
          <t>인천시 계양구 아나지로299번길 17</t>
        </is>
      </c>
      <c r="AH524" s="0" t="n">
        <v>0</v>
      </c>
      <c r="AI524" s="0" t="n">
        <v>298</v>
      </c>
      <c r="AJ524" s="0" t="n">
        <v>21</v>
      </c>
      <c r="AK524" s="0" t="n">
        <v>219</v>
      </c>
      <c r="AL524" s="0" t="n">
        <v>0.46</v>
      </c>
    </row>
    <row r="525">
      <c r="A525" s="0" t="inlineStr">
        <is>
          <t>[작전동]</t>
        </is>
      </c>
      <c r="B525" s="0" t="n">
        <v>9582</v>
      </c>
      <c r="C525" s="0" t="n">
        <v>1</v>
      </c>
      <c r="D525" s="0" t="inlineStr">
        <is>
          <t>성우</t>
        </is>
      </c>
      <c r="E525" s="0" t="inlineStr">
        <is>
          <t>1982.12.</t>
        </is>
      </c>
      <c r="F525" s="0" t="n">
        <v>65</v>
      </c>
      <c r="G525" s="0" t="n">
        <v>18.3</v>
      </c>
      <c r="H525" s="0" t="n">
        <v>60.52</v>
      </c>
      <c r="I525" s="0" t="n">
        <v>15.31</v>
      </c>
      <c r="J525" s="0" t="n">
        <v>50.64</v>
      </c>
      <c r="K525" s="0" t="n">
        <v>2</v>
      </c>
      <c r="T525" s="0" t="n">
        <v>2</v>
      </c>
      <c r="U525" s="0" t="n">
        <v>1</v>
      </c>
      <c r="V525" s="0" t="inlineStr">
        <is>
          <t>계단식</t>
        </is>
      </c>
      <c r="W525" s="0" t="n">
        <v>60</v>
      </c>
      <c r="X525" s="0" t="n">
        <v>5</v>
      </c>
      <c r="Y525" s="0" t="n">
        <v>5</v>
      </c>
      <c r="Z525" s="0" t="inlineStr">
        <is>
          <t>https://new.land.naver.com/complexes/9582?tab=detail&amp;rf=Y</t>
        </is>
      </c>
      <c r="AA525" s="0" t="inlineStr">
        <is>
          <t>인천시 계양구 작전동 869-18</t>
        </is>
      </c>
      <c r="AB525" s="0" t="inlineStr">
        <is>
          <t>인천시</t>
        </is>
      </c>
      <c r="AC525" s="0" t="inlineStr">
        <is>
          <t>계양구</t>
        </is>
      </c>
      <c r="AD525" s="0" t="inlineStr">
        <is>
          <t>작전동</t>
        </is>
      </c>
      <c r="AG525" s="0" t="inlineStr">
        <is>
          <t>인천시 계양구 봉오대로686번길 17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[작전동]</t>
        </is>
      </c>
      <c r="B526" s="0" t="n">
        <v>9582</v>
      </c>
      <c r="C526" s="0" t="n">
        <v>2</v>
      </c>
      <c r="D526" s="0" t="inlineStr">
        <is>
          <t>성우</t>
        </is>
      </c>
      <c r="E526" s="0" t="inlineStr">
        <is>
          <t>1982.12.</t>
        </is>
      </c>
      <c r="F526" s="0" t="n">
        <v>65</v>
      </c>
      <c r="G526" s="0" t="n">
        <v>18.5</v>
      </c>
      <c r="H526" s="0" t="n">
        <v>61.19</v>
      </c>
      <c r="I526" s="0" t="n">
        <v>15.52</v>
      </c>
      <c r="J526" s="0" t="n">
        <v>51.31</v>
      </c>
      <c r="K526" s="0" t="n">
        <v>26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61A</t>
        </is>
      </c>
      <c r="X526" s="0" t="n">
        <v>5</v>
      </c>
      <c r="Y526" s="0" t="n">
        <v>5</v>
      </c>
      <c r="Z526" s="0" t="inlineStr">
        <is>
          <t>https://new.land.naver.com/complexes/9582?tab=detail&amp;rf=Y</t>
        </is>
      </c>
      <c r="AA526" s="0" t="inlineStr">
        <is>
          <t>인천시 계양구 작전동 869-18</t>
        </is>
      </c>
      <c r="AB526" s="0" t="inlineStr">
        <is>
          <t>인천시</t>
        </is>
      </c>
      <c r="AC526" s="0" t="inlineStr">
        <is>
          <t>계양구</t>
        </is>
      </c>
      <c r="AD526" s="0" t="inlineStr">
        <is>
          <t>작전동</t>
        </is>
      </c>
      <c r="AG526" s="0" t="inlineStr">
        <is>
          <t>인천시 계양구 봉오대로686번길 17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[작전동]</t>
        </is>
      </c>
      <c r="B527" s="0" t="n">
        <v>9582</v>
      </c>
      <c r="C527" s="0" t="n">
        <v>3</v>
      </c>
      <c r="D527" s="0" t="inlineStr">
        <is>
          <t>성우</t>
        </is>
      </c>
      <c r="E527" s="0" t="inlineStr">
        <is>
          <t>1982.12.</t>
        </is>
      </c>
      <c r="F527" s="0" t="n">
        <v>65</v>
      </c>
      <c r="G527" s="0" t="n">
        <v>18.56</v>
      </c>
      <c r="H527" s="0" t="n">
        <v>61.38</v>
      </c>
      <c r="I527" s="0" t="n">
        <v>15.54</v>
      </c>
      <c r="J527" s="0" t="n">
        <v>51.4</v>
      </c>
      <c r="K527" s="0" t="n">
        <v>10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61C</t>
        </is>
      </c>
      <c r="X527" s="0" t="n">
        <v>5</v>
      </c>
      <c r="Y527" s="0" t="n">
        <v>5</v>
      </c>
      <c r="Z527" s="0" t="inlineStr">
        <is>
          <t>https://new.land.naver.com/complexes/9582?tab=detail&amp;rf=Y</t>
        </is>
      </c>
      <c r="AA527" s="0" t="inlineStr">
        <is>
          <t>인천시 계양구 작전동 869-18</t>
        </is>
      </c>
      <c r="AB527" s="0" t="inlineStr">
        <is>
          <t>인천시</t>
        </is>
      </c>
      <c r="AC527" s="0" t="inlineStr">
        <is>
          <t>계양구</t>
        </is>
      </c>
      <c r="AD527" s="0" t="inlineStr">
        <is>
          <t>작전동</t>
        </is>
      </c>
      <c r="AG527" s="0" t="inlineStr">
        <is>
          <t>인천시 계양구 봉오대로686번길 17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[작전동]</t>
        </is>
      </c>
      <c r="B528" s="0" t="n">
        <v>9582</v>
      </c>
      <c r="C528" s="0" t="n">
        <v>4</v>
      </c>
      <c r="D528" s="0" t="inlineStr">
        <is>
          <t>성우</t>
        </is>
      </c>
      <c r="E528" s="0" t="inlineStr">
        <is>
          <t>1982.12.</t>
        </is>
      </c>
      <c r="F528" s="0" t="n">
        <v>65</v>
      </c>
      <c r="G528" s="0" t="n">
        <v>18.69</v>
      </c>
      <c r="H528" s="0" t="n">
        <v>61.79</v>
      </c>
      <c r="I528" s="0" t="n">
        <v>15.7</v>
      </c>
      <c r="J528" s="0" t="n">
        <v>51.91</v>
      </c>
      <c r="K528" s="0" t="n">
        <v>2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61D</t>
        </is>
      </c>
      <c r="X528" s="0" t="n">
        <v>5</v>
      </c>
      <c r="Y528" s="0" t="n">
        <v>5</v>
      </c>
      <c r="Z528" s="0" t="inlineStr">
        <is>
          <t>https://new.land.naver.com/complexes/9582?tab=detail&amp;rf=Y</t>
        </is>
      </c>
      <c r="AA528" s="0" t="inlineStr">
        <is>
          <t>인천시 계양구 작전동 869-18</t>
        </is>
      </c>
      <c r="AB528" s="0" t="inlineStr">
        <is>
          <t>인천시</t>
        </is>
      </c>
      <c r="AC528" s="0" t="inlineStr">
        <is>
          <t>계양구</t>
        </is>
      </c>
      <c r="AD528" s="0" t="inlineStr">
        <is>
          <t>작전동</t>
        </is>
      </c>
      <c r="AG528" s="0" t="inlineStr">
        <is>
          <t>인천시 계양구 봉오대로686번길 17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[작전동]</t>
        </is>
      </c>
      <c r="B529" s="0" t="n">
        <v>9582</v>
      </c>
      <c r="C529" s="0" t="n">
        <v>5</v>
      </c>
      <c r="D529" s="0" t="inlineStr">
        <is>
          <t>성우</t>
        </is>
      </c>
      <c r="E529" s="0" t="inlineStr">
        <is>
          <t>1982.12.</t>
        </is>
      </c>
      <c r="F529" s="0" t="n">
        <v>65</v>
      </c>
      <c r="G529" s="0" t="n">
        <v>18.88</v>
      </c>
      <c r="H529" s="0" t="n">
        <v>62.44</v>
      </c>
      <c r="I529" s="0" t="n">
        <v>15.89</v>
      </c>
      <c r="J529" s="0" t="n">
        <v>52.56</v>
      </c>
      <c r="K529" s="0" t="n">
        <v>20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62E</t>
        </is>
      </c>
      <c r="X529" s="0" t="n">
        <v>5</v>
      </c>
      <c r="Y529" s="0" t="n">
        <v>5</v>
      </c>
      <c r="Z529" s="0" t="inlineStr">
        <is>
          <t>https://new.land.naver.com/complexes/9582?tab=detail&amp;rf=Y</t>
        </is>
      </c>
      <c r="AA529" s="0" t="inlineStr">
        <is>
          <t>인천시 계양구 작전동 869-18</t>
        </is>
      </c>
      <c r="AB529" s="0" t="inlineStr">
        <is>
          <t>인천시</t>
        </is>
      </c>
      <c r="AC529" s="0" t="inlineStr">
        <is>
          <t>계양구</t>
        </is>
      </c>
      <c r="AD529" s="0" t="inlineStr">
        <is>
          <t>작전동</t>
        </is>
      </c>
      <c r="AG529" s="0" t="inlineStr">
        <is>
          <t>인천시 계양구 봉오대로686번길 17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[작전동]</t>
        </is>
      </c>
      <c r="B530" s="0" t="n">
        <v>9582</v>
      </c>
      <c r="C530" s="0" t="n">
        <v>6</v>
      </c>
      <c r="D530" s="0" t="inlineStr">
        <is>
          <t>성우</t>
        </is>
      </c>
      <c r="E530" s="0" t="inlineStr">
        <is>
          <t>1982.12.</t>
        </is>
      </c>
      <c r="F530" s="0" t="n">
        <v>65</v>
      </c>
      <c r="G530" s="0" t="n">
        <v>18.96</v>
      </c>
      <c r="H530" s="0" t="n">
        <v>62.71</v>
      </c>
      <c r="I530" s="0" t="n">
        <v>15.93</v>
      </c>
      <c r="J530" s="0" t="n">
        <v>52.69</v>
      </c>
      <c r="K530" s="0" t="n">
        <v>5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https://new.land.naver.com/complexes/9582?tab=detail&amp;rf=Y</t>
        </is>
      </c>
      <c r="AA530" s="0" t="inlineStr">
        <is>
          <t>인천시 계양구 작전동 869-18</t>
        </is>
      </c>
      <c r="AB530" s="0" t="inlineStr">
        <is>
          <t>인천시</t>
        </is>
      </c>
      <c r="AC530" s="0" t="inlineStr">
        <is>
          <t>계양구</t>
        </is>
      </c>
      <c r="AD530" s="0" t="inlineStr">
        <is>
          <t>작전동</t>
        </is>
      </c>
      <c r="AG530" s="0" t="inlineStr">
        <is>
          <t>인천시 계양구 봉오대로686번길 17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[작전동]</t>
        </is>
      </c>
      <c r="B531" s="0" t="n">
        <v>112449</v>
      </c>
      <c r="C531" s="0" t="n">
        <v>1</v>
      </c>
      <c r="D531" s="0" t="inlineStr">
        <is>
          <t>서보한마음(도시형)</t>
        </is>
      </c>
      <c r="E531" s="0" t="inlineStr">
        <is>
          <t>2013.02.</t>
        </is>
      </c>
      <c r="F531" s="0" t="n">
        <v>28</v>
      </c>
      <c r="G531" s="0" t="n">
        <v>17.91</v>
      </c>
      <c r="H531" s="0" t="n">
        <v>59.22</v>
      </c>
      <c r="I531" s="0" t="n">
        <v>14.88</v>
      </c>
      <c r="J531" s="0" t="n">
        <v>49.21</v>
      </c>
      <c r="K531" s="0" t="n">
        <v>28</v>
      </c>
      <c r="T531" s="0" t="n">
        <v>1</v>
      </c>
      <c r="U531" s="0" t="n">
        <v>1</v>
      </c>
      <c r="V531" s="0" t="inlineStr">
        <is>
          <t>계단식</t>
        </is>
      </c>
      <c r="W531" s="0" t="n">
        <v>59</v>
      </c>
      <c r="X531" s="0" t="n">
        <v>9</v>
      </c>
      <c r="Y531" s="0" t="n">
        <v>9</v>
      </c>
      <c r="Z531" s="0" t="inlineStr">
        <is>
          <t>https://new.land.naver.com/complexes/112449?tab=detail&amp;rf=Y</t>
        </is>
      </c>
      <c r="AA531" s="0" t="inlineStr">
        <is>
          <t>인천시 계양구 작전동 858-10</t>
        </is>
      </c>
      <c r="AB531" s="0" t="inlineStr">
        <is>
          <t>인천시</t>
        </is>
      </c>
      <c r="AC531" s="0" t="inlineStr">
        <is>
          <t>계양구</t>
        </is>
      </c>
      <c r="AD531" s="0" t="inlineStr">
        <is>
          <t>작전동</t>
        </is>
      </c>
      <c r="AG531" s="0" t="inlineStr">
        <is>
          <t>인천시 계양구 주부토로 457</t>
        </is>
      </c>
      <c r="AH531" s="0" t="n">
        <v>0</v>
      </c>
      <c r="AI531" s="0" t="n">
        <v>238</v>
      </c>
      <c r="AJ531" s="0" t="n">
        <v>45</v>
      </c>
      <c r="AK531" s="0" t="n">
        <v>21</v>
      </c>
      <c r="AL531" s="0" t="n">
        <v>0.75</v>
      </c>
    </row>
    <row r="532">
      <c r="A532" s="0" t="inlineStr">
        <is>
          <t>[작전동]</t>
        </is>
      </c>
      <c r="B532" s="0" t="n">
        <v>2426</v>
      </c>
      <c r="C532" s="0" t="n">
        <v>1</v>
      </c>
      <c r="D532" s="0" t="inlineStr">
        <is>
          <t>작전뉴서울2차</t>
        </is>
      </c>
      <c r="E532" s="0" t="inlineStr">
        <is>
          <t>1992.11.</t>
        </is>
      </c>
      <c r="F532" s="0" t="n">
        <v>400</v>
      </c>
      <c r="G532" s="0" t="n">
        <v>27.31</v>
      </c>
      <c r="H532" s="0" t="n">
        <v>90.31</v>
      </c>
      <c r="I532" s="0" t="n">
        <v>22.46</v>
      </c>
      <c r="J532" s="0" t="n">
        <v>74.26000000000001</v>
      </c>
      <c r="K532" s="0" t="n">
        <v>80</v>
      </c>
      <c r="T532" s="0" t="n">
        <v>3</v>
      </c>
      <c r="U532" s="0" t="n">
        <v>1</v>
      </c>
      <c r="V532" s="0" t="inlineStr">
        <is>
          <t>계단식</t>
        </is>
      </c>
      <c r="W532" s="0" t="n">
        <v>90</v>
      </c>
      <c r="X532" s="0" t="n">
        <v>20</v>
      </c>
      <c r="Y532" s="0" t="n">
        <v>20</v>
      </c>
      <c r="Z532" s="0" t="inlineStr">
        <is>
          <t>https://new.land.naver.com/complexes/2426?tab=detail&amp;rf=Y</t>
        </is>
      </c>
      <c r="AA532" s="0" t="inlineStr">
        <is>
          <t>인천시 계양구 작전동 26-1</t>
        </is>
      </c>
      <c r="AB532" s="0" t="inlineStr">
        <is>
          <t>인천시</t>
        </is>
      </c>
      <c r="AC532" s="0" t="inlineStr">
        <is>
          <t>계양구</t>
        </is>
      </c>
      <c r="AD532" s="0" t="inlineStr">
        <is>
          <t>작전동</t>
        </is>
      </c>
      <c r="AG532" s="0" t="inlineStr">
        <is>
          <t>인천시 계양구 장제로743번길 14</t>
        </is>
      </c>
      <c r="AH532" s="0" t="n">
        <v>0</v>
      </c>
      <c r="AI532" s="0" t="n">
        <v>592</v>
      </c>
      <c r="AJ532" s="0" t="n">
        <v>37</v>
      </c>
      <c r="AK532" s="0" t="n">
        <v>167</v>
      </c>
      <c r="AL532" s="0" t="n">
        <v>0.42</v>
      </c>
    </row>
    <row r="533">
      <c r="A533" s="0" t="inlineStr">
        <is>
          <t>[작전동]</t>
        </is>
      </c>
      <c r="B533" s="0" t="n">
        <v>2426</v>
      </c>
      <c r="C533" s="0" t="n">
        <v>2</v>
      </c>
      <c r="D533" s="0" t="inlineStr">
        <is>
          <t>작전뉴서울2차</t>
        </is>
      </c>
      <c r="E533" s="0" t="inlineStr">
        <is>
          <t>1992.11.</t>
        </is>
      </c>
      <c r="F533" s="0" t="n">
        <v>400</v>
      </c>
      <c r="G533" s="0" t="n">
        <v>30.3</v>
      </c>
      <c r="H533" s="0" t="n">
        <v>100.18</v>
      </c>
      <c r="I533" s="0" t="n">
        <v>25.49</v>
      </c>
      <c r="J533" s="0" t="n">
        <v>84.27</v>
      </c>
      <c r="K533" s="0" t="n">
        <v>320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100</v>
      </c>
      <c r="X533" s="0" t="n">
        <v>20</v>
      </c>
      <c r="Y533" s="0" t="n">
        <v>20</v>
      </c>
      <c r="Z533" s="0" t="inlineStr">
        <is>
          <t>https://new.land.naver.com/complexes/2426?tab=detail&amp;rf=Y</t>
        </is>
      </c>
      <c r="AA533" s="0" t="inlineStr">
        <is>
          <t>인천시 계양구 작전동 26-1</t>
        </is>
      </c>
      <c r="AB533" s="0" t="inlineStr">
        <is>
          <t>인천시</t>
        </is>
      </c>
      <c r="AC533" s="0" t="inlineStr">
        <is>
          <t>계양구</t>
        </is>
      </c>
      <c r="AD533" s="0" t="inlineStr">
        <is>
          <t>작전동</t>
        </is>
      </c>
      <c r="AG533" s="0" t="inlineStr">
        <is>
          <t>인천시 계양구 장제로743번길 14</t>
        </is>
      </c>
      <c r="AH533" s="0" t="n">
        <v>0</v>
      </c>
      <c r="AI533" s="0" t="n">
        <v>592</v>
      </c>
      <c r="AJ533" s="0" t="n">
        <v>37</v>
      </c>
      <c r="AK533" s="0" t="n">
        <v>167</v>
      </c>
      <c r="AL533" s="0" t="n">
        <v>0.42</v>
      </c>
    </row>
    <row r="534">
      <c r="A534" s="0" t="inlineStr">
        <is>
          <t>[작전동]</t>
        </is>
      </c>
      <c r="B534" s="0" t="n">
        <v>8140</v>
      </c>
      <c r="C534" s="0" t="n">
        <v>1</v>
      </c>
      <c r="D534" s="0" t="inlineStr">
        <is>
          <t>중앙하이츠</t>
        </is>
      </c>
      <c r="E534" s="0" t="inlineStr">
        <is>
          <t>1990.10.</t>
        </is>
      </c>
      <c r="F534" s="0" t="n">
        <v>186</v>
      </c>
      <c r="G534" s="0" t="n">
        <v>18.59</v>
      </c>
      <c r="H534" s="0" t="n">
        <v>61.47</v>
      </c>
      <c r="I534" s="0" t="n">
        <v>13.46</v>
      </c>
      <c r="J534" s="0" t="n">
        <v>44.5</v>
      </c>
      <c r="K534" s="0" t="n">
        <v>93</v>
      </c>
      <c r="T534" s="0" t="n">
        <v>2</v>
      </c>
      <c r="U534" s="0" t="n">
        <v>1</v>
      </c>
      <c r="V534" s="0" t="inlineStr">
        <is>
          <t>복도식</t>
        </is>
      </c>
      <c r="W534" s="0" t="n">
        <v>61</v>
      </c>
      <c r="X534" s="0" t="n">
        <v>15</v>
      </c>
      <c r="Y534" s="0" t="n">
        <v>11</v>
      </c>
      <c r="Z534" s="0" t="inlineStr">
        <is>
          <t>https://new.land.naver.com/complexes/8140?tab=detail&amp;rf=Y</t>
        </is>
      </c>
      <c r="AA534" s="0" t="inlineStr">
        <is>
          <t>인천시 계양구 작전동 99-5</t>
        </is>
      </c>
      <c r="AB534" s="0" t="inlineStr">
        <is>
          <t>인천시</t>
        </is>
      </c>
      <c r="AC534" s="0" t="inlineStr">
        <is>
          <t>계양구</t>
        </is>
      </c>
      <c r="AD534" s="0" t="inlineStr">
        <is>
          <t>작전동</t>
        </is>
      </c>
      <c r="AG534" s="0" t="inlineStr">
        <is>
          <t>인천시 계양구 효서로303번길 20</t>
        </is>
      </c>
      <c r="AH534" s="0" t="n">
        <v>0</v>
      </c>
      <c r="AI534" s="0" t="n">
        <v>301</v>
      </c>
      <c r="AJ534" s="0" t="n">
        <v>24</v>
      </c>
      <c r="AK534" s="0" t="n">
        <v>57</v>
      </c>
      <c r="AL534" s="0" t="n">
        <v>0.31</v>
      </c>
    </row>
    <row r="535">
      <c r="A535" s="0" t="inlineStr">
        <is>
          <t>[작전동]</t>
        </is>
      </c>
      <c r="B535" s="0" t="n">
        <v>8140</v>
      </c>
      <c r="C535" s="0" t="n">
        <v>2</v>
      </c>
      <c r="D535" s="0" t="inlineStr">
        <is>
          <t>중앙하이츠</t>
        </is>
      </c>
      <c r="E535" s="0" t="inlineStr">
        <is>
          <t>1990.10.</t>
        </is>
      </c>
      <c r="F535" s="0" t="n">
        <v>186</v>
      </c>
      <c r="G535" s="0" t="n">
        <v>24.9</v>
      </c>
      <c r="H535" s="0" t="n">
        <v>82.31999999999999</v>
      </c>
      <c r="I535" s="0" t="n">
        <v>18.02</v>
      </c>
      <c r="J535" s="0" t="n">
        <v>59.58</v>
      </c>
      <c r="K535" s="0" t="n">
        <v>93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82</v>
      </c>
      <c r="X535" s="0" t="n">
        <v>15</v>
      </c>
      <c r="Y535" s="0" t="n">
        <v>11</v>
      </c>
      <c r="Z535" s="0" t="inlineStr">
        <is>
          <t>https://new.land.naver.com/complexes/8140?tab=detail&amp;rf=Y</t>
        </is>
      </c>
      <c r="AA535" s="0" t="inlineStr">
        <is>
          <t>인천시 계양구 작전동 99-5</t>
        </is>
      </c>
      <c r="AB535" s="0" t="inlineStr">
        <is>
          <t>인천시</t>
        </is>
      </c>
      <c r="AC535" s="0" t="inlineStr">
        <is>
          <t>계양구</t>
        </is>
      </c>
      <c r="AD535" s="0" t="inlineStr">
        <is>
          <t>작전동</t>
        </is>
      </c>
      <c r="AG535" s="0" t="inlineStr">
        <is>
          <t>인천시 계양구 효서로303번길 20</t>
        </is>
      </c>
      <c r="AH535" s="0" t="n">
        <v>0</v>
      </c>
      <c r="AI535" s="0" t="n">
        <v>301</v>
      </c>
      <c r="AJ535" s="0" t="n">
        <v>24</v>
      </c>
      <c r="AK535" s="0" t="n">
        <v>57</v>
      </c>
      <c r="AL535" s="0" t="n">
        <v>0.31</v>
      </c>
    </row>
    <row r="536">
      <c r="A536" s="0" t="inlineStr">
        <is>
          <t>[작전동]</t>
        </is>
      </c>
      <c r="B536" s="0" t="n">
        <v>9475</v>
      </c>
      <c r="C536" s="0" t="n">
        <v>1</v>
      </c>
      <c r="D536" s="0" t="inlineStr">
        <is>
          <t>한아름</t>
        </is>
      </c>
      <c r="E536" s="0" t="inlineStr">
        <is>
          <t>1991.04.</t>
        </is>
      </c>
      <c r="F536" s="0" t="n">
        <v>150</v>
      </c>
      <c r="G536" s="0" t="n">
        <v>22.18</v>
      </c>
      <c r="H536" s="0" t="n">
        <v>73.34999999999999</v>
      </c>
      <c r="I536" s="0" t="n">
        <v>14.81</v>
      </c>
      <c r="J536" s="0" t="n">
        <v>48.96</v>
      </c>
      <c r="K536" s="0" t="n">
        <v>42</v>
      </c>
      <c r="T536" s="0" t="n">
        <v>3</v>
      </c>
      <c r="U536" s="0" t="n">
        <v>1</v>
      </c>
      <c r="V536" s="0" t="inlineStr">
        <is>
          <t>복도식</t>
        </is>
      </c>
      <c r="W536" s="0" t="n">
        <v>73</v>
      </c>
      <c r="X536" s="0" t="n">
        <v>9</v>
      </c>
      <c r="Y536" s="0" t="n">
        <v>7</v>
      </c>
      <c r="Z536" s="0" t="inlineStr">
        <is>
          <t>https://new.land.naver.com/complexes/9475?tab=detail&amp;rf=Y</t>
        </is>
      </c>
      <c r="AA536" s="0" t="inlineStr">
        <is>
          <t>인천시 계양구 작전동 72-2</t>
        </is>
      </c>
      <c r="AB536" s="0" t="inlineStr">
        <is>
          <t>인천시</t>
        </is>
      </c>
      <c r="AC536" s="0" t="inlineStr">
        <is>
          <t>계양구</t>
        </is>
      </c>
      <c r="AD536" s="0" t="inlineStr">
        <is>
          <t>작전동</t>
        </is>
      </c>
      <c r="AG536" s="0" t="inlineStr">
        <is>
          <t>인천시 계양구 봉오대로743번길 25</t>
        </is>
      </c>
      <c r="AH536" s="0" t="n">
        <v>0</v>
      </c>
      <c r="AI536" s="0" t="n">
        <v>238</v>
      </c>
      <c r="AJ536" s="0" t="n">
        <v>29</v>
      </c>
      <c r="AK536" s="0" t="n">
        <v>48</v>
      </c>
      <c r="AL536" s="0" t="n">
        <v>0.32</v>
      </c>
    </row>
    <row r="537">
      <c r="A537" s="0" t="inlineStr">
        <is>
          <t>[작전동]</t>
        </is>
      </c>
      <c r="B537" s="0" t="n">
        <v>9475</v>
      </c>
      <c r="C537" s="0" t="n">
        <v>2</v>
      </c>
      <c r="D537" s="0" t="inlineStr">
        <is>
          <t>한아름</t>
        </is>
      </c>
      <c r="E537" s="0" t="inlineStr">
        <is>
          <t>1991.04.</t>
        </is>
      </c>
      <c r="F537" s="0" t="n">
        <v>150</v>
      </c>
      <c r="G537" s="0" t="n">
        <v>26.46</v>
      </c>
      <c r="H537" s="0" t="n">
        <v>87.48</v>
      </c>
      <c r="I537" s="0" t="n">
        <v>18.07</v>
      </c>
      <c r="J537" s="0" t="n">
        <v>59.76</v>
      </c>
      <c r="K537" s="0" t="n">
        <v>108</v>
      </c>
      <c r="T537" s="0" t="n">
        <v>3</v>
      </c>
      <c r="U537" s="0" t="n">
        <v>1</v>
      </c>
      <c r="V537" s="0" t="inlineStr">
        <is>
          <t>복도식</t>
        </is>
      </c>
      <c r="W537" s="0" t="n">
        <v>87</v>
      </c>
      <c r="X537" s="0" t="n">
        <v>9</v>
      </c>
      <c r="Y537" s="0" t="n">
        <v>7</v>
      </c>
      <c r="Z537" s="0" t="inlineStr">
        <is>
          <t>https://new.land.naver.com/complexes/9475?tab=detail&amp;rf=Y</t>
        </is>
      </c>
      <c r="AA537" s="0" t="inlineStr">
        <is>
          <t>인천시 계양구 작전동 72-2</t>
        </is>
      </c>
      <c r="AB537" s="0" t="inlineStr">
        <is>
          <t>인천시</t>
        </is>
      </c>
      <c r="AC537" s="0" t="inlineStr">
        <is>
          <t>계양구</t>
        </is>
      </c>
      <c r="AD537" s="0" t="inlineStr">
        <is>
          <t>작전동</t>
        </is>
      </c>
      <c r="AG537" s="0" t="inlineStr">
        <is>
          <t>인천시 계양구 봉오대로743번길 25</t>
        </is>
      </c>
      <c r="AH537" s="0" t="n">
        <v>0</v>
      </c>
      <c r="AI537" s="0" t="n">
        <v>238</v>
      </c>
      <c r="AJ537" s="0" t="n">
        <v>29</v>
      </c>
      <c r="AK537" s="0" t="n">
        <v>48</v>
      </c>
      <c r="AL537" s="0" t="n">
        <v>0.32</v>
      </c>
    </row>
    <row r="538">
      <c r="A538" s="0" t="inlineStr">
        <is>
          <t>[작전동]</t>
        </is>
      </c>
      <c r="B538" s="0" t="n">
        <v>8541</v>
      </c>
      <c r="C538" s="0" t="n">
        <v>1</v>
      </c>
      <c r="D538" s="0" t="inlineStr">
        <is>
          <t>한화</t>
        </is>
      </c>
      <c r="E538" s="0" t="inlineStr">
        <is>
          <t>1998.01.</t>
        </is>
      </c>
      <c r="F538" s="0" t="n">
        <v>179</v>
      </c>
      <c r="G538" s="0" t="n">
        <v>25.19</v>
      </c>
      <c r="H538" s="0" t="n">
        <v>83.29000000000001</v>
      </c>
      <c r="I538" s="0" t="n">
        <v>17.95</v>
      </c>
      <c r="J538" s="0" t="n">
        <v>59.34</v>
      </c>
      <c r="K538" s="0" t="n">
        <v>179</v>
      </c>
      <c r="T538" s="0" t="n">
        <v>3</v>
      </c>
      <c r="U538" s="0" t="n">
        <v>2</v>
      </c>
      <c r="V538" s="0" t="inlineStr">
        <is>
          <t>복도식</t>
        </is>
      </c>
      <c r="W538" s="0" t="n">
        <v>83</v>
      </c>
      <c r="X538" s="0" t="n">
        <v>16</v>
      </c>
      <c r="Y538" s="0" t="n">
        <v>8</v>
      </c>
      <c r="Z538" s="0" t="inlineStr">
        <is>
          <t>https://new.land.naver.com/complexes/8541?tab=detail&amp;rf=Y</t>
        </is>
      </c>
      <c r="AA538" s="0" t="inlineStr">
        <is>
          <t>인천시 계양구 작전동 858</t>
        </is>
      </c>
      <c r="AB538" s="0" t="inlineStr">
        <is>
          <t>인천시</t>
        </is>
      </c>
      <c r="AC538" s="0" t="inlineStr">
        <is>
          <t>계양구</t>
        </is>
      </c>
      <c r="AD538" s="0" t="inlineStr">
        <is>
          <t>작전동</t>
        </is>
      </c>
      <c r="AG538" s="0" t="inlineStr">
        <is>
          <t>인천시 계양구 계산로126번길 27</t>
        </is>
      </c>
      <c r="AH538" s="0" t="n">
        <v>0</v>
      </c>
      <c r="AI538" s="0" t="n">
        <v>254</v>
      </c>
      <c r="AJ538" s="0" t="n">
        <v>29</v>
      </c>
      <c r="AK538" s="0" t="n">
        <v>148</v>
      </c>
      <c r="AL538" s="0" t="n">
        <v>0.83</v>
      </c>
    </row>
    <row r="539">
      <c r="A539" s="0" t="inlineStr">
        <is>
          <t>[작전동]</t>
        </is>
      </c>
      <c r="B539" s="0" t="n">
        <v>11061</v>
      </c>
      <c r="C539" s="0" t="n">
        <v>1</v>
      </c>
      <c r="D539" s="0" t="inlineStr">
        <is>
          <t>현대</t>
        </is>
      </c>
      <c r="E539" s="0" t="inlineStr">
        <is>
          <t>1985.04.</t>
        </is>
      </c>
      <c r="F539" s="0" t="n">
        <v>150</v>
      </c>
      <c r="G539" s="0" t="n">
        <v>21.05</v>
      </c>
      <c r="H539" s="0" t="n">
        <v>69.59999999999999</v>
      </c>
      <c r="I539" s="0" t="n">
        <v>19.2</v>
      </c>
      <c r="J539" s="0" t="n">
        <v>63.49</v>
      </c>
      <c r="K539" s="0" t="n">
        <v>40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69</v>
      </c>
      <c r="X539" s="0" t="n">
        <v>5</v>
      </c>
      <c r="Y539" s="0" t="n">
        <v>5</v>
      </c>
      <c r="Z539" s="0" t="inlineStr">
        <is>
          <t>https://new.land.naver.com/complexes/11061?tab=detail&amp;rf=Y</t>
        </is>
      </c>
      <c r="AA539" s="0" t="inlineStr">
        <is>
          <t>인천시 계양구 작전동 439-3</t>
        </is>
      </c>
      <c r="AB539" s="0" t="inlineStr">
        <is>
          <t>인천시</t>
        </is>
      </c>
      <c r="AC539" s="0" t="inlineStr">
        <is>
          <t>계양구</t>
        </is>
      </c>
      <c r="AD539" s="0" t="inlineStr">
        <is>
          <t>작전동</t>
        </is>
      </c>
      <c r="AG539" s="0" t="inlineStr">
        <is>
          <t>인천시 계양구 효서로 201</t>
        </is>
      </c>
      <c r="AH539" s="0" t="n">
        <v>0</v>
      </c>
      <c r="AI539" s="0" t="n">
        <v>126</v>
      </c>
      <c r="AJ539" s="0" t="n">
        <v>26</v>
      </c>
      <c r="AK539" s="0" t="n">
        <v>0</v>
      </c>
      <c r="AL539" s="0" t="n">
        <v>0</v>
      </c>
    </row>
    <row r="540">
      <c r="A540" s="0" t="inlineStr">
        <is>
          <t>[작전동]</t>
        </is>
      </c>
      <c r="B540" s="0" t="n">
        <v>11061</v>
      </c>
      <c r="C540" s="0" t="n">
        <v>2</v>
      </c>
      <c r="D540" s="0" t="inlineStr">
        <is>
          <t>현대</t>
        </is>
      </c>
      <c r="E540" s="0" t="inlineStr">
        <is>
          <t>1985.04.</t>
        </is>
      </c>
      <c r="F540" s="0" t="n">
        <v>150</v>
      </c>
      <c r="G540" s="0" t="n">
        <v>23.54</v>
      </c>
      <c r="H540" s="0" t="n">
        <v>77.81999999999999</v>
      </c>
      <c r="I540" s="0" t="n">
        <v>21.69</v>
      </c>
      <c r="J540" s="0" t="n">
        <v>71.70999999999999</v>
      </c>
      <c r="K540" s="0" t="n">
        <v>110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77</v>
      </c>
      <c r="X540" s="0" t="n">
        <v>5</v>
      </c>
      <c r="Y540" s="0" t="n">
        <v>5</v>
      </c>
      <c r="Z540" s="0" t="inlineStr">
        <is>
          <t>https://new.land.naver.com/complexes/11061?tab=detail&amp;rf=Y</t>
        </is>
      </c>
      <c r="AA540" s="0" t="inlineStr">
        <is>
          <t>인천시 계양구 작전동 439-3</t>
        </is>
      </c>
      <c r="AB540" s="0" t="inlineStr">
        <is>
          <t>인천시</t>
        </is>
      </c>
      <c r="AC540" s="0" t="inlineStr">
        <is>
          <t>계양구</t>
        </is>
      </c>
      <c r="AD540" s="0" t="inlineStr">
        <is>
          <t>작전동</t>
        </is>
      </c>
      <c r="AG540" s="0" t="inlineStr">
        <is>
          <t>인천시 계양구 효서로 201</t>
        </is>
      </c>
      <c r="AH540" s="0" t="n">
        <v>0</v>
      </c>
      <c r="AI540" s="0" t="n">
        <v>126</v>
      </c>
      <c r="AJ540" s="0" t="n">
        <v>26</v>
      </c>
      <c r="AK540" s="0" t="n">
        <v>0</v>
      </c>
      <c r="AL540" s="0" t="n">
        <v>0</v>
      </c>
    </row>
    <row r="541">
      <c r="A541" s="0" t="inlineStr">
        <is>
          <t>[작전동]</t>
        </is>
      </c>
      <c r="B541" s="0" t="n">
        <v>2439</v>
      </c>
      <c r="C541" s="0" t="n">
        <v>1</v>
      </c>
      <c r="D541" s="0" t="inlineStr">
        <is>
          <t>현대2-1차</t>
        </is>
      </c>
      <c r="E541" s="0" t="inlineStr">
        <is>
          <t>1991.10.</t>
        </is>
      </c>
      <c r="F541" s="0" t="n">
        <v>840</v>
      </c>
      <c r="G541" s="0" t="n">
        <v>28.53</v>
      </c>
      <c r="H541" s="0" t="n">
        <v>94.33</v>
      </c>
      <c r="I541" s="0" t="n">
        <v>23.6</v>
      </c>
      <c r="J541" s="0" t="n">
        <v>78.04000000000001</v>
      </c>
      <c r="K541" s="0" t="n">
        <v>240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94</v>
      </c>
      <c r="X541" s="0" t="n">
        <v>15</v>
      </c>
      <c r="Y541" s="0" t="n">
        <v>15</v>
      </c>
      <c r="Z541" s="0" t="inlineStr">
        <is>
          <t>https://new.land.naver.com/complexes/2439?tab=detail&amp;rf=Y</t>
        </is>
      </c>
      <c r="AA541" s="0" t="inlineStr">
        <is>
          <t>인천시 계양구 작전동 580</t>
        </is>
      </c>
      <c r="AB541" s="0" t="inlineStr">
        <is>
          <t>인천시</t>
        </is>
      </c>
      <c r="AC541" s="0" t="inlineStr">
        <is>
          <t>계양구</t>
        </is>
      </c>
      <c r="AD541" s="0" t="inlineStr">
        <is>
          <t>작전동</t>
        </is>
      </c>
      <c r="AG541" s="0" t="inlineStr">
        <is>
          <t>인천시 계양구 효서로 381</t>
        </is>
      </c>
      <c r="AH541" s="0" t="n">
        <v>0</v>
      </c>
      <c r="AI541" s="0" t="n">
        <v>225</v>
      </c>
      <c r="AJ541" s="0" t="n">
        <v>17</v>
      </c>
      <c r="AK541" s="0" t="n">
        <v>537</v>
      </c>
      <c r="AL541" s="0" t="n">
        <v>0.64</v>
      </c>
    </row>
    <row r="542">
      <c r="A542" s="0" t="inlineStr">
        <is>
          <t>[작전동]</t>
        </is>
      </c>
      <c r="B542" s="0" t="n">
        <v>2439</v>
      </c>
      <c r="C542" s="0" t="n">
        <v>2</v>
      </c>
      <c r="D542" s="0" t="inlineStr">
        <is>
          <t>현대2-1차</t>
        </is>
      </c>
      <c r="E542" s="0" t="inlineStr">
        <is>
          <t>1991.10.</t>
        </is>
      </c>
      <c r="F542" s="0" t="n">
        <v>840</v>
      </c>
      <c r="G542" s="0" t="n">
        <v>30.74</v>
      </c>
      <c r="H542" s="0" t="n">
        <v>101.65</v>
      </c>
      <c r="I542" s="0" t="n">
        <v>25.68</v>
      </c>
      <c r="J542" s="0" t="n">
        <v>84.91</v>
      </c>
      <c r="K542" s="0" t="n">
        <v>120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101A</t>
        </is>
      </c>
      <c r="X542" s="0" t="n">
        <v>15</v>
      </c>
      <c r="Y542" s="0" t="n">
        <v>15</v>
      </c>
      <c r="Z542" s="0" t="inlineStr">
        <is>
          <t>https://new.land.naver.com/complexes/2439?tab=detail&amp;rf=Y</t>
        </is>
      </c>
      <c r="AA542" s="0" t="inlineStr">
        <is>
          <t>인천시 계양구 작전동 580</t>
        </is>
      </c>
      <c r="AB542" s="0" t="inlineStr">
        <is>
          <t>인천시</t>
        </is>
      </c>
      <c r="AC542" s="0" t="inlineStr">
        <is>
          <t>계양구</t>
        </is>
      </c>
      <c r="AD542" s="0" t="inlineStr">
        <is>
          <t>작전동</t>
        </is>
      </c>
      <c r="AG542" s="0" t="inlineStr">
        <is>
          <t>인천시 계양구 효서로 381</t>
        </is>
      </c>
      <c r="AH542" s="0" t="n">
        <v>0</v>
      </c>
      <c r="AI542" s="0" t="n">
        <v>225</v>
      </c>
      <c r="AJ542" s="0" t="n">
        <v>17</v>
      </c>
      <c r="AK542" s="0" t="n">
        <v>537</v>
      </c>
      <c r="AL542" s="0" t="n">
        <v>0.64</v>
      </c>
    </row>
    <row r="543">
      <c r="A543" s="0" t="inlineStr">
        <is>
          <t>[작전동]</t>
        </is>
      </c>
      <c r="B543" s="0" t="n">
        <v>2439</v>
      </c>
      <c r="C543" s="0" t="n">
        <v>3</v>
      </c>
      <c r="D543" s="0" t="inlineStr">
        <is>
          <t>현대2-1차</t>
        </is>
      </c>
      <c r="E543" s="0" t="inlineStr">
        <is>
          <t>1991.10.</t>
        </is>
      </c>
      <c r="F543" s="0" t="n">
        <v>840</v>
      </c>
      <c r="G543" s="0" t="n">
        <v>30.9</v>
      </c>
      <c r="H543" s="0" t="n">
        <v>102.18</v>
      </c>
      <c r="I543" s="0" t="n">
        <v>25.7</v>
      </c>
      <c r="J543" s="0" t="n">
        <v>84.98999999999999</v>
      </c>
      <c r="K543" s="0" t="n">
        <v>480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102B</t>
        </is>
      </c>
      <c r="X543" s="0" t="n">
        <v>15</v>
      </c>
      <c r="Y543" s="0" t="n">
        <v>15</v>
      </c>
      <c r="Z543" s="0" t="inlineStr">
        <is>
          <t>https://new.land.naver.com/complexes/2439?tab=detail&amp;rf=Y</t>
        </is>
      </c>
      <c r="AA543" s="0" t="inlineStr">
        <is>
          <t>인천시 계양구 작전동 580</t>
        </is>
      </c>
      <c r="AB543" s="0" t="inlineStr">
        <is>
          <t>인천시</t>
        </is>
      </c>
      <c r="AC543" s="0" t="inlineStr">
        <is>
          <t>계양구</t>
        </is>
      </c>
      <c r="AD543" s="0" t="inlineStr">
        <is>
          <t>작전동</t>
        </is>
      </c>
      <c r="AG543" s="0" t="inlineStr">
        <is>
          <t>인천시 계양구 효서로 381</t>
        </is>
      </c>
      <c r="AH543" s="0" t="n">
        <v>0</v>
      </c>
      <c r="AI543" s="0" t="n">
        <v>225</v>
      </c>
      <c r="AJ543" s="0" t="n">
        <v>17</v>
      </c>
      <c r="AK543" s="0" t="n">
        <v>537</v>
      </c>
      <c r="AL543" s="0" t="n">
        <v>0.64</v>
      </c>
    </row>
    <row r="544">
      <c r="A544" s="0" t="inlineStr">
        <is>
          <t>[작전동]</t>
        </is>
      </c>
      <c r="B544" s="0" t="n">
        <v>11780</v>
      </c>
      <c r="C544" s="0" t="n">
        <v>1</v>
      </c>
      <c r="D544" s="0" t="inlineStr">
        <is>
          <t>우암센스뷰</t>
        </is>
      </c>
      <c r="E544" s="0" t="inlineStr">
        <is>
          <t>2003.12.</t>
        </is>
      </c>
      <c r="F544" s="0" t="n">
        <v>119</v>
      </c>
      <c r="G544" s="0" t="n">
        <v>32.93</v>
      </c>
      <c r="H544" s="0" t="n">
        <v>108.86</v>
      </c>
      <c r="I544" s="0" t="n">
        <v>17.9</v>
      </c>
      <c r="J544" s="0" t="n">
        <v>59.18</v>
      </c>
      <c r="K544" s="0" t="n">
        <v>104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108</v>
      </c>
      <c r="X544" s="0" t="n">
        <v>15</v>
      </c>
      <c r="Y544" s="0" t="n">
        <v>10</v>
      </c>
      <c r="Z544" s="0" t="inlineStr">
        <is>
          <t>https://new.land.naver.com/complexes/11780?tab=detail&amp;rf=Y</t>
        </is>
      </c>
      <c r="AA544" s="0" t="inlineStr">
        <is>
          <t>인천시 계양구 작전동 857-5</t>
        </is>
      </c>
      <c r="AB544" s="0" t="inlineStr">
        <is>
          <t>인천시</t>
        </is>
      </c>
      <c r="AC544" s="0" t="inlineStr">
        <is>
          <t>계양구</t>
        </is>
      </c>
      <c r="AD544" s="0" t="inlineStr">
        <is>
          <t>작전동</t>
        </is>
      </c>
      <c r="AG544" s="0" t="inlineStr">
        <is>
          <t>인천시 계양구 계산로126번길 19</t>
        </is>
      </c>
      <c r="AH544" s="0" t="n">
        <v>0</v>
      </c>
      <c r="AI544" s="0" t="n">
        <v>322</v>
      </c>
      <c r="AJ544" s="0" t="n">
        <v>27</v>
      </c>
      <c r="AK544" s="0" t="n">
        <v>88</v>
      </c>
      <c r="AL544" s="0" t="n">
        <v>0.74</v>
      </c>
    </row>
    <row r="545">
      <c r="A545" s="0" t="inlineStr">
        <is>
          <t>[작전동]</t>
        </is>
      </c>
      <c r="B545" s="0" t="n">
        <v>11780</v>
      </c>
      <c r="C545" s="0" t="n">
        <v>2</v>
      </c>
      <c r="D545" s="0" t="inlineStr">
        <is>
          <t>우암센스뷰</t>
        </is>
      </c>
      <c r="E545" s="0" t="inlineStr">
        <is>
          <t>2003.12.</t>
        </is>
      </c>
      <c r="F545" s="0" t="n">
        <v>119</v>
      </c>
      <c r="G545" s="0" t="n">
        <v>36.17</v>
      </c>
      <c r="H545" s="0" t="n">
        <v>119.59</v>
      </c>
      <c r="I545" s="0" t="n">
        <v>19.57</v>
      </c>
      <c r="J545" s="0" t="n">
        <v>64.7</v>
      </c>
      <c r="K545" s="0" t="n">
        <v>15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119</v>
      </c>
      <c r="X545" s="0" t="n">
        <v>15</v>
      </c>
      <c r="Y545" s="0" t="n">
        <v>10</v>
      </c>
      <c r="Z545" s="0" t="inlineStr">
        <is>
          <t>https://new.land.naver.com/complexes/11780?tab=detail&amp;rf=Y</t>
        </is>
      </c>
      <c r="AA545" s="0" t="inlineStr">
        <is>
          <t>인천시 계양구 작전동 857-5</t>
        </is>
      </c>
      <c r="AB545" s="0" t="inlineStr">
        <is>
          <t>인천시</t>
        </is>
      </c>
      <c r="AC545" s="0" t="inlineStr">
        <is>
          <t>계양구</t>
        </is>
      </c>
      <c r="AD545" s="0" t="inlineStr">
        <is>
          <t>작전동</t>
        </is>
      </c>
      <c r="AG545" s="0" t="inlineStr">
        <is>
          <t>인천시 계양구 계산로126번길 19</t>
        </is>
      </c>
      <c r="AH545" s="0" t="n">
        <v>0</v>
      </c>
      <c r="AI545" s="0" t="n">
        <v>322</v>
      </c>
      <c r="AJ545" s="0" t="n">
        <v>27</v>
      </c>
      <c r="AK545" s="0" t="n">
        <v>88</v>
      </c>
      <c r="AL545" s="0" t="n">
        <v>0.74</v>
      </c>
    </row>
    <row r="546">
      <c r="A546" s="0" t="inlineStr">
        <is>
          <t>[작전동]</t>
        </is>
      </c>
      <c r="B546" s="0" t="n">
        <v>12004</v>
      </c>
      <c r="C546" s="0" t="n">
        <v>1</v>
      </c>
      <c r="D546" s="0" t="inlineStr">
        <is>
          <t>알토란</t>
        </is>
      </c>
      <c r="E546" s="0" t="inlineStr">
        <is>
          <t>2003.07.</t>
        </is>
      </c>
      <c r="F546" s="0" t="n">
        <v>32</v>
      </c>
      <c r="G546" s="0" t="n">
        <v>24.75</v>
      </c>
      <c r="H546" s="0" t="n">
        <v>81.81999999999999</v>
      </c>
      <c r="I546" s="0" t="n">
        <v>20.12</v>
      </c>
      <c r="J546" s="0" t="n">
        <v>66.52</v>
      </c>
      <c r="K546" s="0" t="n">
        <v>4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81</v>
      </c>
      <c r="X546" s="0" t="n">
        <v>8</v>
      </c>
      <c r="Y546" s="0" t="n">
        <v>8</v>
      </c>
      <c r="Z546" s="0" t="inlineStr">
        <is>
          <t>https://new.land.naver.com/complexes/12004?tab=detail&amp;rf=Y</t>
        </is>
      </c>
      <c r="AA546" s="0" t="inlineStr">
        <is>
          <t>인천시 계양구 작전동 869-11</t>
        </is>
      </c>
      <c r="AB546" s="0" t="inlineStr">
        <is>
          <t>인천시</t>
        </is>
      </c>
      <c r="AC546" s="0" t="inlineStr">
        <is>
          <t>계양구</t>
        </is>
      </c>
      <c r="AD546" s="0" t="inlineStr">
        <is>
          <t>작전동</t>
        </is>
      </c>
      <c r="AG546" s="0" t="inlineStr">
        <is>
          <t>인천시 계양구 봉오대로686번길 5</t>
        </is>
      </c>
      <c r="AH546" s="0" t="n">
        <v>0</v>
      </c>
      <c r="AI546" s="0" t="n">
        <v>235</v>
      </c>
      <c r="AJ546" s="0" t="n">
        <v>30</v>
      </c>
      <c r="AK546" s="0" t="n">
        <v>28</v>
      </c>
      <c r="AL546" s="0" t="n">
        <v>0.88</v>
      </c>
    </row>
    <row r="547">
      <c r="A547" s="0" t="inlineStr">
        <is>
          <t>[작전동]</t>
        </is>
      </c>
      <c r="B547" s="0" t="n">
        <v>12004</v>
      </c>
      <c r="C547" s="0" t="n">
        <v>2</v>
      </c>
      <c r="D547" s="0" t="inlineStr">
        <is>
          <t>알토란</t>
        </is>
      </c>
      <c r="E547" s="0" t="inlineStr">
        <is>
          <t>2003.07.</t>
        </is>
      </c>
      <c r="F547" s="0" t="n">
        <v>32</v>
      </c>
      <c r="G547" s="0" t="n">
        <v>29.7</v>
      </c>
      <c r="H547" s="0" t="n">
        <v>98.20999999999999</v>
      </c>
      <c r="I547" s="0" t="n">
        <v>24.24</v>
      </c>
      <c r="J547" s="0" t="n">
        <v>80.16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98</v>
      </c>
      <c r="X547" s="0" t="n">
        <v>8</v>
      </c>
      <c r="Y547" s="0" t="n">
        <v>8</v>
      </c>
      <c r="Z547" s="0" t="inlineStr">
        <is>
          <t>https://new.land.naver.com/complexes/12004?tab=detail&amp;rf=Y</t>
        </is>
      </c>
      <c r="AA547" s="0" t="inlineStr">
        <is>
          <t>인천시 계양구 작전동 869-11</t>
        </is>
      </c>
      <c r="AB547" s="0" t="inlineStr">
        <is>
          <t>인천시</t>
        </is>
      </c>
      <c r="AC547" s="0" t="inlineStr">
        <is>
          <t>계양구</t>
        </is>
      </c>
      <c r="AD547" s="0" t="inlineStr">
        <is>
          <t>작전동</t>
        </is>
      </c>
      <c r="AG547" s="0" t="inlineStr">
        <is>
          <t>인천시 계양구 봉오대로686번길 5</t>
        </is>
      </c>
      <c r="AH547" s="0" t="n">
        <v>0</v>
      </c>
      <c r="AI547" s="0" t="n">
        <v>235</v>
      </c>
      <c r="AJ547" s="0" t="n">
        <v>30</v>
      </c>
      <c r="AK547" s="0" t="n">
        <v>28</v>
      </c>
      <c r="AL547" s="0" t="n">
        <v>0.88</v>
      </c>
    </row>
    <row r="548">
      <c r="A548" s="0" t="inlineStr">
        <is>
          <t>[작전동]</t>
        </is>
      </c>
      <c r="B548" s="0" t="n">
        <v>12004</v>
      </c>
      <c r="C548" s="0" t="n">
        <v>3</v>
      </c>
      <c r="D548" s="0" t="inlineStr">
        <is>
          <t>알토란</t>
        </is>
      </c>
      <c r="E548" s="0" t="inlineStr">
        <is>
          <t>2003.07.</t>
        </is>
      </c>
      <c r="F548" s="0" t="n">
        <v>32</v>
      </c>
      <c r="G548" s="0" t="n">
        <v>31.19</v>
      </c>
      <c r="H548" s="0" t="n">
        <v>103.13</v>
      </c>
      <c r="I548" s="0" t="n">
        <v>25.44</v>
      </c>
      <c r="J548" s="0" t="n">
        <v>84.12</v>
      </c>
      <c r="K548" s="0" t="n">
        <v>24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103</v>
      </c>
      <c r="X548" s="0" t="n">
        <v>8</v>
      </c>
      <c r="Y548" s="0" t="n">
        <v>8</v>
      </c>
      <c r="Z548" s="0" t="inlineStr">
        <is>
          <t>https://new.land.naver.com/complexes/12004?tab=detail&amp;rf=Y</t>
        </is>
      </c>
      <c r="AA548" s="0" t="inlineStr">
        <is>
          <t>인천시 계양구 작전동 869-11</t>
        </is>
      </c>
      <c r="AB548" s="0" t="inlineStr">
        <is>
          <t>인천시</t>
        </is>
      </c>
      <c r="AC548" s="0" t="inlineStr">
        <is>
          <t>계양구</t>
        </is>
      </c>
      <c r="AD548" s="0" t="inlineStr">
        <is>
          <t>작전동</t>
        </is>
      </c>
      <c r="AG548" s="0" t="inlineStr">
        <is>
          <t>인천시 계양구 봉오대로686번길 5</t>
        </is>
      </c>
      <c r="AH548" s="0" t="n">
        <v>0</v>
      </c>
      <c r="AI548" s="0" t="n">
        <v>235</v>
      </c>
      <c r="AJ548" s="0" t="n">
        <v>30</v>
      </c>
      <c r="AK548" s="0" t="n">
        <v>28</v>
      </c>
      <c r="AL548" s="0" t="n">
        <v>0.88</v>
      </c>
    </row>
    <row r="549">
      <c r="A549" s="0" t="inlineStr">
        <is>
          <t>[작전동]</t>
        </is>
      </c>
      <c r="B549" s="0" t="n">
        <v>2429</v>
      </c>
      <c r="C549" s="0" t="n">
        <v>1</v>
      </c>
      <c r="D549" s="0" t="inlineStr">
        <is>
          <t>삼보</t>
        </is>
      </c>
      <c r="E549" s="0" t="inlineStr">
        <is>
          <t>1994.02.</t>
        </is>
      </c>
      <c r="F549" s="0" t="n">
        <v>454</v>
      </c>
      <c r="G549" s="0" t="n">
        <v>25.44</v>
      </c>
      <c r="H549" s="0" t="n">
        <v>84.11</v>
      </c>
      <c r="I549" s="0" t="n">
        <v>18.11</v>
      </c>
      <c r="J549" s="0" t="n">
        <v>59.88</v>
      </c>
      <c r="K549" s="0" t="n">
        <v>216</v>
      </c>
      <c r="T549" s="0" t="n">
        <v>2</v>
      </c>
      <c r="U549" s="0" t="n">
        <v>1</v>
      </c>
      <c r="V549" s="0" t="inlineStr">
        <is>
          <t>복도식</t>
        </is>
      </c>
      <c r="W549" s="0" t="n">
        <v>84</v>
      </c>
      <c r="X549" s="0" t="n">
        <v>15</v>
      </c>
      <c r="Y549" s="0" t="n">
        <v>9</v>
      </c>
      <c r="Z549" s="0" t="inlineStr">
        <is>
          <t>https://new.land.naver.com/complexes/2429?tab=detail&amp;rf=Y</t>
        </is>
      </c>
      <c r="AA549" s="0" t="inlineStr">
        <is>
          <t>인천시 계양구 작전동 64-1</t>
        </is>
      </c>
      <c r="AB549" s="0" t="inlineStr">
        <is>
          <t>인천시</t>
        </is>
      </c>
      <c r="AC549" s="0" t="inlineStr">
        <is>
          <t>계양구</t>
        </is>
      </c>
      <c r="AD549" s="0" t="inlineStr">
        <is>
          <t>작전동</t>
        </is>
      </c>
      <c r="AG549" s="0" t="inlineStr">
        <is>
          <t>인천시 계양구 주부토로472번길 36</t>
        </is>
      </c>
      <c r="AH549" s="0" t="n">
        <v>0</v>
      </c>
      <c r="AI549" s="0" t="n">
        <v>256</v>
      </c>
      <c r="AJ549" s="0" t="n">
        <v>23</v>
      </c>
      <c r="AK549" s="0" t="n">
        <v>292</v>
      </c>
      <c r="AL549" s="0" t="n">
        <v>0.64</v>
      </c>
    </row>
    <row r="550">
      <c r="A550" s="0" t="inlineStr">
        <is>
          <t>[작전동]</t>
        </is>
      </c>
      <c r="B550" s="0" t="n">
        <v>2429</v>
      </c>
      <c r="C550" s="0" t="n">
        <v>2</v>
      </c>
      <c r="D550" s="0" t="inlineStr">
        <is>
          <t>삼보</t>
        </is>
      </c>
      <c r="E550" s="0" t="inlineStr">
        <is>
          <t>1994.02.</t>
        </is>
      </c>
      <c r="F550" s="0" t="n">
        <v>454</v>
      </c>
      <c r="G550" s="0" t="n">
        <v>30.97</v>
      </c>
      <c r="H550" s="0" t="n">
        <v>102.41</v>
      </c>
      <c r="I550" s="0" t="n">
        <v>25.65</v>
      </c>
      <c r="J550" s="0" t="n">
        <v>84.81</v>
      </c>
      <c r="K550" s="0" t="n">
        <v>30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102</v>
      </c>
      <c r="X550" s="0" t="n">
        <v>15</v>
      </c>
      <c r="Y550" s="0" t="n">
        <v>9</v>
      </c>
      <c r="Z550" s="0" t="inlineStr">
        <is>
          <t>https://new.land.naver.com/complexes/2429?tab=detail&amp;rf=Y</t>
        </is>
      </c>
      <c r="AA550" s="0" t="inlineStr">
        <is>
          <t>인천시 계양구 작전동 64-1</t>
        </is>
      </c>
      <c r="AB550" s="0" t="inlineStr">
        <is>
          <t>인천시</t>
        </is>
      </c>
      <c r="AC550" s="0" t="inlineStr">
        <is>
          <t>계양구</t>
        </is>
      </c>
      <c r="AD550" s="0" t="inlineStr">
        <is>
          <t>작전동</t>
        </is>
      </c>
      <c r="AG550" s="0" t="inlineStr">
        <is>
          <t>인천시 계양구 주부토로472번길 36</t>
        </is>
      </c>
      <c r="AH550" s="0" t="n">
        <v>0</v>
      </c>
      <c r="AI550" s="0" t="n">
        <v>256</v>
      </c>
      <c r="AJ550" s="0" t="n">
        <v>23</v>
      </c>
      <c r="AK550" s="0" t="n">
        <v>292</v>
      </c>
      <c r="AL550" s="0" t="n">
        <v>0.64</v>
      </c>
    </row>
    <row r="551">
      <c r="A551" s="0" t="inlineStr">
        <is>
          <t>[작전동]</t>
        </is>
      </c>
      <c r="B551" s="0" t="n">
        <v>2429</v>
      </c>
      <c r="C551" s="0" t="n">
        <v>3</v>
      </c>
      <c r="D551" s="0" t="inlineStr">
        <is>
          <t>삼보</t>
        </is>
      </c>
      <c r="E551" s="0" t="inlineStr">
        <is>
          <t>1994.02.</t>
        </is>
      </c>
      <c r="F551" s="0" t="n">
        <v>454</v>
      </c>
      <c r="G551" s="0" t="n">
        <v>31.77</v>
      </c>
      <c r="H551" s="0" t="n">
        <v>105.04</v>
      </c>
      <c r="I551" s="0" t="n">
        <v>25.65</v>
      </c>
      <c r="J551" s="0" t="n">
        <v>84.81</v>
      </c>
      <c r="K551" s="0" t="n">
        <v>182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105A</t>
        </is>
      </c>
      <c r="X551" s="0" t="n">
        <v>15</v>
      </c>
      <c r="Y551" s="0" t="n">
        <v>9</v>
      </c>
      <c r="Z551" s="0" t="inlineStr">
        <is>
          <t>https://new.land.naver.com/complexes/2429?tab=detail&amp;rf=Y</t>
        </is>
      </c>
      <c r="AA551" s="0" t="inlineStr">
        <is>
          <t>인천시 계양구 작전동 64-1</t>
        </is>
      </c>
      <c r="AB551" s="0" t="inlineStr">
        <is>
          <t>인천시</t>
        </is>
      </c>
      <c r="AC551" s="0" t="inlineStr">
        <is>
          <t>계양구</t>
        </is>
      </c>
      <c r="AD551" s="0" t="inlineStr">
        <is>
          <t>작전동</t>
        </is>
      </c>
      <c r="AG551" s="0" t="inlineStr">
        <is>
          <t>인천시 계양구 주부토로472번길 36</t>
        </is>
      </c>
      <c r="AH551" s="0" t="n">
        <v>0</v>
      </c>
      <c r="AI551" s="0" t="n">
        <v>256</v>
      </c>
      <c r="AJ551" s="0" t="n">
        <v>23</v>
      </c>
      <c r="AK551" s="0" t="n">
        <v>292</v>
      </c>
      <c r="AL551" s="0" t="n">
        <v>0.64</v>
      </c>
    </row>
    <row r="552">
      <c r="A552" s="0" t="inlineStr">
        <is>
          <t>[작전동]</t>
        </is>
      </c>
      <c r="B552" s="0" t="n">
        <v>2429</v>
      </c>
      <c r="C552" s="0" t="n">
        <v>4</v>
      </c>
      <c r="D552" s="0" t="inlineStr">
        <is>
          <t>삼보</t>
        </is>
      </c>
      <c r="E552" s="0" t="inlineStr">
        <is>
          <t>1994.02.</t>
        </is>
      </c>
      <c r="F552" s="0" t="n">
        <v>454</v>
      </c>
      <c r="G552" s="0" t="n">
        <v>31.85</v>
      </c>
      <c r="H552" s="0" t="n">
        <v>105.3</v>
      </c>
      <c r="I552" s="0" t="n">
        <v>25.7</v>
      </c>
      <c r="J552" s="0" t="n">
        <v>84.95999999999999</v>
      </c>
      <c r="K552" s="0" t="n">
        <v>26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105B</t>
        </is>
      </c>
      <c r="X552" s="0" t="n">
        <v>15</v>
      </c>
      <c r="Y552" s="0" t="n">
        <v>9</v>
      </c>
      <c r="Z552" s="0" t="inlineStr">
        <is>
          <t>https://new.land.naver.com/complexes/2429?tab=detail&amp;rf=Y</t>
        </is>
      </c>
      <c r="AA552" s="0" t="inlineStr">
        <is>
          <t>인천시 계양구 작전동 64-1</t>
        </is>
      </c>
      <c r="AB552" s="0" t="inlineStr">
        <is>
          <t>인천시</t>
        </is>
      </c>
      <c r="AC552" s="0" t="inlineStr">
        <is>
          <t>계양구</t>
        </is>
      </c>
      <c r="AD552" s="0" t="inlineStr">
        <is>
          <t>작전동</t>
        </is>
      </c>
      <c r="AG552" s="0" t="inlineStr">
        <is>
          <t>인천시 계양구 주부토로472번길 36</t>
        </is>
      </c>
      <c r="AH552" s="0" t="n">
        <v>0</v>
      </c>
      <c r="AI552" s="0" t="n">
        <v>256</v>
      </c>
      <c r="AJ552" s="0" t="n">
        <v>23</v>
      </c>
      <c r="AK552" s="0" t="n">
        <v>292</v>
      </c>
      <c r="AL552" s="0" t="n">
        <v>0.64</v>
      </c>
    </row>
    <row r="553">
      <c r="A553" s="0" t="inlineStr">
        <is>
          <t>[작전동]</t>
        </is>
      </c>
      <c r="B553" s="0" t="n">
        <v>13834</v>
      </c>
      <c r="C553" s="0" t="n">
        <v>1</v>
      </c>
      <c r="D553" s="0" t="inlineStr">
        <is>
          <t>고려</t>
        </is>
      </c>
      <c r="E553" s="0" t="inlineStr">
        <is>
          <t>1983.10.</t>
        </is>
      </c>
      <c r="F553" s="0" t="n">
        <v>10</v>
      </c>
      <c r="G553" s="0" t="n">
        <v>21.24</v>
      </c>
      <c r="H553" s="0" t="n">
        <v>70.22</v>
      </c>
      <c r="I553" s="0" t="n">
        <v>18</v>
      </c>
      <c r="J553" s="0" t="n">
        <v>59.53</v>
      </c>
      <c r="K553" s="0" t="n">
        <v>10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5</v>
      </c>
      <c r="Y553" s="0" t="n">
        <v>5</v>
      </c>
      <c r="Z553" s="0" t="inlineStr">
        <is>
          <t>https://new.land.naver.com/complexes/13834?tab=detail&amp;rf=Y</t>
        </is>
      </c>
      <c r="AA553" s="0" t="inlineStr">
        <is>
          <t>인천시 계양구 작전동 863-11</t>
        </is>
      </c>
      <c r="AB553" s="0" t="inlineStr">
        <is>
          <t>인천시</t>
        </is>
      </c>
      <c r="AC553" s="0" t="inlineStr">
        <is>
          <t>계양구</t>
        </is>
      </c>
      <c r="AD553" s="0" t="inlineStr">
        <is>
          <t>작전동</t>
        </is>
      </c>
      <c r="AG553" s="0" t="inlineStr">
        <is>
          <t>인천시 계양구 계양대로 88-1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[작전동]</t>
        </is>
      </c>
      <c r="B554" s="0" t="n">
        <v>8231</v>
      </c>
      <c r="C554" s="0" t="n">
        <v>1</v>
      </c>
      <c r="D554" s="0" t="inlineStr">
        <is>
          <t>무지개</t>
        </is>
      </c>
      <c r="E554" s="0" t="inlineStr">
        <is>
          <t>1989.06.</t>
        </is>
      </c>
      <c r="F554" s="0" t="n">
        <v>240</v>
      </c>
      <c r="G554" s="0" t="n">
        <v>15.72</v>
      </c>
      <c r="H554" s="0" t="n">
        <v>51.98</v>
      </c>
      <c r="I554" s="0" t="n">
        <v>11.85</v>
      </c>
      <c r="J554" s="0" t="n">
        <v>39.2</v>
      </c>
      <c r="K554" s="0" t="n">
        <v>60</v>
      </c>
      <c r="T554" s="0" t="n">
        <v>2</v>
      </c>
      <c r="U554" s="0" t="n">
        <v>1</v>
      </c>
      <c r="V554" s="0" t="inlineStr">
        <is>
          <t>복도식</t>
        </is>
      </c>
      <c r="W554" s="0" t="n">
        <v>51</v>
      </c>
      <c r="X554" s="0" t="n">
        <v>15</v>
      </c>
      <c r="Y554" s="0" t="n">
        <v>15</v>
      </c>
      <c r="Z554" s="0" t="inlineStr">
        <is>
          <t>https://new.land.naver.com/complexes/8231?tab=detail&amp;rf=Y</t>
        </is>
      </c>
      <c r="AA554" s="0" t="inlineStr">
        <is>
          <t>인천시 계양구 작전동 103-2</t>
        </is>
      </c>
      <c r="AB554" s="0" t="inlineStr">
        <is>
          <t>인천시</t>
        </is>
      </c>
      <c r="AC554" s="0" t="inlineStr">
        <is>
          <t>계양구</t>
        </is>
      </c>
      <c r="AD554" s="0" t="inlineStr">
        <is>
          <t>작전동</t>
        </is>
      </c>
      <c r="AG554" s="0" t="inlineStr">
        <is>
          <t>인천시 계양구 봉오대로744번길 4</t>
        </is>
      </c>
      <c r="AH554" s="0" t="n">
        <v>0</v>
      </c>
      <c r="AI554" s="0" t="n">
        <v>293</v>
      </c>
      <c r="AJ554" s="0" t="n">
        <v>19</v>
      </c>
      <c r="AK554" s="0" t="n">
        <v>120</v>
      </c>
      <c r="AL554" s="0" t="n">
        <v>0.5</v>
      </c>
    </row>
    <row r="555">
      <c r="A555" s="0" t="inlineStr">
        <is>
          <t>[작전동]</t>
        </is>
      </c>
      <c r="B555" s="0" t="n">
        <v>8231</v>
      </c>
      <c r="C555" s="0" t="n">
        <v>2</v>
      </c>
      <c r="D555" s="0" t="inlineStr">
        <is>
          <t>무지개</t>
        </is>
      </c>
      <c r="E555" s="0" t="inlineStr">
        <is>
          <t>1989.06.</t>
        </is>
      </c>
      <c r="F555" s="0" t="n">
        <v>240</v>
      </c>
      <c r="G555" s="0" t="n">
        <v>17.07</v>
      </c>
      <c r="H555" s="0" t="n">
        <v>56.46</v>
      </c>
      <c r="I555" s="0" t="n">
        <v>13.05</v>
      </c>
      <c r="J555" s="0" t="n">
        <v>43.16</v>
      </c>
      <c r="K555" s="0" t="n">
        <v>135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56</v>
      </c>
      <c r="X555" s="0" t="n">
        <v>15</v>
      </c>
      <c r="Y555" s="0" t="n">
        <v>15</v>
      </c>
      <c r="Z555" s="0" t="inlineStr">
        <is>
          <t>https://new.land.naver.com/complexes/8231?tab=detail&amp;rf=Y</t>
        </is>
      </c>
      <c r="AA555" s="0" t="inlineStr">
        <is>
          <t>인천시 계양구 작전동 103-2</t>
        </is>
      </c>
      <c r="AB555" s="0" t="inlineStr">
        <is>
          <t>인천시</t>
        </is>
      </c>
      <c r="AC555" s="0" t="inlineStr">
        <is>
          <t>계양구</t>
        </is>
      </c>
      <c r="AD555" s="0" t="inlineStr">
        <is>
          <t>작전동</t>
        </is>
      </c>
      <c r="AG555" s="0" t="inlineStr">
        <is>
          <t>인천시 계양구 봉오대로744번길 4</t>
        </is>
      </c>
      <c r="AH555" s="0" t="n">
        <v>0</v>
      </c>
      <c r="AI555" s="0" t="n">
        <v>293</v>
      </c>
      <c r="AJ555" s="0" t="n">
        <v>19</v>
      </c>
      <c r="AK555" s="0" t="n">
        <v>120</v>
      </c>
      <c r="AL555" s="0" t="n">
        <v>0.5</v>
      </c>
    </row>
    <row r="556">
      <c r="A556" s="0" t="inlineStr">
        <is>
          <t>[작전동]</t>
        </is>
      </c>
      <c r="B556" s="0" t="n">
        <v>8231</v>
      </c>
      <c r="C556" s="0" t="n">
        <v>3</v>
      </c>
      <c r="D556" s="0" t="inlineStr">
        <is>
          <t>무지개</t>
        </is>
      </c>
      <c r="E556" s="0" t="inlineStr">
        <is>
          <t>1989.06.</t>
        </is>
      </c>
      <c r="F556" s="0" t="n">
        <v>240</v>
      </c>
      <c r="G556" s="0" t="n">
        <v>23.78</v>
      </c>
      <c r="H556" s="0" t="n">
        <v>78.62</v>
      </c>
      <c r="I556" s="0" t="n">
        <v>18.02</v>
      </c>
      <c r="J556" s="0" t="n">
        <v>59.58</v>
      </c>
      <c r="K556" s="0" t="n">
        <v>45</v>
      </c>
      <c r="T556" s="0" t="n">
        <v>3</v>
      </c>
      <c r="U556" s="0" t="n">
        <v>1</v>
      </c>
      <c r="V556" s="0" t="inlineStr">
        <is>
          <t>복도식</t>
        </is>
      </c>
      <c r="W556" s="0" t="n">
        <v>78</v>
      </c>
      <c r="X556" s="0" t="n">
        <v>15</v>
      </c>
      <c r="Y556" s="0" t="n">
        <v>15</v>
      </c>
      <c r="Z556" s="0" t="inlineStr">
        <is>
          <t>https://new.land.naver.com/complexes/8231?tab=detail&amp;rf=Y</t>
        </is>
      </c>
      <c r="AA556" s="0" t="inlineStr">
        <is>
          <t>인천시 계양구 작전동 103-2</t>
        </is>
      </c>
      <c r="AB556" s="0" t="inlineStr">
        <is>
          <t>인천시</t>
        </is>
      </c>
      <c r="AC556" s="0" t="inlineStr">
        <is>
          <t>계양구</t>
        </is>
      </c>
      <c r="AD556" s="0" t="inlineStr">
        <is>
          <t>작전동</t>
        </is>
      </c>
      <c r="AG556" s="0" t="inlineStr">
        <is>
          <t>인천시 계양구 봉오대로744번길 4</t>
        </is>
      </c>
      <c r="AH556" s="0" t="n">
        <v>0</v>
      </c>
      <c r="AI556" s="0" t="n">
        <v>293</v>
      </c>
      <c r="AJ556" s="0" t="n">
        <v>19</v>
      </c>
      <c r="AK556" s="0" t="n">
        <v>120</v>
      </c>
      <c r="AL556" s="0" t="n">
        <v>0.5</v>
      </c>
    </row>
    <row r="557">
      <c r="A557" s="0" t="inlineStr">
        <is>
          <t>[작전동]</t>
        </is>
      </c>
      <c r="B557" s="0" t="n">
        <v>11083</v>
      </c>
      <c r="C557" s="0" t="n">
        <v>1</v>
      </c>
      <c r="D557" s="0" t="inlineStr">
        <is>
          <t>유진</t>
        </is>
      </c>
      <c r="E557" s="0" t="inlineStr">
        <is>
          <t>1985.04.</t>
        </is>
      </c>
      <c r="F557" s="0" t="n">
        <v>30</v>
      </c>
      <c r="G557" s="0" t="n">
        <v>19.2</v>
      </c>
      <c r="H557" s="0" t="n">
        <v>63.5</v>
      </c>
      <c r="I557" s="0" t="n">
        <v>14.37</v>
      </c>
      <c r="J557" s="0" t="n">
        <v>47.52</v>
      </c>
      <c r="K557" s="0" t="n">
        <v>25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63</v>
      </c>
      <c r="X557" s="0" t="n">
        <v>5</v>
      </c>
      <c r="Y557" s="0" t="n">
        <v>5</v>
      </c>
      <c r="Z557" s="0" t="inlineStr">
        <is>
          <t>https://new.land.naver.com/complexes/11083?tab=detail&amp;rf=Y</t>
        </is>
      </c>
      <c r="AA557" s="0" t="inlineStr">
        <is>
          <t>인천시 계양구 작전동 871-15</t>
        </is>
      </c>
      <c r="AB557" s="0" t="inlineStr">
        <is>
          <t>인천시</t>
        </is>
      </c>
      <c r="AC557" s="0" t="inlineStr">
        <is>
          <t>계양구</t>
        </is>
      </c>
      <c r="AD557" s="0" t="inlineStr">
        <is>
          <t>작전동</t>
        </is>
      </c>
      <c r="AG557" s="0" t="inlineStr">
        <is>
          <t>인천시 계양구 봉오대로712번길 13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[작전동]</t>
        </is>
      </c>
      <c r="B558" s="0" t="n">
        <v>11083</v>
      </c>
      <c r="C558" s="0" t="n">
        <v>2</v>
      </c>
      <c r="D558" s="0" t="inlineStr">
        <is>
          <t>유진</t>
        </is>
      </c>
      <c r="E558" s="0" t="inlineStr">
        <is>
          <t>1985.04.</t>
        </is>
      </c>
      <c r="F558" s="0" t="n">
        <v>30</v>
      </c>
      <c r="G558" s="0" t="n">
        <v>21.93</v>
      </c>
      <c r="H558" s="0" t="n">
        <v>72.5</v>
      </c>
      <c r="I558" s="0" t="n">
        <v>16.64</v>
      </c>
      <c r="J558" s="0" t="n">
        <v>55.02</v>
      </c>
      <c r="K558" s="0" t="n">
        <v>5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72</v>
      </c>
      <c r="X558" s="0" t="n">
        <v>5</v>
      </c>
      <c r="Y558" s="0" t="n">
        <v>5</v>
      </c>
      <c r="Z558" s="0" t="inlineStr">
        <is>
          <t>https://new.land.naver.com/complexes/11083?tab=detail&amp;rf=Y</t>
        </is>
      </c>
      <c r="AA558" s="0" t="inlineStr">
        <is>
          <t>인천시 계양구 작전동 871-15</t>
        </is>
      </c>
      <c r="AB558" s="0" t="inlineStr">
        <is>
          <t>인천시</t>
        </is>
      </c>
      <c r="AC558" s="0" t="inlineStr">
        <is>
          <t>계양구</t>
        </is>
      </c>
      <c r="AD558" s="0" t="inlineStr">
        <is>
          <t>작전동</t>
        </is>
      </c>
      <c r="AG558" s="0" t="inlineStr">
        <is>
          <t>인천시 계양구 봉오대로712번길 13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[작전동]</t>
        </is>
      </c>
      <c r="B559" s="0" t="n">
        <v>134823</v>
      </c>
      <c r="C559" s="0" t="n">
        <v>1</v>
      </c>
      <c r="D559" s="0" t="inlineStr">
        <is>
          <t>조양휴캐슬(도시형)</t>
        </is>
      </c>
      <c r="E559" s="0" t="inlineStr">
        <is>
          <t>2020.04.</t>
        </is>
      </c>
      <c r="F559" s="0" t="n">
        <v>24</v>
      </c>
      <c r="G559" s="0" t="n">
        <v>18.85</v>
      </c>
      <c r="H559" s="0" t="n">
        <v>62.34</v>
      </c>
      <c r="I559" s="0" t="n">
        <v>15.35</v>
      </c>
      <c r="J559" s="0" t="n">
        <v>50.76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62B</t>
        </is>
      </c>
      <c r="X559" s="0" t="n">
        <v>15</v>
      </c>
      <c r="Y559" s="0" t="n">
        <v>15</v>
      </c>
      <c r="Z559" s="0" t="inlineStr">
        <is>
          <t>https://new.land.naver.com/complexes/134823?tab=detail&amp;rf=Y</t>
        </is>
      </c>
      <c r="AA559" s="0" t="inlineStr">
        <is>
          <t>인천시 계양구 작전동 428-3</t>
        </is>
      </c>
      <c r="AB559" s="0" t="inlineStr">
        <is>
          <t>인천시</t>
        </is>
      </c>
      <c r="AC559" s="0" t="inlineStr">
        <is>
          <t>계양구</t>
        </is>
      </c>
      <c r="AD559" s="0" t="inlineStr">
        <is>
          <t>작전동</t>
        </is>
      </c>
      <c r="AG559" s="0" t="inlineStr">
        <is>
          <t>인천시 계양구 계양대로34번길 8</t>
        </is>
      </c>
      <c r="AH559" s="0" t="n">
        <v>0</v>
      </c>
      <c r="AI559" s="0" t="n">
        <v>429</v>
      </c>
      <c r="AJ559" s="0" t="n">
        <v>50</v>
      </c>
      <c r="AK559" s="0" t="n">
        <v>24</v>
      </c>
      <c r="AL559" s="0" t="n">
        <v>1</v>
      </c>
    </row>
    <row r="560">
      <c r="A560" s="0" t="inlineStr">
        <is>
          <t>[작전동]</t>
        </is>
      </c>
      <c r="B560" s="0" t="n">
        <v>134823</v>
      </c>
      <c r="C560" s="0" t="n">
        <v>2</v>
      </c>
      <c r="D560" s="0" t="inlineStr">
        <is>
          <t>조양휴캐슬(도시형)</t>
        </is>
      </c>
      <c r="E560" s="0" t="inlineStr">
        <is>
          <t>2020.04.</t>
        </is>
      </c>
      <c r="F560" s="0" t="n">
        <v>24</v>
      </c>
      <c r="G560" s="0" t="n">
        <v>19.01</v>
      </c>
      <c r="H560" s="0" t="n">
        <v>62.86</v>
      </c>
      <c r="I560" s="0" t="n">
        <v>15.07</v>
      </c>
      <c r="J560" s="0" t="n">
        <v>49.85</v>
      </c>
      <c r="K560" s="0" t="n">
        <v>6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62A</t>
        </is>
      </c>
      <c r="X560" s="0" t="n">
        <v>15</v>
      </c>
      <c r="Y560" s="0" t="n">
        <v>15</v>
      </c>
      <c r="Z560" s="0" t="inlineStr">
        <is>
          <t>https://new.land.naver.com/complexes/134823?tab=detail&amp;rf=Y</t>
        </is>
      </c>
      <c r="AA560" s="0" t="inlineStr">
        <is>
          <t>인천시 계양구 작전동 428-3</t>
        </is>
      </c>
      <c r="AB560" s="0" t="inlineStr">
        <is>
          <t>인천시</t>
        </is>
      </c>
      <c r="AC560" s="0" t="inlineStr">
        <is>
          <t>계양구</t>
        </is>
      </c>
      <c r="AD560" s="0" t="inlineStr">
        <is>
          <t>작전동</t>
        </is>
      </c>
      <c r="AG560" s="0" t="inlineStr">
        <is>
          <t>인천시 계양구 계양대로34번길 8</t>
        </is>
      </c>
      <c r="AH560" s="0" t="n">
        <v>0</v>
      </c>
      <c r="AI560" s="0" t="n">
        <v>429</v>
      </c>
      <c r="AJ560" s="0" t="n">
        <v>50</v>
      </c>
      <c r="AK560" s="0" t="n">
        <v>24</v>
      </c>
      <c r="AL560" s="0" t="n">
        <v>1</v>
      </c>
    </row>
    <row r="561">
      <c r="A561" s="0" t="inlineStr">
        <is>
          <t>[작전동]</t>
        </is>
      </c>
      <c r="B561" s="0" t="n">
        <v>134823</v>
      </c>
      <c r="C561" s="0" t="n">
        <v>3</v>
      </c>
      <c r="D561" s="0" t="inlineStr">
        <is>
          <t>조양휴캐슬(도시형)</t>
        </is>
      </c>
      <c r="E561" s="0" t="inlineStr">
        <is>
          <t>2020.04.</t>
        </is>
      </c>
      <c r="F561" s="0" t="n">
        <v>24</v>
      </c>
      <c r="G561" s="0" t="n">
        <v>19.8</v>
      </c>
      <c r="H561" s="0" t="n">
        <v>65.47</v>
      </c>
      <c r="I561" s="0" t="n">
        <v>15.75</v>
      </c>
      <c r="J561" s="0" t="n">
        <v>52.08</v>
      </c>
      <c r="K561" s="0" t="n">
        <v>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65</v>
      </c>
      <c r="X561" s="0" t="n">
        <v>15</v>
      </c>
      <c r="Y561" s="0" t="n">
        <v>15</v>
      </c>
      <c r="Z561" s="0" t="inlineStr">
        <is>
          <t>https://new.land.naver.com/complexes/134823?tab=detail&amp;rf=Y</t>
        </is>
      </c>
      <c r="AA561" s="0" t="inlineStr">
        <is>
          <t>인천시 계양구 작전동 428-3</t>
        </is>
      </c>
      <c r="AB561" s="0" t="inlineStr">
        <is>
          <t>인천시</t>
        </is>
      </c>
      <c r="AC561" s="0" t="inlineStr">
        <is>
          <t>계양구</t>
        </is>
      </c>
      <c r="AD561" s="0" t="inlineStr">
        <is>
          <t>작전동</t>
        </is>
      </c>
      <c r="AG561" s="0" t="inlineStr">
        <is>
          <t>인천시 계양구 계양대로34번길 8</t>
        </is>
      </c>
      <c r="AH561" s="0" t="n">
        <v>0</v>
      </c>
      <c r="AI561" s="0" t="n">
        <v>429</v>
      </c>
      <c r="AJ561" s="0" t="n">
        <v>50</v>
      </c>
      <c r="AK561" s="0" t="n">
        <v>24</v>
      </c>
      <c r="AL561" s="0" t="n">
        <v>1</v>
      </c>
    </row>
    <row r="562">
      <c r="A562" s="0" t="inlineStr">
        <is>
          <t>[작전동]</t>
        </is>
      </c>
      <c r="B562" s="0" t="n">
        <v>11058</v>
      </c>
      <c r="C562" s="0" t="n">
        <v>1</v>
      </c>
      <c r="D562" s="0" t="inlineStr">
        <is>
          <t>삼우</t>
        </is>
      </c>
      <c r="E562" s="0" t="inlineStr">
        <is>
          <t>1989.04.</t>
        </is>
      </c>
      <c r="F562" s="0" t="n">
        <v>264</v>
      </c>
      <c r="G562" s="0" t="n">
        <v>15.49</v>
      </c>
      <c r="H562" s="0" t="n">
        <v>51.22</v>
      </c>
      <c r="I562" s="0" t="n">
        <v>11.77</v>
      </c>
      <c r="J562" s="0" t="n">
        <v>38.91</v>
      </c>
      <c r="K562" s="0" t="n">
        <v>156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51A</t>
        </is>
      </c>
      <c r="X562" s="0" t="n">
        <v>6</v>
      </c>
      <c r="Y562" s="0" t="n">
        <v>6</v>
      </c>
      <c r="Z562" s="0" t="inlineStr">
        <is>
          <t>https://new.land.naver.com/complexes/11058?tab=detail&amp;rf=Y</t>
        </is>
      </c>
      <c r="AA562" s="0" t="inlineStr">
        <is>
          <t>인천시 계양구 작전동 28-9</t>
        </is>
      </c>
      <c r="AB562" s="0" t="inlineStr">
        <is>
          <t>인천시</t>
        </is>
      </c>
      <c r="AC562" s="0" t="inlineStr">
        <is>
          <t>계양구</t>
        </is>
      </c>
      <c r="AD562" s="0" t="inlineStr">
        <is>
          <t>작전동</t>
        </is>
      </c>
      <c r="AG562" s="0" t="inlineStr">
        <is>
          <t>인천시 계양구 주부토로472번길 33</t>
        </is>
      </c>
      <c r="AH562" s="0" t="n">
        <v>0</v>
      </c>
      <c r="AI562" s="0" t="n">
        <v>168</v>
      </c>
      <c r="AJ562" s="0" t="n">
        <v>28</v>
      </c>
      <c r="AK562" s="0" t="n">
        <v>0</v>
      </c>
      <c r="AL562" s="0" t="n">
        <v>0</v>
      </c>
    </row>
    <row r="563">
      <c r="A563" s="0" t="inlineStr">
        <is>
          <t>[작전동]</t>
        </is>
      </c>
      <c r="B563" s="0" t="n">
        <v>11058</v>
      </c>
      <c r="C563" s="0" t="n">
        <v>2</v>
      </c>
      <c r="D563" s="0" t="inlineStr">
        <is>
          <t>삼우</t>
        </is>
      </c>
      <c r="E563" s="0" t="inlineStr">
        <is>
          <t>1989.04.</t>
        </is>
      </c>
      <c r="F563" s="0" t="n">
        <v>264</v>
      </c>
      <c r="G563" s="0" t="n">
        <v>15.81</v>
      </c>
      <c r="H563" s="0" t="n">
        <v>52.27</v>
      </c>
      <c r="I563" s="0" t="n">
        <v>12.04</v>
      </c>
      <c r="J563" s="0" t="n">
        <v>39.81</v>
      </c>
      <c r="K563" s="0" t="n">
        <v>12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52B</t>
        </is>
      </c>
      <c r="X563" s="0" t="n">
        <v>6</v>
      </c>
      <c r="Y563" s="0" t="n">
        <v>6</v>
      </c>
      <c r="Z563" s="0" t="inlineStr">
        <is>
          <t>https://new.land.naver.com/complexes/11058?tab=detail&amp;rf=Y</t>
        </is>
      </c>
      <c r="AA563" s="0" t="inlineStr">
        <is>
          <t>인천시 계양구 작전동 28-9</t>
        </is>
      </c>
      <c r="AB563" s="0" t="inlineStr">
        <is>
          <t>인천시</t>
        </is>
      </c>
      <c r="AC563" s="0" t="inlineStr">
        <is>
          <t>계양구</t>
        </is>
      </c>
      <c r="AD563" s="0" t="inlineStr">
        <is>
          <t>작전동</t>
        </is>
      </c>
      <c r="AG563" s="0" t="inlineStr">
        <is>
          <t>인천시 계양구 주부토로472번길 33</t>
        </is>
      </c>
      <c r="AH563" s="0" t="n">
        <v>0</v>
      </c>
      <c r="AI563" s="0" t="n">
        <v>168</v>
      </c>
      <c r="AJ563" s="0" t="n">
        <v>28</v>
      </c>
      <c r="AK563" s="0" t="n">
        <v>0</v>
      </c>
      <c r="AL563" s="0" t="n">
        <v>0</v>
      </c>
    </row>
    <row r="564">
      <c r="A564" s="0" t="inlineStr">
        <is>
          <t>[작전동]</t>
        </is>
      </c>
      <c r="B564" s="0" t="n">
        <v>11058</v>
      </c>
      <c r="C564" s="0" t="n">
        <v>3</v>
      </c>
      <c r="D564" s="0" t="inlineStr">
        <is>
          <t>삼우</t>
        </is>
      </c>
      <c r="E564" s="0" t="inlineStr">
        <is>
          <t>1989.04.</t>
        </is>
      </c>
      <c r="F564" s="0" t="n">
        <v>264</v>
      </c>
      <c r="G564" s="0" t="n">
        <v>17.64</v>
      </c>
      <c r="H564" s="0" t="n">
        <v>58.32</v>
      </c>
      <c r="I564" s="0" t="n">
        <v>13.61</v>
      </c>
      <c r="J564" s="0" t="n">
        <v>45</v>
      </c>
      <c r="K564" s="0" t="n">
        <v>96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58</v>
      </c>
      <c r="X564" s="0" t="n">
        <v>6</v>
      </c>
      <c r="Y564" s="0" t="n">
        <v>6</v>
      </c>
      <c r="Z564" s="0" t="inlineStr">
        <is>
          <t>https://new.land.naver.com/complexes/11058?tab=detail&amp;rf=Y</t>
        </is>
      </c>
      <c r="AA564" s="0" t="inlineStr">
        <is>
          <t>인천시 계양구 작전동 28-9</t>
        </is>
      </c>
      <c r="AB564" s="0" t="inlineStr">
        <is>
          <t>인천시</t>
        </is>
      </c>
      <c r="AC564" s="0" t="inlineStr">
        <is>
          <t>계양구</t>
        </is>
      </c>
      <c r="AD564" s="0" t="inlineStr">
        <is>
          <t>작전동</t>
        </is>
      </c>
      <c r="AG564" s="0" t="inlineStr">
        <is>
          <t>인천시 계양구 주부토로472번길 33</t>
        </is>
      </c>
      <c r="AH564" s="0" t="n">
        <v>0</v>
      </c>
      <c r="AI564" s="0" t="n">
        <v>168</v>
      </c>
      <c r="AJ564" s="0" t="n">
        <v>28</v>
      </c>
      <c r="AK564" s="0" t="n">
        <v>0</v>
      </c>
      <c r="AL564" s="0" t="n">
        <v>0</v>
      </c>
    </row>
    <row r="565">
      <c r="A565" s="0" t="inlineStr">
        <is>
          <t>[작전동]</t>
        </is>
      </c>
      <c r="B565" s="0" t="n">
        <v>9620</v>
      </c>
      <c r="C565" s="0" t="n">
        <v>1</v>
      </c>
      <c r="D565" s="0" t="inlineStr">
        <is>
          <t>동양</t>
        </is>
      </c>
      <c r="E565" s="0" t="inlineStr">
        <is>
          <t>1985.03.</t>
        </is>
      </c>
      <c r="F565" s="0" t="n">
        <v>70</v>
      </c>
      <c r="G565" s="0" t="n">
        <v>21.58</v>
      </c>
      <c r="H565" s="0" t="n">
        <v>71.36</v>
      </c>
      <c r="I565" s="0" t="n">
        <v>16.47</v>
      </c>
      <c r="J565" s="0" t="n">
        <v>54.45</v>
      </c>
      <c r="K565" s="0" t="n">
        <v>20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71A</t>
        </is>
      </c>
      <c r="X565" s="0" t="n">
        <v>5</v>
      </c>
      <c r="Y565" s="0" t="n">
        <v>5</v>
      </c>
      <c r="Z565" s="0" t="inlineStr">
        <is>
          <t>https://new.land.naver.com/complexes/9620?tab=detail&amp;rf=Y</t>
        </is>
      </c>
      <c r="AA565" s="0" t="inlineStr">
        <is>
          <t>인천시 계양구 작전동 856-75</t>
        </is>
      </c>
      <c r="AB565" s="0" t="inlineStr">
        <is>
          <t>인천시</t>
        </is>
      </c>
      <c r="AC565" s="0" t="inlineStr">
        <is>
          <t>계양구</t>
        </is>
      </c>
      <c r="AD565" s="0" t="inlineStr">
        <is>
          <t>작전동</t>
        </is>
      </c>
      <c r="AG565" s="0" t="inlineStr">
        <is>
          <t>인천시 계양구 봉오대로677번길 30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[작전동]</t>
        </is>
      </c>
      <c r="B566" s="0" t="n">
        <v>9620</v>
      </c>
      <c r="C566" s="0" t="n">
        <v>2</v>
      </c>
      <c r="D566" s="0" t="inlineStr">
        <is>
          <t>동양</t>
        </is>
      </c>
      <c r="E566" s="0" t="inlineStr">
        <is>
          <t>1985.03.</t>
        </is>
      </c>
      <c r="F566" s="0" t="n">
        <v>70</v>
      </c>
      <c r="G566" s="0" t="n">
        <v>22.46</v>
      </c>
      <c r="H566" s="0" t="n">
        <v>74.26000000000001</v>
      </c>
      <c r="I566" s="0" t="n">
        <v>17.2</v>
      </c>
      <c r="J566" s="0" t="n">
        <v>56.88</v>
      </c>
      <c r="K566" s="0" t="n">
        <v>45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74B</t>
        </is>
      </c>
      <c r="X566" s="0" t="n">
        <v>5</v>
      </c>
      <c r="Y566" s="0" t="n">
        <v>5</v>
      </c>
      <c r="Z566" s="0" t="inlineStr">
        <is>
          <t>https://new.land.naver.com/complexes/9620?tab=detail&amp;rf=Y</t>
        </is>
      </c>
      <c r="AA566" s="0" t="inlineStr">
        <is>
          <t>인천시 계양구 작전동 856-75</t>
        </is>
      </c>
      <c r="AB566" s="0" t="inlineStr">
        <is>
          <t>인천시</t>
        </is>
      </c>
      <c r="AC566" s="0" t="inlineStr">
        <is>
          <t>계양구</t>
        </is>
      </c>
      <c r="AD566" s="0" t="inlineStr">
        <is>
          <t>작전동</t>
        </is>
      </c>
      <c r="AG566" s="0" t="inlineStr">
        <is>
          <t>인천시 계양구 봉오대로677번길 30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[작전동]</t>
        </is>
      </c>
      <c r="B567" s="0" t="n">
        <v>9620</v>
      </c>
      <c r="C567" s="0" t="n">
        <v>3</v>
      </c>
      <c r="D567" s="0" t="inlineStr">
        <is>
          <t>동양</t>
        </is>
      </c>
      <c r="E567" s="0" t="inlineStr">
        <is>
          <t>1985.03.</t>
        </is>
      </c>
      <c r="F567" s="0" t="n">
        <v>70</v>
      </c>
      <c r="G567" s="0" t="n">
        <v>26.32</v>
      </c>
      <c r="H567" s="0" t="n">
        <v>87.02</v>
      </c>
      <c r="I567" s="0" t="n">
        <v>20.44</v>
      </c>
      <c r="J567" s="0" t="n">
        <v>67.59</v>
      </c>
      <c r="K567" s="0" t="n">
        <v>5</v>
      </c>
      <c r="T567" s="0" t="n">
        <v>3</v>
      </c>
      <c r="U567" s="0" t="n">
        <v>1</v>
      </c>
      <c r="V567" s="0" t="inlineStr">
        <is>
          <t>계단식</t>
        </is>
      </c>
      <c r="W567" s="0" t="n">
        <v>87</v>
      </c>
      <c r="X567" s="0" t="n">
        <v>5</v>
      </c>
      <c r="Y567" s="0" t="n">
        <v>5</v>
      </c>
      <c r="Z567" s="0" t="inlineStr">
        <is>
          <t>https://new.land.naver.com/complexes/9620?tab=detail&amp;rf=Y</t>
        </is>
      </c>
      <c r="AA567" s="0" t="inlineStr">
        <is>
          <t>인천시 계양구 작전동 856-75</t>
        </is>
      </c>
      <c r="AB567" s="0" t="inlineStr">
        <is>
          <t>인천시</t>
        </is>
      </c>
      <c r="AC567" s="0" t="inlineStr">
        <is>
          <t>계양구</t>
        </is>
      </c>
      <c r="AD567" s="0" t="inlineStr">
        <is>
          <t>작전동</t>
        </is>
      </c>
      <c r="AG567" s="0" t="inlineStr">
        <is>
          <t>인천시 계양구 봉오대로677번길 30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[작전동]</t>
        </is>
      </c>
      <c r="B568" s="0" t="n">
        <v>9783</v>
      </c>
      <c r="C568" s="0" t="n">
        <v>1</v>
      </c>
      <c r="D568" s="0" t="inlineStr">
        <is>
          <t>신한</t>
        </is>
      </c>
      <c r="E568" s="0" t="inlineStr">
        <is>
          <t>1984.09.</t>
        </is>
      </c>
      <c r="F568" s="0" t="n">
        <v>100</v>
      </c>
      <c r="G568" s="0" t="n">
        <v>19.3</v>
      </c>
      <c r="H568" s="0" t="n">
        <v>63.83</v>
      </c>
      <c r="I568" s="0" t="n">
        <v>14.6</v>
      </c>
      <c r="J568" s="0" t="n">
        <v>48.28</v>
      </c>
      <c r="K568" s="0" t="n">
        <v>100</v>
      </c>
      <c r="T568" s="0" t="n">
        <v>3</v>
      </c>
      <c r="U568" s="0" t="n">
        <v>1</v>
      </c>
      <c r="V568" s="0" t="inlineStr">
        <is>
          <t>계단식</t>
        </is>
      </c>
      <c r="W568" s="0" t="n">
        <v>63</v>
      </c>
      <c r="X568" s="0" t="n">
        <v>5</v>
      </c>
      <c r="Y568" s="0" t="n">
        <v>5</v>
      </c>
      <c r="Z568" s="0" t="inlineStr">
        <is>
          <t>https://new.land.naver.com/complexes/9783?tab=detail&amp;rf=Y</t>
        </is>
      </c>
      <c r="AA568" s="0" t="inlineStr">
        <is>
          <t>인천시 계양구 작전동 852-14</t>
        </is>
      </c>
      <c r="AB568" s="0" t="inlineStr">
        <is>
          <t>인천시</t>
        </is>
      </c>
      <c r="AC568" s="0" t="inlineStr">
        <is>
          <t>계양구</t>
        </is>
      </c>
      <c r="AD568" s="0" t="inlineStr">
        <is>
          <t>작전동</t>
        </is>
      </c>
      <c r="AG568" s="0" t="inlineStr">
        <is>
          <t>인천시 계양구 계양대로139번길 9</t>
        </is>
      </c>
      <c r="AH568" s="0" t="n">
        <v>0</v>
      </c>
      <c r="AI568" s="0" t="n">
        <v>132</v>
      </c>
      <c r="AJ568" s="0" t="n">
        <v>27</v>
      </c>
      <c r="AK568" s="0" t="n">
        <v>0</v>
      </c>
      <c r="AL568" s="0" t="n">
        <v>0</v>
      </c>
    </row>
    <row r="569">
      <c r="A569" s="0" t="inlineStr">
        <is>
          <t>[작전동]</t>
        </is>
      </c>
      <c r="B569" s="0" t="n">
        <v>8300</v>
      </c>
      <c r="C569" s="0" t="n">
        <v>1</v>
      </c>
      <c r="D569" s="0" t="inlineStr">
        <is>
          <t>뉴서울1차</t>
        </is>
      </c>
      <c r="E569" s="0" t="inlineStr">
        <is>
          <t>1988.05.</t>
        </is>
      </c>
      <c r="F569" s="0" t="n">
        <v>791</v>
      </c>
      <c r="G569" s="0" t="n">
        <v>15.88</v>
      </c>
      <c r="H569" s="0" t="n">
        <v>52.5</v>
      </c>
      <c r="I569" s="0" t="n">
        <v>11.97</v>
      </c>
      <c r="J569" s="0" t="n">
        <v>39.6</v>
      </c>
      <c r="K569" s="0" t="n">
        <v>288</v>
      </c>
      <c r="T569" s="0" t="n">
        <v>2</v>
      </c>
      <c r="U569" s="0" t="n">
        <v>1</v>
      </c>
      <c r="V569" s="0" t="inlineStr">
        <is>
          <t>복도식</t>
        </is>
      </c>
      <c r="W569" s="0" t="inlineStr">
        <is>
          <t>52B</t>
        </is>
      </c>
      <c r="X569" s="0" t="n">
        <v>14</v>
      </c>
      <c r="Y569" s="0" t="n">
        <v>6</v>
      </c>
      <c r="Z569" s="0" t="inlineStr">
        <is>
          <t>https://new.land.naver.com/complexes/8300?tab=detail&amp;rf=Y</t>
        </is>
      </c>
      <c r="AA569" s="0" t="inlineStr">
        <is>
          <t>인천시 계양구 작전동 102-3</t>
        </is>
      </c>
      <c r="AB569" s="0" t="inlineStr">
        <is>
          <t>인천시</t>
        </is>
      </c>
      <c r="AC569" s="0" t="inlineStr">
        <is>
          <t>계양구</t>
        </is>
      </c>
      <c r="AD569" s="0" t="inlineStr">
        <is>
          <t>작전동</t>
        </is>
      </c>
      <c r="AG569" s="0" t="inlineStr">
        <is>
          <t>인천시 계양구 봉오대로744번길 7</t>
        </is>
      </c>
      <c r="AH569" s="0" t="n">
        <v>0</v>
      </c>
      <c r="AI569" s="0" t="n">
        <v>274</v>
      </c>
      <c r="AJ569" s="0" t="n">
        <v>32</v>
      </c>
      <c r="AK569" s="0" t="n">
        <v>176</v>
      </c>
      <c r="AL569" s="0" t="n">
        <v>0.22</v>
      </c>
    </row>
    <row r="570">
      <c r="A570" s="0" t="inlineStr">
        <is>
          <t>[작전동]</t>
        </is>
      </c>
      <c r="B570" s="0" t="n">
        <v>8300</v>
      </c>
      <c r="C570" s="0" t="n">
        <v>2</v>
      </c>
      <c r="D570" s="0" t="inlineStr">
        <is>
          <t>뉴서울1차</t>
        </is>
      </c>
      <c r="E570" s="0" t="inlineStr">
        <is>
          <t>1988.05.</t>
        </is>
      </c>
      <c r="F570" s="0" t="n">
        <v>791</v>
      </c>
      <c r="G570" s="0" t="n">
        <v>17.26</v>
      </c>
      <c r="H570" s="0" t="n">
        <v>57.08</v>
      </c>
      <c r="I570" s="0" t="n">
        <v>11.87</v>
      </c>
      <c r="J570" s="0" t="n">
        <v>39.24</v>
      </c>
      <c r="K570" s="0" t="n">
        <v>503</v>
      </c>
      <c r="T570" s="0" t="n">
        <v>2</v>
      </c>
      <c r="U570" s="0" t="n">
        <v>1</v>
      </c>
      <c r="V570" s="0" t="inlineStr">
        <is>
          <t>복도식</t>
        </is>
      </c>
      <c r="W570" s="0" t="inlineStr">
        <is>
          <t>57A</t>
        </is>
      </c>
      <c r="X570" s="0" t="n">
        <v>14</v>
      </c>
      <c r="Y570" s="0" t="n">
        <v>6</v>
      </c>
      <c r="Z570" s="0" t="inlineStr">
        <is>
          <t>https://new.land.naver.com/complexes/8300?tab=detail&amp;rf=Y</t>
        </is>
      </c>
      <c r="AA570" s="0" t="inlineStr">
        <is>
          <t>인천시 계양구 작전동 102-3</t>
        </is>
      </c>
      <c r="AB570" s="0" t="inlineStr">
        <is>
          <t>인천시</t>
        </is>
      </c>
      <c r="AC570" s="0" t="inlineStr">
        <is>
          <t>계양구</t>
        </is>
      </c>
      <c r="AD570" s="0" t="inlineStr">
        <is>
          <t>작전동</t>
        </is>
      </c>
      <c r="AG570" s="0" t="inlineStr">
        <is>
          <t>인천시 계양구 봉오대로744번길 7</t>
        </is>
      </c>
      <c r="AH570" s="0" t="n">
        <v>0</v>
      </c>
      <c r="AI570" s="0" t="n">
        <v>274</v>
      </c>
      <c r="AJ570" s="0" t="n">
        <v>32</v>
      </c>
      <c r="AK570" s="0" t="n">
        <v>176</v>
      </c>
      <c r="AL570" s="0" t="n">
        <v>0.22</v>
      </c>
    </row>
    <row r="571">
      <c r="A571" s="0" t="inlineStr">
        <is>
          <t>[작전동]</t>
        </is>
      </c>
      <c r="B571" s="0" t="n">
        <v>2441</v>
      </c>
      <c r="C571" s="0" t="n">
        <v>1</v>
      </c>
      <c r="D571" s="0" t="inlineStr">
        <is>
          <t>작전현대2-2차</t>
        </is>
      </c>
      <c r="E571" s="0" t="inlineStr">
        <is>
          <t>1993.12.</t>
        </is>
      </c>
      <c r="F571" s="0" t="n">
        <v>904</v>
      </c>
      <c r="G571" s="0" t="n">
        <v>31.6</v>
      </c>
      <c r="H571" s="0" t="n">
        <v>104.47</v>
      </c>
      <c r="I571" s="0" t="n">
        <v>25.69</v>
      </c>
      <c r="J571" s="0" t="n">
        <v>84.93000000000001</v>
      </c>
      <c r="K571" s="0" t="n">
        <v>648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104</v>
      </c>
      <c r="X571" s="0" t="n">
        <v>20</v>
      </c>
      <c r="Y571" s="0" t="n">
        <v>16</v>
      </c>
      <c r="Z571" s="0" t="inlineStr">
        <is>
          <t>https://new.land.naver.com/complexes/2441?tab=detail&amp;rf=Y</t>
        </is>
      </c>
      <c r="AA571" s="0" t="inlineStr">
        <is>
          <t>인천시 계양구 작전동 555-1</t>
        </is>
      </c>
      <c r="AB571" s="0" t="inlineStr">
        <is>
          <t>인천시</t>
        </is>
      </c>
      <c r="AC571" s="0" t="inlineStr">
        <is>
          <t>계양구</t>
        </is>
      </c>
      <c r="AD571" s="0" t="inlineStr">
        <is>
          <t>작전동</t>
        </is>
      </c>
      <c r="AG571" s="0" t="inlineStr">
        <is>
          <t>인천시 계양구 효서로 381</t>
        </is>
      </c>
      <c r="AH571" s="0" t="n">
        <v>0</v>
      </c>
      <c r="AI571" s="0" t="n">
        <v>257</v>
      </c>
      <c r="AJ571" s="0" t="n">
        <v>20</v>
      </c>
      <c r="AK571" s="0" t="n">
        <v>1000</v>
      </c>
      <c r="AL571" s="0" t="n">
        <v>1.11</v>
      </c>
    </row>
    <row r="572">
      <c r="A572" s="0" t="inlineStr">
        <is>
          <t>[작전동]</t>
        </is>
      </c>
      <c r="B572" s="0" t="n">
        <v>2441</v>
      </c>
      <c r="C572" s="0" t="n">
        <v>2</v>
      </c>
      <c r="D572" s="0" t="inlineStr">
        <is>
          <t>작전현대2-2차</t>
        </is>
      </c>
      <c r="E572" s="0" t="inlineStr">
        <is>
          <t>1993.12.</t>
        </is>
      </c>
      <c r="F572" s="0" t="n">
        <v>904</v>
      </c>
      <c r="G572" s="0" t="n">
        <v>50.89</v>
      </c>
      <c r="H572" s="0" t="n">
        <v>168.24</v>
      </c>
      <c r="I572" s="0" t="n">
        <v>41.37</v>
      </c>
      <c r="J572" s="0" t="n">
        <v>136.77</v>
      </c>
      <c r="K572" s="0" t="n">
        <v>128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168</v>
      </c>
      <c r="X572" s="0" t="n">
        <v>20</v>
      </c>
      <c r="Y572" s="0" t="n">
        <v>16</v>
      </c>
      <c r="Z572" s="0" t="inlineStr">
        <is>
          <t>https://new.land.naver.com/complexes/2441?tab=detail&amp;rf=Y</t>
        </is>
      </c>
      <c r="AA572" s="0" t="inlineStr">
        <is>
          <t>인천시 계양구 작전동 555-1</t>
        </is>
      </c>
      <c r="AB572" s="0" t="inlineStr">
        <is>
          <t>인천시</t>
        </is>
      </c>
      <c r="AC572" s="0" t="inlineStr">
        <is>
          <t>계양구</t>
        </is>
      </c>
      <c r="AD572" s="0" t="inlineStr">
        <is>
          <t>작전동</t>
        </is>
      </c>
      <c r="AG572" s="0" t="inlineStr">
        <is>
          <t>인천시 계양구 효서로 381</t>
        </is>
      </c>
      <c r="AH572" s="0" t="n">
        <v>0</v>
      </c>
      <c r="AI572" s="0" t="n">
        <v>257</v>
      </c>
      <c r="AJ572" s="0" t="n">
        <v>20</v>
      </c>
      <c r="AK572" s="0" t="n">
        <v>1000</v>
      </c>
      <c r="AL572" s="0" t="n">
        <v>1.11</v>
      </c>
    </row>
    <row r="573">
      <c r="A573" s="0" t="inlineStr">
        <is>
          <t>[작전동]</t>
        </is>
      </c>
      <c r="B573" s="0" t="n">
        <v>2441</v>
      </c>
      <c r="C573" s="0" t="n">
        <v>3</v>
      </c>
      <c r="D573" s="0" t="inlineStr">
        <is>
          <t>작전현대2-2차</t>
        </is>
      </c>
      <c r="E573" s="0" t="inlineStr">
        <is>
          <t>1993.12.</t>
        </is>
      </c>
      <c r="F573" s="0" t="n">
        <v>904</v>
      </c>
      <c r="G573" s="0" t="n">
        <v>55.44</v>
      </c>
      <c r="H573" s="0" t="n">
        <v>183.3</v>
      </c>
      <c r="I573" s="0" t="n">
        <v>45.07</v>
      </c>
      <c r="J573" s="0" t="n">
        <v>149.01</v>
      </c>
      <c r="K573" s="0" t="n">
        <v>128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183</v>
      </c>
      <c r="X573" s="0" t="n">
        <v>20</v>
      </c>
      <c r="Y573" s="0" t="n">
        <v>16</v>
      </c>
      <c r="Z573" s="0" t="inlineStr">
        <is>
          <t>https://new.land.naver.com/complexes/2441?tab=detail&amp;rf=Y</t>
        </is>
      </c>
      <c r="AA573" s="0" t="inlineStr">
        <is>
          <t>인천시 계양구 작전동 555-1</t>
        </is>
      </c>
      <c r="AB573" s="0" t="inlineStr">
        <is>
          <t>인천시</t>
        </is>
      </c>
      <c r="AC573" s="0" t="inlineStr">
        <is>
          <t>계양구</t>
        </is>
      </c>
      <c r="AD573" s="0" t="inlineStr">
        <is>
          <t>작전동</t>
        </is>
      </c>
      <c r="AG573" s="0" t="inlineStr">
        <is>
          <t>인천시 계양구 효서로 381</t>
        </is>
      </c>
      <c r="AH573" s="0" t="n">
        <v>0</v>
      </c>
      <c r="AI573" s="0" t="n">
        <v>257</v>
      </c>
      <c r="AJ573" s="0" t="n">
        <v>20</v>
      </c>
      <c r="AK573" s="0" t="n">
        <v>1000</v>
      </c>
      <c r="AL573" s="0" t="n">
        <v>1.11</v>
      </c>
    </row>
    <row r="574">
      <c r="A574" s="0" t="inlineStr">
        <is>
          <t>[작전동]</t>
        </is>
      </c>
      <c r="B574" s="0" t="n">
        <v>10807</v>
      </c>
      <c r="C574" s="0" t="n">
        <v>1</v>
      </c>
      <c r="D574" s="0" t="inlineStr">
        <is>
          <t>동방</t>
        </is>
      </c>
      <c r="E574" s="0" t="inlineStr">
        <is>
          <t>1979.12.</t>
        </is>
      </c>
      <c r="F574" s="0" t="n">
        <v>41</v>
      </c>
      <c r="G574" s="0" t="n">
        <v>21.16</v>
      </c>
      <c r="H574" s="0" t="n">
        <v>69.98</v>
      </c>
      <c r="I574" s="0" t="n">
        <v>18.43</v>
      </c>
      <c r="J574" s="0" t="n">
        <v>60.93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69A</t>
        </is>
      </c>
      <c r="X574" s="0" t="n">
        <v>5</v>
      </c>
      <c r="Y574" s="0" t="n">
        <v>5</v>
      </c>
      <c r="Z574" s="0" t="inlineStr">
        <is>
          <t>https://new.land.naver.com/complexes/10807?tab=detail&amp;rf=Y</t>
        </is>
      </c>
      <c r="AA574" s="0" t="inlineStr">
        <is>
          <t>인천시 계양구 작전동 856-60</t>
        </is>
      </c>
      <c r="AB574" s="0" t="inlineStr">
        <is>
          <t>인천시</t>
        </is>
      </c>
      <c r="AC574" s="0" t="inlineStr">
        <is>
          <t>계양구</t>
        </is>
      </c>
      <c r="AD574" s="0" t="inlineStr">
        <is>
          <t>작전동</t>
        </is>
      </c>
      <c r="AG574" s="0" t="inlineStr">
        <is>
          <t>인천시 계양구 계산로126번길 34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[작전동]</t>
        </is>
      </c>
      <c r="B575" s="0" t="n">
        <v>10807</v>
      </c>
      <c r="C575" s="0" t="n">
        <v>2</v>
      </c>
      <c r="D575" s="0" t="inlineStr">
        <is>
          <t>동방</t>
        </is>
      </c>
      <c r="E575" s="0" t="inlineStr">
        <is>
          <t>1979.12.</t>
        </is>
      </c>
      <c r="F575" s="0" t="n">
        <v>41</v>
      </c>
      <c r="G575" s="0" t="n">
        <v>21.17</v>
      </c>
      <c r="H575" s="0" t="n">
        <v>70.01000000000001</v>
      </c>
      <c r="I575" s="0" t="n">
        <v>18.44</v>
      </c>
      <c r="J575" s="0" t="n">
        <v>60.96</v>
      </c>
      <c r="K575" s="0" t="n">
        <v>5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70B</t>
        </is>
      </c>
      <c r="X575" s="0" t="n">
        <v>5</v>
      </c>
      <c r="Y575" s="0" t="n">
        <v>5</v>
      </c>
      <c r="Z575" s="0" t="inlineStr">
        <is>
          <t>https://new.land.naver.com/complexes/10807?tab=detail&amp;rf=Y</t>
        </is>
      </c>
      <c r="AA575" s="0" t="inlineStr">
        <is>
          <t>인천시 계양구 작전동 856-60</t>
        </is>
      </c>
      <c r="AB575" s="0" t="inlineStr">
        <is>
          <t>인천시</t>
        </is>
      </c>
      <c r="AC575" s="0" t="inlineStr">
        <is>
          <t>계양구</t>
        </is>
      </c>
      <c r="AD575" s="0" t="inlineStr">
        <is>
          <t>작전동</t>
        </is>
      </c>
      <c r="AG575" s="0" t="inlineStr">
        <is>
          <t>인천시 계양구 계산로126번길 34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[작전동]</t>
        </is>
      </c>
      <c r="B576" s="0" t="n">
        <v>10807</v>
      </c>
      <c r="C576" s="0" t="n">
        <v>3</v>
      </c>
      <c r="D576" s="0" t="inlineStr">
        <is>
          <t>동방</t>
        </is>
      </c>
      <c r="E576" s="0" t="inlineStr">
        <is>
          <t>1979.12.</t>
        </is>
      </c>
      <c r="F576" s="0" t="n">
        <v>41</v>
      </c>
      <c r="G576" s="0" t="n">
        <v>21.28</v>
      </c>
      <c r="H576" s="0" t="n">
        <v>70.37</v>
      </c>
      <c r="I576" s="0" t="n">
        <v>18.54</v>
      </c>
      <c r="J576" s="0" t="n">
        <v>61.32</v>
      </c>
      <c r="K576" s="0" t="n">
        <v>4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70C</t>
        </is>
      </c>
      <c r="X576" s="0" t="n">
        <v>5</v>
      </c>
      <c r="Y576" s="0" t="n">
        <v>5</v>
      </c>
      <c r="Z576" s="0" t="inlineStr">
        <is>
          <t>https://new.land.naver.com/complexes/10807?tab=detail&amp;rf=Y</t>
        </is>
      </c>
      <c r="AA576" s="0" t="inlineStr">
        <is>
          <t>인천시 계양구 작전동 856-60</t>
        </is>
      </c>
      <c r="AB576" s="0" t="inlineStr">
        <is>
          <t>인천시</t>
        </is>
      </c>
      <c r="AC576" s="0" t="inlineStr">
        <is>
          <t>계양구</t>
        </is>
      </c>
      <c r="AD576" s="0" t="inlineStr">
        <is>
          <t>작전동</t>
        </is>
      </c>
      <c r="AG576" s="0" t="inlineStr">
        <is>
          <t>인천시 계양구 계산로126번길 34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[작전동]</t>
        </is>
      </c>
      <c r="B577" s="0" t="n">
        <v>10807</v>
      </c>
      <c r="C577" s="0" t="n">
        <v>4</v>
      </c>
      <c r="D577" s="0" t="inlineStr">
        <is>
          <t>동방</t>
        </is>
      </c>
      <c r="E577" s="0" t="inlineStr">
        <is>
          <t>1979.12.</t>
        </is>
      </c>
      <c r="F577" s="0" t="n">
        <v>41</v>
      </c>
      <c r="G577" s="0" t="n">
        <v>21.29</v>
      </c>
      <c r="H577" s="0" t="n">
        <v>70.41</v>
      </c>
      <c r="I577" s="0" t="n">
        <v>18.56</v>
      </c>
      <c r="J577" s="0" t="n">
        <v>61.36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70D</t>
        </is>
      </c>
      <c r="X577" s="0" t="n">
        <v>5</v>
      </c>
      <c r="Y577" s="0" t="n">
        <v>5</v>
      </c>
      <c r="Z577" s="0" t="inlineStr">
        <is>
          <t>https://new.land.naver.com/complexes/10807?tab=detail&amp;rf=Y</t>
        </is>
      </c>
      <c r="AA577" s="0" t="inlineStr">
        <is>
          <t>인천시 계양구 작전동 856-60</t>
        </is>
      </c>
      <c r="AB577" s="0" t="inlineStr">
        <is>
          <t>인천시</t>
        </is>
      </c>
      <c r="AC577" s="0" t="inlineStr">
        <is>
          <t>계양구</t>
        </is>
      </c>
      <c r="AD577" s="0" t="inlineStr">
        <is>
          <t>작전동</t>
        </is>
      </c>
      <c r="AG577" s="0" t="inlineStr">
        <is>
          <t>인천시 계양구 계산로126번길 34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[작전동]</t>
        </is>
      </c>
      <c r="B578" s="0" t="n">
        <v>10807</v>
      </c>
      <c r="C578" s="0" t="n">
        <v>5</v>
      </c>
      <c r="D578" s="0" t="inlineStr">
        <is>
          <t>동방</t>
        </is>
      </c>
      <c r="E578" s="0" t="inlineStr">
        <is>
          <t>1979.12.</t>
        </is>
      </c>
      <c r="F578" s="0" t="n">
        <v>41</v>
      </c>
      <c r="G578" s="0" t="n">
        <v>21.58</v>
      </c>
      <c r="H578" s="0" t="n">
        <v>71.36</v>
      </c>
      <c r="I578" s="0" t="n">
        <v>18.84</v>
      </c>
      <c r="J578" s="0" t="n">
        <v>62.31</v>
      </c>
      <c r="K578" s="0" t="n">
        <v>8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71A</t>
        </is>
      </c>
      <c r="X578" s="0" t="n">
        <v>5</v>
      </c>
      <c r="Y578" s="0" t="n">
        <v>5</v>
      </c>
      <c r="Z578" s="0" t="inlineStr">
        <is>
          <t>https://new.land.naver.com/complexes/10807?tab=detail&amp;rf=Y</t>
        </is>
      </c>
      <c r="AA578" s="0" t="inlineStr">
        <is>
          <t>인천시 계양구 작전동 856-60</t>
        </is>
      </c>
      <c r="AB578" s="0" t="inlineStr">
        <is>
          <t>인천시</t>
        </is>
      </c>
      <c r="AC578" s="0" t="inlineStr">
        <is>
          <t>계양구</t>
        </is>
      </c>
      <c r="AD578" s="0" t="inlineStr">
        <is>
          <t>작전동</t>
        </is>
      </c>
      <c r="AG578" s="0" t="inlineStr">
        <is>
          <t>인천시 계양구 계산로126번길 34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[작전동]</t>
        </is>
      </c>
      <c r="B579" s="0" t="n">
        <v>10807</v>
      </c>
      <c r="C579" s="0" t="n">
        <v>6</v>
      </c>
      <c r="D579" s="0" t="inlineStr">
        <is>
          <t>동방</t>
        </is>
      </c>
      <c r="E579" s="0" t="inlineStr">
        <is>
          <t>1979.12.</t>
        </is>
      </c>
      <c r="F579" s="0" t="n">
        <v>41</v>
      </c>
      <c r="G579" s="0" t="n">
        <v>21.59</v>
      </c>
      <c r="H579" s="0" t="n">
        <v>71.40000000000001</v>
      </c>
      <c r="I579" s="0" t="n">
        <v>18.86</v>
      </c>
      <c r="J579" s="0" t="n">
        <v>62.35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inlineStr">
        <is>
          <t>71B</t>
        </is>
      </c>
      <c r="X579" s="0" t="n">
        <v>5</v>
      </c>
      <c r="Y579" s="0" t="n">
        <v>5</v>
      </c>
      <c r="Z579" s="0" t="inlineStr">
        <is>
          <t>https://new.land.naver.com/complexes/10807?tab=detail&amp;rf=Y</t>
        </is>
      </c>
      <c r="AA579" s="0" t="inlineStr">
        <is>
          <t>인천시 계양구 작전동 856-60</t>
        </is>
      </c>
      <c r="AB579" s="0" t="inlineStr">
        <is>
          <t>인천시</t>
        </is>
      </c>
      <c r="AC579" s="0" t="inlineStr">
        <is>
          <t>계양구</t>
        </is>
      </c>
      <c r="AD579" s="0" t="inlineStr">
        <is>
          <t>작전동</t>
        </is>
      </c>
      <c r="AG579" s="0" t="inlineStr">
        <is>
          <t>인천시 계양구 계산로126번길 34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[작전동]</t>
        </is>
      </c>
      <c r="B580" s="0" t="n">
        <v>10807</v>
      </c>
      <c r="C580" s="0" t="n">
        <v>7</v>
      </c>
      <c r="D580" s="0" t="inlineStr">
        <is>
          <t>동방</t>
        </is>
      </c>
      <c r="E580" s="0" t="inlineStr">
        <is>
          <t>1979.12.</t>
        </is>
      </c>
      <c r="F580" s="0" t="n">
        <v>41</v>
      </c>
      <c r="G580" s="0" t="n">
        <v>21.93</v>
      </c>
      <c r="H580" s="0" t="n">
        <v>72.52</v>
      </c>
      <c r="I580" s="0" t="n">
        <v>19.19</v>
      </c>
      <c r="J580" s="0" t="n">
        <v>63.47</v>
      </c>
      <c r="K580" s="0" t="n">
        <v>7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72D</t>
        </is>
      </c>
      <c r="X580" s="0" t="n">
        <v>5</v>
      </c>
      <c r="Y580" s="0" t="n">
        <v>5</v>
      </c>
      <c r="Z580" s="0" t="inlineStr">
        <is>
          <t>https://new.land.naver.com/complexes/10807?tab=detail&amp;rf=Y</t>
        </is>
      </c>
      <c r="AA580" s="0" t="inlineStr">
        <is>
          <t>인천시 계양구 작전동 856-60</t>
        </is>
      </c>
      <c r="AB580" s="0" t="inlineStr">
        <is>
          <t>인천시</t>
        </is>
      </c>
      <c r="AC580" s="0" t="inlineStr">
        <is>
          <t>계양구</t>
        </is>
      </c>
      <c r="AD580" s="0" t="inlineStr">
        <is>
          <t>작전동</t>
        </is>
      </c>
      <c r="AG580" s="0" t="inlineStr">
        <is>
          <t>인천시 계양구 계산로126번길 34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[작전동]</t>
        </is>
      </c>
      <c r="B581" s="0" t="n">
        <v>10807</v>
      </c>
      <c r="C581" s="0" t="n">
        <v>8</v>
      </c>
      <c r="D581" s="0" t="inlineStr">
        <is>
          <t>동방</t>
        </is>
      </c>
      <c r="E581" s="0" t="inlineStr">
        <is>
          <t>1979.12.</t>
        </is>
      </c>
      <c r="F581" s="0" t="n">
        <v>41</v>
      </c>
      <c r="G581" s="0" t="n">
        <v>21.92</v>
      </c>
      <c r="H581" s="0" t="n">
        <v>72.48</v>
      </c>
      <c r="I581" s="0" t="n">
        <v>19.18</v>
      </c>
      <c r="J581" s="0" t="n">
        <v>63.43</v>
      </c>
      <c r="K581" s="0" t="n">
        <v>1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72C</t>
        </is>
      </c>
      <c r="X581" s="0" t="n">
        <v>5</v>
      </c>
      <c r="Y581" s="0" t="n">
        <v>5</v>
      </c>
      <c r="Z581" s="0" t="inlineStr">
        <is>
          <t>https://new.land.naver.com/complexes/10807?tab=detail&amp;rf=Y</t>
        </is>
      </c>
      <c r="AA581" s="0" t="inlineStr">
        <is>
          <t>인천시 계양구 작전동 856-60</t>
        </is>
      </c>
      <c r="AB581" s="0" t="inlineStr">
        <is>
          <t>인천시</t>
        </is>
      </c>
      <c r="AC581" s="0" t="inlineStr">
        <is>
          <t>계양구</t>
        </is>
      </c>
      <c r="AD581" s="0" t="inlineStr">
        <is>
          <t>작전동</t>
        </is>
      </c>
      <c r="AG581" s="0" t="inlineStr">
        <is>
          <t>인천시 계양구 계산로126번길 34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[작전동]</t>
        </is>
      </c>
      <c r="B582" s="0" t="n">
        <v>10807</v>
      </c>
      <c r="C582" s="0" t="n">
        <v>9</v>
      </c>
      <c r="D582" s="0" t="inlineStr">
        <is>
          <t>동방</t>
        </is>
      </c>
      <c r="E582" s="0" t="inlineStr">
        <is>
          <t>1979.12.</t>
        </is>
      </c>
      <c r="F582" s="0" t="n">
        <v>41</v>
      </c>
      <c r="G582" s="0" t="n">
        <v>25.35</v>
      </c>
      <c r="H582" s="0" t="n">
        <v>83.83</v>
      </c>
      <c r="I582" s="0" t="n">
        <v>22.04</v>
      </c>
      <c r="J582" s="0" t="n">
        <v>72.86</v>
      </c>
      <c r="K582" s="0" t="n">
        <v>5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83</v>
      </c>
      <c r="X582" s="0" t="n">
        <v>5</v>
      </c>
      <c r="Y582" s="0" t="n">
        <v>5</v>
      </c>
      <c r="Z582" s="0" t="inlineStr">
        <is>
          <t>https://new.land.naver.com/complexes/10807?tab=detail&amp;rf=Y</t>
        </is>
      </c>
      <c r="AA582" s="0" t="inlineStr">
        <is>
          <t>인천시 계양구 작전동 856-60</t>
        </is>
      </c>
      <c r="AB582" s="0" t="inlineStr">
        <is>
          <t>인천시</t>
        </is>
      </c>
      <c r="AC582" s="0" t="inlineStr">
        <is>
          <t>계양구</t>
        </is>
      </c>
      <c r="AD582" s="0" t="inlineStr">
        <is>
          <t>작전동</t>
        </is>
      </c>
      <c r="AG582" s="0" t="inlineStr">
        <is>
          <t>인천시 계양구 계산로126번길 34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[작전동]</t>
        </is>
      </c>
      <c r="B583" s="0" t="n">
        <v>10807</v>
      </c>
      <c r="C583" s="0" t="n">
        <v>10</v>
      </c>
      <c r="D583" s="0" t="inlineStr">
        <is>
          <t>동방</t>
        </is>
      </c>
      <c r="E583" s="0" t="inlineStr">
        <is>
          <t>1979.12.</t>
        </is>
      </c>
      <c r="F583" s="0" t="n">
        <v>41</v>
      </c>
      <c r="G583" s="0" t="n">
        <v>30.87</v>
      </c>
      <c r="H583" s="0" t="n">
        <v>102.08</v>
      </c>
      <c r="I583" s="0" t="n">
        <v>28.19</v>
      </c>
      <c r="J583" s="0" t="n">
        <v>93.22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102</v>
      </c>
      <c r="X583" s="0" t="n">
        <v>5</v>
      </c>
      <c r="Y583" s="0" t="n">
        <v>5</v>
      </c>
      <c r="Z583" s="0" t="inlineStr">
        <is>
          <t>https://new.land.naver.com/complexes/10807?tab=detail&amp;rf=Y</t>
        </is>
      </c>
      <c r="AA583" s="0" t="inlineStr">
        <is>
          <t>인천시 계양구 작전동 856-60</t>
        </is>
      </c>
      <c r="AB583" s="0" t="inlineStr">
        <is>
          <t>인천시</t>
        </is>
      </c>
      <c r="AC583" s="0" t="inlineStr">
        <is>
          <t>계양구</t>
        </is>
      </c>
      <c r="AD583" s="0" t="inlineStr">
        <is>
          <t>작전동</t>
        </is>
      </c>
      <c r="AG583" s="0" t="inlineStr">
        <is>
          <t>인천시 계양구 계산로126번길 34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[작전동]</t>
        </is>
      </c>
      <c r="B584" s="0" t="n">
        <v>123398</v>
      </c>
      <c r="C584" s="0" t="n">
        <v>1</v>
      </c>
      <c r="D584" s="0" t="inlineStr">
        <is>
          <t>작전역서해그랑블</t>
        </is>
      </c>
      <c r="E584" s="0" t="inlineStr">
        <is>
          <t>2020.09.</t>
        </is>
      </c>
      <c r="F584" s="0" t="n">
        <v>280</v>
      </c>
      <c r="G584" s="0" t="n">
        <v>19.95</v>
      </c>
      <c r="H584" s="0" t="n">
        <v>65.97</v>
      </c>
      <c r="I584" s="0" t="n">
        <v>14.99</v>
      </c>
      <c r="J584" s="0" t="n">
        <v>49.58</v>
      </c>
      <c r="K584" s="0" t="n">
        <v>32</v>
      </c>
      <c r="T584" s="0" t="n">
        <v>2</v>
      </c>
      <c r="U584" s="0" t="n">
        <v>1</v>
      </c>
      <c r="V584" s="0" t="inlineStr">
        <is>
          <t>계단식</t>
        </is>
      </c>
      <c r="W584" s="0" t="n">
        <v>65</v>
      </c>
      <c r="X584" s="0" t="n">
        <v>20</v>
      </c>
      <c r="Y584" s="0" t="n">
        <v>15</v>
      </c>
      <c r="Z584" s="0" t="inlineStr">
        <is>
          <t>https://new.land.naver.com/complexes/123398?tab=detail&amp;rf=Y</t>
        </is>
      </c>
      <c r="AA584" s="0" t="inlineStr">
        <is>
          <t>인천시 계양구 작전동 949</t>
        </is>
      </c>
      <c r="AB584" s="0" t="inlineStr">
        <is>
          <t>인천시</t>
        </is>
      </c>
      <c r="AC584" s="0" t="inlineStr">
        <is>
          <t>계양구</t>
        </is>
      </c>
      <c r="AD584" s="0" t="inlineStr">
        <is>
          <t>작전동</t>
        </is>
      </c>
      <c r="AG584" s="0" t="inlineStr">
        <is>
          <t>인천시 계양구 아나지로247번길 22</t>
        </is>
      </c>
      <c r="AH584" s="0" t="n">
        <v>0</v>
      </c>
      <c r="AI584" s="0" t="n">
        <v>237</v>
      </c>
      <c r="AJ584" s="0" t="n">
        <v>24</v>
      </c>
      <c r="AK584" s="0" t="n">
        <v>280</v>
      </c>
      <c r="AL584" s="0" t="n">
        <v>1</v>
      </c>
    </row>
    <row r="585">
      <c r="A585" s="0" t="inlineStr">
        <is>
          <t>[작전동]</t>
        </is>
      </c>
      <c r="B585" s="0" t="n">
        <v>123398</v>
      </c>
      <c r="C585" s="0" t="n">
        <v>2</v>
      </c>
      <c r="D585" s="0" t="inlineStr">
        <is>
          <t>작전역서해그랑블</t>
        </is>
      </c>
      <c r="E585" s="0" t="inlineStr">
        <is>
          <t>2020.09.</t>
        </is>
      </c>
      <c r="F585" s="0" t="n">
        <v>280</v>
      </c>
      <c r="G585" s="0" t="n">
        <v>24.22</v>
      </c>
      <c r="H585" s="0" t="n">
        <v>80.08</v>
      </c>
      <c r="I585" s="0" t="n">
        <v>18.14</v>
      </c>
      <c r="J585" s="0" t="n">
        <v>59.98</v>
      </c>
      <c r="K585" s="0" t="n">
        <v>180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80A</t>
        </is>
      </c>
      <c r="X585" s="0" t="n">
        <v>20</v>
      </c>
      <c r="Y585" s="0" t="n">
        <v>15</v>
      </c>
      <c r="Z585" s="0" t="inlineStr">
        <is>
          <t>https://new.land.naver.com/complexes/123398?tab=detail&amp;rf=Y</t>
        </is>
      </c>
      <c r="AA585" s="0" t="inlineStr">
        <is>
          <t>인천시 계양구 작전동 949</t>
        </is>
      </c>
      <c r="AB585" s="0" t="inlineStr">
        <is>
          <t>인천시</t>
        </is>
      </c>
      <c r="AC585" s="0" t="inlineStr">
        <is>
          <t>계양구</t>
        </is>
      </c>
      <c r="AD585" s="0" t="inlineStr">
        <is>
          <t>작전동</t>
        </is>
      </c>
      <c r="AG585" s="0" t="inlineStr">
        <is>
          <t>인천시 계양구 아나지로247번길 22</t>
        </is>
      </c>
      <c r="AH585" s="0" t="n">
        <v>0</v>
      </c>
      <c r="AI585" s="0" t="n">
        <v>237</v>
      </c>
      <c r="AJ585" s="0" t="n">
        <v>24</v>
      </c>
      <c r="AK585" s="0" t="n">
        <v>280</v>
      </c>
      <c r="AL585" s="0" t="n">
        <v>1</v>
      </c>
    </row>
    <row r="586">
      <c r="A586" s="0" t="inlineStr">
        <is>
          <t>[작전동]</t>
        </is>
      </c>
      <c r="B586" s="0" t="n">
        <v>123398</v>
      </c>
      <c r="C586" s="0" t="n">
        <v>3</v>
      </c>
      <c r="D586" s="0" t="inlineStr">
        <is>
          <t>작전역서해그랑블</t>
        </is>
      </c>
      <c r="E586" s="0" t="inlineStr">
        <is>
          <t>2020.09.</t>
        </is>
      </c>
      <c r="F586" s="0" t="n">
        <v>280</v>
      </c>
      <c r="G586" s="0" t="n">
        <v>24.22</v>
      </c>
      <c r="H586" s="0" t="n">
        <v>80.08</v>
      </c>
      <c r="I586" s="0" t="n">
        <v>18.14</v>
      </c>
      <c r="J586" s="0" t="n">
        <v>59.99</v>
      </c>
      <c r="K586" s="0" t="n">
        <v>33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80B</t>
        </is>
      </c>
      <c r="X586" s="0" t="n">
        <v>20</v>
      </c>
      <c r="Y586" s="0" t="n">
        <v>15</v>
      </c>
      <c r="Z586" s="0" t="inlineStr">
        <is>
          <t>https://new.land.naver.com/complexes/123398?tab=detail&amp;rf=Y</t>
        </is>
      </c>
      <c r="AA586" s="0" t="inlineStr">
        <is>
          <t>인천시 계양구 작전동 949</t>
        </is>
      </c>
      <c r="AB586" s="0" t="inlineStr">
        <is>
          <t>인천시</t>
        </is>
      </c>
      <c r="AC586" s="0" t="inlineStr">
        <is>
          <t>계양구</t>
        </is>
      </c>
      <c r="AD586" s="0" t="inlineStr">
        <is>
          <t>작전동</t>
        </is>
      </c>
      <c r="AG586" s="0" t="inlineStr">
        <is>
          <t>인천시 계양구 아나지로247번길 22</t>
        </is>
      </c>
      <c r="AH586" s="0" t="n">
        <v>0</v>
      </c>
      <c r="AI586" s="0" t="n">
        <v>237</v>
      </c>
      <c r="AJ586" s="0" t="n">
        <v>24</v>
      </c>
      <c r="AK586" s="0" t="n">
        <v>280</v>
      </c>
      <c r="AL586" s="0" t="n">
        <v>1</v>
      </c>
    </row>
    <row r="587">
      <c r="A587" s="0" t="inlineStr">
        <is>
          <t>[작전동]</t>
        </is>
      </c>
      <c r="B587" s="0" t="n">
        <v>123398</v>
      </c>
      <c r="C587" s="0" t="n">
        <v>4</v>
      </c>
      <c r="D587" s="0" t="inlineStr">
        <is>
          <t>작전역서해그랑블</t>
        </is>
      </c>
      <c r="E587" s="0" t="inlineStr">
        <is>
          <t>2020.09.</t>
        </is>
      </c>
      <c r="F587" s="0" t="n">
        <v>280</v>
      </c>
      <c r="G587" s="0" t="n">
        <v>29.97</v>
      </c>
      <c r="H587" s="0" t="n">
        <v>99.09</v>
      </c>
      <c r="I587" s="0" t="n">
        <v>22.67</v>
      </c>
      <c r="J587" s="0" t="n">
        <v>74.95</v>
      </c>
      <c r="K587" s="0" t="n">
        <v>31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99</v>
      </c>
      <c r="X587" s="0" t="n">
        <v>20</v>
      </c>
      <c r="Y587" s="0" t="n">
        <v>15</v>
      </c>
      <c r="Z587" s="0" t="inlineStr">
        <is>
          <t>https://new.land.naver.com/complexes/123398?tab=detail&amp;rf=Y</t>
        </is>
      </c>
      <c r="AA587" s="0" t="inlineStr">
        <is>
          <t>인천시 계양구 작전동 949</t>
        </is>
      </c>
      <c r="AB587" s="0" t="inlineStr">
        <is>
          <t>인천시</t>
        </is>
      </c>
      <c r="AC587" s="0" t="inlineStr">
        <is>
          <t>계양구</t>
        </is>
      </c>
      <c r="AD587" s="0" t="inlineStr">
        <is>
          <t>작전동</t>
        </is>
      </c>
      <c r="AG587" s="0" t="inlineStr">
        <is>
          <t>인천시 계양구 아나지로247번길 22</t>
        </is>
      </c>
      <c r="AH587" s="0" t="n">
        <v>0</v>
      </c>
      <c r="AI587" s="0" t="n">
        <v>237</v>
      </c>
      <c r="AJ587" s="0" t="n">
        <v>24</v>
      </c>
      <c r="AK587" s="0" t="n">
        <v>280</v>
      </c>
      <c r="AL587" s="0" t="n">
        <v>1</v>
      </c>
    </row>
    <row r="588">
      <c r="A588" s="0" t="inlineStr">
        <is>
          <t>[작전동]</t>
        </is>
      </c>
      <c r="B588" s="0" t="n">
        <v>123398</v>
      </c>
      <c r="C588" s="0" t="n">
        <v>5</v>
      </c>
      <c r="D588" s="0" t="inlineStr">
        <is>
          <t>작전역서해그랑블</t>
        </is>
      </c>
      <c r="E588" s="0" t="inlineStr">
        <is>
          <t>2020.09.</t>
        </is>
      </c>
      <c r="F588" s="0" t="n">
        <v>280</v>
      </c>
      <c r="G588" s="0" t="n">
        <v>35.05</v>
      </c>
      <c r="H588" s="0" t="n">
        <v>115.87</v>
      </c>
      <c r="I588" s="0" t="n">
        <v>25.7</v>
      </c>
      <c r="J588" s="0" t="n">
        <v>84.98999999999999</v>
      </c>
      <c r="K588" s="0" t="n">
        <v>3</v>
      </c>
      <c r="T588" s="0" t="n">
        <v>4</v>
      </c>
      <c r="U588" s="0" t="n">
        <v>2</v>
      </c>
      <c r="V588" s="0" t="inlineStr">
        <is>
          <t>계단식</t>
        </is>
      </c>
      <c r="W588" s="0" t="inlineStr">
        <is>
          <t>115A</t>
        </is>
      </c>
      <c r="X588" s="0" t="n">
        <v>20</v>
      </c>
      <c r="Y588" s="0" t="n">
        <v>15</v>
      </c>
      <c r="Z588" s="0" t="inlineStr">
        <is>
          <t>https://new.land.naver.com/complexes/123398?tab=detail&amp;rf=Y</t>
        </is>
      </c>
      <c r="AA588" s="0" t="inlineStr">
        <is>
          <t>인천시 계양구 작전동 949</t>
        </is>
      </c>
      <c r="AB588" s="0" t="inlineStr">
        <is>
          <t>인천시</t>
        </is>
      </c>
      <c r="AC588" s="0" t="inlineStr">
        <is>
          <t>계양구</t>
        </is>
      </c>
      <c r="AD588" s="0" t="inlineStr">
        <is>
          <t>작전동</t>
        </is>
      </c>
      <c r="AG588" s="0" t="inlineStr">
        <is>
          <t>인천시 계양구 아나지로247번길 22</t>
        </is>
      </c>
      <c r="AH588" s="0" t="n">
        <v>0</v>
      </c>
      <c r="AI588" s="0" t="n">
        <v>237</v>
      </c>
      <c r="AJ588" s="0" t="n">
        <v>24</v>
      </c>
      <c r="AK588" s="0" t="n">
        <v>280</v>
      </c>
      <c r="AL588" s="0" t="n">
        <v>1</v>
      </c>
    </row>
    <row r="589">
      <c r="A589" s="0" t="inlineStr">
        <is>
          <t>[작전동]</t>
        </is>
      </c>
      <c r="B589" s="0" t="n">
        <v>123398</v>
      </c>
      <c r="C589" s="0" t="n">
        <v>6</v>
      </c>
      <c r="D589" s="0" t="inlineStr">
        <is>
          <t>작전역서해그랑블</t>
        </is>
      </c>
      <c r="E589" s="0" t="inlineStr">
        <is>
          <t>2020.09.</t>
        </is>
      </c>
      <c r="F589" s="0" t="n">
        <v>280</v>
      </c>
      <c r="G589" s="0" t="n">
        <v>34.83</v>
      </c>
      <c r="H589" s="0" t="n">
        <v>115.17</v>
      </c>
      <c r="I589" s="0" t="n">
        <v>25.7</v>
      </c>
      <c r="J589" s="0" t="n">
        <v>84.98</v>
      </c>
      <c r="K589" s="0" t="n">
        <v>1</v>
      </c>
      <c r="T589" s="0" t="n">
        <v>4</v>
      </c>
      <c r="U589" s="0" t="n">
        <v>2</v>
      </c>
      <c r="V589" s="0" t="inlineStr">
        <is>
          <t>계단식</t>
        </is>
      </c>
      <c r="W589" s="0" t="inlineStr">
        <is>
          <t>115B</t>
        </is>
      </c>
      <c r="X589" s="0" t="n">
        <v>20</v>
      </c>
      <c r="Y589" s="0" t="n">
        <v>15</v>
      </c>
      <c r="Z589" s="0" t="inlineStr">
        <is>
          <t>https://new.land.naver.com/complexes/123398?tab=detail&amp;rf=Y</t>
        </is>
      </c>
      <c r="AA589" s="0" t="inlineStr">
        <is>
          <t>인천시 계양구 작전동 949</t>
        </is>
      </c>
      <c r="AB589" s="0" t="inlineStr">
        <is>
          <t>인천시</t>
        </is>
      </c>
      <c r="AC589" s="0" t="inlineStr">
        <is>
          <t>계양구</t>
        </is>
      </c>
      <c r="AD589" s="0" t="inlineStr">
        <is>
          <t>작전동</t>
        </is>
      </c>
      <c r="AG589" s="0" t="inlineStr">
        <is>
          <t>인천시 계양구 아나지로247번길 22</t>
        </is>
      </c>
      <c r="AH589" s="0" t="n">
        <v>0</v>
      </c>
      <c r="AI589" s="0" t="n">
        <v>237</v>
      </c>
      <c r="AJ589" s="0" t="n">
        <v>24</v>
      </c>
      <c r="AK589" s="0" t="n">
        <v>280</v>
      </c>
      <c r="AL589" s="0" t="n">
        <v>1</v>
      </c>
    </row>
    <row r="590">
      <c r="A590" s="0" t="inlineStr">
        <is>
          <t>[작전동]</t>
        </is>
      </c>
      <c r="B590" s="0" t="n">
        <v>122466</v>
      </c>
      <c r="C590" s="0" t="n">
        <v>1</v>
      </c>
      <c r="D590" s="0" t="inlineStr">
        <is>
          <t>브라운스톤계양스카이</t>
        </is>
      </c>
      <c r="E590" s="0" t="inlineStr">
        <is>
          <t>2020.10.</t>
        </is>
      </c>
      <c r="F590" s="0" t="n">
        <v>282</v>
      </c>
      <c r="G590" s="0" t="n">
        <v>25.96</v>
      </c>
      <c r="H590" s="0" t="n">
        <v>85.81999999999999</v>
      </c>
      <c r="I590" s="0" t="n">
        <v>18.12</v>
      </c>
      <c r="J590" s="0" t="n">
        <v>59.93</v>
      </c>
      <c r="K590" s="0" t="n">
        <v>61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85B</t>
        </is>
      </c>
      <c r="X590" s="0" t="n">
        <v>33</v>
      </c>
      <c r="Y590" s="0" t="n">
        <v>10</v>
      </c>
      <c r="Z590" s="0" t="inlineStr">
        <is>
          <t>https://new.land.naver.com/complexes/122466?tab=detail&amp;rf=Y</t>
        </is>
      </c>
      <c r="AA590" s="0" t="inlineStr">
        <is>
          <t>인천시 계양구 작전동 951</t>
        </is>
      </c>
      <c r="AB590" s="0" t="inlineStr">
        <is>
          <t>인천시</t>
        </is>
      </c>
      <c r="AC590" s="0" t="inlineStr">
        <is>
          <t>계양구</t>
        </is>
      </c>
      <c r="AD590" s="0" t="inlineStr">
        <is>
          <t>작전동</t>
        </is>
      </c>
      <c r="AG590" s="0" t="inlineStr">
        <is>
          <t>인천시 계양구 아나지로299번길 11</t>
        </is>
      </c>
      <c r="AH590" s="0" t="n">
        <v>0</v>
      </c>
      <c r="AI590" s="0" t="n">
        <v>299</v>
      </c>
      <c r="AJ590" s="0" t="n">
        <v>19</v>
      </c>
      <c r="AK590" s="0" t="n">
        <v>311</v>
      </c>
      <c r="AL590" s="0" t="n">
        <v>1.1</v>
      </c>
    </row>
    <row r="591">
      <c r="A591" s="0" t="inlineStr">
        <is>
          <t>[작전동]</t>
        </is>
      </c>
      <c r="B591" s="0" t="n">
        <v>122466</v>
      </c>
      <c r="C591" s="0" t="n">
        <v>2</v>
      </c>
      <c r="D591" s="0" t="inlineStr">
        <is>
          <t>브라운스톤계양스카이</t>
        </is>
      </c>
      <c r="E591" s="0" t="inlineStr">
        <is>
          <t>2020.10.</t>
        </is>
      </c>
      <c r="F591" s="0" t="n">
        <v>282</v>
      </c>
      <c r="G591" s="0" t="n">
        <v>25.79</v>
      </c>
      <c r="H591" s="0" t="n">
        <v>85.26000000000001</v>
      </c>
      <c r="I591" s="0" t="n">
        <v>18.13</v>
      </c>
      <c r="J591" s="0" t="n">
        <v>59.94</v>
      </c>
      <c r="K591" s="0" t="n">
        <v>36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85A</t>
        </is>
      </c>
      <c r="X591" s="0" t="n">
        <v>33</v>
      </c>
      <c r="Y591" s="0" t="n">
        <v>10</v>
      </c>
      <c r="Z591" s="0" t="inlineStr">
        <is>
          <t>https://new.land.naver.com/complexes/122466?tab=detail&amp;rf=Y</t>
        </is>
      </c>
      <c r="AA591" s="0" t="inlineStr">
        <is>
          <t>인천시 계양구 작전동 951</t>
        </is>
      </c>
      <c r="AB591" s="0" t="inlineStr">
        <is>
          <t>인천시</t>
        </is>
      </c>
      <c r="AC591" s="0" t="inlineStr">
        <is>
          <t>계양구</t>
        </is>
      </c>
      <c r="AD591" s="0" t="inlineStr">
        <is>
          <t>작전동</t>
        </is>
      </c>
      <c r="AG591" s="0" t="inlineStr">
        <is>
          <t>인천시 계양구 아나지로299번길 11</t>
        </is>
      </c>
      <c r="AH591" s="0" t="n">
        <v>0</v>
      </c>
      <c r="AI591" s="0" t="n">
        <v>299</v>
      </c>
      <c r="AJ591" s="0" t="n">
        <v>19</v>
      </c>
      <c r="AK591" s="0" t="n">
        <v>311</v>
      </c>
      <c r="AL591" s="0" t="n">
        <v>1.1</v>
      </c>
    </row>
    <row r="592">
      <c r="A592" s="0" t="inlineStr">
        <is>
          <t>[작전동]</t>
        </is>
      </c>
      <c r="B592" s="0" t="n">
        <v>122466</v>
      </c>
      <c r="C592" s="0" t="n">
        <v>3</v>
      </c>
      <c r="D592" s="0" t="inlineStr">
        <is>
          <t>브라운스톤계양스카이</t>
        </is>
      </c>
      <c r="E592" s="0" t="inlineStr">
        <is>
          <t>2020.10.</t>
        </is>
      </c>
      <c r="F592" s="0" t="n">
        <v>282</v>
      </c>
      <c r="G592" s="0" t="n">
        <v>25.87</v>
      </c>
      <c r="H592" s="0" t="n">
        <v>85.54000000000001</v>
      </c>
      <c r="I592" s="0" t="n">
        <v>18.12</v>
      </c>
      <c r="J592" s="0" t="n">
        <v>59.91</v>
      </c>
      <c r="K592" s="0" t="n">
        <v>10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85C</t>
        </is>
      </c>
      <c r="X592" s="0" t="n">
        <v>33</v>
      </c>
      <c r="Y592" s="0" t="n">
        <v>10</v>
      </c>
      <c r="Z592" s="0" t="inlineStr">
        <is>
          <t>https://new.land.naver.com/complexes/122466?tab=detail&amp;rf=Y</t>
        </is>
      </c>
      <c r="AA592" s="0" t="inlineStr">
        <is>
          <t>인천시 계양구 작전동 951</t>
        </is>
      </c>
      <c r="AB592" s="0" t="inlineStr">
        <is>
          <t>인천시</t>
        </is>
      </c>
      <c r="AC592" s="0" t="inlineStr">
        <is>
          <t>계양구</t>
        </is>
      </c>
      <c r="AD592" s="0" t="inlineStr">
        <is>
          <t>작전동</t>
        </is>
      </c>
      <c r="AG592" s="0" t="inlineStr">
        <is>
          <t>인천시 계양구 아나지로299번길 11</t>
        </is>
      </c>
      <c r="AH592" s="0" t="n">
        <v>0</v>
      </c>
      <c r="AI592" s="0" t="n">
        <v>299</v>
      </c>
      <c r="AJ592" s="0" t="n">
        <v>19</v>
      </c>
      <c r="AK592" s="0" t="n">
        <v>311</v>
      </c>
      <c r="AL592" s="0" t="n">
        <v>1.1</v>
      </c>
    </row>
    <row r="593">
      <c r="A593" s="0" t="inlineStr">
        <is>
          <t>[작전동]</t>
        </is>
      </c>
      <c r="B593" s="0" t="n">
        <v>122466</v>
      </c>
      <c r="C593" s="0" t="n">
        <v>4</v>
      </c>
      <c r="D593" s="0" t="inlineStr">
        <is>
          <t>브라운스톤계양스카이</t>
        </is>
      </c>
      <c r="E593" s="0" t="inlineStr">
        <is>
          <t>2020.10.</t>
        </is>
      </c>
      <c r="F593" s="0" t="n">
        <v>282</v>
      </c>
      <c r="G593" s="0" t="n">
        <v>30.4</v>
      </c>
      <c r="H593" s="0" t="n">
        <v>100.52</v>
      </c>
      <c r="I593" s="0" t="n">
        <v>22.89</v>
      </c>
      <c r="J593" s="0" t="n">
        <v>75.68000000000001</v>
      </c>
      <c r="K593" s="0" t="n">
        <v>54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100A</t>
        </is>
      </c>
      <c r="X593" s="0" t="n">
        <v>33</v>
      </c>
      <c r="Y593" s="0" t="n">
        <v>10</v>
      </c>
      <c r="Z593" s="0" t="inlineStr">
        <is>
          <t>https://new.land.naver.com/complexes/122466?tab=detail&amp;rf=Y</t>
        </is>
      </c>
      <c r="AA593" s="0" t="inlineStr">
        <is>
          <t>인천시 계양구 작전동 951</t>
        </is>
      </c>
      <c r="AB593" s="0" t="inlineStr">
        <is>
          <t>인천시</t>
        </is>
      </c>
      <c r="AC593" s="0" t="inlineStr">
        <is>
          <t>계양구</t>
        </is>
      </c>
      <c r="AD593" s="0" t="inlineStr">
        <is>
          <t>작전동</t>
        </is>
      </c>
      <c r="AG593" s="0" t="inlineStr">
        <is>
          <t>인천시 계양구 아나지로299번길 11</t>
        </is>
      </c>
      <c r="AH593" s="0" t="n">
        <v>0</v>
      </c>
      <c r="AI593" s="0" t="n">
        <v>299</v>
      </c>
      <c r="AJ593" s="0" t="n">
        <v>19</v>
      </c>
      <c r="AK593" s="0" t="n">
        <v>311</v>
      </c>
      <c r="AL593" s="0" t="n">
        <v>1.1</v>
      </c>
    </row>
    <row r="594">
      <c r="A594" s="0" t="inlineStr">
        <is>
          <t>[작전동]</t>
        </is>
      </c>
      <c r="B594" s="0" t="n">
        <v>122466</v>
      </c>
      <c r="C594" s="0" t="n">
        <v>5</v>
      </c>
      <c r="D594" s="0" t="inlineStr">
        <is>
          <t>브라운스톤계양스카이</t>
        </is>
      </c>
      <c r="E594" s="0" t="inlineStr">
        <is>
          <t>2020.10.</t>
        </is>
      </c>
      <c r="F594" s="0" t="n">
        <v>282</v>
      </c>
      <c r="G594" s="0" t="n">
        <v>30.62</v>
      </c>
      <c r="H594" s="0" t="n">
        <v>101.25</v>
      </c>
      <c r="I594" s="0" t="n">
        <v>22.82</v>
      </c>
      <c r="J594" s="0" t="n">
        <v>75.45</v>
      </c>
      <c r="K594" s="0" t="n">
        <v>57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101B</t>
        </is>
      </c>
      <c r="X594" s="0" t="n">
        <v>33</v>
      </c>
      <c r="Y594" s="0" t="n">
        <v>10</v>
      </c>
      <c r="Z594" s="0" t="inlineStr">
        <is>
          <t>https://new.land.naver.com/complexes/122466?tab=detail&amp;rf=Y</t>
        </is>
      </c>
      <c r="AA594" s="0" t="inlineStr">
        <is>
          <t>인천시 계양구 작전동 951</t>
        </is>
      </c>
      <c r="AB594" s="0" t="inlineStr">
        <is>
          <t>인천시</t>
        </is>
      </c>
      <c r="AC594" s="0" t="inlineStr">
        <is>
          <t>계양구</t>
        </is>
      </c>
      <c r="AD594" s="0" t="inlineStr">
        <is>
          <t>작전동</t>
        </is>
      </c>
      <c r="AG594" s="0" t="inlineStr">
        <is>
          <t>인천시 계양구 아나지로299번길 11</t>
        </is>
      </c>
      <c r="AH594" s="0" t="n">
        <v>0</v>
      </c>
      <c r="AI594" s="0" t="n">
        <v>299</v>
      </c>
      <c r="AJ594" s="0" t="n">
        <v>19</v>
      </c>
      <c r="AK594" s="0" t="n">
        <v>311</v>
      </c>
      <c r="AL594" s="0" t="n">
        <v>1.1</v>
      </c>
    </row>
    <row r="595">
      <c r="A595" s="0" t="inlineStr">
        <is>
          <t>[작전동]</t>
        </is>
      </c>
      <c r="B595" s="0" t="n">
        <v>122466</v>
      </c>
      <c r="C595" s="0" t="n">
        <v>6</v>
      </c>
      <c r="D595" s="0" t="inlineStr">
        <is>
          <t>브라운스톤계양스카이</t>
        </is>
      </c>
      <c r="E595" s="0" t="inlineStr">
        <is>
          <t>2020.10.</t>
        </is>
      </c>
      <c r="F595" s="0" t="n">
        <v>282</v>
      </c>
      <c r="G595" s="0" t="n">
        <v>34.4</v>
      </c>
      <c r="H595" s="0" t="n">
        <v>113.73</v>
      </c>
      <c r="I595" s="0" t="n">
        <v>25.7</v>
      </c>
      <c r="J595" s="0" t="n">
        <v>84.97</v>
      </c>
      <c r="K595" s="0" t="n">
        <v>64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113</v>
      </c>
      <c r="X595" s="0" t="n">
        <v>33</v>
      </c>
      <c r="Y595" s="0" t="n">
        <v>10</v>
      </c>
      <c r="Z595" s="0" t="inlineStr">
        <is>
          <t>https://new.land.naver.com/complexes/122466?tab=detail&amp;rf=Y</t>
        </is>
      </c>
      <c r="AA595" s="0" t="inlineStr">
        <is>
          <t>인천시 계양구 작전동 951</t>
        </is>
      </c>
      <c r="AB595" s="0" t="inlineStr">
        <is>
          <t>인천시</t>
        </is>
      </c>
      <c r="AC595" s="0" t="inlineStr">
        <is>
          <t>계양구</t>
        </is>
      </c>
      <c r="AD595" s="0" t="inlineStr">
        <is>
          <t>작전동</t>
        </is>
      </c>
      <c r="AG595" s="0" t="inlineStr">
        <is>
          <t>인천시 계양구 아나지로299번길 11</t>
        </is>
      </c>
      <c r="AH595" s="0" t="n">
        <v>0</v>
      </c>
      <c r="AI595" s="0" t="n">
        <v>299</v>
      </c>
      <c r="AJ595" s="0" t="n">
        <v>19</v>
      </c>
      <c r="AK595" s="0" t="n">
        <v>311</v>
      </c>
      <c r="AL595" s="0" t="n">
        <v>1.1</v>
      </c>
    </row>
    <row r="596">
      <c r="A596" s="0" t="inlineStr">
        <is>
          <t>[작전동]</t>
        </is>
      </c>
      <c r="B596" s="0" t="n">
        <v>9761</v>
      </c>
      <c r="C596" s="0" t="n">
        <v>1</v>
      </c>
      <c r="D596" s="0" t="inlineStr">
        <is>
          <t>우영</t>
        </is>
      </c>
      <c r="E596" s="0" t="inlineStr">
        <is>
          <t>1984.11.</t>
        </is>
      </c>
      <c r="F596" s="0" t="n">
        <v>150</v>
      </c>
      <c r="G596" s="0" t="n">
        <v>18.28</v>
      </c>
      <c r="H596" s="0" t="n">
        <v>60.45</v>
      </c>
      <c r="I596" s="0" t="n">
        <v>15.18</v>
      </c>
      <c r="J596" s="0" t="n">
        <v>50.19</v>
      </c>
      <c r="K596" s="0" t="n">
        <v>24</v>
      </c>
      <c r="T596" s="0" t="n">
        <v>3</v>
      </c>
      <c r="U596" s="0" t="n">
        <v>1</v>
      </c>
      <c r="V596" s="0" t="inlineStr">
        <is>
          <t>계단식</t>
        </is>
      </c>
      <c r="W596" s="0" t="inlineStr">
        <is>
          <t>60A</t>
        </is>
      </c>
      <c r="X596" s="0" t="n">
        <v>5</v>
      </c>
      <c r="Y596" s="0" t="n">
        <v>5</v>
      </c>
      <c r="Z596" s="0" t="inlineStr">
        <is>
          <t>https://new.land.naver.com/complexes/9761?tab=detail&amp;rf=Y</t>
        </is>
      </c>
      <c r="AA596" s="0" t="inlineStr">
        <is>
          <t>인천시 계양구 작전동 869-17</t>
        </is>
      </c>
      <c r="AB596" s="0" t="inlineStr">
        <is>
          <t>인천시</t>
        </is>
      </c>
      <c r="AC596" s="0" t="inlineStr">
        <is>
          <t>계양구</t>
        </is>
      </c>
      <c r="AD596" s="0" t="inlineStr">
        <is>
          <t>작전동</t>
        </is>
      </c>
      <c r="AG596" s="0" t="inlineStr">
        <is>
          <t>인천시 계양구 봉오대로686번길 9</t>
        </is>
      </c>
      <c r="AH596" s="0" t="n">
        <v>0</v>
      </c>
      <c r="AI596" s="0" t="n">
        <v>156</v>
      </c>
      <c r="AJ596" s="0" t="n">
        <v>31</v>
      </c>
      <c r="AK596" s="0" t="n">
        <v>150</v>
      </c>
      <c r="AL596" s="0" t="n">
        <v>1</v>
      </c>
    </row>
    <row r="597">
      <c r="A597" s="0" t="inlineStr">
        <is>
          <t>[작전동]</t>
        </is>
      </c>
      <c r="B597" s="0" t="n">
        <v>9761</v>
      </c>
      <c r="C597" s="0" t="n">
        <v>2</v>
      </c>
      <c r="D597" s="0" t="inlineStr">
        <is>
          <t>우영</t>
        </is>
      </c>
      <c r="E597" s="0" t="inlineStr">
        <is>
          <t>1984.11.</t>
        </is>
      </c>
      <c r="F597" s="0" t="n">
        <v>150</v>
      </c>
      <c r="G597" s="0" t="n">
        <v>18.42</v>
      </c>
      <c r="H597" s="0" t="n">
        <v>60.9</v>
      </c>
      <c r="I597" s="0" t="n">
        <v>15.31</v>
      </c>
      <c r="J597" s="0" t="n">
        <v>50.64</v>
      </c>
      <c r="K597" s="0" t="n">
        <v>6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60B</t>
        </is>
      </c>
      <c r="X597" s="0" t="n">
        <v>5</v>
      </c>
      <c r="Y597" s="0" t="n">
        <v>5</v>
      </c>
      <c r="Z597" s="0" t="inlineStr">
        <is>
          <t>https://new.land.naver.com/complexes/9761?tab=detail&amp;rf=Y</t>
        </is>
      </c>
      <c r="AA597" s="0" t="inlineStr">
        <is>
          <t>인천시 계양구 작전동 869-17</t>
        </is>
      </c>
      <c r="AB597" s="0" t="inlineStr">
        <is>
          <t>인천시</t>
        </is>
      </c>
      <c r="AC597" s="0" t="inlineStr">
        <is>
          <t>계양구</t>
        </is>
      </c>
      <c r="AD597" s="0" t="inlineStr">
        <is>
          <t>작전동</t>
        </is>
      </c>
      <c r="AG597" s="0" t="inlineStr">
        <is>
          <t>인천시 계양구 봉오대로686번길 9</t>
        </is>
      </c>
      <c r="AH597" s="0" t="n">
        <v>0</v>
      </c>
      <c r="AI597" s="0" t="n">
        <v>156</v>
      </c>
      <c r="AJ597" s="0" t="n">
        <v>31</v>
      </c>
      <c r="AK597" s="0" t="n">
        <v>150</v>
      </c>
      <c r="AL597" s="0" t="n">
        <v>1</v>
      </c>
    </row>
    <row r="598">
      <c r="A598" s="0" t="inlineStr">
        <is>
          <t>[작전동]</t>
        </is>
      </c>
      <c r="B598" s="0" t="n">
        <v>9761</v>
      </c>
      <c r="C598" s="0" t="n">
        <v>3</v>
      </c>
      <c r="D598" s="0" t="inlineStr">
        <is>
          <t>우영</t>
        </is>
      </c>
      <c r="E598" s="0" t="inlineStr">
        <is>
          <t>1984.11.</t>
        </is>
      </c>
      <c r="F598" s="0" t="n">
        <v>150</v>
      </c>
      <c r="G598" s="0" t="n">
        <v>21.4</v>
      </c>
      <c r="H598" s="0" t="n">
        <v>70.76000000000001</v>
      </c>
      <c r="I598" s="0" t="n">
        <v>17.77</v>
      </c>
      <c r="J598" s="0" t="n">
        <v>58.77</v>
      </c>
      <c r="K598" s="0" t="n">
        <v>96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70</v>
      </c>
      <c r="X598" s="0" t="n">
        <v>5</v>
      </c>
      <c r="Y598" s="0" t="n">
        <v>5</v>
      </c>
      <c r="Z598" s="0" t="inlineStr">
        <is>
          <t>https://new.land.naver.com/complexes/9761?tab=detail&amp;rf=Y</t>
        </is>
      </c>
      <c r="AA598" s="0" t="inlineStr">
        <is>
          <t>인천시 계양구 작전동 869-17</t>
        </is>
      </c>
      <c r="AB598" s="0" t="inlineStr">
        <is>
          <t>인천시</t>
        </is>
      </c>
      <c r="AC598" s="0" t="inlineStr">
        <is>
          <t>계양구</t>
        </is>
      </c>
      <c r="AD598" s="0" t="inlineStr">
        <is>
          <t>작전동</t>
        </is>
      </c>
      <c r="AG598" s="0" t="inlineStr">
        <is>
          <t>인천시 계양구 봉오대로686번길 9</t>
        </is>
      </c>
      <c r="AH598" s="0" t="n">
        <v>0</v>
      </c>
      <c r="AI598" s="0" t="n">
        <v>156</v>
      </c>
      <c r="AJ598" s="0" t="n">
        <v>31</v>
      </c>
      <c r="AK598" s="0" t="n">
        <v>150</v>
      </c>
      <c r="AL598" s="0" t="n">
        <v>1</v>
      </c>
    </row>
    <row r="599">
      <c r="A599" s="0" t="inlineStr">
        <is>
          <t>[작전동]</t>
        </is>
      </c>
      <c r="B599" s="0" t="n">
        <v>9761</v>
      </c>
      <c r="C599" s="0" t="n">
        <v>4</v>
      </c>
      <c r="D599" s="0" t="inlineStr">
        <is>
          <t>우영</t>
        </is>
      </c>
      <c r="E599" s="0" t="inlineStr">
        <is>
          <t>1984.11.</t>
        </is>
      </c>
      <c r="F599" s="0" t="n">
        <v>150</v>
      </c>
      <c r="G599" s="0" t="n">
        <v>21.55</v>
      </c>
      <c r="H599" s="0" t="n">
        <v>71.23999999999999</v>
      </c>
      <c r="I599" s="0" t="n">
        <v>17.92</v>
      </c>
      <c r="J599" s="0" t="n">
        <v>59.25</v>
      </c>
      <c r="K599" s="0" t="n">
        <v>24</v>
      </c>
      <c r="T599" s="0" t="n">
        <v>3</v>
      </c>
      <c r="U599" s="0" t="n">
        <v>1</v>
      </c>
      <c r="V599" s="0" t="inlineStr">
        <is>
          <t>계단식</t>
        </is>
      </c>
      <c r="W599" s="0" t="n">
        <v>71</v>
      </c>
      <c r="X599" s="0" t="n">
        <v>5</v>
      </c>
      <c r="Y599" s="0" t="n">
        <v>5</v>
      </c>
      <c r="Z599" s="0" t="inlineStr">
        <is>
          <t>https://new.land.naver.com/complexes/9761?tab=detail&amp;rf=Y</t>
        </is>
      </c>
      <c r="AA599" s="0" t="inlineStr">
        <is>
          <t>인천시 계양구 작전동 869-17</t>
        </is>
      </c>
      <c r="AB599" s="0" t="inlineStr">
        <is>
          <t>인천시</t>
        </is>
      </c>
      <c r="AC599" s="0" t="inlineStr">
        <is>
          <t>계양구</t>
        </is>
      </c>
      <c r="AD599" s="0" t="inlineStr">
        <is>
          <t>작전동</t>
        </is>
      </c>
      <c r="AG599" s="0" t="inlineStr">
        <is>
          <t>인천시 계양구 봉오대로686번길 9</t>
        </is>
      </c>
      <c r="AH599" s="0" t="n">
        <v>0</v>
      </c>
      <c r="AI599" s="0" t="n">
        <v>156</v>
      </c>
      <c r="AJ599" s="0" t="n">
        <v>31</v>
      </c>
      <c r="AK599" s="0" t="n">
        <v>150</v>
      </c>
      <c r="AL599" s="0" t="n">
        <v>1</v>
      </c>
    </row>
    <row r="600">
      <c r="A600" s="0" t="inlineStr">
        <is>
          <t>[작전동]</t>
        </is>
      </c>
      <c r="B600" s="0" t="n">
        <v>2437</v>
      </c>
      <c r="C600" s="0" t="n">
        <v>1</v>
      </c>
      <c r="D600" s="0" t="inlineStr">
        <is>
          <t>현광</t>
        </is>
      </c>
      <c r="E600" s="0" t="inlineStr">
        <is>
          <t>1992.08.</t>
        </is>
      </c>
      <c r="F600" s="0" t="n">
        <v>392</v>
      </c>
      <c r="G600" s="0" t="n">
        <v>22.34</v>
      </c>
      <c r="H600" s="0" t="n">
        <v>73.86</v>
      </c>
      <c r="I600" s="0" t="n">
        <v>17.21</v>
      </c>
      <c r="J600" s="0" t="n">
        <v>56.92</v>
      </c>
      <c r="K600" s="0" t="n">
        <v>140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73</v>
      </c>
      <c r="X600" s="0" t="n">
        <v>20</v>
      </c>
      <c r="Y600" s="0" t="n">
        <v>10</v>
      </c>
      <c r="Z600" s="0" t="inlineStr">
        <is>
          <t>https://new.land.naver.com/complexes/2437?tab=detail&amp;rf=Y</t>
        </is>
      </c>
      <c r="AA600" s="0" t="inlineStr">
        <is>
          <t>인천시 계양구 작전동 707-5</t>
        </is>
      </c>
      <c r="AB600" s="0" t="inlineStr">
        <is>
          <t>인천시</t>
        </is>
      </c>
      <c r="AC600" s="0" t="inlineStr">
        <is>
          <t>계양구</t>
        </is>
      </c>
      <c r="AD600" s="0" t="inlineStr">
        <is>
          <t>작전동</t>
        </is>
      </c>
      <c r="AG600" s="0" t="inlineStr">
        <is>
          <t>인천시 계양구 아나지로 388</t>
        </is>
      </c>
      <c r="AH600" s="0" t="n">
        <v>0</v>
      </c>
      <c r="AI600" s="0" t="n">
        <v>299</v>
      </c>
      <c r="AJ600" s="0" t="n">
        <v>24</v>
      </c>
      <c r="AK600" s="0" t="n">
        <v>152</v>
      </c>
      <c r="AL600" s="0" t="n">
        <v>0.39</v>
      </c>
    </row>
    <row r="601">
      <c r="A601" s="0" t="inlineStr">
        <is>
          <t>[작전동]</t>
        </is>
      </c>
      <c r="B601" s="0" t="n">
        <v>2437</v>
      </c>
      <c r="C601" s="0" t="n">
        <v>2</v>
      </c>
      <c r="D601" s="0" t="inlineStr">
        <is>
          <t>현광</t>
        </is>
      </c>
      <c r="E601" s="0" t="inlineStr">
        <is>
          <t>1992.08.</t>
        </is>
      </c>
      <c r="F601" s="0" t="n">
        <v>392</v>
      </c>
      <c r="G601" s="0" t="n">
        <v>23.54</v>
      </c>
      <c r="H601" s="0" t="n">
        <v>77.84</v>
      </c>
      <c r="I601" s="0" t="n">
        <v>18.06</v>
      </c>
      <c r="J601" s="0" t="n">
        <v>59.71</v>
      </c>
      <c r="K601" s="0" t="n">
        <v>203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77</v>
      </c>
      <c r="X601" s="0" t="n">
        <v>20</v>
      </c>
      <c r="Y601" s="0" t="n">
        <v>10</v>
      </c>
      <c r="Z601" s="0" t="inlineStr">
        <is>
          <t>https://new.land.naver.com/complexes/2437?tab=detail&amp;rf=Y</t>
        </is>
      </c>
      <c r="AA601" s="0" t="inlineStr">
        <is>
          <t>인천시 계양구 작전동 707-5</t>
        </is>
      </c>
      <c r="AB601" s="0" t="inlineStr">
        <is>
          <t>인천시</t>
        </is>
      </c>
      <c r="AC601" s="0" t="inlineStr">
        <is>
          <t>계양구</t>
        </is>
      </c>
      <c r="AD601" s="0" t="inlineStr">
        <is>
          <t>작전동</t>
        </is>
      </c>
      <c r="AG601" s="0" t="inlineStr">
        <is>
          <t>인천시 계양구 아나지로 388</t>
        </is>
      </c>
      <c r="AH601" s="0" t="n">
        <v>0</v>
      </c>
      <c r="AI601" s="0" t="n">
        <v>299</v>
      </c>
      <c r="AJ601" s="0" t="n">
        <v>24</v>
      </c>
      <c r="AK601" s="0" t="n">
        <v>152</v>
      </c>
      <c r="AL601" s="0" t="n">
        <v>0.39</v>
      </c>
    </row>
    <row r="602">
      <c r="A602" s="0" t="inlineStr">
        <is>
          <t>[작전동]</t>
        </is>
      </c>
      <c r="B602" s="0" t="n">
        <v>2437</v>
      </c>
      <c r="C602" s="0" t="n">
        <v>3</v>
      </c>
      <c r="D602" s="0" t="inlineStr">
        <is>
          <t>현광</t>
        </is>
      </c>
      <c r="E602" s="0" t="inlineStr">
        <is>
          <t>1992.08.</t>
        </is>
      </c>
      <c r="F602" s="0" t="n">
        <v>392</v>
      </c>
      <c r="G602" s="0" t="n">
        <v>25.95</v>
      </c>
      <c r="H602" s="0" t="n">
        <v>85.8</v>
      </c>
      <c r="I602" s="0" t="n">
        <v>19.75</v>
      </c>
      <c r="J602" s="0" t="n">
        <v>65.29000000000001</v>
      </c>
      <c r="K602" s="0" t="n">
        <v>49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85</v>
      </c>
      <c r="X602" s="0" t="n">
        <v>20</v>
      </c>
      <c r="Y602" s="0" t="n">
        <v>10</v>
      </c>
      <c r="Z602" s="0" t="inlineStr">
        <is>
          <t>https://new.land.naver.com/complexes/2437?tab=detail&amp;rf=Y</t>
        </is>
      </c>
      <c r="AA602" s="0" t="inlineStr">
        <is>
          <t>인천시 계양구 작전동 707-5</t>
        </is>
      </c>
      <c r="AB602" s="0" t="inlineStr">
        <is>
          <t>인천시</t>
        </is>
      </c>
      <c r="AC602" s="0" t="inlineStr">
        <is>
          <t>계양구</t>
        </is>
      </c>
      <c r="AD602" s="0" t="inlineStr">
        <is>
          <t>작전동</t>
        </is>
      </c>
      <c r="AG602" s="0" t="inlineStr">
        <is>
          <t>인천시 계양구 아나지로 388</t>
        </is>
      </c>
      <c r="AH602" s="0" t="n">
        <v>0</v>
      </c>
      <c r="AI602" s="0" t="n">
        <v>299</v>
      </c>
      <c r="AJ602" s="0" t="n">
        <v>24</v>
      </c>
      <c r="AK602" s="0" t="n">
        <v>152</v>
      </c>
      <c r="AL602" s="0" t="n">
        <v>0.39</v>
      </c>
    </row>
    <row r="603">
      <c r="A603" s="0" t="inlineStr">
        <is>
          <t>[작전동]</t>
        </is>
      </c>
      <c r="B603" s="0" t="n">
        <v>9940</v>
      </c>
      <c r="C603" s="0" t="n">
        <v>1</v>
      </c>
      <c r="D603" s="0" t="inlineStr">
        <is>
          <t>금보</t>
        </is>
      </c>
      <c r="E603" s="0" t="inlineStr">
        <is>
          <t>1989.11.</t>
        </is>
      </c>
      <c r="F603" s="0" t="n">
        <v>84</v>
      </c>
      <c r="G603" s="0" t="n">
        <v>17.82</v>
      </c>
      <c r="H603" s="0" t="n">
        <v>58.93</v>
      </c>
      <c r="I603" s="0" t="n">
        <v>13.62</v>
      </c>
      <c r="J603" s="0" t="n">
        <v>45.04</v>
      </c>
      <c r="K603" s="0" t="n">
        <v>78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58</v>
      </c>
      <c r="X603" s="0" t="n">
        <v>6</v>
      </c>
      <c r="Y603" s="0" t="n">
        <v>6</v>
      </c>
      <c r="Z603" s="0" t="inlineStr">
        <is>
          <t>https://new.land.naver.com/complexes/9940?tab=detail&amp;rf=Y</t>
        </is>
      </c>
      <c r="AA603" s="0" t="inlineStr">
        <is>
          <t>인천시 계양구 작전동 30-3</t>
        </is>
      </c>
      <c r="AB603" s="0" t="inlineStr">
        <is>
          <t>인천시</t>
        </is>
      </c>
      <c r="AC603" s="0" t="inlineStr">
        <is>
          <t>계양구</t>
        </is>
      </c>
      <c r="AD603" s="0" t="inlineStr">
        <is>
          <t>작전동</t>
        </is>
      </c>
      <c r="AG603" s="0" t="inlineStr">
        <is>
          <t>인천시 계양구 주부토로472번길 53-1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[작전동]</t>
        </is>
      </c>
      <c r="B604" s="0" t="n">
        <v>9940</v>
      </c>
      <c r="C604" s="0" t="n">
        <v>2</v>
      </c>
      <c r="D604" s="0" t="inlineStr">
        <is>
          <t>금보</t>
        </is>
      </c>
      <c r="E604" s="0" t="inlineStr">
        <is>
          <t>1989.11.</t>
        </is>
      </c>
      <c r="F604" s="0" t="n">
        <v>84</v>
      </c>
      <c r="G604" s="0" t="n">
        <v>22.7</v>
      </c>
      <c r="H604" s="0" t="n">
        <v>75.06</v>
      </c>
      <c r="I604" s="0" t="n">
        <v>17.75</v>
      </c>
      <c r="J604" s="0" t="n">
        <v>58.7</v>
      </c>
      <c r="K604" s="0" t="n">
        <v>6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75</v>
      </c>
      <c r="X604" s="0" t="n">
        <v>6</v>
      </c>
      <c r="Y604" s="0" t="n">
        <v>6</v>
      </c>
      <c r="Z604" s="0" t="inlineStr">
        <is>
          <t>https://new.land.naver.com/complexes/9940?tab=detail&amp;rf=Y</t>
        </is>
      </c>
      <c r="AA604" s="0" t="inlineStr">
        <is>
          <t>인천시 계양구 작전동 30-3</t>
        </is>
      </c>
      <c r="AB604" s="0" t="inlineStr">
        <is>
          <t>인천시</t>
        </is>
      </c>
      <c r="AC604" s="0" t="inlineStr">
        <is>
          <t>계양구</t>
        </is>
      </c>
      <c r="AD604" s="0" t="inlineStr">
        <is>
          <t>작전동</t>
        </is>
      </c>
      <c r="AG604" s="0" t="inlineStr">
        <is>
          <t>인천시 계양구 주부토로472번길 53-1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[작전동]</t>
        </is>
      </c>
      <c r="B605" s="0" t="n">
        <v>2433</v>
      </c>
      <c r="C605" s="0" t="n">
        <v>1</v>
      </c>
      <c r="D605" s="0" t="inlineStr">
        <is>
          <t>까치마을태화,한진</t>
        </is>
      </c>
      <c r="E605" s="0" t="inlineStr">
        <is>
          <t>1997.11.</t>
        </is>
      </c>
      <c r="F605" s="0" t="n">
        <v>1674</v>
      </c>
      <c r="G605" s="0" t="n">
        <v>16.42</v>
      </c>
      <c r="H605" s="0" t="n">
        <v>54.3</v>
      </c>
      <c r="I605" s="0" t="n">
        <v>11.3</v>
      </c>
      <c r="J605" s="0" t="n">
        <v>37.38</v>
      </c>
      <c r="K605" s="0" t="n">
        <v>712</v>
      </c>
      <c r="T605" s="0" t="n">
        <v>2</v>
      </c>
      <c r="U605" s="0" t="n">
        <v>1</v>
      </c>
      <c r="V605" s="0" t="inlineStr">
        <is>
          <t>복도식</t>
        </is>
      </c>
      <c r="W605" s="0" t="n">
        <v>54</v>
      </c>
      <c r="X605" s="0" t="n">
        <v>24</v>
      </c>
      <c r="Y605" s="0" t="n">
        <v>17</v>
      </c>
      <c r="Z605" s="0" t="inlineStr">
        <is>
          <t>https://new.land.naver.com/complexes/2433?tab=detail&amp;rf=Y</t>
        </is>
      </c>
      <c r="AA605" s="0" t="inlineStr">
        <is>
          <t>인천시 계양구 작전동 915-1</t>
        </is>
      </c>
      <c r="AB605" s="0" t="inlineStr">
        <is>
          <t>인천시</t>
        </is>
      </c>
      <c r="AC605" s="0" t="inlineStr">
        <is>
          <t>계양구</t>
        </is>
      </c>
      <c r="AD605" s="0" t="inlineStr">
        <is>
          <t>작전동</t>
        </is>
      </c>
      <c r="AG605" s="0" t="inlineStr">
        <is>
          <t>인천시 계양구 효서로 393</t>
        </is>
      </c>
      <c r="AH605" s="0" t="n">
        <v>0</v>
      </c>
      <c r="AI605" s="0" t="n">
        <v>249</v>
      </c>
      <c r="AJ605" s="0" t="n">
        <v>19</v>
      </c>
      <c r="AK605" s="0" t="n">
        <v>1720</v>
      </c>
      <c r="AL605" s="0" t="n">
        <v>1.03</v>
      </c>
    </row>
    <row r="606">
      <c r="A606" s="0" t="inlineStr">
        <is>
          <t>[작전동]</t>
        </is>
      </c>
      <c r="B606" s="0" t="n">
        <v>2433</v>
      </c>
      <c r="C606" s="0" t="n">
        <v>2</v>
      </c>
      <c r="D606" s="0" t="inlineStr">
        <is>
          <t>까치마을태화,한진</t>
        </is>
      </c>
      <c r="E606" s="0" t="inlineStr">
        <is>
          <t>1997.11.</t>
        </is>
      </c>
      <c r="F606" s="0" t="n">
        <v>1674</v>
      </c>
      <c r="G606" s="0" t="n">
        <v>16.54</v>
      </c>
      <c r="H606" s="0" t="n">
        <v>54.7</v>
      </c>
      <c r="I606" s="0" t="n">
        <v>11.42</v>
      </c>
      <c r="J606" s="0" t="n">
        <v>37.78</v>
      </c>
      <c r="K606" s="0" t="n">
        <v>2</v>
      </c>
      <c r="T606" s="0" t="n">
        <v>2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24</v>
      </c>
      <c r="Y606" s="0" t="n">
        <v>17</v>
      </c>
      <c r="Z606" s="0" t="inlineStr">
        <is>
          <t>https://new.land.naver.com/complexes/2433?tab=detail&amp;rf=Y</t>
        </is>
      </c>
      <c r="AA606" s="0" t="inlineStr">
        <is>
          <t>인천시 계양구 작전동 915-1</t>
        </is>
      </c>
      <c r="AB606" s="0" t="inlineStr">
        <is>
          <t>인천시</t>
        </is>
      </c>
      <c r="AC606" s="0" t="inlineStr">
        <is>
          <t>계양구</t>
        </is>
      </c>
      <c r="AD606" s="0" t="inlineStr">
        <is>
          <t>작전동</t>
        </is>
      </c>
      <c r="AG606" s="0" t="inlineStr">
        <is>
          <t>인천시 계양구 효서로 393</t>
        </is>
      </c>
      <c r="AH606" s="0" t="n">
        <v>0</v>
      </c>
      <c r="AI606" s="0" t="n">
        <v>249</v>
      </c>
      <c r="AJ606" s="0" t="n">
        <v>19</v>
      </c>
      <c r="AK606" s="0" t="n">
        <v>1720</v>
      </c>
      <c r="AL606" s="0" t="n">
        <v>1.03</v>
      </c>
    </row>
    <row r="607">
      <c r="A607" s="0" t="inlineStr">
        <is>
          <t>[작전동]</t>
        </is>
      </c>
      <c r="B607" s="0" t="n">
        <v>2433</v>
      </c>
      <c r="C607" s="0" t="n">
        <v>3</v>
      </c>
      <c r="D607" s="0" t="inlineStr">
        <is>
          <t>까치마을태화,한진</t>
        </is>
      </c>
      <c r="E607" s="0" t="inlineStr">
        <is>
          <t>1997.11.</t>
        </is>
      </c>
      <c r="F607" s="0" t="n">
        <v>1674</v>
      </c>
      <c r="G607" s="0" t="n">
        <v>24.55</v>
      </c>
      <c r="H607" s="0" t="n">
        <v>81.19</v>
      </c>
      <c r="I607" s="0" t="n">
        <v>18.12</v>
      </c>
      <c r="J607" s="0" t="n">
        <v>59.91</v>
      </c>
      <c r="K607" s="0" t="n">
        <v>960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81</v>
      </c>
      <c r="X607" s="0" t="n">
        <v>24</v>
      </c>
      <c r="Y607" s="0" t="n">
        <v>17</v>
      </c>
      <c r="Z607" s="0" t="inlineStr">
        <is>
          <t>https://new.land.naver.com/complexes/2433?tab=detail&amp;rf=Y</t>
        </is>
      </c>
      <c r="AA607" s="0" t="inlineStr">
        <is>
          <t>인천시 계양구 작전동 915-1</t>
        </is>
      </c>
      <c r="AB607" s="0" t="inlineStr">
        <is>
          <t>인천시</t>
        </is>
      </c>
      <c r="AC607" s="0" t="inlineStr">
        <is>
          <t>계양구</t>
        </is>
      </c>
      <c r="AD607" s="0" t="inlineStr">
        <is>
          <t>작전동</t>
        </is>
      </c>
      <c r="AG607" s="0" t="inlineStr">
        <is>
          <t>인천시 계양구 효서로 393</t>
        </is>
      </c>
      <c r="AH607" s="0" t="n">
        <v>0</v>
      </c>
      <c r="AI607" s="0" t="n">
        <v>249</v>
      </c>
      <c r="AJ607" s="0" t="n">
        <v>19</v>
      </c>
      <c r="AK607" s="0" t="n">
        <v>1720</v>
      </c>
      <c r="AL607" s="0" t="n">
        <v>1.03</v>
      </c>
    </row>
    <row r="608">
      <c r="A608" s="0" t="inlineStr">
        <is>
          <t>[작전동]</t>
        </is>
      </c>
      <c r="B608" s="0" t="n">
        <v>2432</v>
      </c>
      <c r="C608" s="0" t="n">
        <v>1</v>
      </c>
      <c r="D608" s="0" t="inlineStr">
        <is>
          <t>코오롱</t>
        </is>
      </c>
      <c r="E608" s="0" t="inlineStr">
        <is>
          <t>1989.10.</t>
        </is>
      </c>
      <c r="F608" s="0" t="n">
        <v>480</v>
      </c>
      <c r="G608" s="0" t="n">
        <v>19.63</v>
      </c>
      <c r="H608" s="0" t="n">
        <v>64.90000000000001</v>
      </c>
      <c r="I608" s="0" t="n">
        <v>16.04</v>
      </c>
      <c r="J608" s="0" t="n">
        <v>53.05</v>
      </c>
      <c r="K608" s="0" t="n">
        <v>180</v>
      </c>
      <c r="T608" s="0" t="n">
        <v>2</v>
      </c>
      <c r="U608" s="0" t="n">
        <v>1</v>
      </c>
      <c r="V608" s="0" t="inlineStr">
        <is>
          <t>계단식</t>
        </is>
      </c>
      <c r="W608" s="0" t="n">
        <v>64</v>
      </c>
      <c r="X608" s="0" t="n">
        <v>15</v>
      </c>
      <c r="Y608" s="0" t="n">
        <v>15</v>
      </c>
      <c r="Z608" s="0" t="inlineStr">
        <is>
          <t>https://new.land.naver.com/complexes/2432?tab=detail&amp;rf=Y</t>
        </is>
      </c>
      <c r="AA608" s="0" t="inlineStr">
        <is>
          <t>인천시 계양구 작전동 861-1</t>
        </is>
      </c>
      <c r="AB608" s="0" t="inlineStr">
        <is>
          <t>인천시</t>
        </is>
      </c>
      <c r="AC608" s="0" t="inlineStr">
        <is>
          <t>계양구</t>
        </is>
      </c>
      <c r="AD608" s="0" t="inlineStr">
        <is>
          <t>작전동</t>
        </is>
      </c>
      <c r="AG608" s="0" t="inlineStr">
        <is>
          <t>인천시 계양구 봉오대로691번길 4</t>
        </is>
      </c>
      <c r="AH608" s="0" t="n">
        <v>0</v>
      </c>
      <c r="AI608" s="0" t="n">
        <v>217</v>
      </c>
      <c r="AJ608" s="0" t="n">
        <v>16</v>
      </c>
      <c r="AK608" s="0" t="n">
        <v>204</v>
      </c>
      <c r="AL608" s="0" t="n">
        <v>0.42</v>
      </c>
    </row>
    <row r="609">
      <c r="A609" s="0" t="inlineStr">
        <is>
          <t>[작전동]</t>
        </is>
      </c>
      <c r="B609" s="0" t="n">
        <v>2432</v>
      </c>
      <c r="C609" s="0" t="n">
        <v>2</v>
      </c>
      <c r="D609" s="0" t="inlineStr">
        <is>
          <t>코오롱</t>
        </is>
      </c>
      <c r="E609" s="0" t="inlineStr">
        <is>
          <t>1989.10.</t>
        </is>
      </c>
      <c r="F609" s="0" t="n">
        <v>480</v>
      </c>
      <c r="G609" s="0" t="n">
        <v>22.79</v>
      </c>
      <c r="H609" s="0" t="n">
        <v>75.34999999999999</v>
      </c>
      <c r="I609" s="0" t="n">
        <v>18.63</v>
      </c>
      <c r="J609" s="0" t="n">
        <v>61.6</v>
      </c>
      <c r="K609" s="0" t="n">
        <v>90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75</v>
      </c>
      <c r="X609" s="0" t="n">
        <v>15</v>
      </c>
      <c r="Y609" s="0" t="n">
        <v>15</v>
      </c>
      <c r="Z609" s="0" t="inlineStr">
        <is>
          <t>https://new.land.naver.com/complexes/2432?tab=detail&amp;rf=Y</t>
        </is>
      </c>
      <c r="AA609" s="0" t="inlineStr">
        <is>
          <t>인천시 계양구 작전동 861-1</t>
        </is>
      </c>
      <c r="AB609" s="0" t="inlineStr">
        <is>
          <t>인천시</t>
        </is>
      </c>
      <c r="AC609" s="0" t="inlineStr">
        <is>
          <t>계양구</t>
        </is>
      </c>
      <c r="AD609" s="0" t="inlineStr">
        <is>
          <t>작전동</t>
        </is>
      </c>
      <c r="AG609" s="0" t="inlineStr">
        <is>
          <t>인천시 계양구 봉오대로691번길 4</t>
        </is>
      </c>
      <c r="AH609" s="0" t="n">
        <v>0</v>
      </c>
      <c r="AI609" s="0" t="n">
        <v>217</v>
      </c>
      <c r="AJ609" s="0" t="n">
        <v>16</v>
      </c>
      <c r="AK609" s="0" t="n">
        <v>204</v>
      </c>
      <c r="AL609" s="0" t="n">
        <v>0.42</v>
      </c>
    </row>
    <row r="610">
      <c r="A610" s="0" t="inlineStr">
        <is>
          <t>[작전동]</t>
        </is>
      </c>
      <c r="B610" s="0" t="n">
        <v>2432</v>
      </c>
      <c r="C610" s="0" t="n">
        <v>3</v>
      </c>
      <c r="D610" s="0" t="inlineStr">
        <is>
          <t>코오롱</t>
        </is>
      </c>
      <c r="E610" s="0" t="inlineStr">
        <is>
          <t>1989.10.</t>
        </is>
      </c>
      <c r="F610" s="0" t="n">
        <v>480</v>
      </c>
      <c r="G610" s="0" t="n">
        <v>24.47</v>
      </c>
      <c r="H610" s="0" t="n">
        <v>80.92</v>
      </c>
      <c r="I610" s="0" t="n">
        <v>20.24</v>
      </c>
      <c r="J610" s="0" t="n">
        <v>66.91</v>
      </c>
      <c r="K610" s="0" t="n">
        <v>60</v>
      </c>
      <c r="T610" s="0" t="n">
        <v>3</v>
      </c>
      <c r="U610" s="0" t="n">
        <v>1</v>
      </c>
      <c r="V610" s="0" t="inlineStr">
        <is>
          <t>계단식</t>
        </is>
      </c>
      <c r="W610" s="0" t="n">
        <v>80</v>
      </c>
      <c r="X610" s="0" t="n">
        <v>15</v>
      </c>
      <c r="Y610" s="0" t="n">
        <v>15</v>
      </c>
      <c r="Z610" s="0" t="inlineStr">
        <is>
          <t>https://new.land.naver.com/complexes/2432?tab=detail&amp;rf=Y</t>
        </is>
      </c>
      <c r="AA610" s="0" t="inlineStr">
        <is>
          <t>인천시 계양구 작전동 861-1</t>
        </is>
      </c>
      <c r="AB610" s="0" t="inlineStr">
        <is>
          <t>인천시</t>
        </is>
      </c>
      <c r="AC610" s="0" t="inlineStr">
        <is>
          <t>계양구</t>
        </is>
      </c>
      <c r="AD610" s="0" t="inlineStr">
        <is>
          <t>작전동</t>
        </is>
      </c>
      <c r="AG610" s="0" t="inlineStr">
        <is>
          <t>인천시 계양구 봉오대로691번길 4</t>
        </is>
      </c>
      <c r="AH610" s="0" t="n">
        <v>0</v>
      </c>
      <c r="AI610" s="0" t="n">
        <v>217</v>
      </c>
      <c r="AJ610" s="0" t="n">
        <v>16</v>
      </c>
      <c r="AK610" s="0" t="n">
        <v>204</v>
      </c>
      <c r="AL610" s="0" t="n">
        <v>0.42</v>
      </c>
    </row>
    <row r="611">
      <c r="A611" s="0" t="inlineStr">
        <is>
          <t>[작전동]</t>
        </is>
      </c>
      <c r="B611" s="0" t="n">
        <v>2432</v>
      </c>
      <c r="C611" s="0" t="n">
        <v>4</v>
      </c>
      <c r="D611" s="0" t="inlineStr">
        <is>
          <t>코오롱</t>
        </is>
      </c>
      <c r="E611" s="0" t="inlineStr">
        <is>
          <t>1989.10.</t>
        </is>
      </c>
      <c r="F611" s="0" t="n">
        <v>480</v>
      </c>
      <c r="G611" s="0" t="n">
        <v>25.14</v>
      </c>
      <c r="H611" s="0" t="n">
        <v>83.13</v>
      </c>
      <c r="I611" s="0" t="n">
        <v>20.78</v>
      </c>
      <c r="J611" s="0" t="n">
        <v>68.7</v>
      </c>
      <c r="K611" s="0" t="n">
        <v>90</v>
      </c>
      <c r="T611" s="0" t="n">
        <v>3</v>
      </c>
      <c r="U611" s="0" t="n">
        <v>1</v>
      </c>
      <c r="V611" s="0" t="inlineStr">
        <is>
          <t>계단식</t>
        </is>
      </c>
      <c r="W611" s="0" t="n">
        <v>83</v>
      </c>
      <c r="X611" s="0" t="n">
        <v>15</v>
      </c>
      <c r="Y611" s="0" t="n">
        <v>15</v>
      </c>
      <c r="Z611" s="0" t="inlineStr">
        <is>
          <t>https://new.land.naver.com/complexes/2432?tab=detail&amp;rf=Y</t>
        </is>
      </c>
      <c r="AA611" s="0" t="inlineStr">
        <is>
          <t>인천시 계양구 작전동 861-1</t>
        </is>
      </c>
      <c r="AB611" s="0" t="inlineStr">
        <is>
          <t>인천시</t>
        </is>
      </c>
      <c r="AC611" s="0" t="inlineStr">
        <is>
          <t>계양구</t>
        </is>
      </c>
      <c r="AD611" s="0" t="inlineStr">
        <is>
          <t>작전동</t>
        </is>
      </c>
      <c r="AG611" s="0" t="inlineStr">
        <is>
          <t>인천시 계양구 봉오대로691번길 4</t>
        </is>
      </c>
      <c r="AH611" s="0" t="n">
        <v>0</v>
      </c>
      <c r="AI611" s="0" t="n">
        <v>217</v>
      </c>
      <c r="AJ611" s="0" t="n">
        <v>16</v>
      </c>
      <c r="AK611" s="0" t="n">
        <v>204</v>
      </c>
      <c r="AL611" s="0" t="n">
        <v>0.42</v>
      </c>
    </row>
    <row r="612">
      <c r="A612" s="0" t="inlineStr">
        <is>
          <t>[작전동]</t>
        </is>
      </c>
      <c r="B612" s="0" t="n">
        <v>2432</v>
      </c>
      <c r="C612" s="0" t="n">
        <v>5</v>
      </c>
      <c r="D612" s="0" t="inlineStr">
        <is>
          <t>코오롱</t>
        </is>
      </c>
      <c r="E612" s="0" t="inlineStr">
        <is>
          <t>1989.10.</t>
        </is>
      </c>
      <c r="F612" s="0" t="n">
        <v>480</v>
      </c>
      <c r="G612" s="0" t="n">
        <v>27.39</v>
      </c>
      <c r="H612" s="0" t="n">
        <v>90.55</v>
      </c>
      <c r="I612" s="0" t="n">
        <v>22.65</v>
      </c>
      <c r="J612" s="0" t="n">
        <v>74.88</v>
      </c>
      <c r="K612" s="0" t="n">
        <v>60</v>
      </c>
      <c r="T612" s="0" t="n">
        <v>3</v>
      </c>
      <c r="U612" s="0" t="n">
        <v>1</v>
      </c>
      <c r="V612" s="0" t="inlineStr">
        <is>
          <t>계단식</t>
        </is>
      </c>
      <c r="W612" s="0" t="n">
        <v>90</v>
      </c>
      <c r="X612" s="0" t="n">
        <v>15</v>
      </c>
      <c r="Y612" s="0" t="n">
        <v>15</v>
      </c>
      <c r="Z612" s="0" t="inlineStr">
        <is>
          <t>https://new.land.naver.com/complexes/2432?tab=detail&amp;rf=Y</t>
        </is>
      </c>
      <c r="AA612" s="0" t="inlineStr">
        <is>
          <t>인천시 계양구 작전동 861-1</t>
        </is>
      </c>
      <c r="AB612" s="0" t="inlineStr">
        <is>
          <t>인천시</t>
        </is>
      </c>
      <c r="AC612" s="0" t="inlineStr">
        <is>
          <t>계양구</t>
        </is>
      </c>
      <c r="AD612" s="0" t="inlineStr">
        <is>
          <t>작전동</t>
        </is>
      </c>
      <c r="AG612" s="0" t="inlineStr">
        <is>
          <t>인천시 계양구 봉오대로691번길 4</t>
        </is>
      </c>
      <c r="AH612" s="0" t="n">
        <v>0</v>
      </c>
      <c r="AI612" s="0" t="n">
        <v>217</v>
      </c>
      <c r="AJ612" s="0" t="n">
        <v>16</v>
      </c>
      <c r="AK612" s="0" t="n">
        <v>204</v>
      </c>
      <c r="AL612" s="0" t="n">
        <v>0.42</v>
      </c>
    </row>
    <row r="613">
      <c r="A613" s="0" t="inlineStr">
        <is>
          <t>[작전동]</t>
        </is>
      </c>
      <c r="B613" s="0" t="n">
        <v>143101</v>
      </c>
      <c r="C613" s="0" t="n">
        <v>1</v>
      </c>
      <c r="D613" s="0" t="inlineStr">
        <is>
          <t>힐스테이트자이계양</t>
        </is>
      </c>
      <c r="E613" s="0" t="inlineStr">
        <is>
          <t>2024.03.</t>
        </is>
      </c>
      <c r="F613" s="0" t="n">
        <v>2371</v>
      </c>
      <c r="G613" s="0" t="n">
        <v>23.07</v>
      </c>
      <c r="H613" s="0" t="n">
        <v>76.27</v>
      </c>
      <c r="I613" s="0" t="n">
        <v>16.31</v>
      </c>
      <c r="J613" s="0" t="n">
        <v>53.94</v>
      </c>
      <c r="K613" s="0" t="n">
        <v>256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76A</t>
        </is>
      </c>
      <c r="X613" s="0" t="n">
        <v>34</v>
      </c>
      <c r="Y613" s="0" t="n">
        <v>18</v>
      </c>
      <c r="Z613" s="0" t="inlineStr">
        <is>
          <t>https://new.land.naver.com/complexes/143101?tab=detail&amp;rf=Y</t>
        </is>
      </c>
      <c r="AA613" s="0" t="inlineStr">
        <is>
          <t>인천시 계양구 작전동 765번지 일원</t>
        </is>
      </c>
      <c r="AB613" s="0" t="inlineStr">
        <is>
          <t>인천시</t>
        </is>
      </c>
      <c r="AC613" s="0" t="inlineStr">
        <is>
          <t>계양구</t>
        </is>
      </c>
      <c r="AD613" s="0" t="inlineStr">
        <is>
          <t>작전동</t>
        </is>
      </c>
      <c r="AG613" s="0" t="inlineStr">
        <is>
          <t>인천시 계양구</t>
        </is>
      </c>
      <c r="AH613" s="0" t="n">
        <v>133</v>
      </c>
      <c r="AI613" s="0" t="n">
        <v>0</v>
      </c>
      <c r="AJ613" s="0" t="n">
        <v>0</v>
      </c>
      <c r="AK613" s="0" t="n">
        <v>2938</v>
      </c>
      <c r="AL613" s="0" t="n">
        <v>1.24</v>
      </c>
    </row>
    <row r="614">
      <c r="A614" s="0" t="inlineStr">
        <is>
          <t>[작전동]</t>
        </is>
      </c>
      <c r="B614" s="0" t="n">
        <v>143101</v>
      </c>
      <c r="C614" s="0" t="n">
        <v>2</v>
      </c>
      <c r="D614" s="0" t="inlineStr">
        <is>
          <t>힐스테이트자이계양</t>
        </is>
      </c>
      <c r="E614" s="0" t="inlineStr">
        <is>
          <t>2024.03.</t>
        </is>
      </c>
      <c r="F614" s="0" t="n">
        <v>2371</v>
      </c>
      <c r="G614" s="0" t="n">
        <v>23.28</v>
      </c>
      <c r="H614" s="0" t="n">
        <v>76.95999999999999</v>
      </c>
      <c r="I614" s="0" t="n">
        <v>16.28</v>
      </c>
      <c r="J614" s="0" t="n">
        <v>53.83</v>
      </c>
      <c r="K614" s="0" t="n">
        <v>99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76B</t>
        </is>
      </c>
      <c r="X614" s="0" t="n">
        <v>34</v>
      </c>
      <c r="Y614" s="0" t="n">
        <v>18</v>
      </c>
      <c r="Z614" s="0" t="inlineStr">
        <is>
          <t>https://new.land.naver.com/complexes/143101?tab=detail&amp;rf=Y</t>
        </is>
      </c>
      <c r="AA614" s="0" t="inlineStr">
        <is>
          <t>인천시 계양구 작전동 765번지 일원</t>
        </is>
      </c>
      <c r="AB614" s="0" t="inlineStr">
        <is>
          <t>인천시</t>
        </is>
      </c>
      <c r="AC614" s="0" t="inlineStr">
        <is>
          <t>계양구</t>
        </is>
      </c>
      <c r="AD614" s="0" t="inlineStr">
        <is>
          <t>작전동</t>
        </is>
      </c>
      <c r="AG614" s="0" t="inlineStr">
        <is>
          <t>인천시 계양구</t>
        </is>
      </c>
      <c r="AH614" s="0" t="n">
        <v>133</v>
      </c>
      <c r="AI614" s="0" t="n">
        <v>0</v>
      </c>
      <c r="AJ614" s="0" t="n">
        <v>0</v>
      </c>
      <c r="AK614" s="0" t="n">
        <v>2938</v>
      </c>
      <c r="AL614" s="0" t="n">
        <v>1.24</v>
      </c>
    </row>
    <row r="615">
      <c r="A615" s="0" t="inlineStr">
        <is>
          <t>[작전동]</t>
        </is>
      </c>
      <c r="B615" s="0" t="n">
        <v>143101</v>
      </c>
      <c r="C615" s="0" t="n">
        <v>3</v>
      </c>
      <c r="D615" s="0" t="inlineStr">
        <is>
          <t>힐스테이트자이계양</t>
        </is>
      </c>
      <c r="E615" s="0" t="inlineStr">
        <is>
          <t>2024.03.</t>
        </is>
      </c>
      <c r="F615" s="0" t="n">
        <v>2371</v>
      </c>
      <c r="G615" s="0" t="n">
        <v>23.3</v>
      </c>
      <c r="H615" s="0" t="n">
        <v>77.05</v>
      </c>
      <c r="I615" s="0" t="n">
        <v>16.27</v>
      </c>
      <c r="J615" s="0" t="n">
        <v>53.8</v>
      </c>
      <c r="K615" s="0" t="n">
        <v>95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77C</t>
        </is>
      </c>
      <c r="X615" s="0" t="n">
        <v>34</v>
      </c>
      <c r="Y615" s="0" t="n">
        <v>18</v>
      </c>
      <c r="Z615" s="0" t="inlineStr">
        <is>
          <t>https://new.land.naver.com/complexes/143101?tab=detail&amp;rf=Y</t>
        </is>
      </c>
      <c r="AA615" s="0" t="inlineStr">
        <is>
          <t>인천시 계양구 작전동 765번지 일원</t>
        </is>
      </c>
      <c r="AB615" s="0" t="inlineStr">
        <is>
          <t>인천시</t>
        </is>
      </c>
      <c r="AC615" s="0" t="inlineStr">
        <is>
          <t>계양구</t>
        </is>
      </c>
      <c r="AD615" s="0" t="inlineStr">
        <is>
          <t>작전동</t>
        </is>
      </c>
      <c r="AG615" s="0" t="inlineStr">
        <is>
          <t>인천시 계양구</t>
        </is>
      </c>
      <c r="AH615" s="0" t="n">
        <v>133</v>
      </c>
      <c r="AI615" s="0" t="n">
        <v>0</v>
      </c>
      <c r="AJ615" s="0" t="n">
        <v>0</v>
      </c>
      <c r="AK615" s="0" t="n">
        <v>2938</v>
      </c>
      <c r="AL615" s="0" t="n">
        <v>1.24</v>
      </c>
    </row>
    <row r="616">
      <c r="A616" s="0" t="inlineStr">
        <is>
          <t>[작전동]</t>
        </is>
      </c>
      <c r="B616" s="0" t="n">
        <v>143101</v>
      </c>
      <c r="C616" s="0" t="n">
        <v>4</v>
      </c>
      <c r="D616" s="0" t="inlineStr">
        <is>
          <t>힐스테이트자이계양</t>
        </is>
      </c>
      <c r="E616" s="0" t="inlineStr">
        <is>
          <t>2024.03.</t>
        </is>
      </c>
      <c r="F616" s="0" t="n">
        <v>2371</v>
      </c>
      <c r="G616" s="0" t="n">
        <v>26.12</v>
      </c>
      <c r="H616" s="0" t="n">
        <v>86.37</v>
      </c>
      <c r="I616" s="0" t="n">
        <v>18.08</v>
      </c>
      <c r="J616" s="0" t="n">
        <v>59.79</v>
      </c>
      <c r="K616" s="0" t="n">
        <v>625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86A</t>
        </is>
      </c>
      <c r="X616" s="0" t="n">
        <v>34</v>
      </c>
      <c r="Y616" s="0" t="n">
        <v>18</v>
      </c>
      <c r="Z616" s="0" t="inlineStr">
        <is>
          <t>https://new.land.naver.com/complexes/143101?tab=detail&amp;rf=Y</t>
        </is>
      </c>
      <c r="AA616" s="0" t="inlineStr">
        <is>
          <t>인천시 계양구 작전동 765번지 일원</t>
        </is>
      </c>
      <c r="AB616" s="0" t="inlineStr">
        <is>
          <t>인천시</t>
        </is>
      </c>
      <c r="AC616" s="0" t="inlineStr">
        <is>
          <t>계양구</t>
        </is>
      </c>
      <c r="AD616" s="0" t="inlineStr">
        <is>
          <t>작전동</t>
        </is>
      </c>
      <c r="AG616" s="0" t="inlineStr">
        <is>
          <t>인천시 계양구</t>
        </is>
      </c>
      <c r="AH616" s="0" t="n">
        <v>133</v>
      </c>
      <c r="AI616" s="0" t="n">
        <v>0</v>
      </c>
      <c r="AJ616" s="0" t="n">
        <v>0</v>
      </c>
      <c r="AK616" s="0" t="n">
        <v>2938</v>
      </c>
      <c r="AL616" s="0" t="n">
        <v>1.24</v>
      </c>
    </row>
    <row r="617">
      <c r="A617" s="0" t="inlineStr">
        <is>
          <t>[작전동]</t>
        </is>
      </c>
      <c r="B617" s="0" t="n">
        <v>143101</v>
      </c>
      <c r="C617" s="0" t="n">
        <v>5</v>
      </c>
      <c r="D617" s="0" t="inlineStr">
        <is>
          <t>힐스테이트자이계양</t>
        </is>
      </c>
      <c r="E617" s="0" t="inlineStr">
        <is>
          <t>2024.03.</t>
        </is>
      </c>
      <c r="F617" s="0" t="n">
        <v>2371</v>
      </c>
      <c r="G617" s="0" t="n">
        <v>26.65</v>
      </c>
      <c r="H617" s="0" t="n">
        <v>88.13</v>
      </c>
      <c r="I617" s="0" t="n">
        <v>18.1</v>
      </c>
      <c r="J617" s="0" t="n">
        <v>59.86</v>
      </c>
      <c r="K617" s="0" t="n">
        <v>276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88B</t>
        </is>
      </c>
      <c r="X617" s="0" t="n">
        <v>34</v>
      </c>
      <c r="Y617" s="0" t="n">
        <v>18</v>
      </c>
      <c r="Z617" s="0" t="inlineStr">
        <is>
          <t>https://new.land.naver.com/complexes/143101?tab=detail&amp;rf=Y</t>
        </is>
      </c>
      <c r="AA617" s="0" t="inlineStr">
        <is>
          <t>인천시 계양구 작전동 765번지 일원</t>
        </is>
      </c>
      <c r="AB617" s="0" t="inlineStr">
        <is>
          <t>인천시</t>
        </is>
      </c>
      <c r="AC617" s="0" t="inlineStr">
        <is>
          <t>계양구</t>
        </is>
      </c>
      <c r="AD617" s="0" t="inlineStr">
        <is>
          <t>작전동</t>
        </is>
      </c>
      <c r="AG617" s="0" t="inlineStr">
        <is>
          <t>인천시 계양구</t>
        </is>
      </c>
      <c r="AH617" s="0" t="n">
        <v>133</v>
      </c>
      <c r="AI617" s="0" t="n">
        <v>0</v>
      </c>
      <c r="AJ617" s="0" t="n">
        <v>0</v>
      </c>
      <c r="AK617" s="0" t="n">
        <v>2938</v>
      </c>
      <c r="AL617" s="0" t="n">
        <v>1.24</v>
      </c>
    </row>
    <row r="618">
      <c r="A618" s="0" t="inlineStr">
        <is>
          <t>[작전동]</t>
        </is>
      </c>
      <c r="B618" s="0" t="n">
        <v>143101</v>
      </c>
      <c r="C618" s="0" t="n">
        <v>6</v>
      </c>
      <c r="D618" s="0" t="inlineStr">
        <is>
          <t>힐스테이트자이계양</t>
        </is>
      </c>
      <c r="E618" s="0" t="inlineStr">
        <is>
          <t>2024.03.</t>
        </is>
      </c>
      <c r="F618" s="0" t="n">
        <v>2371</v>
      </c>
      <c r="G618" s="0" t="n">
        <v>34.55</v>
      </c>
      <c r="H618" s="0" t="n">
        <v>114.22</v>
      </c>
      <c r="I618" s="0" t="n">
        <v>25.57</v>
      </c>
      <c r="J618" s="0" t="n">
        <v>84.53</v>
      </c>
      <c r="K618" s="0" t="n">
        <v>366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114A</t>
        </is>
      </c>
      <c r="X618" s="0" t="n">
        <v>34</v>
      </c>
      <c r="Y618" s="0" t="n">
        <v>18</v>
      </c>
      <c r="Z618" s="0" t="inlineStr">
        <is>
          <t>https://new.land.naver.com/complexes/143101?tab=detail&amp;rf=Y</t>
        </is>
      </c>
      <c r="AA618" s="0" t="inlineStr">
        <is>
          <t>인천시 계양구 작전동 765번지 일원</t>
        </is>
      </c>
      <c r="AB618" s="0" t="inlineStr">
        <is>
          <t>인천시</t>
        </is>
      </c>
      <c r="AC618" s="0" t="inlineStr">
        <is>
          <t>계양구</t>
        </is>
      </c>
      <c r="AD618" s="0" t="inlineStr">
        <is>
          <t>작전동</t>
        </is>
      </c>
      <c r="AG618" s="0" t="inlineStr">
        <is>
          <t>인천시 계양구</t>
        </is>
      </c>
      <c r="AH618" s="0" t="n">
        <v>133</v>
      </c>
      <c r="AI618" s="0" t="n">
        <v>0</v>
      </c>
      <c r="AJ618" s="0" t="n">
        <v>0</v>
      </c>
      <c r="AK618" s="0" t="n">
        <v>2938</v>
      </c>
      <c r="AL618" s="0" t="n">
        <v>1.24</v>
      </c>
    </row>
    <row r="619">
      <c r="A619" s="0" t="inlineStr">
        <is>
          <t>[작전동]</t>
        </is>
      </c>
      <c r="B619" s="0" t="n">
        <v>143101</v>
      </c>
      <c r="C619" s="0" t="n">
        <v>7</v>
      </c>
      <c r="D619" s="0" t="inlineStr">
        <is>
          <t>힐스테이트자이계양</t>
        </is>
      </c>
      <c r="E619" s="0" t="inlineStr">
        <is>
          <t>2024.03.</t>
        </is>
      </c>
      <c r="F619" s="0" t="n">
        <v>2371</v>
      </c>
      <c r="G619" s="0" t="n">
        <v>34.53</v>
      </c>
      <c r="H619" s="0" t="n">
        <v>114.16</v>
      </c>
      <c r="I619" s="0" t="n">
        <v>25.56</v>
      </c>
      <c r="J619" s="0" t="n">
        <v>84.5</v>
      </c>
      <c r="K619" s="0" t="n">
        <v>128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114B</t>
        </is>
      </c>
      <c r="X619" s="0" t="n">
        <v>34</v>
      </c>
      <c r="Y619" s="0" t="n">
        <v>18</v>
      </c>
      <c r="Z619" s="0" t="inlineStr">
        <is>
          <t>https://new.land.naver.com/complexes/143101?tab=detail&amp;rf=Y</t>
        </is>
      </c>
      <c r="AA619" s="0" t="inlineStr">
        <is>
          <t>인천시 계양구 작전동 765번지 일원</t>
        </is>
      </c>
      <c r="AB619" s="0" t="inlineStr">
        <is>
          <t>인천시</t>
        </is>
      </c>
      <c r="AC619" s="0" t="inlineStr">
        <is>
          <t>계양구</t>
        </is>
      </c>
      <c r="AD619" s="0" t="inlineStr">
        <is>
          <t>작전동</t>
        </is>
      </c>
      <c r="AG619" s="0" t="inlineStr">
        <is>
          <t>인천시 계양구</t>
        </is>
      </c>
      <c r="AH619" s="0" t="n">
        <v>133</v>
      </c>
      <c r="AI619" s="0" t="n">
        <v>0</v>
      </c>
      <c r="AJ619" s="0" t="n">
        <v>0</v>
      </c>
      <c r="AK619" s="0" t="n">
        <v>2938</v>
      </c>
      <c r="AL619" s="0" t="n">
        <v>1.24</v>
      </c>
    </row>
    <row r="620">
      <c r="A620" s="0" t="inlineStr">
        <is>
          <t>[작전동]</t>
        </is>
      </c>
      <c r="B620" s="0" t="n">
        <v>143101</v>
      </c>
      <c r="C620" s="0" t="n">
        <v>8</v>
      </c>
      <c r="D620" s="0" t="inlineStr">
        <is>
          <t>힐스테이트자이계양</t>
        </is>
      </c>
      <c r="E620" s="0" t="inlineStr">
        <is>
          <t>2024.03.</t>
        </is>
      </c>
      <c r="F620" s="0" t="n">
        <v>2371</v>
      </c>
      <c r="G620" s="0" t="n">
        <v>34.94</v>
      </c>
      <c r="H620" s="0" t="n">
        <v>115.53</v>
      </c>
      <c r="I620" s="0" t="n">
        <v>25.65</v>
      </c>
      <c r="J620" s="0" t="n">
        <v>84.81</v>
      </c>
      <c r="K620" s="0" t="n">
        <v>393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115C</t>
        </is>
      </c>
      <c r="X620" s="0" t="n">
        <v>34</v>
      </c>
      <c r="Y620" s="0" t="n">
        <v>18</v>
      </c>
      <c r="Z620" s="0" t="inlineStr">
        <is>
          <t>https://new.land.naver.com/complexes/143101?tab=detail&amp;rf=Y</t>
        </is>
      </c>
      <c r="AA620" s="0" t="inlineStr">
        <is>
          <t>인천시 계양구 작전동 765번지 일원</t>
        </is>
      </c>
      <c r="AB620" s="0" t="inlineStr">
        <is>
          <t>인천시</t>
        </is>
      </c>
      <c r="AC620" s="0" t="inlineStr">
        <is>
          <t>계양구</t>
        </is>
      </c>
      <c r="AD620" s="0" t="inlineStr">
        <is>
          <t>작전동</t>
        </is>
      </c>
      <c r="AG620" s="0" t="inlineStr">
        <is>
          <t>인천시 계양구</t>
        </is>
      </c>
      <c r="AH620" s="0" t="n">
        <v>133</v>
      </c>
      <c r="AI620" s="0" t="n">
        <v>0</v>
      </c>
      <c r="AJ620" s="0" t="n">
        <v>0</v>
      </c>
      <c r="AK620" s="0" t="n">
        <v>2938</v>
      </c>
      <c r="AL620" s="0" t="n">
        <v>1.24</v>
      </c>
    </row>
    <row r="621">
      <c r="A621" s="0" t="inlineStr">
        <is>
          <t>[작전동]</t>
        </is>
      </c>
      <c r="B621" s="0" t="n">
        <v>8544</v>
      </c>
      <c r="C621" s="0" t="n">
        <v>1</v>
      </c>
      <c r="D621" s="0" t="inlineStr">
        <is>
          <t>팬더(864-17)</t>
        </is>
      </c>
      <c r="E621" s="0" t="inlineStr">
        <is>
          <t>1990.04.</t>
        </is>
      </c>
      <c r="F621" s="0" t="n">
        <v>82</v>
      </c>
      <c r="G621" s="0" t="n">
        <v>14.13</v>
      </c>
      <c r="H621" s="0" t="n">
        <v>46.73</v>
      </c>
      <c r="I621" s="0" t="n">
        <v>10.49</v>
      </c>
      <c r="J621" s="0" t="n">
        <v>34.7</v>
      </c>
      <c r="K621" s="0" t="n">
        <v>1</v>
      </c>
      <c r="T621" s="0" t="n">
        <v>2</v>
      </c>
      <c r="U621" s="0" t="n">
        <v>1</v>
      </c>
      <c r="V621" s="0" t="inlineStr">
        <is>
          <t>복합식</t>
        </is>
      </c>
      <c r="W621" s="0" t="n">
        <v>46</v>
      </c>
      <c r="X621" s="0" t="n">
        <v>6</v>
      </c>
      <c r="Y621" s="0" t="n">
        <v>5</v>
      </c>
      <c r="Z621" s="0" t="inlineStr">
        <is>
          <t>https://new.land.naver.com/complexes/8544?tab=detail&amp;rf=Y</t>
        </is>
      </c>
      <c r="AA621" s="0" t="inlineStr">
        <is>
          <t>인천시 계양구 작전동 864-17</t>
        </is>
      </c>
      <c r="AB621" s="0" t="inlineStr">
        <is>
          <t>인천시</t>
        </is>
      </c>
      <c r="AC621" s="0" t="inlineStr">
        <is>
          <t>계양구</t>
        </is>
      </c>
      <c r="AD621" s="0" t="inlineStr">
        <is>
          <t>작전동</t>
        </is>
      </c>
      <c r="AG621" s="0" t="inlineStr">
        <is>
          <t>인천시 계양구 봉오대로651번길 8</t>
        </is>
      </c>
      <c r="AH621" s="0" t="n">
        <v>0</v>
      </c>
      <c r="AI621" s="0" t="n">
        <v>187</v>
      </c>
      <c r="AJ621" s="0" t="n">
        <v>32</v>
      </c>
      <c r="AK621" s="0" t="n">
        <v>17</v>
      </c>
      <c r="AL621" s="0" t="n">
        <v>0.21</v>
      </c>
    </row>
    <row r="622">
      <c r="A622" s="0" t="inlineStr">
        <is>
          <t>[작전동]</t>
        </is>
      </c>
      <c r="B622" s="0" t="n">
        <v>8544</v>
      </c>
      <c r="C622" s="0" t="n">
        <v>2</v>
      </c>
      <c r="D622" s="0" t="inlineStr">
        <is>
          <t>팬더(864-17)</t>
        </is>
      </c>
      <c r="E622" s="0" t="inlineStr">
        <is>
          <t>1990.04.</t>
        </is>
      </c>
      <c r="F622" s="0" t="n">
        <v>82</v>
      </c>
      <c r="G622" s="0" t="n">
        <v>16.6</v>
      </c>
      <c r="H622" s="0" t="n">
        <v>54.9</v>
      </c>
      <c r="I622" s="0" t="n">
        <v>12.66</v>
      </c>
      <c r="J622" s="0" t="n">
        <v>41.88</v>
      </c>
      <c r="K622" s="0" t="n">
        <v>4</v>
      </c>
      <c r="T622" s="0" t="n">
        <v>2</v>
      </c>
      <c r="U622" s="0" t="n">
        <v>1</v>
      </c>
      <c r="V622" s="0" t="inlineStr">
        <is>
          <t>복합식</t>
        </is>
      </c>
      <c r="W622" s="0" t="n">
        <v>54</v>
      </c>
      <c r="X622" s="0" t="n">
        <v>6</v>
      </c>
      <c r="Y622" s="0" t="n">
        <v>5</v>
      </c>
      <c r="Z622" s="0" t="inlineStr">
        <is>
          <t>https://new.land.naver.com/complexes/8544?tab=detail&amp;rf=Y</t>
        </is>
      </c>
      <c r="AA622" s="0" t="inlineStr">
        <is>
          <t>인천시 계양구 작전동 864-17</t>
        </is>
      </c>
      <c r="AB622" s="0" t="inlineStr">
        <is>
          <t>인천시</t>
        </is>
      </c>
      <c r="AC622" s="0" t="inlineStr">
        <is>
          <t>계양구</t>
        </is>
      </c>
      <c r="AD622" s="0" t="inlineStr">
        <is>
          <t>작전동</t>
        </is>
      </c>
      <c r="AG622" s="0" t="inlineStr">
        <is>
          <t>인천시 계양구 봉오대로651번길 8</t>
        </is>
      </c>
      <c r="AH622" s="0" t="n">
        <v>0</v>
      </c>
      <c r="AI622" s="0" t="n">
        <v>187</v>
      </c>
      <c r="AJ622" s="0" t="n">
        <v>32</v>
      </c>
      <c r="AK622" s="0" t="n">
        <v>17</v>
      </c>
      <c r="AL622" s="0" t="n">
        <v>0.21</v>
      </c>
    </row>
    <row r="623">
      <c r="A623" s="0" t="inlineStr">
        <is>
          <t>[작전동]</t>
        </is>
      </c>
      <c r="B623" s="0" t="n">
        <v>8544</v>
      </c>
      <c r="C623" s="0" t="n">
        <v>3</v>
      </c>
      <c r="D623" s="0" t="inlineStr">
        <is>
          <t>팬더(864-17)</t>
        </is>
      </c>
      <c r="E623" s="0" t="inlineStr">
        <is>
          <t>1990.04.</t>
        </is>
      </c>
      <c r="F623" s="0" t="n">
        <v>82</v>
      </c>
      <c r="G623" s="0" t="n">
        <v>19.7</v>
      </c>
      <c r="H623" s="0" t="n">
        <v>65.15000000000001</v>
      </c>
      <c r="I623" s="0" t="n">
        <v>15.33</v>
      </c>
      <c r="J623" s="0" t="n">
        <v>50.68</v>
      </c>
      <c r="K623" s="0" t="n">
        <v>40</v>
      </c>
      <c r="T623" s="0" t="n">
        <v>3</v>
      </c>
      <c r="U623" s="0" t="n">
        <v>1</v>
      </c>
      <c r="V623" s="0" t="inlineStr">
        <is>
          <t>계단식</t>
        </is>
      </c>
      <c r="W623" s="0" t="n">
        <v>65</v>
      </c>
      <c r="X623" s="0" t="n">
        <v>6</v>
      </c>
      <c r="Y623" s="0" t="n">
        <v>5</v>
      </c>
      <c r="Z623" s="0" t="inlineStr">
        <is>
          <t>https://new.land.naver.com/complexes/8544?tab=detail&amp;rf=Y</t>
        </is>
      </c>
      <c r="AA623" s="0" t="inlineStr">
        <is>
          <t>인천시 계양구 작전동 864-17</t>
        </is>
      </c>
      <c r="AB623" s="0" t="inlineStr">
        <is>
          <t>인천시</t>
        </is>
      </c>
      <c r="AC623" s="0" t="inlineStr">
        <is>
          <t>계양구</t>
        </is>
      </c>
      <c r="AD623" s="0" t="inlineStr">
        <is>
          <t>작전동</t>
        </is>
      </c>
      <c r="AG623" s="0" t="inlineStr">
        <is>
          <t>인천시 계양구 봉오대로651번길 8</t>
        </is>
      </c>
      <c r="AH623" s="0" t="n">
        <v>0</v>
      </c>
      <c r="AI623" s="0" t="n">
        <v>187</v>
      </c>
      <c r="AJ623" s="0" t="n">
        <v>32</v>
      </c>
      <c r="AK623" s="0" t="n">
        <v>17</v>
      </c>
      <c r="AL623" s="0" t="n">
        <v>0.21</v>
      </c>
    </row>
    <row r="624">
      <c r="A624" s="0" t="inlineStr">
        <is>
          <t>[작전동]</t>
        </is>
      </c>
      <c r="B624" s="0" t="n">
        <v>8544</v>
      </c>
      <c r="C624" s="0" t="n">
        <v>4</v>
      </c>
      <c r="D624" s="0" t="inlineStr">
        <is>
          <t>팬더(864-17)</t>
        </is>
      </c>
      <c r="E624" s="0" t="inlineStr">
        <is>
          <t>1990.04.</t>
        </is>
      </c>
      <c r="F624" s="0" t="n">
        <v>82</v>
      </c>
      <c r="G624" s="0" t="n">
        <v>20.67</v>
      </c>
      <c r="H624" s="0" t="n">
        <v>68.36</v>
      </c>
      <c r="I624" s="0" t="n">
        <v>14.61</v>
      </c>
      <c r="J624" s="0" t="n">
        <v>48.3</v>
      </c>
      <c r="K624" s="0" t="n">
        <v>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68A</t>
        </is>
      </c>
      <c r="X624" s="0" t="n">
        <v>6</v>
      </c>
      <c r="Y624" s="0" t="n">
        <v>5</v>
      </c>
      <c r="Z624" s="0" t="inlineStr">
        <is>
          <t>https://new.land.naver.com/complexes/8544?tab=detail&amp;rf=Y</t>
        </is>
      </c>
      <c r="AA624" s="0" t="inlineStr">
        <is>
          <t>인천시 계양구 작전동 864-17</t>
        </is>
      </c>
      <c r="AB624" s="0" t="inlineStr">
        <is>
          <t>인천시</t>
        </is>
      </c>
      <c r="AC624" s="0" t="inlineStr">
        <is>
          <t>계양구</t>
        </is>
      </c>
      <c r="AD624" s="0" t="inlineStr">
        <is>
          <t>작전동</t>
        </is>
      </c>
      <c r="AG624" s="0" t="inlineStr">
        <is>
          <t>인천시 계양구 봉오대로651번길 8</t>
        </is>
      </c>
      <c r="AH624" s="0" t="n">
        <v>0</v>
      </c>
      <c r="AI624" s="0" t="n">
        <v>187</v>
      </c>
      <c r="AJ624" s="0" t="n">
        <v>32</v>
      </c>
      <c r="AK624" s="0" t="n">
        <v>17</v>
      </c>
      <c r="AL624" s="0" t="n">
        <v>0.21</v>
      </c>
    </row>
    <row r="625">
      <c r="A625" s="0" t="inlineStr">
        <is>
          <t>[작전동]</t>
        </is>
      </c>
      <c r="B625" s="0" t="n">
        <v>8544</v>
      </c>
      <c r="C625" s="0" t="n">
        <v>5</v>
      </c>
      <c r="D625" s="0" t="inlineStr">
        <is>
          <t>팬더(864-17)</t>
        </is>
      </c>
      <c r="E625" s="0" t="inlineStr">
        <is>
          <t>1990.04.</t>
        </is>
      </c>
      <c r="F625" s="0" t="n">
        <v>82</v>
      </c>
      <c r="G625" s="0" t="n">
        <v>21.24</v>
      </c>
      <c r="H625" s="0" t="n">
        <v>70.23999999999999</v>
      </c>
      <c r="I625" s="0" t="n">
        <v>16.55</v>
      </c>
      <c r="J625" s="0" t="n">
        <v>54.74</v>
      </c>
      <c r="K625" s="0" t="n">
        <v>35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70B</t>
        </is>
      </c>
      <c r="X625" s="0" t="n">
        <v>6</v>
      </c>
      <c r="Y625" s="0" t="n">
        <v>5</v>
      </c>
      <c r="Z625" s="0" t="inlineStr">
        <is>
          <t>https://new.land.naver.com/complexes/8544?tab=detail&amp;rf=Y</t>
        </is>
      </c>
      <c r="AA625" s="0" t="inlineStr">
        <is>
          <t>인천시 계양구 작전동 864-17</t>
        </is>
      </c>
      <c r="AB625" s="0" t="inlineStr">
        <is>
          <t>인천시</t>
        </is>
      </c>
      <c r="AC625" s="0" t="inlineStr">
        <is>
          <t>계양구</t>
        </is>
      </c>
      <c r="AD625" s="0" t="inlineStr">
        <is>
          <t>작전동</t>
        </is>
      </c>
      <c r="AG625" s="0" t="inlineStr">
        <is>
          <t>인천시 계양구 봉오대로651번길 8</t>
        </is>
      </c>
      <c r="AH625" s="0" t="n">
        <v>0</v>
      </c>
      <c r="AI625" s="0" t="n">
        <v>187</v>
      </c>
      <c r="AJ625" s="0" t="n">
        <v>32</v>
      </c>
      <c r="AK625" s="0" t="n">
        <v>17</v>
      </c>
      <c r="AL625" s="0" t="n">
        <v>0.21</v>
      </c>
    </row>
    <row r="626">
      <c r="A626" s="0" t="inlineStr">
        <is>
          <t>[작전동]</t>
        </is>
      </c>
      <c r="B626" s="0" t="n">
        <v>104931</v>
      </c>
      <c r="C626" s="0" t="n">
        <v>1</v>
      </c>
      <c r="D626" s="0" t="inlineStr">
        <is>
          <t>삼성홈타운</t>
        </is>
      </c>
      <c r="E626" s="0" t="inlineStr">
        <is>
          <t>2013.03.</t>
        </is>
      </c>
      <c r="F626" s="0" t="n">
        <v>102</v>
      </c>
      <c r="G626" s="0" t="n">
        <v>22.78</v>
      </c>
      <c r="H626" s="0" t="n">
        <v>75.33</v>
      </c>
      <c r="I626" s="0" t="n">
        <v>17.76</v>
      </c>
      <c r="J626" s="0" t="n">
        <v>58.73</v>
      </c>
      <c r="K626" s="0" t="n">
        <v>23</v>
      </c>
      <c r="T626" s="0" t="n">
        <v>2</v>
      </c>
      <c r="U626" s="0" t="n">
        <v>2</v>
      </c>
      <c r="V626" s="0" t="inlineStr">
        <is>
          <t>계단식</t>
        </is>
      </c>
      <c r="W626" s="0" t="n">
        <v>75</v>
      </c>
      <c r="X626" s="0" t="n">
        <v>15</v>
      </c>
      <c r="Y626" s="0" t="n">
        <v>9</v>
      </c>
      <c r="Z626" s="0" t="inlineStr">
        <is>
          <t>https://new.land.naver.com/complexes/104931?tab=detail&amp;rf=Y</t>
        </is>
      </c>
      <c r="AA626" s="0" t="inlineStr">
        <is>
          <t>인천시 계양구 작전동 947</t>
        </is>
      </c>
      <c r="AB626" s="0" t="inlineStr">
        <is>
          <t>인천시</t>
        </is>
      </c>
      <c r="AC626" s="0" t="inlineStr">
        <is>
          <t>계양구</t>
        </is>
      </c>
      <c r="AD626" s="0" t="inlineStr">
        <is>
          <t>작전동</t>
        </is>
      </c>
      <c r="AG626" s="0" t="inlineStr">
        <is>
          <t>인천시 계양구 효서로303번길 19</t>
        </is>
      </c>
      <c r="AH626" s="0" t="n">
        <v>0</v>
      </c>
      <c r="AI626" s="0" t="n">
        <v>236</v>
      </c>
      <c r="AJ626" s="0" t="n">
        <v>29</v>
      </c>
      <c r="AK626" s="0" t="n">
        <v>105</v>
      </c>
      <c r="AL626" s="0" t="n">
        <v>1.03</v>
      </c>
    </row>
    <row r="627">
      <c r="A627" s="0" t="inlineStr">
        <is>
          <t>[작전동]</t>
        </is>
      </c>
      <c r="B627" s="0" t="n">
        <v>104931</v>
      </c>
      <c r="C627" s="0" t="n">
        <v>2</v>
      </c>
      <c r="D627" s="0" t="inlineStr">
        <is>
          <t>삼성홈타운</t>
        </is>
      </c>
      <c r="E627" s="0" t="inlineStr">
        <is>
          <t>2013.03.</t>
        </is>
      </c>
      <c r="F627" s="0" t="n">
        <v>102</v>
      </c>
      <c r="G627" s="0" t="n">
        <v>27.69</v>
      </c>
      <c r="H627" s="0" t="n">
        <v>91.56999999999999</v>
      </c>
      <c r="I627" s="0" t="n">
        <v>21.86</v>
      </c>
      <c r="J627" s="0" t="n">
        <v>72.28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91A</t>
        </is>
      </c>
      <c r="X627" s="0" t="n">
        <v>15</v>
      </c>
      <c r="Y627" s="0" t="n">
        <v>9</v>
      </c>
      <c r="Z627" s="0" t="inlineStr">
        <is>
          <t>https://new.land.naver.com/complexes/104931?tab=detail&amp;rf=Y</t>
        </is>
      </c>
      <c r="AA627" s="0" t="inlineStr">
        <is>
          <t>인천시 계양구 작전동 947</t>
        </is>
      </c>
      <c r="AB627" s="0" t="inlineStr">
        <is>
          <t>인천시</t>
        </is>
      </c>
      <c r="AC627" s="0" t="inlineStr">
        <is>
          <t>계양구</t>
        </is>
      </c>
      <c r="AD627" s="0" t="inlineStr">
        <is>
          <t>작전동</t>
        </is>
      </c>
      <c r="AG627" s="0" t="inlineStr">
        <is>
          <t>인천시 계양구 효서로303번길 19</t>
        </is>
      </c>
      <c r="AH627" s="0" t="n">
        <v>0</v>
      </c>
      <c r="AI627" s="0" t="n">
        <v>236</v>
      </c>
      <c r="AJ627" s="0" t="n">
        <v>29</v>
      </c>
      <c r="AK627" s="0" t="n">
        <v>105</v>
      </c>
      <c r="AL627" s="0" t="n">
        <v>1.03</v>
      </c>
    </row>
    <row r="628">
      <c r="A628" s="0" t="inlineStr">
        <is>
          <t>[작전동]</t>
        </is>
      </c>
      <c r="B628" s="0" t="n">
        <v>104931</v>
      </c>
      <c r="C628" s="0" t="n">
        <v>3</v>
      </c>
      <c r="D628" s="0" t="inlineStr">
        <is>
          <t>삼성홈타운</t>
        </is>
      </c>
      <c r="E628" s="0" t="inlineStr">
        <is>
          <t>2013.03.</t>
        </is>
      </c>
      <c r="F628" s="0" t="n">
        <v>102</v>
      </c>
      <c r="G628" s="0" t="n">
        <v>28.39</v>
      </c>
      <c r="H628" s="0" t="n">
        <v>93.87</v>
      </c>
      <c r="I628" s="0" t="n">
        <v>22.4</v>
      </c>
      <c r="J628" s="0" t="n">
        <v>74.08</v>
      </c>
      <c r="K628" s="0" t="n">
        <v>24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93B</t>
        </is>
      </c>
      <c r="X628" s="0" t="n">
        <v>15</v>
      </c>
      <c r="Y628" s="0" t="n">
        <v>9</v>
      </c>
      <c r="Z628" s="0" t="inlineStr">
        <is>
          <t>https://new.land.naver.com/complexes/104931?tab=detail&amp;rf=Y</t>
        </is>
      </c>
      <c r="AA628" s="0" t="inlineStr">
        <is>
          <t>인천시 계양구 작전동 947</t>
        </is>
      </c>
      <c r="AB628" s="0" t="inlineStr">
        <is>
          <t>인천시</t>
        </is>
      </c>
      <c r="AC628" s="0" t="inlineStr">
        <is>
          <t>계양구</t>
        </is>
      </c>
      <c r="AD628" s="0" t="inlineStr">
        <is>
          <t>작전동</t>
        </is>
      </c>
      <c r="AG628" s="0" t="inlineStr">
        <is>
          <t>인천시 계양구 효서로303번길 19</t>
        </is>
      </c>
      <c r="AH628" s="0" t="n">
        <v>0</v>
      </c>
      <c r="AI628" s="0" t="n">
        <v>236</v>
      </c>
      <c r="AJ628" s="0" t="n">
        <v>29</v>
      </c>
      <c r="AK628" s="0" t="n">
        <v>105</v>
      </c>
      <c r="AL628" s="0" t="n">
        <v>1.03</v>
      </c>
    </row>
    <row r="629">
      <c r="A629" s="0" t="inlineStr">
        <is>
          <t>[작전동]</t>
        </is>
      </c>
      <c r="B629" s="0" t="n">
        <v>104931</v>
      </c>
      <c r="C629" s="0" t="n">
        <v>4</v>
      </c>
      <c r="D629" s="0" t="inlineStr">
        <is>
          <t>삼성홈타운</t>
        </is>
      </c>
      <c r="E629" s="0" t="inlineStr">
        <is>
          <t>2013.03.</t>
        </is>
      </c>
      <c r="F629" s="0" t="n">
        <v>102</v>
      </c>
      <c r="G629" s="0" t="n">
        <v>34.59</v>
      </c>
      <c r="H629" s="0" t="n">
        <v>114.37</v>
      </c>
      <c r="I629" s="0" t="n">
        <v>26.67</v>
      </c>
      <c r="J629" s="0" t="n">
        <v>88.18000000000001</v>
      </c>
      <c r="K629" s="0" t="n">
        <v>2</v>
      </c>
      <c r="T629" s="0" t="n">
        <v>3</v>
      </c>
      <c r="U629" s="0" t="n">
        <v>2</v>
      </c>
      <c r="V629" s="0" t="inlineStr">
        <is>
          <t>계단식</t>
        </is>
      </c>
      <c r="W629" s="0" t="n">
        <v>114</v>
      </c>
      <c r="X629" s="0" t="n">
        <v>15</v>
      </c>
      <c r="Y629" s="0" t="n">
        <v>9</v>
      </c>
      <c r="Z629" s="0" t="inlineStr">
        <is>
          <t>https://new.land.naver.com/complexes/104931?tab=detail&amp;rf=Y</t>
        </is>
      </c>
      <c r="AA629" s="0" t="inlineStr">
        <is>
          <t>인천시 계양구 작전동 947</t>
        </is>
      </c>
      <c r="AB629" s="0" t="inlineStr">
        <is>
          <t>인천시</t>
        </is>
      </c>
      <c r="AC629" s="0" t="inlineStr">
        <is>
          <t>계양구</t>
        </is>
      </c>
      <c r="AD629" s="0" t="inlineStr">
        <is>
          <t>작전동</t>
        </is>
      </c>
      <c r="AG629" s="0" t="inlineStr">
        <is>
          <t>인천시 계양구 효서로303번길 19</t>
        </is>
      </c>
      <c r="AH629" s="0" t="n">
        <v>0</v>
      </c>
      <c r="AI629" s="0" t="n">
        <v>236</v>
      </c>
      <c r="AJ629" s="0" t="n">
        <v>29</v>
      </c>
      <c r="AK629" s="0" t="n">
        <v>105</v>
      </c>
      <c r="AL629" s="0" t="n">
        <v>1.03</v>
      </c>
    </row>
    <row r="630">
      <c r="A630" s="0" t="inlineStr">
        <is>
          <t>[작전동]</t>
        </is>
      </c>
      <c r="B630" s="0" t="n">
        <v>104931</v>
      </c>
      <c r="C630" s="0" t="n">
        <v>5</v>
      </c>
      <c r="D630" s="0" t="inlineStr">
        <is>
          <t>삼성홈타운</t>
        </is>
      </c>
      <c r="E630" s="0" t="inlineStr">
        <is>
          <t>2013.03.</t>
        </is>
      </c>
      <c r="F630" s="0" t="n">
        <v>102</v>
      </c>
      <c r="G630" s="0" t="n">
        <v>42.02</v>
      </c>
      <c r="H630" s="0" t="n">
        <v>138.94</v>
      </c>
      <c r="I630" s="0" t="n">
        <v>32.86</v>
      </c>
      <c r="J630" s="0" t="n">
        <v>108.63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138</v>
      </c>
      <c r="X630" s="0" t="n">
        <v>15</v>
      </c>
      <c r="Y630" s="0" t="n">
        <v>9</v>
      </c>
      <c r="Z630" s="0" t="inlineStr">
        <is>
          <t>https://new.land.naver.com/complexes/104931?tab=detail&amp;rf=Y</t>
        </is>
      </c>
      <c r="AA630" s="0" t="inlineStr">
        <is>
          <t>인천시 계양구 작전동 947</t>
        </is>
      </c>
      <c r="AB630" s="0" t="inlineStr">
        <is>
          <t>인천시</t>
        </is>
      </c>
      <c r="AC630" s="0" t="inlineStr">
        <is>
          <t>계양구</t>
        </is>
      </c>
      <c r="AD630" s="0" t="inlineStr">
        <is>
          <t>작전동</t>
        </is>
      </c>
      <c r="AG630" s="0" t="inlineStr">
        <is>
          <t>인천시 계양구 효서로303번길 19</t>
        </is>
      </c>
      <c r="AH630" s="0" t="n">
        <v>0</v>
      </c>
      <c r="AI630" s="0" t="n">
        <v>236</v>
      </c>
      <c r="AJ630" s="0" t="n">
        <v>29</v>
      </c>
      <c r="AK630" s="0" t="n">
        <v>105</v>
      </c>
      <c r="AL630" s="0" t="n">
        <v>1.03</v>
      </c>
    </row>
    <row r="631">
      <c r="A631" s="0" t="inlineStr">
        <is>
          <t>[작전동]</t>
        </is>
      </c>
      <c r="B631" s="0" t="n">
        <v>104931</v>
      </c>
      <c r="C631" s="0" t="n">
        <v>6</v>
      </c>
      <c r="D631" s="0" t="inlineStr">
        <is>
          <t>삼성홈타운</t>
        </is>
      </c>
      <c r="E631" s="0" t="inlineStr">
        <is>
          <t>2013.03.</t>
        </is>
      </c>
      <c r="F631" s="0" t="n">
        <v>102</v>
      </c>
      <c r="G631" s="0" t="n">
        <v>42.77</v>
      </c>
      <c r="H631" s="0" t="n">
        <v>141.4</v>
      </c>
      <c r="I631" s="0" t="n">
        <v>33.6</v>
      </c>
      <c r="J631" s="0" t="n">
        <v>111.08</v>
      </c>
      <c r="K631" s="0" t="n">
        <v>1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141</v>
      </c>
      <c r="X631" s="0" t="n">
        <v>15</v>
      </c>
      <c r="Y631" s="0" t="n">
        <v>9</v>
      </c>
      <c r="Z631" s="0" t="inlineStr">
        <is>
          <t>https://new.land.naver.com/complexes/104931?tab=detail&amp;rf=Y</t>
        </is>
      </c>
      <c r="AA631" s="0" t="inlineStr">
        <is>
          <t>인천시 계양구 작전동 947</t>
        </is>
      </c>
      <c r="AB631" s="0" t="inlineStr">
        <is>
          <t>인천시</t>
        </is>
      </c>
      <c r="AC631" s="0" t="inlineStr">
        <is>
          <t>계양구</t>
        </is>
      </c>
      <c r="AD631" s="0" t="inlineStr">
        <is>
          <t>작전동</t>
        </is>
      </c>
      <c r="AG631" s="0" t="inlineStr">
        <is>
          <t>인천시 계양구 효서로303번길 19</t>
        </is>
      </c>
      <c r="AH631" s="0" t="n">
        <v>0</v>
      </c>
      <c r="AI631" s="0" t="n">
        <v>236</v>
      </c>
      <c r="AJ631" s="0" t="n">
        <v>29</v>
      </c>
      <c r="AK631" s="0" t="n">
        <v>105</v>
      </c>
      <c r="AL631" s="0" t="n">
        <v>1.03</v>
      </c>
    </row>
    <row r="632">
      <c r="A632" s="0" t="inlineStr">
        <is>
          <t>[작전동]</t>
        </is>
      </c>
      <c r="B632" s="0" t="n">
        <v>104931</v>
      </c>
      <c r="C632" s="0" t="n">
        <v>7</v>
      </c>
      <c r="D632" s="0" t="inlineStr">
        <is>
          <t>삼성홈타운</t>
        </is>
      </c>
      <c r="E632" s="0" t="inlineStr">
        <is>
          <t>2013.03.</t>
        </is>
      </c>
      <c r="F632" s="0" t="n">
        <v>102</v>
      </c>
      <c r="G632" s="0" t="n">
        <v>43.76</v>
      </c>
      <c r="H632" s="0" t="n">
        <v>144.68</v>
      </c>
      <c r="I632" s="0" t="n">
        <v>34.37</v>
      </c>
      <c r="J632" s="0" t="n">
        <v>113.63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144</v>
      </c>
      <c r="X632" s="0" t="n">
        <v>15</v>
      </c>
      <c r="Y632" s="0" t="n">
        <v>9</v>
      </c>
      <c r="Z632" s="0" t="inlineStr">
        <is>
          <t>https://new.land.naver.com/complexes/104931?tab=detail&amp;rf=Y</t>
        </is>
      </c>
      <c r="AA632" s="0" t="inlineStr">
        <is>
          <t>인천시 계양구 작전동 947</t>
        </is>
      </c>
      <c r="AB632" s="0" t="inlineStr">
        <is>
          <t>인천시</t>
        </is>
      </c>
      <c r="AC632" s="0" t="inlineStr">
        <is>
          <t>계양구</t>
        </is>
      </c>
      <c r="AD632" s="0" t="inlineStr">
        <is>
          <t>작전동</t>
        </is>
      </c>
      <c r="AG632" s="0" t="inlineStr">
        <is>
          <t>인천시 계양구 효서로303번길 19</t>
        </is>
      </c>
      <c r="AH632" s="0" t="n">
        <v>0</v>
      </c>
      <c r="AI632" s="0" t="n">
        <v>236</v>
      </c>
      <c r="AJ632" s="0" t="n">
        <v>29</v>
      </c>
      <c r="AK632" s="0" t="n">
        <v>105</v>
      </c>
      <c r="AL632" s="0" t="n">
        <v>1.03</v>
      </c>
    </row>
    <row r="633">
      <c r="A633" s="0" t="inlineStr">
        <is>
          <t>[작전동]</t>
        </is>
      </c>
      <c r="B633" s="0" t="n">
        <v>11350</v>
      </c>
      <c r="C633" s="0" t="n">
        <v>1</v>
      </c>
      <c r="D633" s="0" t="inlineStr">
        <is>
          <t>백조</t>
        </is>
      </c>
      <c r="E633" s="0" t="inlineStr">
        <is>
          <t>1985.02.</t>
        </is>
      </c>
      <c r="F633" s="0" t="n">
        <v>105</v>
      </c>
      <c r="G633" s="0" t="n">
        <v>21.28</v>
      </c>
      <c r="H633" s="0" t="n">
        <v>70.37</v>
      </c>
      <c r="I633" s="0" t="n">
        <v>18.4</v>
      </c>
      <c r="J633" s="0" t="n">
        <v>60.84</v>
      </c>
      <c r="K633" s="0" t="n">
        <v>30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70A</t>
        </is>
      </c>
      <c r="X633" s="0" t="n">
        <v>5</v>
      </c>
      <c r="Y633" s="0" t="n">
        <v>5</v>
      </c>
      <c r="Z633" s="0" t="inlineStr">
        <is>
          <t>https://new.land.naver.com/complexes/11350?tab=detail&amp;rf=Y</t>
        </is>
      </c>
      <c r="AA633" s="0" t="inlineStr">
        <is>
          <t>인천시 계양구 작전동 859-2</t>
        </is>
      </c>
      <c r="AB633" s="0" t="inlineStr">
        <is>
          <t>인천시</t>
        </is>
      </c>
      <c r="AC633" s="0" t="inlineStr">
        <is>
          <t>계양구</t>
        </is>
      </c>
      <c r="AD633" s="0" t="inlineStr">
        <is>
          <t>작전동</t>
        </is>
      </c>
      <c r="AG633" s="0" t="inlineStr">
        <is>
          <t>인천시 계양구 주부토로449번길 7</t>
        </is>
      </c>
      <c r="AH633" s="0" t="n">
        <v>0</v>
      </c>
      <c r="AI633" s="0" t="n">
        <v>238</v>
      </c>
      <c r="AJ633" s="0" t="n">
        <v>47</v>
      </c>
      <c r="AK633" s="0" t="n">
        <v>0</v>
      </c>
      <c r="AL633" s="0" t="n">
        <v>0</v>
      </c>
    </row>
    <row r="634">
      <c r="A634" s="0" t="inlineStr">
        <is>
          <t>[작전동]</t>
        </is>
      </c>
      <c r="B634" s="0" t="n">
        <v>11350</v>
      </c>
      <c r="C634" s="0" t="n">
        <v>2</v>
      </c>
      <c r="D634" s="0" t="inlineStr">
        <is>
          <t>백조</t>
        </is>
      </c>
      <c r="E634" s="0" t="inlineStr">
        <is>
          <t>1985.02.</t>
        </is>
      </c>
      <c r="F634" s="0" t="n">
        <v>105</v>
      </c>
      <c r="G634" s="0" t="n">
        <v>21.39</v>
      </c>
      <c r="H634" s="0" t="n">
        <v>70.73999999999999</v>
      </c>
      <c r="I634" s="0" t="n">
        <v>18.98</v>
      </c>
      <c r="J634" s="0" t="n">
        <v>62.76</v>
      </c>
      <c r="K634" s="0" t="n">
        <v>30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70B</t>
        </is>
      </c>
      <c r="X634" s="0" t="n">
        <v>5</v>
      </c>
      <c r="Y634" s="0" t="n">
        <v>5</v>
      </c>
      <c r="Z634" s="0" t="inlineStr">
        <is>
          <t>https://new.land.naver.com/complexes/11350?tab=detail&amp;rf=Y</t>
        </is>
      </c>
      <c r="AA634" s="0" t="inlineStr">
        <is>
          <t>인천시 계양구 작전동 859-2</t>
        </is>
      </c>
      <c r="AB634" s="0" t="inlineStr">
        <is>
          <t>인천시</t>
        </is>
      </c>
      <c r="AC634" s="0" t="inlineStr">
        <is>
          <t>계양구</t>
        </is>
      </c>
      <c r="AD634" s="0" t="inlineStr">
        <is>
          <t>작전동</t>
        </is>
      </c>
      <c r="AG634" s="0" t="inlineStr">
        <is>
          <t>인천시 계양구 주부토로449번길 7</t>
        </is>
      </c>
      <c r="AH634" s="0" t="n">
        <v>0</v>
      </c>
      <c r="AI634" s="0" t="n">
        <v>238</v>
      </c>
      <c r="AJ634" s="0" t="n">
        <v>47</v>
      </c>
      <c r="AK634" s="0" t="n">
        <v>0</v>
      </c>
      <c r="AL634" s="0" t="n">
        <v>0</v>
      </c>
    </row>
    <row r="635">
      <c r="A635" s="0" t="inlineStr">
        <is>
          <t>[작전동]</t>
        </is>
      </c>
      <c r="B635" s="0" t="n">
        <v>11350</v>
      </c>
      <c r="C635" s="0" t="n">
        <v>3</v>
      </c>
      <c r="D635" s="0" t="inlineStr">
        <is>
          <t>백조</t>
        </is>
      </c>
      <c r="E635" s="0" t="inlineStr">
        <is>
          <t>1985.02.</t>
        </is>
      </c>
      <c r="F635" s="0" t="n">
        <v>105</v>
      </c>
      <c r="G635" s="0" t="n">
        <v>21.91</v>
      </c>
      <c r="H635" s="0" t="n">
        <v>72.45</v>
      </c>
      <c r="I635" s="0" t="n">
        <v>18.37</v>
      </c>
      <c r="J635" s="0" t="n">
        <v>60.75</v>
      </c>
      <c r="K635" s="0" t="n">
        <v>40</v>
      </c>
      <c r="T635" s="0" t="n">
        <v>2</v>
      </c>
      <c r="U635" s="0" t="n">
        <v>1</v>
      </c>
      <c r="V635" s="0" t="inlineStr">
        <is>
          <t>계단식</t>
        </is>
      </c>
      <c r="W635" s="0" t="n">
        <v>72</v>
      </c>
      <c r="X635" s="0" t="n">
        <v>5</v>
      </c>
      <c r="Y635" s="0" t="n">
        <v>5</v>
      </c>
      <c r="Z635" s="0" t="inlineStr">
        <is>
          <t>https://new.land.naver.com/complexes/11350?tab=detail&amp;rf=Y</t>
        </is>
      </c>
      <c r="AA635" s="0" t="inlineStr">
        <is>
          <t>인천시 계양구 작전동 859-2</t>
        </is>
      </c>
      <c r="AB635" s="0" t="inlineStr">
        <is>
          <t>인천시</t>
        </is>
      </c>
      <c r="AC635" s="0" t="inlineStr">
        <is>
          <t>계양구</t>
        </is>
      </c>
      <c r="AD635" s="0" t="inlineStr">
        <is>
          <t>작전동</t>
        </is>
      </c>
      <c r="AG635" s="0" t="inlineStr">
        <is>
          <t>인천시 계양구 주부토로449번길 7</t>
        </is>
      </c>
      <c r="AH635" s="0" t="n">
        <v>0</v>
      </c>
      <c r="AI635" s="0" t="n">
        <v>238</v>
      </c>
      <c r="AJ635" s="0" t="n">
        <v>47</v>
      </c>
      <c r="AK635" s="0" t="n">
        <v>0</v>
      </c>
      <c r="AL635" s="0" t="n">
        <v>0</v>
      </c>
    </row>
    <row r="636">
      <c r="A636" s="0" t="inlineStr">
        <is>
          <t>[작전동]</t>
        </is>
      </c>
      <c r="B636" s="0" t="n">
        <v>11350</v>
      </c>
      <c r="C636" s="0" t="n">
        <v>4</v>
      </c>
      <c r="D636" s="0" t="inlineStr">
        <is>
          <t>백조</t>
        </is>
      </c>
      <c r="E636" s="0" t="inlineStr">
        <is>
          <t>1985.02.</t>
        </is>
      </c>
      <c r="F636" s="0" t="n">
        <v>105</v>
      </c>
      <c r="G636" s="0" t="n">
        <v>24.07</v>
      </c>
      <c r="H636" s="0" t="n">
        <v>79.59999999999999</v>
      </c>
      <c r="I636" s="0" t="n">
        <v>21.23</v>
      </c>
      <c r="J636" s="0" t="n">
        <v>70.2</v>
      </c>
      <c r="K636" s="0" t="n">
        <v>5</v>
      </c>
      <c r="T636" s="0" t="n">
        <v>3</v>
      </c>
      <c r="U636" s="0" t="n">
        <v>1</v>
      </c>
      <c r="V636" s="0" t="inlineStr">
        <is>
          <t>복합식</t>
        </is>
      </c>
      <c r="W636" s="0" t="n">
        <v>79</v>
      </c>
      <c r="X636" s="0" t="n">
        <v>5</v>
      </c>
      <c r="Y636" s="0" t="n">
        <v>5</v>
      </c>
      <c r="Z636" s="0" t="inlineStr">
        <is>
          <t>https://new.land.naver.com/complexes/11350?tab=detail&amp;rf=Y</t>
        </is>
      </c>
      <c r="AA636" s="0" t="inlineStr">
        <is>
          <t>인천시 계양구 작전동 859-2</t>
        </is>
      </c>
      <c r="AB636" s="0" t="inlineStr">
        <is>
          <t>인천시</t>
        </is>
      </c>
      <c r="AC636" s="0" t="inlineStr">
        <is>
          <t>계양구</t>
        </is>
      </c>
      <c r="AD636" s="0" t="inlineStr">
        <is>
          <t>작전동</t>
        </is>
      </c>
      <c r="AG636" s="0" t="inlineStr">
        <is>
          <t>인천시 계양구 주부토로449번길 7</t>
        </is>
      </c>
      <c r="AH636" s="0" t="n">
        <v>0</v>
      </c>
      <c r="AI636" s="0" t="n">
        <v>238</v>
      </c>
      <c r="AJ636" s="0" t="n">
        <v>47</v>
      </c>
      <c r="AK636" s="0" t="n">
        <v>0</v>
      </c>
      <c r="AL636" s="0" t="n">
        <v>0</v>
      </c>
    </row>
    <row r="637">
      <c r="A637" s="0" t="inlineStr">
        <is>
          <t>[작전동]</t>
        </is>
      </c>
      <c r="B637" s="0" t="n">
        <v>2436</v>
      </c>
      <c r="C637" s="0" t="n">
        <v>1</v>
      </c>
      <c r="D637" s="0" t="inlineStr">
        <is>
          <t>한일</t>
        </is>
      </c>
      <c r="E637" s="0" t="inlineStr">
        <is>
          <t>1991.05.</t>
        </is>
      </c>
      <c r="F637" s="0" t="n">
        <v>168</v>
      </c>
      <c r="G637" s="0" t="n">
        <v>24.01</v>
      </c>
      <c r="H637" s="0" t="n">
        <v>79.39</v>
      </c>
      <c r="I637" s="0" t="n">
        <v>19.05</v>
      </c>
      <c r="J637" s="0" t="n">
        <v>63</v>
      </c>
      <c r="K637" s="0" t="n">
        <v>36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79</v>
      </c>
      <c r="X637" s="0" t="n">
        <v>12</v>
      </c>
      <c r="Y637" s="0" t="n">
        <v>12</v>
      </c>
      <c r="Z637" s="0" t="inlineStr">
        <is>
          <t>https://new.land.naver.com/complexes/2436?tab=detail&amp;rf=Y</t>
        </is>
      </c>
      <c r="AA637" s="0" t="inlineStr">
        <is>
          <t>인천시 계양구 작전동 855-2</t>
        </is>
      </c>
      <c r="AB637" s="0" t="inlineStr">
        <is>
          <t>인천시</t>
        </is>
      </c>
      <c r="AC637" s="0" t="inlineStr">
        <is>
          <t>계양구</t>
        </is>
      </c>
      <c r="AD637" s="0" t="inlineStr">
        <is>
          <t>작전동</t>
        </is>
      </c>
      <c r="AG637" s="0" t="inlineStr">
        <is>
          <t>인천시 계양구 계산로108번길 20</t>
        </is>
      </c>
      <c r="AH637" s="0" t="n">
        <v>0</v>
      </c>
      <c r="AI637" s="0" t="n">
        <v>314</v>
      </c>
      <c r="AJ637" s="0" t="n">
        <v>45</v>
      </c>
      <c r="AK637" s="0" t="n">
        <v>0</v>
      </c>
      <c r="AL637" s="0" t="n">
        <v>0</v>
      </c>
    </row>
    <row r="638">
      <c r="A638" s="0" t="inlineStr">
        <is>
          <t>[작전동]</t>
        </is>
      </c>
      <c r="B638" s="0" t="n">
        <v>2436</v>
      </c>
      <c r="C638" s="0" t="n">
        <v>2</v>
      </c>
      <c r="D638" s="0" t="inlineStr">
        <is>
          <t>한일</t>
        </is>
      </c>
      <c r="E638" s="0" t="inlineStr">
        <is>
          <t>1991.05.</t>
        </is>
      </c>
      <c r="F638" s="0" t="n">
        <v>168</v>
      </c>
      <c r="G638" s="0" t="n">
        <v>24.85</v>
      </c>
      <c r="H638" s="0" t="n">
        <v>82.18000000000001</v>
      </c>
      <c r="I638" s="0" t="n">
        <v>19.81</v>
      </c>
      <c r="J638" s="0" t="n">
        <v>65.52</v>
      </c>
      <c r="K638" s="0" t="n">
        <v>36</v>
      </c>
      <c r="T638" s="0" t="n">
        <v>2</v>
      </c>
      <c r="U638" s="0" t="n">
        <v>1</v>
      </c>
      <c r="V638" s="0" t="inlineStr">
        <is>
          <t>복도식</t>
        </is>
      </c>
      <c r="W638" s="0" t="inlineStr">
        <is>
          <t>82A</t>
        </is>
      </c>
      <c r="X638" s="0" t="n">
        <v>12</v>
      </c>
      <c r="Y638" s="0" t="n">
        <v>12</v>
      </c>
      <c r="Z638" s="0" t="inlineStr">
        <is>
          <t>https://new.land.naver.com/complexes/2436?tab=detail&amp;rf=Y</t>
        </is>
      </c>
      <c r="AA638" s="0" t="inlineStr">
        <is>
          <t>인천시 계양구 작전동 855-2</t>
        </is>
      </c>
      <c r="AB638" s="0" t="inlineStr">
        <is>
          <t>인천시</t>
        </is>
      </c>
      <c r="AC638" s="0" t="inlineStr">
        <is>
          <t>계양구</t>
        </is>
      </c>
      <c r="AD638" s="0" t="inlineStr">
        <is>
          <t>작전동</t>
        </is>
      </c>
      <c r="AG638" s="0" t="inlineStr">
        <is>
          <t>인천시 계양구 계산로108번길 20</t>
        </is>
      </c>
      <c r="AH638" s="0" t="n">
        <v>0</v>
      </c>
      <c r="AI638" s="0" t="n">
        <v>314</v>
      </c>
      <c r="AJ638" s="0" t="n">
        <v>45</v>
      </c>
      <c r="AK638" s="0" t="n">
        <v>0</v>
      </c>
      <c r="AL638" s="0" t="n">
        <v>0</v>
      </c>
    </row>
    <row r="639">
      <c r="A639" s="0" t="inlineStr">
        <is>
          <t>[작전동]</t>
        </is>
      </c>
      <c r="B639" s="0" t="n">
        <v>2436</v>
      </c>
      <c r="C639" s="0" t="n">
        <v>3</v>
      </c>
      <c r="D639" s="0" t="inlineStr">
        <is>
          <t>한일</t>
        </is>
      </c>
      <c r="E639" s="0" t="inlineStr">
        <is>
          <t>1991.05.</t>
        </is>
      </c>
      <c r="F639" s="0" t="n">
        <v>168</v>
      </c>
      <c r="G639" s="0" t="n">
        <v>25.06</v>
      </c>
      <c r="H639" s="0" t="n">
        <v>82.84999999999999</v>
      </c>
      <c r="I639" s="0" t="n">
        <v>20.52</v>
      </c>
      <c r="J639" s="0" t="n">
        <v>67.86</v>
      </c>
      <c r="K639" s="0" t="n">
        <v>24</v>
      </c>
      <c r="T639" s="0" t="n">
        <v>2</v>
      </c>
      <c r="U639" s="0" t="n">
        <v>1</v>
      </c>
      <c r="V639" s="0" t="inlineStr">
        <is>
          <t>복도식</t>
        </is>
      </c>
      <c r="W639" s="0" t="inlineStr">
        <is>
          <t>82B</t>
        </is>
      </c>
      <c r="X639" s="0" t="n">
        <v>12</v>
      </c>
      <c r="Y639" s="0" t="n">
        <v>12</v>
      </c>
      <c r="Z639" s="0" t="inlineStr">
        <is>
          <t>https://new.land.naver.com/complexes/2436?tab=detail&amp;rf=Y</t>
        </is>
      </c>
      <c r="AA639" s="0" t="inlineStr">
        <is>
          <t>인천시 계양구 작전동 855-2</t>
        </is>
      </c>
      <c r="AB639" s="0" t="inlineStr">
        <is>
          <t>인천시</t>
        </is>
      </c>
      <c r="AC639" s="0" t="inlineStr">
        <is>
          <t>계양구</t>
        </is>
      </c>
      <c r="AD639" s="0" t="inlineStr">
        <is>
          <t>작전동</t>
        </is>
      </c>
      <c r="AG639" s="0" t="inlineStr">
        <is>
          <t>인천시 계양구 계산로108번길 20</t>
        </is>
      </c>
      <c r="AH639" s="0" t="n">
        <v>0</v>
      </c>
      <c r="AI639" s="0" t="n">
        <v>314</v>
      </c>
      <c r="AJ639" s="0" t="n">
        <v>45</v>
      </c>
      <c r="AK639" s="0" t="n">
        <v>0</v>
      </c>
      <c r="AL639" s="0" t="n">
        <v>0</v>
      </c>
    </row>
    <row r="640">
      <c r="A640" s="0" t="inlineStr">
        <is>
          <t>[작전동]</t>
        </is>
      </c>
      <c r="B640" s="0" t="n">
        <v>2436</v>
      </c>
      <c r="C640" s="0" t="n">
        <v>4</v>
      </c>
      <c r="D640" s="0" t="inlineStr">
        <is>
          <t>한일</t>
        </is>
      </c>
      <c r="E640" s="0" t="inlineStr">
        <is>
          <t>1991.05.</t>
        </is>
      </c>
      <c r="F640" s="0" t="n">
        <v>168</v>
      </c>
      <c r="G640" s="0" t="n">
        <v>27.51</v>
      </c>
      <c r="H640" s="0" t="n">
        <v>90.97</v>
      </c>
      <c r="I640" s="0" t="n">
        <v>21.83</v>
      </c>
      <c r="J640" s="0" t="n">
        <v>72.18000000000001</v>
      </c>
      <c r="K640" s="0" t="n">
        <v>48</v>
      </c>
      <c r="T640" s="0" t="n">
        <v>3</v>
      </c>
      <c r="U640" s="0" t="n">
        <v>1</v>
      </c>
      <c r="V640" s="0" t="inlineStr">
        <is>
          <t>복도식</t>
        </is>
      </c>
      <c r="W640" s="0" t="inlineStr">
        <is>
          <t>90A</t>
        </is>
      </c>
      <c r="X640" s="0" t="n">
        <v>12</v>
      </c>
      <c r="Y640" s="0" t="n">
        <v>12</v>
      </c>
      <c r="Z640" s="0" t="inlineStr">
        <is>
          <t>https://new.land.naver.com/complexes/2436?tab=detail&amp;rf=Y</t>
        </is>
      </c>
      <c r="AA640" s="0" t="inlineStr">
        <is>
          <t>인천시 계양구 작전동 855-2</t>
        </is>
      </c>
      <c r="AB640" s="0" t="inlineStr">
        <is>
          <t>인천시</t>
        </is>
      </c>
      <c r="AC640" s="0" t="inlineStr">
        <is>
          <t>계양구</t>
        </is>
      </c>
      <c r="AD640" s="0" t="inlineStr">
        <is>
          <t>작전동</t>
        </is>
      </c>
      <c r="AG640" s="0" t="inlineStr">
        <is>
          <t>인천시 계양구 계산로108번길 20</t>
        </is>
      </c>
      <c r="AH640" s="0" t="n">
        <v>0</v>
      </c>
      <c r="AI640" s="0" t="n">
        <v>314</v>
      </c>
      <c r="AJ640" s="0" t="n">
        <v>45</v>
      </c>
      <c r="AK640" s="0" t="n">
        <v>0</v>
      </c>
      <c r="AL640" s="0" t="n">
        <v>0</v>
      </c>
    </row>
    <row r="641">
      <c r="A641" s="0" t="inlineStr">
        <is>
          <t>[작전동]</t>
        </is>
      </c>
      <c r="B641" s="0" t="n">
        <v>2436</v>
      </c>
      <c r="C641" s="0" t="n">
        <v>5</v>
      </c>
      <c r="D641" s="0" t="inlineStr">
        <is>
          <t>한일</t>
        </is>
      </c>
      <c r="E641" s="0" t="inlineStr">
        <is>
          <t>1991.05.</t>
        </is>
      </c>
      <c r="F641" s="0" t="n">
        <v>168</v>
      </c>
      <c r="G641" s="0" t="n">
        <v>28.45</v>
      </c>
      <c r="H641" s="0" t="n">
        <v>94.05</v>
      </c>
      <c r="I641" s="0" t="n">
        <v>22.51</v>
      </c>
      <c r="J641" s="0" t="n">
        <v>74.43000000000001</v>
      </c>
      <c r="K641" s="0" t="n">
        <v>24</v>
      </c>
      <c r="T641" s="0" t="n">
        <v>3</v>
      </c>
      <c r="U641" s="0" t="n">
        <v>1</v>
      </c>
      <c r="V641" s="0" t="inlineStr">
        <is>
          <t>복도식</t>
        </is>
      </c>
      <c r="W641" s="0" t="inlineStr">
        <is>
          <t>94B</t>
        </is>
      </c>
      <c r="X641" s="0" t="n">
        <v>12</v>
      </c>
      <c r="Y641" s="0" t="n">
        <v>12</v>
      </c>
      <c r="Z641" s="0" t="inlineStr">
        <is>
          <t>https://new.land.naver.com/complexes/2436?tab=detail&amp;rf=Y</t>
        </is>
      </c>
      <c r="AA641" s="0" t="inlineStr">
        <is>
          <t>인천시 계양구 작전동 855-2</t>
        </is>
      </c>
      <c r="AB641" s="0" t="inlineStr">
        <is>
          <t>인천시</t>
        </is>
      </c>
      <c r="AC641" s="0" t="inlineStr">
        <is>
          <t>계양구</t>
        </is>
      </c>
      <c r="AD641" s="0" t="inlineStr">
        <is>
          <t>작전동</t>
        </is>
      </c>
      <c r="AG641" s="0" t="inlineStr">
        <is>
          <t>인천시 계양구 계산로108번길 20</t>
        </is>
      </c>
      <c r="AH641" s="0" t="n">
        <v>0</v>
      </c>
      <c r="AI641" s="0" t="n">
        <v>314</v>
      </c>
      <c r="AJ641" s="0" t="n">
        <v>45</v>
      </c>
      <c r="AK641" s="0" t="n">
        <v>0</v>
      </c>
      <c r="AL641" s="0" t="n">
        <v>0</v>
      </c>
    </row>
    <row r="642">
      <c r="A642" s="0" t="inlineStr">
        <is>
          <t>[작전동]</t>
        </is>
      </c>
      <c r="B642" s="0" t="n">
        <v>9346</v>
      </c>
      <c r="C642" s="0" t="n">
        <v>1</v>
      </c>
      <c r="D642" s="0" t="inlineStr">
        <is>
          <t>형제</t>
        </is>
      </c>
      <c r="E642" s="0" t="inlineStr">
        <is>
          <t>1985.02.</t>
        </is>
      </c>
      <c r="F642" s="0" t="n">
        <v>110</v>
      </c>
      <c r="G642" s="0" t="n">
        <v>24.06</v>
      </c>
      <c r="H642" s="0" t="n">
        <v>79.56</v>
      </c>
      <c r="I642" s="0" t="n">
        <v>19.92</v>
      </c>
      <c r="J642" s="0" t="n">
        <v>65.88</v>
      </c>
      <c r="K642" s="0" t="n">
        <v>50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79A</t>
        </is>
      </c>
      <c r="X642" s="0" t="n">
        <v>5</v>
      </c>
      <c r="Y642" s="0" t="n">
        <v>5</v>
      </c>
      <c r="Z642" s="0" t="inlineStr">
        <is>
          <t>https://new.land.naver.com/complexes/9346?tab=detail&amp;rf=Y</t>
        </is>
      </c>
      <c r="AA642" s="0" t="inlineStr">
        <is>
          <t>인천시 계양구 작전동 41-1</t>
        </is>
      </c>
      <c r="AB642" s="0" t="inlineStr">
        <is>
          <t>인천시</t>
        </is>
      </c>
      <c r="AC642" s="0" t="inlineStr">
        <is>
          <t>계양구</t>
        </is>
      </c>
      <c r="AD642" s="0" t="inlineStr">
        <is>
          <t>작전동</t>
        </is>
      </c>
      <c r="AG642" s="0" t="inlineStr">
        <is>
          <t>인천시 계양구 주부토로460번길 12</t>
        </is>
      </c>
      <c r="AH642" s="0" t="n">
        <v>0</v>
      </c>
      <c r="AI642" s="0" t="n">
        <v>142</v>
      </c>
      <c r="AJ642" s="0" t="n">
        <v>30</v>
      </c>
      <c r="AK642" s="0" t="n">
        <v>0</v>
      </c>
      <c r="AL642" s="0" t="n">
        <v>0</v>
      </c>
    </row>
    <row r="643">
      <c r="A643" s="0" t="inlineStr">
        <is>
          <t>[작전동]</t>
        </is>
      </c>
      <c r="B643" s="0" t="n">
        <v>9346</v>
      </c>
      <c r="C643" s="0" t="n">
        <v>2</v>
      </c>
      <c r="D643" s="0" t="inlineStr">
        <is>
          <t>형제</t>
        </is>
      </c>
      <c r="E643" s="0" t="inlineStr">
        <is>
          <t>1985.02.</t>
        </is>
      </c>
      <c r="F643" s="0" t="n">
        <v>110</v>
      </c>
      <c r="G643" s="0" t="n">
        <v>24.37</v>
      </c>
      <c r="H643" s="0" t="n">
        <v>80.56999999999999</v>
      </c>
      <c r="I643" s="0" t="n">
        <v>20.03</v>
      </c>
      <c r="J643" s="0" t="n">
        <v>66.23999999999999</v>
      </c>
      <c r="K643" s="0" t="n">
        <v>5</v>
      </c>
      <c r="T643" s="0" t="n">
        <v>3</v>
      </c>
      <c r="U643" s="0" t="n">
        <v>1</v>
      </c>
      <c r="V643" s="0" t="inlineStr">
        <is>
          <t>계단식</t>
        </is>
      </c>
      <c r="W643" s="0" t="inlineStr">
        <is>
          <t>80B</t>
        </is>
      </c>
      <c r="X643" s="0" t="n">
        <v>5</v>
      </c>
      <c r="Y643" s="0" t="n">
        <v>5</v>
      </c>
      <c r="Z643" s="0" t="inlineStr">
        <is>
          <t>https://new.land.naver.com/complexes/9346?tab=detail&amp;rf=Y</t>
        </is>
      </c>
      <c r="AA643" s="0" t="inlineStr">
        <is>
          <t>인천시 계양구 작전동 41-1</t>
        </is>
      </c>
      <c r="AB643" s="0" t="inlineStr">
        <is>
          <t>인천시</t>
        </is>
      </c>
      <c r="AC643" s="0" t="inlineStr">
        <is>
          <t>계양구</t>
        </is>
      </c>
      <c r="AD643" s="0" t="inlineStr">
        <is>
          <t>작전동</t>
        </is>
      </c>
      <c r="AG643" s="0" t="inlineStr">
        <is>
          <t>인천시 계양구 주부토로460번길 12</t>
        </is>
      </c>
      <c r="AH643" s="0" t="n">
        <v>0</v>
      </c>
      <c r="AI643" s="0" t="n">
        <v>142</v>
      </c>
      <c r="AJ643" s="0" t="n">
        <v>30</v>
      </c>
      <c r="AK643" s="0" t="n">
        <v>0</v>
      </c>
      <c r="AL643" s="0" t="n">
        <v>0</v>
      </c>
    </row>
    <row r="644">
      <c r="A644" s="0" t="inlineStr">
        <is>
          <t>[작전동]</t>
        </is>
      </c>
      <c r="B644" s="0" t="n">
        <v>9346</v>
      </c>
      <c r="C644" s="0" t="n">
        <v>3</v>
      </c>
      <c r="D644" s="0" t="inlineStr">
        <is>
          <t>형제</t>
        </is>
      </c>
      <c r="E644" s="0" t="inlineStr">
        <is>
          <t>1985.02.</t>
        </is>
      </c>
      <c r="F644" s="0" t="n">
        <v>110</v>
      </c>
      <c r="G644" s="0" t="n">
        <v>24.76</v>
      </c>
      <c r="H644" s="0" t="n">
        <v>81.86</v>
      </c>
      <c r="I644" s="0" t="n">
        <v>20.52</v>
      </c>
      <c r="J644" s="0" t="n">
        <v>67.86</v>
      </c>
      <c r="K644" s="0" t="n">
        <v>5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81C</t>
        </is>
      </c>
      <c r="X644" s="0" t="n">
        <v>5</v>
      </c>
      <c r="Y644" s="0" t="n">
        <v>5</v>
      </c>
      <c r="Z644" s="0" t="inlineStr">
        <is>
          <t>https://new.land.naver.com/complexes/9346?tab=detail&amp;rf=Y</t>
        </is>
      </c>
      <c r="AA644" s="0" t="inlineStr">
        <is>
          <t>인천시 계양구 작전동 41-1</t>
        </is>
      </c>
      <c r="AB644" s="0" t="inlineStr">
        <is>
          <t>인천시</t>
        </is>
      </c>
      <c r="AC644" s="0" t="inlineStr">
        <is>
          <t>계양구</t>
        </is>
      </c>
      <c r="AD644" s="0" t="inlineStr">
        <is>
          <t>작전동</t>
        </is>
      </c>
      <c r="AG644" s="0" t="inlineStr">
        <is>
          <t>인천시 계양구 주부토로460번길 12</t>
        </is>
      </c>
      <c r="AH644" s="0" t="n">
        <v>0</v>
      </c>
      <c r="AI644" s="0" t="n">
        <v>142</v>
      </c>
      <c r="AJ644" s="0" t="n">
        <v>30</v>
      </c>
      <c r="AK644" s="0" t="n">
        <v>0</v>
      </c>
      <c r="AL644" s="0" t="n">
        <v>0</v>
      </c>
    </row>
    <row r="645">
      <c r="A645" s="0" t="inlineStr">
        <is>
          <t>[작전동]</t>
        </is>
      </c>
      <c r="B645" s="0" t="n">
        <v>9346</v>
      </c>
      <c r="C645" s="0" t="n">
        <v>4</v>
      </c>
      <c r="D645" s="0" t="inlineStr">
        <is>
          <t>형제</t>
        </is>
      </c>
      <c r="E645" s="0" t="inlineStr">
        <is>
          <t>1985.02.</t>
        </is>
      </c>
      <c r="F645" s="0" t="n">
        <v>110</v>
      </c>
      <c r="G645" s="0" t="n">
        <v>25.21</v>
      </c>
      <c r="H645" s="0" t="n">
        <v>83.37</v>
      </c>
      <c r="I645" s="0" t="n">
        <v>20.74</v>
      </c>
      <c r="J645" s="0" t="n">
        <v>68.58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83B</t>
        </is>
      </c>
      <c r="X645" s="0" t="n">
        <v>5</v>
      </c>
      <c r="Y645" s="0" t="n">
        <v>5</v>
      </c>
      <c r="Z645" s="0" t="inlineStr">
        <is>
          <t>https://new.land.naver.com/complexes/9346?tab=detail&amp;rf=Y</t>
        </is>
      </c>
      <c r="AA645" s="0" t="inlineStr">
        <is>
          <t>인천시 계양구 작전동 41-1</t>
        </is>
      </c>
      <c r="AB645" s="0" t="inlineStr">
        <is>
          <t>인천시</t>
        </is>
      </c>
      <c r="AC645" s="0" t="inlineStr">
        <is>
          <t>계양구</t>
        </is>
      </c>
      <c r="AD645" s="0" t="inlineStr">
        <is>
          <t>작전동</t>
        </is>
      </c>
      <c r="AG645" s="0" t="inlineStr">
        <is>
          <t>인천시 계양구 주부토로460번길 12</t>
        </is>
      </c>
      <c r="AH645" s="0" t="n">
        <v>0</v>
      </c>
      <c r="AI645" s="0" t="n">
        <v>142</v>
      </c>
      <c r="AJ645" s="0" t="n">
        <v>30</v>
      </c>
      <c r="AK645" s="0" t="n">
        <v>0</v>
      </c>
      <c r="AL645" s="0" t="n">
        <v>0</v>
      </c>
    </row>
    <row r="646">
      <c r="A646" s="0" t="inlineStr">
        <is>
          <t>[작전동]</t>
        </is>
      </c>
      <c r="B646" s="0" t="n">
        <v>9346</v>
      </c>
      <c r="C646" s="0" t="n">
        <v>5</v>
      </c>
      <c r="D646" s="0" t="inlineStr">
        <is>
          <t>형제</t>
        </is>
      </c>
      <c r="E646" s="0" t="inlineStr">
        <is>
          <t>1985.02.</t>
        </is>
      </c>
      <c r="F646" s="0" t="n">
        <v>110</v>
      </c>
      <c r="G646" s="0" t="n">
        <v>25.21</v>
      </c>
      <c r="H646" s="0" t="n">
        <v>83.37</v>
      </c>
      <c r="I646" s="0" t="n">
        <v>20.9</v>
      </c>
      <c r="J646" s="0" t="n">
        <v>69.12</v>
      </c>
      <c r="K646" s="0" t="n">
        <v>20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83A</t>
        </is>
      </c>
      <c r="X646" s="0" t="n">
        <v>5</v>
      </c>
      <c r="Y646" s="0" t="n">
        <v>5</v>
      </c>
      <c r="Z646" s="0" t="inlineStr">
        <is>
          <t>https://new.land.naver.com/complexes/9346?tab=detail&amp;rf=Y</t>
        </is>
      </c>
      <c r="AA646" s="0" t="inlineStr">
        <is>
          <t>인천시 계양구 작전동 41-1</t>
        </is>
      </c>
      <c r="AB646" s="0" t="inlineStr">
        <is>
          <t>인천시</t>
        </is>
      </c>
      <c r="AC646" s="0" t="inlineStr">
        <is>
          <t>계양구</t>
        </is>
      </c>
      <c r="AD646" s="0" t="inlineStr">
        <is>
          <t>작전동</t>
        </is>
      </c>
      <c r="AG646" s="0" t="inlineStr">
        <is>
          <t>인천시 계양구 주부토로460번길 12</t>
        </is>
      </c>
      <c r="AH646" s="0" t="n">
        <v>0</v>
      </c>
      <c r="AI646" s="0" t="n">
        <v>142</v>
      </c>
      <c r="AJ646" s="0" t="n">
        <v>30</v>
      </c>
      <c r="AK646" s="0" t="n">
        <v>0</v>
      </c>
      <c r="AL646" s="0" t="n">
        <v>0</v>
      </c>
    </row>
    <row r="647">
      <c r="A647" s="0" t="inlineStr">
        <is>
          <t>[작전동]</t>
        </is>
      </c>
      <c r="B647" s="0" t="n">
        <v>2435</v>
      </c>
      <c r="C647" s="0" t="n">
        <v>1</v>
      </c>
      <c r="D647" s="0" t="inlineStr">
        <is>
          <t>한양</t>
        </is>
      </c>
      <c r="E647" s="0" t="inlineStr">
        <is>
          <t>1985.10.</t>
        </is>
      </c>
      <c r="F647" s="0" t="n">
        <v>280</v>
      </c>
      <c r="G647" s="0" t="n">
        <v>23.72</v>
      </c>
      <c r="H647" s="0" t="n">
        <v>78.43000000000001</v>
      </c>
      <c r="I647" s="0" t="n">
        <v>17.69</v>
      </c>
      <c r="J647" s="0" t="n">
        <v>58.5</v>
      </c>
      <c r="K647" s="0" t="n">
        <v>196</v>
      </c>
      <c r="T647" s="0" t="n">
        <v>2</v>
      </c>
      <c r="U647" s="0" t="n">
        <v>1</v>
      </c>
      <c r="V647" s="0" t="inlineStr">
        <is>
          <t>복도식</t>
        </is>
      </c>
      <c r="W647" s="0" t="n">
        <v>78</v>
      </c>
      <c r="X647" s="0" t="n">
        <v>14</v>
      </c>
      <c r="Y647" s="0" t="n">
        <v>14</v>
      </c>
      <c r="Z647" s="0" t="inlineStr">
        <is>
          <t>https://new.land.naver.com/complexes/2435?tab=detail&amp;rf=Y</t>
        </is>
      </c>
      <c r="AA647" s="0" t="inlineStr">
        <is>
          <t>인천시 계양구 작전동 854-4</t>
        </is>
      </c>
      <c r="AB647" s="0" t="inlineStr">
        <is>
          <t>인천시</t>
        </is>
      </c>
      <c r="AC647" s="0" t="inlineStr">
        <is>
          <t>계양구</t>
        </is>
      </c>
      <c r="AD647" s="0" t="inlineStr">
        <is>
          <t>작전동</t>
        </is>
      </c>
      <c r="AG647" s="0" t="inlineStr">
        <is>
          <t>인천시 계양구 계양대로120번길 10</t>
        </is>
      </c>
      <c r="AH647" s="0" t="n">
        <v>0</v>
      </c>
      <c r="AI647" s="0" t="n">
        <v>243</v>
      </c>
      <c r="AJ647" s="0" t="n">
        <v>20</v>
      </c>
      <c r="AK647" s="0" t="n">
        <v>167</v>
      </c>
      <c r="AL647" s="0" t="n">
        <v>0.6</v>
      </c>
    </row>
    <row r="648">
      <c r="A648" s="0" t="inlineStr">
        <is>
          <t>[작전동]</t>
        </is>
      </c>
      <c r="B648" s="0" t="n">
        <v>2435</v>
      </c>
      <c r="C648" s="0" t="n">
        <v>2</v>
      </c>
      <c r="D648" s="0" t="inlineStr">
        <is>
          <t>한양</t>
        </is>
      </c>
      <c r="E648" s="0" t="inlineStr">
        <is>
          <t>1985.10.</t>
        </is>
      </c>
      <c r="F648" s="0" t="n">
        <v>280</v>
      </c>
      <c r="G648" s="0" t="n">
        <v>32.32</v>
      </c>
      <c r="H648" s="0" t="n">
        <v>106.86</v>
      </c>
      <c r="I648" s="0" t="n">
        <v>23.19</v>
      </c>
      <c r="J648" s="0" t="n">
        <v>76.68000000000001</v>
      </c>
      <c r="K648" s="0" t="n">
        <v>84</v>
      </c>
      <c r="T648" s="0" t="n">
        <v>3</v>
      </c>
      <c r="U648" s="0" t="n">
        <v>1</v>
      </c>
      <c r="V648" s="0" t="inlineStr">
        <is>
          <t>복도식</t>
        </is>
      </c>
      <c r="W648" s="0" t="n">
        <v>106</v>
      </c>
      <c r="X648" s="0" t="n">
        <v>14</v>
      </c>
      <c r="Y648" s="0" t="n">
        <v>14</v>
      </c>
      <c r="Z648" s="0" t="inlineStr">
        <is>
          <t>https://new.land.naver.com/complexes/2435?tab=detail&amp;rf=Y</t>
        </is>
      </c>
      <c r="AA648" s="0" t="inlineStr">
        <is>
          <t>인천시 계양구 작전동 854-4</t>
        </is>
      </c>
      <c r="AB648" s="0" t="inlineStr">
        <is>
          <t>인천시</t>
        </is>
      </c>
      <c r="AC648" s="0" t="inlineStr">
        <is>
          <t>계양구</t>
        </is>
      </c>
      <c r="AD648" s="0" t="inlineStr">
        <is>
          <t>작전동</t>
        </is>
      </c>
      <c r="AG648" s="0" t="inlineStr">
        <is>
          <t>인천시 계양구 계양대로120번길 10</t>
        </is>
      </c>
      <c r="AH648" s="0" t="n">
        <v>0</v>
      </c>
      <c r="AI648" s="0" t="n">
        <v>243</v>
      </c>
      <c r="AJ648" s="0" t="n">
        <v>20</v>
      </c>
      <c r="AK648" s="0" t="n">
        <v>167</v>
      </c>
      <c r="AL648" s="0" t="n">
        <v>0.6</v>
      </c>
    </row>
    <row r="649">
      <c r="A649" s="0" t="inlineStr">
        <is>
          <t>[작전동]</t>
        </is>
      </c>
      <c r="B649" s="0" t="n">
        <v>2434</v>
      </c>
      <c r="C649" s="0" t="n">
        <v>1</v>
      </c>
      <c r="D649" s="0" t="inlineStr">
        <is>
          <t>한신</t>
        </is>
      </c>
      <c r="E649" s="0" t="inlineStr">
        <is>
          <t>1991.10.</t>
        </is>
      </c>
      <c r="F649" s="0" t="n">
        <v>259</v>
      </c>
      <c r="G649" s="0" t="n">
        <v>25.01</v>
      </c>
      <c r="H649" s="0" t="n">
        <v>82.69</v>
      </c>
      <c r="I649" s="0" t="n">
        <v>18.29</v>
      </c>
      <c r="J649" s="0" t="n">
        <v>60.48</v>
      </c>
      <c r="K649" s="0" t="n">
        <v>88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82</v>
      </c>
      <c r="X649" s="0" t="n">
        <v>11</v>
      </c>
      <c r="Y649" s="0" t="n">
        <v>6</v>
      </c>
      <c r="Z649" s="0" t="inlineStr">
        <is>
          <t>https://new.land.naver.com/complexes/2434?tab=detail&amp;rf=Y</t>
        </is>
      </c>
      <c r="AA649" s="0" t="inlineStr">
        <is>
          <t>인천시 계양구 작전동 382-1</t>
        </is>
      </c>
      <c r="AB649" s="0" t="inlineStr">
        <is>
          <t>인천시</t>
        </is>
      </c>
      <c r="AC649" s="0" t="inlineStr">
        <is>
          <t>계양구</t>
        </is>
      </c>
      <c r="AD649" s="0" t="inlineStr">
        <is>
          <t>작전동</t>
        </is>
      </c>
      <c r="AG649" s="0" t="inlineStr">
        <is>
          <t>인천시 계양구 효서로 284</t>
        </is>
      </c>
      <c r="AH649" s="0" t="n">
        <v>0</v>
      </c>
      <c r="AI649" s="0" t="n">
        <v>217</v>
      </c>
      <c r="AJ649" s="0" t="n">
        <v>25</v>
      </c>
      <c r="AK649" s="0" t="n">
        <v>132</v>
      </c>
      <c r="AL649" s="0" t="n">
        <v>0.51</v>
      </c>
    </row>
    <row r="650">
      <c r="A650" s="0" t="inlineStr">
        <is>
          <t>[작전동]</t>
        </is>
      </c>
      <c r="B650" s="0" t="n">
        <v>2434</v>
      </c>
      <c r="C650" s="0" t="n">
        <v>2</v>
      </c>
      <c r="D650" s="0" t="inlineStr">
        <is>
          <t>한신</t>
        </is>
      </c>
      <c r="E650" s="0" t="inlineStr">
        <is>
          <t>1991.10.</t>
        </is>
      </c>
      <c r="F650" s="0" t="n">
        <v>259</v>
      </c>
      <c r="G650" s="0" t="n">
        <v>31.21</v>
      </c>
      <c r="H650" s="0" t="n">
        <v>103.2</v>
      </c>
      <c r="I650" s="0" t="n">
        <v>25.7</v>
      </c>
      <c r="J650" s="0" t="n">
        <v>84.97</v>
      </c>
      <c r="K650" s="0" t="n">
        <v>171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103</v>
      </c>
      <c r="X650" s="0" t="n">
        <v>11</v>
      </c>
      <c r="Y650" s="0" t="n">
        <v>6</v>
      </c>
      <c r="Z650" s="0" t="inlineStr">
        <is>
          <t>https://new.land.naver.com/complexes/2434?tab=detail&amp;rf=Y</t>
        </is>
      </c>
      <c r="AA650" s="0" t="inlineStr">
        <is>
          <t>인천시 계양구 작전동 382-1</t>
        </is>
      </c>
      <c r="AB650" s="0" t="inlineStr">
        <is>
          <t>인천시</t>
        </is>
      </c>
      <c r="AC650" s="0" t="inlineStr">
        <is>
          <t>계양구</t>
        </is>
      </c>
      <c r="AD650" s="0" t="inlineStr">
        <is>
          <t>작전동</t>
        </is>
      </c>
      <c r="AG650" s="0" t="inlineStr">
        <is>
          <t>인천시 계양구 효서로 284</t>
        </is>
      </c>
      <c r="AH650" s="0" t="n">
        <v>0</v>
      </c>
      <c r="AI650" s="0" t="n">
        <v>217</v>
      </c>
      <c r="AJ650" s="0" t="n">
        <v>25</v>
      </c>
      <c r="AK650" s="0" t="n">
        <v>132</v>
      </c>
      <c r="AL650" s="0" t="n">
        <v>0.51</v>
      </c>
    </row>
    <row r="651">
      <c r="A651" s="0" t="inlineStr">
        <is>
          <t>[작전동]</t>
        </is>
      </c>
      <c r="B651" s="0" t="n">
        <v>8332</v>
      </c>
      <c r="C651" s="0" t="n">
        <v>1</v>
      </c>
      <c r="D651" s="0" t="inlineStr">
        <is>
          <t>공작</t>
        </is>
      </c>
      <c r="E651" s="0" t="inlineStr">
        <is>
          <t>1984.11.</t>
        </is>
      </c>
      <c r="F651" s="0" t="n">
        <v>85</v>
      </c>
      <c r="G651" s="0" t="n">
        <v>23.83</v>
      </c>
      <c r="H651" s="0" t="n">
        <v>78.8</v>
      </c>
      <c r="I651" s="0" t="n">
        <v>20.12</v>
      </c>
      <c r="J651" s="0" t="n">
        <v>66.54000000000001</v>
      </c>
      <c r="K651" s="0" t="n">
        <v>20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78</v>
      </c>
      <c r="X651" s="0" t="n">
        <v>5</v>
      </c>
      <c r="Y651" s="0" t="n">
        <v>5</v>
      </c>
      <c r="Z651" s="0" t="inlineStr">
        <is>
          <t>https://new.land.naver.com/complexes/8332?tab=detail&amp;rf=Y</t>
        </is>
      </c>
      <c r="AA651" s="0" t="inlineStr">
        <is>
          <t>인천시 계양구 작전동 860-10</t>
        </is>
      </c>
      <c r="AB651" s="0" t="inlineStr">
        <is>
          <t>인천시</t>
        </is>
      </c>
      <c r="AC651" s="0" t="inlineStr">
        <is>
          <t>계양구</t>
        </is>
      </c>
      <c r="AD651" s="0" t="inlineStr">
        <is>
          <t>작전동</t>
        </is>
      </c>
      <c r="AG651" s="0" t="inlineStr">
        <is>
          <t>인천시 계양구 주부토로413번길 17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[작전동]</t>
        </is>
      </c>
      <c r="B652" s="0" t="n">
        <v>8332</v>
      </c>
      <c r="C652" s="0" t="n">
        <v>2</v>
      </c>
      <c r="D652" s="0" t="inlineStr">
        <is>
          <t>공작</t>
        </is>
      </c>
      <c r="E652" s="0" t="inlineStr">
        <is>
          <t>1984.11.</t>
        </is>
      </c>
      <c r="F652" s="0" t="n">
        <v>85</v>
      </c>
      <c r="G652" s="0" t="n">
        <v>24.73</v>
      </c>
      <c r="H652" s="0" t="n">
        <v>81.78</v>
      </c>
      <c r="I652" s="0" t="n">
        <v>21.01</v>
      </c>
      <c r="J652" s="0" t="n">
        <v>69.48</v>
      </c>
      <c r="K652" s="0" t="n">
        <v>30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81</v>
      </c>
      <c r="X652" s="0" t="n">
        <v>5</v>
      </c>
      <c r="Y652" s="0" t="n">
        <v>5</v>
      </c>
      <c r="Z652" s="0" t="inlineStr">
        <is>
          <t>https://new.land.naver.com/complexes/8332?tab=detail&amp;rf=Y</t>
        </is>
      </c>
      <c r="AA652" s="0" t="inlineStr">
        <is>
          <t>인천시 계양구 작전동 860-10</t>
        </is>
      </c>
      <c r="AB652" s="0" t="inlineStr">
        <is>
          <t>인천시</t>
        </is>
      </c>
      <c r="AC652" s="0" t="inlineStr">
        <is>
          <t>계양구</t>
        </is>
      </c>
      <c r="AD652" s="0" t="inlineStr">
        <is>
          <t>작전동</t>
        </is>
      </c>
      <c r="AG652" s="0" t="inlineStr">
        <is>
          <t>인천시 계양구 주부토로413번길 17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[작전동]</t>
        </is>
      </c>
      <c r="B653" s="0" t="n">
        <v>8332</v>
      </c>
      <c r="C653" s="0" t="n">
        <v>3</v>
      </c>
      <c r="D653" s="0" t="inlineStr">
        <is>
          <t>공작</t>
        </is>
      </c>
      <c r="E653" s="0" t="inlineStr">
        <is>
          <t>1984.11.</t>
        </is>
      </c>
      <c r="F653" s="0" t="n">
        <v>85</v>
      </c>
      <c r="G653" s="0" t="n">
        <v>26.3</v>
      </c>
      <c r="H653" s="0" t="n">
        <v>86.97</v>
      </c>
      <c r="I653" s="0" t="n">
        <v>22.28</v>
      </c>
      <c r="J653" s="0" t="n">
        <v>73.68000000000001</v>
      </c>
      <c r="K653" s="0" t="n">
        <v>20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86</v>
      </c>
      <c r="X653" s="0" t="n">
        <v>5</v>
      </c>
      <c r="Y653" s="0" t="n">
        <v>5</v>
      </c>
      <c r="Z653" s="0" t="inlineStr">
        <is>
          <t>https://new.land.naver.com/complexes/8332?tab=detail&amp;rf=Y</t>
        </is>
      </c>
      <c r="AA653" s="0" t="inlineStr">
        <is>
          <t>인천시 계양구 작전동 860-10</t>
        </is>
      </c>
      <c r="AB653" s="0" t="inlineStr">
        <is>
          <t>인천시</t>
        </is>
      </c>
      <c r="AC653" s="0" t="inlineStr">
        <is>
          <t>계양구</t>
        </is>
      </c>
      <c r="AD653" s="0" t="inlineStr">
        <is>
          <t>작전동</t>
        </is>
      </c>
      <c r="AG653" s="0" t="inlineStr">
        <is>
          <t>인천시 계양구 주부토로413번길 17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[작전동]</t>
        </is>
      </c>
      <c r="B654" s="0" t="n">
        <v>8332</v>
      </c>
      <c r="C654" s="0" t="n">
        <v>4</v>
      </c>
      <c r="D654" s="0" t="inlineStr">
        <is>
          <t>공작</t>
        </is>
      </c>
      <c r="E654" s="0" t="inlineStr">
        <is>
          <t>1984.11.</t>
        </is>
      </c>
      <c r="F654" s="0" t="n">
        <v>85</v>
      </c>
      <c r="G654" s="0" t="n">
        <v>27.44</v>
      </c>
      <c r="H654" s="0" t="n">
        <v>90.73999999999999</v>
      </c>
      <c r="I654" s="0" t="n">
        <v>23.74</v>
      </c>
      <c r="J654" s="0" t="n">
        <v>78.48</v>
      </c>
      <c r="K654" s="0" t="n">
        <v>5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90</v>
      </c>
      <c r="X654" s="0" t="n">
        <v>5</v>
      </c>
      <c r="Y654" s="0" t="n">
        <v>5</v>
      </c>
      <c r="Z654" s="0" t="inlineStr">
        <is>
          <t>https://new.land.naver.com/complexes/8332?tab=detail&amp;rf=Y</t>
        </is>
      </c>
      <c r="AA654" s="0" t="inlineStr">
        <is>
          <t>인천시 계양구 작전동 860-10</t>
        </is>
      </c>
      <c r="AB654" s="0" t="inlineStr">
        <is>
          <t>인천시</t>
        </is>
      </c>
      <c r="AC654" s="0" t="inlineStr">
        <is>
          <t>계양구</t>
        </is>
      </c>
      <c r="AD654" s="0" t="inlineStr">
        <is>
          <t>작전동</t>
        </is>
      </c>
      <c r="AG654" s="0" t="inlineStr">
        <is>
          <t>인천시 계양구 주부토로413번길 17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[작전동]</t>
        </is>
      </c>
      <c r="B655" s="0" t="n">
        <v>8332</v>
      </c>
      <c r="C655" s="0" t="n">
        <v>5</v>
      </c>
      <c r="D655" s="0" t="inlineStr">
        <is>
          <t>공작</t>
        </is>
      </c>
      <c r="E655" s="0" t="inlineStr">
        <is>
          <t>1984.11.</t>
        </is>
      </c>
      <c r="F655" s="0" t="n">
        <v>85</v>
      </c>
      <c r="G655" s="0" t="n">
        <v>28.35</v>
      </c>
      <c r="H655" s="0" t="n">
        <v>93.72</v>
      </c>
      <c r="I655" s="0" t="n">
        <v>24.62</v>
      </c>
      <c r="J655" s="0" t="n">
        <v>81.42</v>
      </c>
      <c r="K655" s="0" t="n">
        <v>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93</v>
      </c>
      <c r="X655" s="0" t="n">
        <v>5</v>
      </c>
      <c r="Y655" s="0" t="n">
        <v>5</v>
      </c>
      <c r="Z655" s="0" t="inlineStr">
        <is>
          <t>https://new.land.naver.com/complexes/8332?tab=detail&amp;rf=Y</t>
        </is>
      </c>
      <c r="AA655" s="0" t="inlineStr">
        <is>
          <t>인천시 계양구 작전동 860-10</t>
        </is>
      </c>
      <c r="AB655" s="0" t="inlineStr">
        <is>
          <t>인천시</t>
        </is>
      </c>
      <c r="AC655" s="0" t="inlineStr">
        <is>
          <t>계양구</t>
        </is>
      </c>
      <c r="AD655" s="0" t="inlineStr">
        <is>
          <t>작전동</t>
        </is>
      </c>
      <c r="AG655" s="0" t="inlineStr">
        <is>
          <t>인천시 계양구 주부토로413번길 17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[작전동]</t>
        </is>
      </c>
      <c r="B656" s="0" t="n">
        <v>8332</v>
      </c>
      <c r="C656" s="0" t="n">
        <v>6</v>
      </c>
      <c r="D656" s="0" t="inlineStr">
        <is>
          <t>공작</t>
        </is>
      </c>
      <c r="E656" s="0" t="inlineStr">
        <is>
          <t>1984.11.</t>
        </is>
      </c>
      <c r="F656" s="0" t="n">
        <v>85</v>
      </c>
      <c r="G656" s="0" t="n">
        <v>30.33</v>
      </c>
      <c r="H656" s="0" t="n">
        <v>100.29</v>
      </c>
      <c r="I656" s="0" t="n">
        <v>26.31</v>
      </c>
      <c r="J656" s="0" t="n">
        <v>87</v>
      </c>
      <c r="K656" s="0" t="n">
        <v>5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100</v>
      </c>
      <c r="X656" s="0" t="n">
        <v>5</v>
      </c>
      <c r="Y656" s="0" t="n">
        <v>5</v>
      </c>
      <c r="Z656" s="0" t="inlineStr">
        <is>
          <t>https://new.land.naver.com/complexes/8332?tab=detail&amp;rf=Y</t>
        </is>
      </c>
      <c r="AA656" s="0" t="inlineStr">
        <is>
          <t>인천시 계양구 작전동 860-10</t>
        </is>
      </c>
      <c r="AB656" s="0" t="inlineStr">
        <is>
          <t>인천시</t>
        </is>
      </c>
      <c r="AC656" s="0" t="inlineStr">
        <is>
          <t>계양구</t>
        </is>
      </c>
      <c r="AD656" s="0" t="inlineStr">
        <is>
          <t>작전동</t>
        </is>
      </c>
      <c r="AG656" s="0" t="inlineStr">
        <is>
          <t>인천시 계양구 주부토로413번길 17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[작전동]</t>
        </is>
      </c>
      <c r="B657" s="0" t="n">
        <v>9672</v>
      </c>
      <c r="C657" s="0" t="n">
        <v>1</v>
      </c>
      <c r="D657" s="0" t="inlineStr">
        <is>
          <t>경신</t>
        </is>
      </c>
      <c r="E657" s="0" t="inlineStr">
        <is>
          <t>1985.07.</t>
        </is>
      </c>
      <c r="F657" s="0" t="n">
        <v>50</v>
      </c>
      <c r="G657" s="0" t="n">
        <v>24.91</v>
      </c>
      <c r="H657" s="0" t="n">
        <v>82.34999999999999</v>
      </c>
      <c r="I657" s="0" t="n">
        <v>20.68</v>
      </c>
      <c r="J657" s="0" t="n">
        <v>68.37</v>
      </c>
      <c r="K657" s="0" t="n">
        <v>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5</v>
      </c>
      <c r="Y657" s="0" t="n">
        <v>5</v>
      </c>
      <c r="Z657" s="0" t="inlineStr">
        <is>
          <t>https://new.land.naver.com/complexes/9672?tab=detail&amp;rf=Y</t>
        </is>
      </c>
      <c r="AA657" s="0" t="inlineStr">
        <is>
          <t>인천시 계양구 작전동 386-3</t>
        </is>
      </c>
      <c r="AB657" s="0" t="inlineStr">
        <is>
          <t>인천시</t>
        </is>
      </c>
      <c r="AC657" s="0" t="inlineStr">
        <is>
          <t>계양구</t>
        </is>
      </c>
      <c r="AD657" s="0" t="inlineStr">
        <is>
          <t>작전동</t>
        </is>
      </c>
      <c r="AG657" s="0" t="inlineStr">
        <is>
          <t>인천시 계양구 아나지로307번길 24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[작전동]</t>
        </is>
      </c>
      <c r="B658" s="0" t="n">
        <v>9672</v>
      </c>
      <c r="C658" s="0" t="n">
        <v>2</v>
      </c>
      <c r="D658" s="0" t="inlineStr">
        <is>
          <t>경신</t>
        </is>
      </c>
      <c r="E658" s="0" t="inlineStr">
        <is>
          <t>1985.07.</t>
        </is>
      </c>
      <c r="F658" s="0" t="n">
        <v>50</v>
      </c>
      <c r="G658" s="0" t="n">
        <v>25.93</v>
      </c>
      <c r="H658" s="0" t="n">
        <v>85.72</v>
      </c>
      <c r="I658" s="0" t="n">
        <v>21.59</v>
      </c>
      <c r="J658" s="0" t="n">
        <v>71.40000000000001</v>
      </c>
      <c r="K658" s="0" t="n">
        <v>30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85</v>
      </c>
      <c r="X658" s="0" t="n">
        <v>5</v>
      </c>
      <c r="Y658" s="0" t="n">
        <v>5</v>
      </c>
      <c r="Z658" s="0" t="inlineStr">
        <is>
          <t>https://new.land.naver.com/complexes/9672?tab=detail&amp;rf=Y</t>
        </is>
      </c>
      <c r="AA658" s="0" t="inlineStr">
        <is>
          <t>인천시 계양구 작전동 386-3</t>
        </is>
      </c>
      <c r="AB658" s="0" t="inlineStr">
        <is>
          <t>인천시</t>
        </is>
      </c>
      <c r="AC658" s="0" t="inlineStr">
        <is>
          <t>계양구</t>
        </is>
      </c>
      <c r="AD658" s="0" t="inlineStr">
        <is>
          <t>작전동</t>
        </is>
      </c>
      <c r="AG658" s="0" t="inlineStr">
        <is>
          <t>인천시 계양구 아나지로307번길 24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[작전동]</t>
        </is>
      </c>
      <c r="B659" s="0" t="n">
        <v>11060</v>
      </c>
      <c r="C659" s="0" t="n">
        <v>1</v>
      </c>
      <c r="D659" s="0" t="inlineStr">
        <is>
          <t>신동양</t>
        </is>
      </c>
      <c r="E659" s="0" t="inlineStr">
        <is>
          <t>1983.12.</t>
        </is>
      </c>
      <c r="F659" s="0" t="n">
        <v>108</v>
      </c>
      <c r="G659" s="0" t="n">
        <v>15.02</v>
      </c>
      <c r="H659" s="0" t="n">
        <v>49.66</v>
      </c>
      <c r="I659" s="0" t="n">
        <v>12.87</v>
      </c>
      <c r="J659" s="0" t="n">
        <v>42.57</v>
      </c>
      <c r="K659" s="0" t="n">
        <v>48</v>
      </c>
      <c r="T659" s="0" t="n">
        <v>2</v>
      </c>
      <c r="U659" s="0" t="n">
        <v>1</v>
      </c>
      <c r="V659" s="0" t="inlineStr">
        <is>
          <t>계단식</t>
        </is>
      </c>
      <c r="W659" s="0" t="n">
        <v>49</v>
      </c>
      <c r="X659" s="0" t="n">
        <v>6</v>
      </c>
      <c r="Y659" s="0" t="n">
        <v>6</v>
      </c>
      <c r="Z659" s="0" t="inlineStr">
        <is>
          <t>https://new.land.naver.com/complexes/11060?tab=detail&amp;rf=Y</t>
        </is>
      </c>
      <c r="AA659" s="0" t="inlineStr">
        <is>
          <t>인천시 계양구 작전동 867-10</t>
        </is>
      </c>
      <c r="AB659" s="0" t="inlineStr">
        <is>
          <t>인천시</t>
        </is>
      </c>
      <c r="AC659" s="0" t="inlineStr">
        <is>
          <t>계양구</t>
        </is>
      </c>
      <c r="AD659" s="0" t="inlineStr">
        <is>
          <t>작전동</t>
        </is>
      </c>
      <c r="AG659" s="0" t="inlineStr">
        <is>
          <t>인천시 계양구 봉오대로686번길 8</t>
        </is>
      </c>
      <c r="AH659" s="0" t="n">
        <v>0</v>
      </c>
      <c r="AI659" s="0" t="n">
        <v>143</v>
      </c>
      <c r="AJ659" s="0" t="n">
        <v>23</v>
      </c>
      <c r="AK659" s="0" t="n">
        <v>0</v>
      </c>
      <c r="AL659" s="0" t="n">
        <v>0</v>
      </c>
    </row>
    <row r="660">
      <c r="A660" s="0" t="inlineStr">
        <is>
          <t>[작전동]</t>
        </is>
      </c>
      <c r="B660" s="0" t="n">
        <v>11060</v>
      </c>
      <c r="C660" s="0" t="n">
        <v>2</v>
      </c>
      <c r="D660" s="0" t="inlineStr">
        <is>
          <t>신동양</t>
        </is>
      </c>
      <c r="E660" s="0" t="inlineStr">
        <is>
          <t>1983.12.</t>
        </is>
      </c>
      <c r="F660" s="0" t="n">
        <v>108</v>
      </c>
      <c r="G660" s="0" t="n">
        <v>16.16</v>
      </c>
      <c r="H660" s="0" t="n">
        <v>53.44</v>
      </c>
      <c r="I660" s="0" t="n">
        <v>13.85</v>
      </c>
      <c r="J660" s="0" t="n">
        <v>45.81</v>
      </c>
      <c r="K660" s="0" t="n">
        <v>60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53</v>
      </c>
      <c r="X660" s="0" t="n">
        <v>6</v>
      </c>
      <c r="Y660" s="0" t="n">
        <v>6</v>
      </c>
      <c r="Z660" s="0" t="inlineStr">
        <is>
          <t>https://new.land.naver.com/complexes/11060?tab=detail&amp;rf=Y</t>
        </is>
      </c>
      <c r="AA660" s="0" t="inlineStr">
        <is>
          <t>인천시 계양구 작전동 867-10</t>
        </is>
      </c>
      <c r="AB660" s="0" t="inlineStr">
        <is>
          <t>인천시</t>
        </is>
      </c>
      <c r="AC660" s="0" t="inlineStr">
        <is>
          <t>계양구</t>
        </is>
      </c>
      <c r="AD660" s="0" t="inlineStr">
        <is>
          <t>작전동</t>
        </is>
      </c>
      <c r="AG660" s="0" t="inlineStr">
        <is>
          <t>인천시 계양구 봉오대로686번길 8</t>
        </is>
      </c>
      <c r="AH660" s="0" t="n">
        <v>0</v>
      </c>
      <c r="AI660" s="0" t="n">
        <v>143</v>
      </c>
      <c r="AJ660" s="0" t="n">
        <v>23</v>
      </c>
      <c r="AK660" s="0" t="n">
        <v>0</v>
      </c>
      <c r="AL660" s="0" t="n">
        <v>0</v>
      </c>
    </row>
    <row r="661">
      <c r="A661" s="0" t="inlineStr">
        <is>
          <t>[장기동]</t>
        </is>
      </c>
      <c r="B661" s="0" t="n">
        <v>100556</v>
      </c>
      <c r="C661" s="0" t="n">
        <v>1</v>
      </c>
      <c r="D661" s="0" t="inlineStr">
        <is>
          <t>계양벽산블루밍</t>
        </is>
      </c>
      <c r="E661" s="0" t="inlineStr">
        <is>
          <t>2009.10.</t>
        </is>
      </c>
      <c r="F661" s="0" t="n">
        <v>138</v>
      </c>
      <c r="G661" s="0" t="n">
        <v>34.24</v>
      </c>
      <c r="H661" s="0" t="n">
        <v>113.22</v>
      </c>
      <c r="I661" s="0" t="n">
        <v>25.67</v>
      </c>
      <c r="J661" s="0" t="n">
        <v>84.88</v>
      </c>
      <c r="K661" s="0" t="n">
        <v>86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113</v>
      </c>
      <c r="X661" s="0" t="n">
        <v>12</v>
      </c>
      <c r="Y661" s="0" t="n">
        <v>8</v>
      </c>
      <c r="Z661" s="0" t="inlineStr">
        <is>
          <t>https://new.land.naver.com/complexes/100556?tab=detail&amp;rf=Y</t>
        </is>
      </c>
      <c r="AA661" s="0" t="inlineStr">
        <is>
          <t>인천시 계양구 장기동 131-10</t>
        </is>
      </c>
      <c r="AB661" s="0" t="inlineStr">
        <is>
          <t>인천시</t>
        </is>
      </c>
      <c r="AC661" s="0" t="inlineStr">
        <is>
          <t>계양구</t>
        </is>
      </c>
      <c r="AD661" s="0" t="inlineStr">
        <is>
          <t>장기동</t>
        </is>
      </c>
      <c r="AG661" s="0" t="inlineStr">
        <is>
          <t>인천시 계양구 황어로115번길 13</t>
        </is>
      </c>
      <c r="AH661" s="0" t="n">
        <v>0</v>
      </c>
      <c r="AI661" s="0" t="n">
        <v>192</v>
      </c>
      <c r="AJ661" s="0" t="n">
        <v>24</v>
      </c>
      <c r="AK661" s="0" t="n">
        <v>167</v>
      </c>
      <c r="AL661" s="0" t="n">
        <v>1.21</v>
      </c>
    </row>
    <row r="662">
      <c r="A662" s="0" t="inlineStr">
        <is>
          <t>[장기동]</t>
        </is>
      </c>
      <c r="B662" s="0" t="n">
        <v>100556</v>
      </c>
      <c r="C662" s="0" t="n">
        <v>2</v>
      </c>
      <c r="D662" s="0" t="inlineStr">
        <is>
          <t>계양벽산블루밍</t>
        </is>
      </c>
      <c r="E662" s="0" t="inlineStr">
        <is>
          <t>2009.10.</t>
        </is>
      </c>
      <c r="F662" s="0" t="n">
        <v>138</v>
      </c>
      <c r="G662" s="0" t="n">
        <v>35.25</v>
      </c>
      <c r="H662" s="0" t="n">
        <v>116.56</v>
      </c>
      <c r="I662" s="0" t="n">
        <v>25.68</v>
      </c>
      <c r="J662" s="0" t="n">
        <v>84.90000000000001</v>
      </c>
      <c r="K662" s="0" t="n">
        <v>12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116</v>
      </c>
      <c r="X662" s="0" t="n">
        <v>12</v>
      </c>
      <c r="Y662" s="0" t="n">
        <v>8</v>
      </c>
      <c r="Z662" s="0" t="inlineStr">
        <is>
          <t>https://new.land.naver.com/complexes/100556?tab=detail&amp;rf=Y</t>
        </is>
      </c>
      <c r="AA662" s="0" t="inlineStr">
        <is>
          <t>인천시 계양구 장기동 131-10</t>
        </is>
      </c>
      <c r="AB662" s="0" t="inlineStr">
        <is>
          <t>인천시</t>
        </is>
      </c>
      <c r="AC662" s="0" t="inlineStr">
        <is>
          <t>계양구</t>
        </is>
      </c>
      <c r="AD662" s="0" t="inlineStr">
        <is>
          <t>장기동</t>
        </is>
      </c>
      <c r="AG662" s="0" t="inlineStr">
        <is>
          <t>인천시 계양구 황어로115번길 13</t>
        </is>
      </c>
      <c r="AH662" s="0" t="n">
        <v>0</v>
      </c>
      <c r="AI662" s="0" t="n">
        <v>192</v>
      </c>
      <c r="AJ662" s="0" t="n">
        <v>24</v>
      </c>
      <c r="AK662" s="0" t="n">
        <v>167</v>
      </c>
      <c r="AL662" s="0" t="n">
        <v>1.21</v>
      </c>
    </row>
    <row r="663">
      <c r="A663" s="0" t="inlineStr">
        <is>
          <t>[장기동]</t>
        </is>
      </c>
      <c r="B663" s="0" t="n">
        <v>100556</v>
      </c>
      <c r="C663" s="0" t="n">
        <v>3</v>
      </c>
      <c r="D663" s="0" t="inlineStr">
        <is>
          <t>계양벽산블루밍</t>
        </is>
      </c>
      <c r="E663" s="0" t="inlineStr">
        <is>
          <t>2009.10.</t>
        </is>
      </c>
      <c r="F663" s="0" t="n">
        <v>138</v>
      </c>
      <c r="G663" s="0" t="n">
        <v>41.51</v>
      </c>
      <c r="H663" s="0" t="n">
        <v>137.25</v>
      </c>
      <c r="I663" s="0" t="n">
        <v>33.6</v>
      </c>
      <c r="J663" s="0" t="n">
        <v>111.08</v>
      </c>
      <c r="K663" s="0" t="n">
        <v>39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137A</t>
        </is>
      </c>
      <c r="X663" s="0" t="n">
        <v>12</v>
      </c>
      <c r="Y663" s="0" t="n">
        <v>8</v>
      </c>
      <c r="Z663" s="0" t="inlineStr">
        <is>
          <t>https://new.land.naver.com/complexes/100556?tab=detail&amp;rf=Y</t>
        </is>
      </c>
      <c r="AA663" s="0" t="inlineStr">
        <is>
          <t>인천시 계양구 장기동 131-10</t>
        </is>
      </c>
      <c r="AB663" s="0" t="inlineStr">
        <is>
          <t>인천시</t>
        </is>
      </c>
      <c r="AC663" s="0" t="inlineStr">
        <is>
          <t>계양구</t>
        </is>
      </c>
      <c r="AD663" s="0" t="inlineStr">
        <is>
          <t>장기동</t>
        </is>
      </c>
      <c r="AG663" s="0" t="inlineStr">
        <is>
          <t>인천시 계양구 황어로115번길 13</t>
        </is>
      </c>
      <c r="AH663" s="0" t="n">
        <v>0</v>
      </c>
      <c r="AI663" s="0" t="n">
        <v>192</v>
      </c>
      <c r="AJ663" s="0" t="n">
        <v>24</v>
      </c>
      <c r="AK663" s="0" t="n">
        <v>167</v>
      </c>
      <c r="AL663" s="0" t="n">
        <v>1.21</v>
      </c>
    </row>
    <row r="664">
      <c r="A664" s="0" t="inlineStr">
        <is>
          <t>[장기동]</t>
        </is>
      </c>
      <c r="B664" s="0" t="n">
        <v>100556</v>
      </c>
      <c r="C664" s="0" t="n">
        <v>4</v>
      </c>
      <c r="D664" s="0" t="inlineStr">
        <is>
          <t>계양벽산블루밍</t>
        </is>
      </c>
      <c r="E664" s="0" t="inlineStr">
        <is>
          <t>2009.10.</t>
        </is>
      </c>
      <c r="F664" s="0" t="n">
        <v>138</v>
      </c>
      <c r="G664" s="0" t="n">
        <v>41.84</v>
      </c>
      <c r="H664" s="0" t="n">
        <v>138.34</v>
      </c>
      <c r="I664" s="0" t="n">
        <v>31.16</v>
      </c>
      <c r="J664" s="0" t="n">
        <v>103.03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inlineStr">
        <is>
          <t>138B</t>
        </is>
      </c>
      <c r="X664" s="0" t="n">
        <v>12</v>
      </c>
      <c r="Y664" s="0" t="n">
        <v>8</v>
      </c>
      <c r="Z664" s="0" t="inlineStr">
        <is>
          <t>https://new.land.naver.com/complexes/100556?tab=detail&amp;rf=Y</t>
        </is>
      </c>
      <c r="AA664" s="0" t="inlineStr">
        <is>
          <t>인천시 계양구 장기동 131-10</t>
        </is>
      </c>
      <c r="AB664" s="0" t="inlineStr">
        <is>
          <t>인천시</t>
        </is>
      </c>
      <c r="AC664" s="0" t="inlineStr">
        <is>
          <t>계양구</t>
        </is>
      </c>
      <c r="AD664" s="0" t="inlineStr">
        <is>
          <t>장기동</t>
        </is>
      </c>
      <c r="AG664" s="0" t="inlineStr">
        <is>
          <t>인천시 계양구 황어로115번길 13</t>
        </is>
      </c>
      <c r="AH664" s="0" t="n">
        <v>0</v>
      </c>
      <c r="AI664" s="0" t="n">
        <v>192</v>
      </c>
      <c r="AJ664" s="0" t="n">
        <v>24</v>
      </c>
      <c r="AK664" s="0" t="n">
        <v>167</v>
      </c>
      <c r="AL664" s="0" t="n">
        <v>1.21</v>
      </c>
    </row>
    <row r="665">
      <c r="A665" s="0" t="inlineStr">
        <is>
          <t>[효성동]</t>
        </is>
      </c>
      <c r="B665" s="0" t="n">
        <v>2522</v>
      </c>
      <c r="C665" s="0" t="n">
        <v>1</v>
      </c>
      <c r="D665" s="0" t="inlineStr">
        <is>
          <t>태산</t>
        </is>
      </c>
      <c r="E665" s="0" t="inlineStr">
        <is>
          <t>1997.10.</t>
        </is>
      </c>
      <c r="F665" s="0" t="n">
        <v>1178</v>
      </c>
      <c r="G665" s="0" t="n">
        <v>23.68</v>
      </c>
      <c r="H665" s="0" t="n">
        <v>78.31</v>
      </c>
      <c r="I665" s="0" t="n">
        <v>18.13</v>
      </c>
      <c r="J665" s="0" t="n">
        <v>59.96</v>
      </c>
      <c r="K665" s="0" t="n">
        <v>524</v>
      </c>
      <c r="T665" s="0" t="n">
        <v>3</v>
      </c>
      <c r="U665" s="0" t="n">
        <v>1</v>
      </c>
      <c r="V665" s="0" t="inlineStr">
        <is>
          <t>계단식</t>
        </is>
      </c>
      <c r="W665" s="0" t="n">
        <v>78</v>
      </c>
      <c r="X665" s="0" t="n">
        <v>24</v>
      </c>
      <c r="Y665" s="0" t="n">
        <v>7</v>
      </c>
      <c r="Z665" s="0" t="inlineStr">
        <is>
          <t>https://new.land.naver.com/complexes/2522?tab=detail&amp;rf=Y</t>
        </is>
      </c>
      <c r="AA665" s="0" t="inlineStr">
        <is>
          <t>인천시 계양구 효성동 123-57</t>
        </is>
      </c>
      <c r="AB665" s="0" t="inlineStr">
        <is>
          <t>인천시</t>
        </is>
      </c>
      <c r="AC665" s="0" t="inlineStr">
        <is>
          <t>계양구</t>
        </is>
      </c>
      <c r="AD665" s="0" t="inlineStr">
        <is>
          <t>효성동</t>
        </is>
      </c>
      <c r="AG665" s="0" t="inlineStr">
        <is>
          <t>인천시 계양구 봉오대로477번길 20</t>
        </is>
      </c>
      <c r="AH665" s="0" t="n">
        <v>0</v>
      </c>
      <c r="AI665" s="0" t="n">
        <v>274</v>
      </c>
      <c r="AJ665" s="0" t="n">
        <v>21</v>
      </c>
      <c r="AK665" s="0" t="n">
        <v>1211</v>
      </c>
      <c r="AL665" s="0" t="n">
        <v>1.03</v>
      </c>
    </row>
    <row r="666">
      <c r="A666" s="0" t="inlineStr">
        <is>
          <t>[효성동]</t>
        </is>
      </c>
      <c r="B666" s="0" t="n">
        <v>2522</v>
      </c>
      <c r="C666" s="0" t="n">
        <v>2</v>
      </c>
      <c r="D666" s="0" t="inlineStr">
        <is>
          <t>태산</t>
        </is>
      </c>
      <c r="E666" s="0" t="inlineStr">
        <is>
          <t>1997.10.</t>
        </is>
      </c>
      <c r="F666" s="0" t="n">
        <v>1178</v>
      </c>
      <c r="G666" s="0" t="n">
        <v>33.07</v>
      </c>
      <c r="H666" s="0" t="n">
        <v>109.35</v>
      </c>
      <c r="I666" s="0" t="n">
        <v>25.63</v>
      </c>
      <c r="J666" s="0" t="n">
        <v>84.76000000000001</v>
      </c>
      <c r="K666" s="0" t="n">
        <v>654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109</v>
      </c>
      <c r="X666" s="0" t="n">
        <v>24</v>
      </c>
      <c r="Y666" s="0" t="n">
        <v>7</v>
      </c>
      <c r="Z666" s="0" t="inlineStr">
        <is>
          <t>https://new.land.naver.com/complexes/2522?tab=detail&amp;rf=Y</t>
        </is>
      </c>
      <c r="AA666" s="0" t="inlineStr">
        <is>
          <t>인천시 계양구 효성동 123-57</t>
        </is>
      </c>
      <c r="AB666" s="0" t="inlineStr">
        <is>
          <t>인천시</t>
        </is>
      </c>
      <c r="AC666" s="0" t="inlineStr">
        <is>
          <t>계양구</t>
        </is>
      </c>
      <c r="AD666" s="0" t="inlineStr">
        <is>
          <t>효성동</t>
        </is>
      </c>
      <c r="AG666" s="0" t="inlineStr">
        <is>
          <t>인천시 계양구 봉오대로477번길 20</t>
        </is>
      </c>
      <c r="AH666" s="0" t="n">
        <v>0</v>
      </c>
      <c r="AI666" s="0" t="n">
        <v>274</v>
      </c>
      <c r="AJ666" s="0" t="n">
        <v>21</v>
      </c>
      <c r="AK666" s="0" t="n">
        <v>1211</v>
      </c>
      <c r="AL666" s="0" t="n">
        <v>1.03</v>
      </c>
    </row>
    <row r="667">
      <c r="A667" s="0" t="inlineStr">
        <is>
          <t>[효성동]</t>
        </is>
      </c>
      <c r="B667" s="0" t="n">
        <v>8265</v>
      </c>
      <c r="C667" s="0" t="n">
        <v>1</v>
      </c>
      <c r="D667" s="0" t="inlineStr">
        <is>
          <t>백영</t>
        </is>
      </c>
      <c r="E667" s="0" t="inlineStr">
        <is>
          <t>1996.05.</t>
        </is>
      </c>
      <c r="F667" s="0" t="n">
        <v>208</v>
      </c>
      <c r="G667" s="0" t="n">
        <v>25.83</v>
      </c>
      <c r="H667" s="0" t="n">
        <v>85.41</v>
      </c>
      <c r="I667" s="0" t="n">
        <v>18.15</v>
      </c>
      <c r="J667" s="0" t="n">
        <v>60</v>
      </c>
      <c r="K667" s="0" t="n">
        <v>133</v>
      </c>
      <c r="T667" s="0" t="n">
        <v>3</v>
      </c>
      <c r="U667" s="0" t="n">
        <v>1</v>
      </c>
      <c r="V667" s="0" t="inlineStr">
        <is>
          <t>계단식</t>
        </is>
      </c>
      <c r="W667" s="0" t="n">
        <v>85</v>
      </c>
      <c r="X667" s="0" t="n">
        <v>19</v>
      </c>
      <c r="Y667" s="0" t="n">
        <v>18</v>
      </c>
      <c r="Z667" s="0" t="inlineStr">
        <is>
          <t>https://new.land.naver.com/complexes/8265?tab=detail&amp;rf=Y</t>
        </is>
      </c>
      <c r="AA667" s="0" t="inlineStr">
        <is>
          <t>인천시 계양구 효성동 101-5</t>
        </is>
      </c>
      <c r="AB667" s="0" t="inlineStr">
        <is>
          <t>인천시</t>
        </is>
      </c>
      <c r="AC667" s="0" t="inlineStr">
        <is>
          <t>계양구</t>
        </is>
      </c>
      <c r="AD667" s="0" t="inlineStr">
        <is>
          <t>효성동</t>
        </is>
      </c>
      <c r="AG667" s="0" t="inlineStr">
        <is>
          <t>인천시 계양구 길마로11번길 3</t>
        </is>
      </c>
      <c r="AH667" s="0" t="n">
        <v>0</v>
      </c>
      <c r="AI667" s="0" t="n">
        <v>370</v>
      </c>
      <c r="AJ667" s="0" t="n">
        <v>23</v>
      </c>
      <c r="AK667" s="0" t="n">
        <v>113</v>
      </c>
      <c r="AL667" s="0" t="n">
        <v>0.54</v>
      </c>
    </row>
    <row r="668">
      <c r="A668" s="0" t="inlineStr">
        <is>
          <t>[효성동]</t>
        </is>
      </c>
      <c r="B668" s="0" t="n">
        <v>8265</v>
      </c>
      <c r="C668" s="0" t="n">
        <v>2</v>
      </c>
      <c r="D668" s="0" t="inlineStr">
        <is>
          <t>백영</t>
        </is>
      </c>
      <c r="E668" s="0" t="inlineStr">
        <is>
          <t>1996.05.</t>
        </is>
      </c>
      <c r="F668" s="0" t="n">
        <v>208</v>
      </c>
      <c r="G668" s="0" t="n">
        <v>26.72</v>
      </c>
      <c r="H668" s="0" t="n">
        <v>88.34</v>
      </c>
      <c r="I668" s="0" t="n">
        <v>18.15</v>
      </c>
      <c r="J668" s="0" t="n">
        <v>60</v>
      </c>
      <c r="K668" s="0" t="n">
        <v>75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88</v>
      </c>
      <c r="X668" s="0" t="n">
        <v>19</v>
      </c>
      <c r="Y668" s="0" t="n">
        <v>18</v>
      </c>
      <c r="Z668" s="0" t="inlineStr">
        <is>
          <t>https://new.land.naver.com/complexes/8265?tab=detail&amp;rf=Y</t>
        </is>
      </c>
      <c r="AA668" s="0" t="inlineStr">
        <is>
          <t>인천시 계양구 효성동 101-5</t>
        </is>
      </c>
      <c r="AB668" s="0" t="inlineStr">
        <is>
          <t>인천시</t>
        </is>
      </c>
      <c r="AC668" s="0" t="inlineStr">
        <is>
          <t>계양구</t>
        </is>
      </c>
      <c r="AD668" s="0" t="inlineStr">
        <is>
          <t>효성동</t>
        </is>
      </c>
      <c r="AG668" s="0" t="inlineStr">
        <is>
          <t>인천시 계양구 길마로11번길 3</t>
        </is>
      </c>
      <c r="AH668" s="0" t="n">
        <v>0</v>
      </c>
      <c r="AI668" s="0" t="n">
        <v>370</v>
      </c>
      <c r="AJ668" s="0" t="n">
        <v>23</v>
      </c>
      <c r="AK668" s="0" t="n">
        <v>113</v>
      </c>
      <c r="AL668" s="0" t="n">
        <v>0.54</v>
      </c>
    </row>
    <row r="669">
      <c r="A669" s="0" t="inlineStr">
        <is>
          <t>[효성동]</t>
        </is>
      </c>
      <c r="B669" s="0" t="n">
        <v>141997</v>
      </c>
      <c r="C669" s="0" t="n">
        <v>1</v>
      </c>
      <c r="D669" s="0" t="inlineStr">
        <is>
          <t>포레스트백림</t>
        </is>
      </c>
      <c r="E669" s="0" t="inlineStr">
        <is>
          <t>2021.05.</t>
        </is>
      </c>
      <c r="F669" s="0" t="n">
        <v>26</v>
      </c>
      <c r="G669" s="0" t="n">
        <v>24.1</v>
      </c>
      <c r="H669" s="0" t="n">
        <v>79.67</v>
      </c>
      <c r="I669" s="0" t="n">
        <v>19.18</v>
      </c>
      <c r="J669" s="0" t="n">
        <v>63.41</v>
      </c>
      <c r="K669" s="0" t="n">
        <v>9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79</v>
      </c>
      <c r="X669" s="0" t="n">
        <v>10</v>
      </c>
      <c r="Y669" s="0" t="n">
        <v>9</v>
      </c>
      <c r="Z669" s="0" t="inlineStr">
        <is>
          <t>https://new.land.naver.com/complexes/141997?tab=detail&amp;rf=Y</t>
        </is>
      </c>
      <c r="AA669" s="0" t="inlineStr">
        <is>
          <t>인천시 계양구 효성동 321-5</t>
        </is>
      </c>
      <c r="AB669" s="0" t="inlineStr">
        <is>
          <t>인천시</t>
        </is>
      </c>
      <c r="AC669" s="0" t="inlineStr">
        <is>
          <t>계양구</t>
        </is>
      </c>
      <c r="AD669" s="0" t="inlineStr">
        <is>
          <t>효성동</t>
        </is>
      </c>
      <c r="AG669" s="0" t="inlineStr">
        <is>
          <t>인천시 계양구 효서로 114</t>
        </is>
      </c>
      <c r="AH669" s="0" t="n">
        <v>0</v>
      </c>
      <c r="AI669" s="0" t="n">
        <v>249</v>
      </c>
      <c r="AJ669" s="0" t="n">
        <v>35</v>
      </c>
      <c r="AK669" s="0" t="n">
        <v>26</v>
      </c>
      <c r="AL669" s="0" t="n">
        <v>1</v>
      </c>
    </row>
    <row r="670">
      <c r="A670" s="0" t="inlineStr">
        <is>
          <t>[효성동]</t>
        </is>
      </c>
      <c r="B670" s="0" t="n">
        <v>141997</v>
      </c>
      <c r="C670" s="0" t="n">
        <v>2</v>
      </c>
      <c r="D670" s="0" t="inlineStr">
        <is>
          <t>포레스트백림</t>
        </is>
      </c>
      <c r="E670" s="0" t="inlineStr">
        <is>
          <t>2021.05.</t>
        </is>
      </c>
      <c r="F670" s="0" t="n">
        <v>26</v>
      </c>
      <c r="G670" s="0" t="n">
        <v>25.39</v>
      </c>
      <c r="H670" s="0" t="n">
        <v>83.95999999999999</v>
      </c>
      <c r="I670" s="0" t="n">
        <v>20.8</v>
      </c>
      <c r="J670" s="0" t="n">
        <v>68.78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83</v>
      </c>
      <c r="X670" s="0" t="n">
        <v>10</v>
      </c>
      <c r="Y670" s="0" t="n">
        <v>9</v>
      </c>
      <c r="Z670" s="0" t="inlineStr">
        <is>
          <t>https://new.land.naver.com/complexes/141997?tab=detail&amp;rf=Y</t>
        </is>
      </c>
      <c r="AA670" s="0" t="inlineStr">
        <is>
          <t>인천시 계양구 효성동 321-5</t>
        </is>
      </c>
      <c r="AB670" s="0" t="inlineStr">
        <is>
          <t>인천시</t>
        </is>
      </c>
      <c r="AC670" s="0" t="inlineStr">
        <is>
          <t>계양구</t>
        </is>
      </c>
      <c r="AD670" s="0" t="inlineStr">
        <is>
          <t>효성동</t>
        </is>
      </c>
      <c r="AG670" s="0" t="inlineStr">
        <is>
          <t>인천시 계양구 효서로 114</t>
        </is>
      </c>
      <c r="AH670" s="0" t="n">
        <v>0</v>
      </c>
      <c r="AI670" s="0" t="n">
        <v>249</v>
      </c>
      <c r="AJ670" s="0" t="n">
        <v>35</v>
      </c>
      <c r="AK670" s="0" t="n">
        <v>26</v>
      </c>
      <c r="AL670" s="0" t="n">
        <v>1</v>
      </c>
    </row>
    <row r="671">
      <c r="A671" s="0" t="inlineStr">
        <is>
          <t>[효성동]</t>
        </is>
      </c>
      <c r="B671" s="0" t="n">
        <v>141997</v>
      </c>
      <c r="C671" s="0" t="n">
        <v>3</v>
      </c>
      <c r="D671" s="0" t="inlineStr">
        <is>
          <t>포레스트백림</t>
        </is>
      </c>
      <c r="E671" s="0" t="inlineStr">
        <is>
          <t>2021.05.</t>
        </is>
      </c>
      <c r="F671" s="0" t="n">
        <v>26</v>
      </c>
      <c r="G671" s="0" t="n">
        <v>26.24</v>
      </c>
      <c r="H671" s="0" t="n">
        <v>86.75</v>
      </c>
      <c r="I671" s="0" t="n">
        <v>20.93</v>
      </c>
      <c r="J671" s="0" t="n">
        <v>69.22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86</v>
      </c>
      <c r="X671" s="0" t="n">
        <v>10</v>
      </c>
      <c r="Y671" s="0" t="n">
        <v>9</v>
      </c>
      <c r="Z671" s="0" t="inlineStr">
        <is>
          <t>https://new.land.naver.com/complexes/141997?tab=detail&amp;rf=Y</t>
        </is>
      </c>
      <c r="AA671" s="0" t="inlineStr">
        <is>
          <t>인천시 계양구 효성동 321-5</t>
        </is>
      </c>
      <c r="AB671" s="0" t="inlineStr">
        <is>
          <t>인천시</t>
        </is>
      </c>
      <c r="AC671" s="0" t="inlineStr">
        <is>
          <t>계양구</t>
        </is>
      </c>
      <c r="AD671" s="0" t="inlineStr">
        <is>
          <t>효성동</t>
        </is>
      </c>
      <c r="AG671" s="0" t="inlineStr">
        <is>
          <t>인천시 계양구 효서로 114</t>
        </is>
      </c>
      <c r="AH671" s="0" t="n">
        <v>0</v>
      </c>
      <c r="AI671" s="0" t="n">
        <v>249</v>
      </c>
      <c r="AJ671" s="0" t="n">
        <v>35</v>
      </c>
      <c r="AK671" s="0" t="n">
        <v>26</v>
      </c>
      <c r="AL671" s="0" t="n">
        <v>1</v>
      </c>
    </row>
    <row r="672">
      <c r="A672" s="0" t="inlineStr">
        <is>
          <t>[효성동]</t>
        </is>
      </c>
      <c r="B672" s="0" t="n">
        <v>141997</v>
      </c>
      <c r="C672" s="0" t="n">
        <v>4</v>
      </c>
      <c r="D672" s="0" t="inlineStr">
        <is>
          <t>포레스트백림</t>
        </is>
      </c>
      <c r="E672" s="0" t="inlineStr">
        <is>
          <t>2021.05.</t>
        </is>
      </c>
      <c r="F672" s="0" t="n">
        <v>26</v>
      </c>
      <c r="G672" s="0" t="n">
        <v>45.43</v>
      </c>
      <c r="H672" s="0" t="n">
        <v>150.2</v>
      </c>
      <c r="I672" s="0" t="n">
        <v>36.29</v>
      </c>
      <c r="J672" s="0" t="n">
        <v>119.97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150</v>
      </c>
      <c r="X672" s="0" t="n">
        <v>10</v>
      </c>
      <c r="Y672" s="0" t="n">
        <v>9</v>
      </c>
      <c r="Z672" s="0" t="inlineStr">
        <is>
          <t>https://new.land.naver.com/complexes/141997?tab=detail&amp;rf=Y</t>
        </is>
      </c>
      <c r="AA672" s="0" t="inlineStr">
        <is>
          <t>인천시 계양구 효성동 321-5</t>
        </is>
      </c>
      <c r="AB672" s="0" t="inlineStr">
        <is>
          <t>인천시</t>
        </is>
      </c>
      <c r="AC672" s="0" t="inlineStr">
        <is>
          <t>계양구</t>
        </is>
      </c>
      <c r="AD672" s="0" t="inlineStr">
        <is>
          <t>효성동</t>
        </is>
      </c>
      <c r="AG672" s="0" t="inlineStr">
        <is>
          <t>인천시 계양구 효서로 114</t>
        </is>
      </c>
      <c r="AH672" s="0" t="n">
        <v>0</v>
      </c>
      <c r="AI672" s="0" t="n">
        <v>249</v>
      </c>
      <c r="AJ672" s="0" t="n">
        <v>35</v>
      </c>
      <c r="AK672" s="0" t="n">
        <v>26</v>
      </c>
      <c r="AL672" s="0" t="n">
        <v>1</v>
      </c>
    </row>
    <row r="673">
      <c r="A673" s="0" t="inlineStr">
        <is>
          <t>[효성동]</t>
        </is>
      </c>
      <c r="B673" s="0" t="n">
        <v>2479</v>
      </c>
      <c r="C673" s="0" t="n">
        <v>1</v>
      </c>
      <c r="D673" s="0" t="inlineStr">
        <is>
          <t>현대3차</t>
        </is>
      </c>
      <c r="E673" s="0" t="inlineStr">
        <is>
          <t>1992.11.</t>
        </is>
      </c>
      <c r="F673" s="0" t="n">
        <v>374</v>
      </c>
      <c r="G673" s="0" t="n">
        <v>23.95</v>
      </c>
      <c r="H673" s="0" t="n">
        <v>79.19</v>
      </c>
      <c r="I673" s="0" t="n">
        <v>16.71</v>
      </c>
      <c r="J673" s="0" t="n">
        <v>55.25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79</v>
      </c>
      <c r="X673" s="0" t="n">
        <v>23</v>
      </c>
      <c r="Y673" s="0" t="n">
        <v>16</v>
      </c>
      <c r="Z673" s="0" t="inlineStr">
        <is>
          <t>https://new.land.naver.com/complexes/2479?tab=detail&amp;rf=Y</t>
        </is>
      </c>
      <c r="AA673" s="0" t="inlineStr">
        <is>
          <t>인천시 계양구 효성동 280-5</t>
        </is>
      </c>
      <c r="AB673" s="0" t="inlineStr">
        <is>
          <t>인천시</t>
        </is>
      </c>
      <c r="AC673" s="0" t="inlineStr">
        <is>
          <t>계양구</t>
        </is>
      </c>
      <c r="AD673" s="0" t="inlineStr">
        <is>
          <t>효성동</t>
        </is>
      </c>
      <c r="AG673" s="0" t="inlineStr">
        <is>
          <t>인천시 계양구 새벌로133번길 4</t>
        </is>
      </c>
      <c r="AH673" s="0" t="n">
        <v>0</v>
      </c>
      <c r="AI673" s="0" t="n">
        <v>295</v>
      </c>
      <c r="AJ673" s="0" t="n">
        <v>18</v>
      </c>
      <c r="AK673" s="0" t="n">
        <v>181</v>
      </c>
      <c r="AL673" s="0" t="n">
        <v>0.48</v>
      </c>
    </row>
    <row r="674">
      <c r="A674" s="0" t="inlineStr">
        <is>
          <t>[효성동]</t>
        </is>
      </c>
      <c r="B674" s="0" t="n">
        <v>2479</v>
      </c>
      <c r="C674" s="0" t="n">
        <v>2</v>
      </c>
      <c r="D674" s="0" t="inlineStr">
        <is>
          <t>현대3차</t>
        </is>
      </c>
      <c r="E674" s="0" t="inlineStr">
        <is>
          <t>1992.11.</t>
        </is>
      </c>
      <c r="F674" s="0" t="n">
        <v>374</v>
      </c>
      <c r="G674" s="0" t="n">
        <v>26.42</v>
      </c>
      <c r="H674" s="0" t="n">
        <v>87.34999999999999</v>
      </c>
      <c r="I674" s="0" t="n">
        <v>21.61</v>
      </c>
      <c r="J674" s="0" t="n">
        <v>71.45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87</v>
      </c>
      <c r="X674" s="0" t="n">
        <v>23</v>
      </c>
      <c r="Y674" s="0" t="n">
        <v>16</v>
      </c>
      <c r="Z674" s="0" t="inlineStr">
        <is>
          <t>https://new.land.naver.com/complexes/2479?tab=detail&amp;rf=Y</t>
        </is>
      </c>
      <c r="AA674" s="0" t="inlineStr">
        <is>
          <t>인천시 계양구 효성동 280-5</t>
        </is>
      </c>
      <c r="AB674" s="0" t="inlineStr">
        <is>
          <t>인천시</t>
        </is>
      </c>
      <c r="AC674" s="0" t="inlineStr">
        <is>
          <t>계양구</t>
        </is>
      </c>
      <c r="AD674" s="0" t="inlineStr">
        <is>
          <t>효성동</t>
        </is>
      </c>
      <c r="AG674" s="0" t="inlineStr">
        <is>
          <t>인천시 계양구 새벌로133번길 4</t>
        </is>
      </c>
      <c r="AH674" s="0" t="n">
        <v>0</v>
      </c>
      <c r="AI674" s="0" t="n">
        <v>295</v>
      </c>
      <c r="AJ674" s="0" t="n">
        <v>18</v>
      </c>
      <c r="AK674" s="0" t="n">
        <v>181</v>
      </c>
      <c r="AL674" s="0" t="n">
        <v>0.48</v>
      </c>
    </row>
    <row r="675">
      <c r="A675" s="0" t="inlineStr">
        <is>
          <t>[효성동]</t>
        </is>
      </c>
      <c r="B675" s="0" t="n">
        <v>2479</v>
      </c>
      <c r="C675" s="0" t="n">
        <v>3</v>
      </c>
      <c r="D675" s="0" t="inlineStr">
        <is>
          <t>현대3차</t>
        </is>
      </c>
      <c r="E675" s="0" t="inlineStr">
        <is>
          <t>1992.11.</t>
        </is>
      </c>
      <c r="F675" s="0" t="n">
        <v>374</v>
      </c>
      <c r="G675" s="0" t="n">
        <v>30.96</v>
      </c>
      <c r="H675" s="0" t="n">
        <v>102.36</v>
      </c>
      <c r="I675" s="0" t="n">
        <v>25.7</v>
      </c>
      <c r="J675" s="0" t="n">
        <v>84.95999999999999</v>
      </c>
      <c r="K675" s="0" t="n">
        <v>266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102</v>
      </c>
      <c r="X675" s="0" t="n">
        <v>23</v>
      </c>
      <c r="Y675" s="0" t="n">
        <v>16</v>
      </c>
      <c r="Z675" s="0" t="inlineStr">
        <is>
          <t>https://new.land.naver.com/complexes/2479?tab=detail&amp;rf=Y</t>
        </is>
      </c>
      <c r="AA675" s="0" t="inlineStr">
        <is>
          <t>인천시 계양구 효성동 280-5</t>
        </is>
      </c>
      <c r="AB675" s="0" t="inlineStr">
        <is>
          <t>인천시</t>
        </is>
      </c>
      <c r="AC675" s="0" t="inlineStr">
        <is>
          <t>계양구</t>
        </is>
      </c>
      <c r="AD675" s="0" t="inlineStr">
        <is>
          <t>효성동</t>
        </is>
      </c>
      <c r="AG675" s="0" t="inlineStr">
        <is>
          <t>인천시 계양구 새벌로133번길 4</t>
        </is>
      </c>
      <c r="AH675" s="0" t="n">
        <v>0</v>
      </c>
      <c r="AI675" s="0" t="n">
        <v>295</v>
      </c>
      <c r="AJ675" s="0" t="n">
        <v>18</v>
      </c>
      <c r="AK675" s="0" t="n">
        <v>181</v>
      </c>
      <c r="AL675" s="0" t="n">
        <v>0.48</v>
      </c>
    </row>
    <row r="676">
      <c r="A676" s="0" t="inlineStr">
        <is>
          <t>[효성동]</t>
        </is>
      </c>
      <c r="B676" s="0" t="n">
        <v>2478</v>
      </c>
      <c r="C676" s="0" t="n">
        <v>1</v>
      </c>
      <c r="D676" s="0" t="inlineStr">
        <is>
          <t>현대2차</t>
        </is>
      </c>
      <c r="E676" s="0" t="inlineStr">
        <is>
          <t>1992.11.</t>
        </is>
      </c>
      <c r="F676" s="0" t="n">
        <v>340</v>
      </c>
      <c r="G676" s="0" t="n">
        <v>30.88</v>
      </c>
      <c r="H676" s="0" t="n">
        <v>102.11</v>
      </c>
      <c r="I676" s="0" t="n">
        <v>25.69</v>
      </c>
      <c r="J676" s="0" t="n">
        <v>84.94</v>
      </c>
      <c r="K676" s="0" t="n">
        <v>240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102</v>
      </c>
      <c r="X676" s="0" t="n">
        <v>25</v>
      </c>
      <c r="Y676" s="0" t="n">
        <v>20</v>
      </c>
      <c r="Z676" s="0" t="inlineStr">
        <is>
          <t>https://new.land.naver.com/complexes/2478?tab=detail&amp;rf=Y</t>
        </is>
      </c>
      <c r="AA676" s="0" t="inlineStr">
        <is>
          <t>인천시 계양구 효성동 24-49</t>
        </is>
      </c>
      <c r="AB676" s="0" t="inlineStr">
        <is>
          <t>인천시</t>
        </is>
      </c>
      <c r="AC676" s="0" t="inlineStr">
        <is>
          <t>계양구</t>
        </is>
      </c>
      <c r="AD676" s="0" t="inlineStr">
        <is>
          <t>효성동</t>
        </is>
      </c>
      <c r="AG676" s="0" t="inlineStr">
        <is>
          <t>인천시 계양구 길마로 83</t>
        </is>
      </c>
      <c r="AH676" s="0" t="n">
        <v>0</v>
      </c>
      <c r="AI676" s="0" t="n">
        <v>248</v>
      </c>
      <c r="AJ676" s="0" t="n">
        <v>12</v>
      </c>
      <c r="AK676" s="0" t="n">
        <v>213</v>
      </c>
      <c r="AL676" s="0" t="n">
        <v>0.63</v>
      </c>
    </row>
    <row r="677">
      <c r="A677" s="0" t="inlineStr">
        <is>
          <t>[효성동]</t>
        </is>
      </c>
      <c r="B677" s="0" t="n">
        <v>2478</v>
      </c>
      <c r="C677" s="0" t="n">
        <v>2</v>
      </c>
      <c r="D677" s="0" t="inlineStr">
        <is>
          <t>현대2차</t>
        </is>
      </c>
      <c r="E677" s="0" t="inlineStr">
        <is>
          <t>1992.11.</t>
        </is>
      </c>
      <c r="F677" s="0" t="n">
        <v>340</v>
      </c>
      <c r="G677" s="0" t="n">
        <v>46.89</v>
      </c>
      <c r="H677" s="0" t="n">
        <v>155.03</v>
      </c>
      <c r="I677" s="0" t="n">
        <v>39.01</v>
      </c>
      <c r="J677" s="0" t="n">
        <v>128.96</v>
      </c>
      <c r="K677" s="0" t="n">
        <v>100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155</v>
      </c>
      <c r="X677" s="0" t="n">
        <v>25</v>
      </c>
      <c r="Y677" s="0" t="n">
        <v>20</v>
      </c>
      <c r="Z677" s="0" t="inlineStr">
        <is>
          <t>https://new.land.naver.com/complexes/2478?tab=detail&amp;rf=Y</t>
        </is>
      </c>
      <c r="AA677" s="0" t="inlineStr">
        <is>
          <t>인천시 계양구 효성동 24-49</t>
        </is>
      </c>
      <c r="AB677" s="0" t="inlineStr">
        <is>
          <t>인천시</t>
        </is>
      </c>
      <c r="AC677" s="0" t="inlineStr">
        <is>
          <t>계양구</t>
        </is>
      </c>
      <c r="AD677" s="0" t="inlineStr">
        <is>
          <t>효성동</t>
        </is>
      </c>
      <c r="AG677" s="0" t="inlineStr">
        <is>
          <t>인천시 계양구 길마로 83</t>
        </is>
      </c>
      <c r="AH677" s="0" t="n">
        <v>0</v>
      </c>
      <c r="AI677" s="0" t="n">
        <v>248</v>
      </c>
      <c r="AJ677" s="0" t="n">
        <v>12</v>
      </c>
      <c r="AK677" s="0" t="n">
        <v>213</v>
      </c>
      <c r="AL677" s="0" t="n">
        <v>0.63</v>
      </c>
    </row>
    <row r="678">
      <c r="A678" s="0" t="inlineStr">
        <is>
          <t>[효성동]</t>
        </is>
      </c>
      <c r="B678" s="0" t="n">
        <v>2476</v>
      </c>
      <c r="C678" s="0" t="n">
        <v>1</v>
      </c>
      <c r="D678" s="0" t="inlineStr">
        <is>
          <t>하나</t>
        </is>
      </c>
      <c r="E678" s="0" t="inlineStr">
        <is>
          <t>1996.09.</t>
        </is>
      </c>
      <c r="F678" s="0" t="n">
        <v>498</v>
      </c>
      <c r="G678" s="0" t="n">
        <v>23.91</v>
      </c>
      <c r="H678" s="0" t="n">
        <v>79.05</v>
      </c>
      <c r="I678" s="0" t="n">
        <v>18.08</v>
      </c>
      <c r="J678" s="0" t="n">
        <v>59.79</v>
      </c>
      <c r="K678" s="0" t="n">
        <v>250</v>
      </c>
      <c r="T678" s="0" t="n">
        <v>3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20</v>
      </c>
      <c r="Y678" s="0" t="n">
        <v>11</v>
      </c>
      <c r="Z678" s="0" t="inlineStr">
        <is>
          <t>https://new.land.naver.com/complexes/2476?tab=detail&amp;rf=Y</t>
        </is>
      </c>
      <c r="AA678" s="0" t="inlineStr">
        <is>
          <t>인천시 계양구 효성동 623-3</t>
        </is>
      </c>
      <c r="AB678" s="0" t="inlineStr">
        <is>
          <t>인천시</t>
        </is>
      </c>
      <c r="AC678" s="0" t="inlineStr">
        <is>
          <t>계양구</t>
        </is>
      </c>
      <c r="AD678" s="0" t="inlineStr">
        <is>
          <t>효성동</t>
        </is>
      </c>
      <c r="AG678" s="0" t="inlineStr">
        <is>
          <t>인천시 계양구 봉오대로463번길 12</t>
        </is>
      </c>
      <c r="AH678" s="0" t="n">
        <v>0</v>
      </c>
      <c r="AI678" s="0" t="n">
        <v>272</v>
      </c>
      <c r="AJ678" s="0" t="n">
        <v>17</v>
      </c>
      <c r="AK678" s="0" t="n">
        <v>507</v>
      </c>
      <c r="AL678" s="0" t="n">
        <v>1.02</v>
      </c>
    </row>
    <row r="679">
      <c r="A679" s="0" t="inlineStr">
        <is>
          <t>[효성동]</t>
        </is>
      </c>
      <c r="B679" s="0" t="n">
        <v>2476</v>
      </c>
      <c r="C679" s="0" t="n">
        <v>2</v>
      </c>
      <c r="D679" s="0" t="inlineStr">
        <is>
          <t>하나</t>
        </is>
      </c>
      <c r="E679" s="0" t="inlineStr">
        <is>
          <t>1996.09.</t>
        </is>
      </c>
      <c r="F679" s="0" t="n">
        <v>498</v>
      </c>
      <c r="G679" s="0" t="n">
        <v>32.37</v>
      </c>
      <c r="H679" s="0" t="n">
        <v>107.01</v>
      </c>
      <c r="I679" s="0" t="n">
        <v>25.67</v>
      </c>
      <c r="J679" s="0" t="n">
        <v>84.87</v>
      </c>
      <c r="K679" s="0" t="n">
        <v>176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107</v>
      </c>
      <c r="X679" s="0" t="n">
        <v>20</v>
      </c>
      <c r="Y679" s="0" t="n">
        <v>11</v>
      </c>
      <c r="Z679" s="0" t="inlineStr">
        <is>
          <t>https://new.land.naver.com/complexes/2476?tab=detail&amp;rf=Y</t>
        </is>
      </c>
      <c r="AA679" s="0" t="inlineStr">
        <is>
          <t>인천시 계양구 효성동 623-3</t>
        </is>
      </c>
      <c r="AB679" s="0" t="inlineStr">
        <is>
          <t>인천시</t>
        </is>
      </c>
      <c r="AC679" s="0" t="inlineStr">
        <is>
          <t>계양구</t>
        </is>
      </c>
      <c r="AD679" s="0" t="inlineStr">
        <is>
          <t>효성동</t>
        </is>
      </c>
      <c r="AG679" s="0" t="inlineStr">
        <is>
          <t>인천시 계양구 봉오대로463번길 12</t>
        </is>
      </c>
      <c r="AH679" s="0" t="n">
        <v>0</v>
      </c>
      <c r="AI679" s="0" t="n">
        <v>272</v>
      </c>
      <c r="AJ679" s="0" t="n">
        <v>17</v>
      </c>
      <c r="AK679" s="0" t="n">
        <v>507</v>
      </c>
      <c r="AL679" s="0" t="n">
        <v>1.02</v>
      </c>
    </row>
    <row r="680">
      <c r="A680" s="0" t="inlineStr">
        <is>
          <t>[효성동]</t>
        </is>
      </c>
      <c r="B680" s="0" t="n">
        <v>2476</v>
      </c>
      <c r="C680" s="0" t="n">
        <v>3</v>
      </c>
      <c r="D680" s="0" t="inlineStr">
        <is>
          <t>하나</t>
        </is>
      </c>
      <c r="E680" s="0" t="inlineStr">
        <is>
          <t>1996.09.</t>
        </is>
      </c>
      <c r="F680" s="0" t="n">
        <v>498</v>
      </c>
      <c r="G680" s="0" t="n">
        <v>39.39</v>
      </c>
      <c r="H680" s="0" t="n">
        <v>130.22</v>
      </c>
      <c r="I680" s="0" t="n">
        <v>31.59</v>
      </c>
      <c r="J680" s="0" t="n">
        <v>104.45</v>
      </c>
      <c r="K680" s="0" t="n">
        <v>72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130</v>
      </c>
      <c r="X680" s="0" t="n">
        <v>20</v>
      </c>
      <c r="Y680" s="0" t="n">
        <v>11</v>
      </c>
      <c r="Z680" s="0" t="inlineStr">
        <is>
          <t>https://new.land.naver.com/complexes/2476?tab=detail&amp;rf=Y</t>
        </is>
      </c>
      <c r="AA680" s="0" t="inlineStr">
        <is>
          <t>인천시 계양구 효성동 623-3</t>
        </is>
      </c>
      <c r="AB680" s="0" t="inlineStr">
        <is>
          <t>인천시</t>
        </is>
      </c>
      <c r="AC680" s="0" t="inlineStr">
        <is>
          <t>계양구</t>
        </is>
      </c>
      <c r="AD680" s="0" t="inlineStr">
        <is>
          <t>효성동</t>
        </is>
      </c>
      <c r="AG680" s="0" t="inlineStr">
        <is>
          <t>인천시 계양구 봉오대로463번길 12</t>
        </is>
      </c>
      <c r="AH680" s="0" t="n">
        <v>0</v>
      </c>
      <c r="AI680" s="0" t="n">
        <v>272</v>
      </c>
      <c r="AJ680" s="0" t="n">
        <v>17</v>
      </c>
      <c r="AK680" s="0" t="n">
        <v>507</v>
      </c>
      <c r="AL680" s="0" t="n">
        <v>1.02</v>
      </c>
    </row>
    <row r="681">
      <c r="A681" s="0" t="inlineStr">
        <is>
          <t>[효성동]</t>
        </is>
      </c>
      <c r="B681" s="0" t="n">
        <v>143441</v>
      </c>
      <c r="C681" s="0" t="n">
        <v>1</v>
      </c>
      <c r="D681" s="0" t="inlineStr">
        <is>
          <t>계양서해그랑블더테라스</t>
        </is>
      </c>
      <c r="E681" s="0" t="inlineStr">
        <is>
          <t>2023.06.</t>
        </is>
      </c>
      <c r="F681" s="0" t="n">
        <v>124</v>
      </c>
      <c r="G681" s="0" t="n">
        <v>34.17</v>
      </c>
      <c r="H681" s="0" t="n">
        <v>112.99</v>
      </c>
      <c r="I681" s="0" t="n">
        <v>25.7</v>
      </c>
      <c r="J681" s="0" t="n">
        <v>84.97</v>
      </c>
      <c r="K681" s="0" t="n">
        <v>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112A-2</t>
        </is>
      </c>
      <c r="X681" s="0" t="n">
        <v>23</v>
      </c>
      <c r="Y681" s="0" t="n">
        <v>16</v>
      </c>
      <c r="Z681" s="0" t="inlineStr">
        <is>
          <t>https://new.land.naver.com/complexes/143441?tab=detail&amp;rf=Y</t>
        </is>
      </c>
      <c r="AA681" s="0" t="inlineStr">
        <is>
          <t>인천시 계양구 효성동 24-15</t>
        </is>
      </c>
      <c r="AB681" s="0" t="inlineStr">
        <is>
          <t>인천시</t>
        </is>
      </c>
      <c r="AC681" s="0" t="inlineStr">
        <is>
          <t>계양구</t>
        </is>
      </c>
      <c r="AD681" s="0" t="inlineStr">
        <is>
          <t>효성동</t>
        </is>
      </c>
      <c r="AG681" s="0" t="inlineStr">
        <is>
          <t>인천시 계양구</t>
        </is>
      </c>
      <c r="AH681" s="0" t="n">
        <v>0</v>
      </c>
      <c r="AI681" s="0" t="n">
        <v>194</v>
      </c>
      <c r="AJ681" s="0" t="n">
        <v>17</v>
      </c>
      <c r="AK681" s="0" t="n">
        <v>150</v>
      </c>
      <c r="AL681" s="0" t="n">
        <v>1.21</v>
      </c>
    </row>
    <row r="682">
      <c r="A682" s="0" t="inlineStr">
        <is>
          <t>[효성동]</t>
        </is>
      </c>
      <c r="B682" s="0" t="n">
        <v>143441</v>
      </c>
      <c r="C682" s="0" t="n">
        <v>2</v>
      </c>
      <c r="D682" s="0" t="inlineStr">
        <is>
          <t>계양서해그랑블더테라스</t>
        </is>
      </c>
      <c r="E682" s="0" t="inlineStr">
        <is>
          <t>2023.06.</t>
        </is>
      </c>
      <c r="F682" s="0" t="n">
        <v>124</v>
      </c>
      <c r="G682" s="0" t="n">
        <v>34.17</v>
      </c>
      <c r="H682" s="0" t="n">
        <v>112.99</v>
      </c>
      <c r="I682" s="0" t="n">
        <v>25.7</v>
      </c>
      <c r="J682" s="0" t="n">
        <v>84.97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112A-3</t>
        </is>
      </c>
      <c r="X682" s="0" t="n">
        <v>23</v>
      </c>
      <c r="Y682" s="0" t="n">
        <v>16</v>
      </c>
      <c r="Z682" s="0" t="inlineStr">
        <is>
          <t>https://new.land.naver.com/complexes/143441?tab=detail&amp;rf=Y</t>
        </is>
      </c>
      <c r="AA682" s="0" t="inlineStr">
        <is>
          <t>인천시 계양구 효성동 24-15</t>
        </is>
      </c>
      <c r="AB682" s="0" t="inlineStr">
        <is>
          <t>인천시</t>
        </is>
      </c>
      <c r="AC682" s="0" t="inlineStr">
        <is>
          <t>계양구</t>
        </is>
      </c>
      <c r="AD682" s="0" t="inlineStr">
        <is>
          <t>효성동</t>
        </is>
      </c>
      <c r="AG682" s="0" t="inlineStr">
        <is>
          <t>인천시 계양구</t>
        </is>
      </c>
      <c r="AH682" s="0" t="n">
        <v>0</v>
      </c>
      <c r="AI682" s="0" t="n">
        <v>194</v>
      </c>
      <c r="AJ682" s="0" t="n">
        <v>17</v>
      </c>
      <c r="AK682" s="0" t="n">
        <v>150</v>
      </c>
      <c r="AL682" s="0" t="n">
        <v>1.21</v>
      </c>
    </row>
    <row r="683">
      <c r="A683" s="0" t="inlineStr">
        <is>
          <t>[효성동]</t>
        </is>
      </c>
      <c r="B683" s="0" t="n">
        <v>143441</v>
      </c>
      <c r="C683" s="0" t="n">
        <v>3</v>
      </c>
      <c r="D683" s="0" t="inlineStr">
        <is>
          <t>계양서해그랑블더테라스</t>
        </is>
      </c>
      <c r="E683" s="0" t="inlineStr">
        <is>
          <t>2023.06.</t>
        </is>
      </c>
      <c r="F683" s="0" t="n">
        <v>124</v>
      </c>
      <c r="G683" s="0" t="n">
        <v>34.14</v>
      </c>
      <c r="H683" s="0" t="n">
        <v>112.89</v>
      </c>
      <c r="I683" s="0" t="n">
        <v>25.54</v>
      </c>
      <c r="J683" s="0" t="n">
        <v>84.44</v>
      </c>
      <c r="K683" s="0" t="n">
        <v>7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112A-4</t>
        </is>
      </c>
      <c r="X683" s="0" t="n">
        <v>23</v>
      </c>
      <c r="Y683" s="0" t="n">
        <v>16</v>
      </c>
      <c r="Z683" s="0" t="inlineStr">
        <is>
          <t>https://new.land.naver.com/complexes/143441?tab=detail&amp;rf=Y</t>
        </is>
      </c>
      <c r="AA683" s="0" t="inlineStr">
        <is>
          <t>인천시 계양구 효성동 24-15</t>
        </is>
      </c>
      <c r="AB683" s="0" t="inlineStr">
        <is>
          <t>인천시</t>
        </is>
      </c>
      <c r="AC683" s="0" t="inlineStr">
        <is>
          <t>계양구</t>
        </is>
      </c>
      <c r="AD683" s="0" t="inlineStr">
        <is>
          <t>효성동</t>
        </is>
      </c>
      <c r="AG683" s="0" t="inlineStr">
        <is>
          <t>인천시 계양구</t>
        </is>
      </c>
      <c r="AH683" s="0" t="n">
        <v>0</v>
      </c>
      <c r="AI683" s="0" t="n">
        <v>194</v>
      </c>
      <c r="AJ683" s="0" t="n">
        <v>17</v>
      </c>
      <c r="AK683" s="0" t="n">
        <v>150</v>
      </c>
      <c r="AL683" s="0" t="n">
        <v>1.21</v>
      </c>
    </row>
    <row r="684">
      <c r="A684" s="0" t="inlineStr">
        <is>
          <t>[효성동]</t>
        </is>
      </c>
      <c r="B684" s="0" t="n">
        <v>143441</v>
      </c>
      <c r="C684" s="0" t="n">
        <v>4</v>
      </c>
      <c r="D684" s="0" t="inlineStr">
        <is>
          <t>계양서해그랑블더테라스</t>
        </is>
      </c>
      <c r="E684" s="0" t="inlineStr">
        <is>
          <t>2023.06.</t>
        </is>
      </c>
      <c r="F684" s="0" t="n">
        <v>124</v>
      </c>
      <c r="G684" s="0" t="n">
        <v>34.14</v>
      </c>
      <c r="H684" s="0" t="n">
        <v>112.89</v>
      </c>
      <c r="I684" s="0" t="n">
        <v>25.7</v>
      </c>
      <c r="J684" s="0" t="n">
        <v>84.98999999999999</v>
      </c>
      <c r="K684" s="0" t="n">
        <v>3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112B-1</t>
        </is>
      </c>
      <c r="X684" s="0" t="n">
        <v>23</v>
      </c>
      <c r="Y684" s="0" t="n">
        <v>16</v>
      </c>
      <c r="Z684" s="0" t="inlineStr">
        <is>
          <t>https://new.land.naver.com/complexes/143441?tab=detail&amp;rf=Y</t>
        </is>
      </c>
      <c r="AA684" s="0" t="inlineStr">
        <is>
          <t>인천시 계양구 효성동 24-15</t>
        </is>
      </c>
      <c r="AB684" s="0" t="inlineStr">
        <is>
          <t>인천시</t>
        </is>
      </c>
      <c r="AC684" s="0" t="inlineStr">
        <is>
          <t>계양구</t>
        </is>
      </c>
      <c r="AD684" s="0" t="inlineStr">
        <is>
          <t>효성동</t>
        </is>
      </c>
      <c r="AG684" s="0" t="inlineStr">
        <is>
          <t>인천시 계양구</t>
        </is>
      </c>
      <c r="AH684" s="0" t="n">
        <v>0</v>
      </c>
      <c r="AI684" s="0" t="n">
        <v>194</v>
      </c>
      <c r="AJ684" s="0" t="n">
        <v>17</v>
      </c>
      <c r="AK684" s="0" t="n">
        <v>150</v>
      </c>
      <c r="AL684" s="0" t="n">
        <v>1.21</v>
      </c>
    </row>
    <row r="685">
      <c r="A685" s="0" t="inlineStr">
        <is>
          <t>[효성동]</t>
        </is>
      </c>
      <c r="B685" s="0" t="n">
        <v>143441</v>
      </c>
      <c r="C685" s="0" t="n">
        <v>5</v>
      </c>
      <c r="D685" s="0" t="inlineStr">
        <is>
          <t>계양서해그랑블더테라스</t>
        </is>
      </c>
      <c r="E685" s="0" t="inlineStr">
        <is>
          <t>2023.06.</t>
        </is>
      </c>
      <c r="F685" s="0" t="n">
        <v>124</v>
      </c>
      <c r="G685" s="0" t="n">
        <v>34.1</v>
      </c>
      <c r="H685" s="0" t="n">
        <v>112.76</v>
      </c>
      <c r="I685" s="0" t="n">
        <v>25.7</v>
      </c>
      <c r="J685" s="0" t="n">
        <v>84.98999999999999</v>
      </c>
      <c r="K685" s="0" t="n">
        <v>1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112A-1</t>
        </is>
      </c>
      <c r="X685" s="0" t="n">
        <v>23</v>
      </c>
      <c r="Y685" s="0" t="n">
        <v>16</v>
      </c>
      <c r="Z685" s="0" t="inlineStr">
        <is>
          <t>https://new.land.naver.com/complexes/143441?tab=detail&amp;rf=Y</t>
        </is>
      </c>
      <c r="AA685" s="0" t="inlineStr">
        <is>
          <t>인천시 계양구 효성동 24-15</t>
        </is>
      </c>
      <c r="AB685" s="0" t="inlineStr">
        <is>
          <t>인천시</t>
        </is>
      </c>
      <c r="AC685" s="0" t="inlineStr">
        <is>
          <t>계양구</t>
        </is>
      </c>
      <c r="AD685" s="0" t="inlineStr">
        <is>
          <t>효성동</t>
        </is>
      </c>
      <c r="AG685" s="0" t="inlineStr">
        <is>
          <t>인천시 계양구</t>
        </is>
      </c>
      <c r="AH685" s="0" t="n">
        <v>0</v>
      </c>
      <c r="AI685" s="0" t="n">
        <v>194</v>
      </c>
      <c r="AJ685" s="0" t="n">
        <v>17</v>
      </c>
      <c r="AK685" s="0" t="n">
        <v>150</v>
      </c>
      <c r="AL685" s="0" t="n">
        <v>1.21</v>
      </c>
    </row>
    <row r="686">
      <c r="A686" s="0" t="inlineStr">
        <is>
          <t>[효성동]</t>
        </is>
      </c>
      <c r="B686" s="0" t="n">
        <v>143441</v>
      </c>
      <c r="C686" s="0" t="n">
        <v>6</v>
      </c>
      <c r="D686" s="0" t="inlineStr">
        <is>
          <t>계양서해그랑블더테라스</t>
        </is>
      </c>
      <c r="E686" s="0" t="inlineStr">
        <is>
          <t>2023.06.</t>
        </is>
      </c>
      <c r="F686" s="0" t="n">
        <v>124</v>
      </c>
      <c r="G686" s="0" t="n">
        <v>34.24</v>
      </c>
      <c r="H686" s="0" t="n">
        <v>113.22</v>
      </c>
      <c r="I686" s="0" t="n">
        <v>25.67</v>
      </c>
      <c r="J686" s="0" t="n">
        <v>84.86</v>
      </c>
      <c r="K686" s="0" t="n">
        <v>21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113B-2</t>
        </is>
      </c>
      <c r="X686" s="0" t="n">
        <v>23</v>
      </c>
      <c r="Y686" s="0" t="n">
        <v>16</v>
      </c>
      <c r="Z686" s="0" t="inlineStr">
        <is>
          <t>https://new.land.naver.com/complexes/143441?tab=detail&amp;rf=Y</t>
        </is>
      </c>
      <c r="AA686" s="0" t="inlineStr">
        <is>
          <t>인천시 계양구 효성동 24-15</t>
        </is>
      </c>
      <c r="AB686" s="0" t="inlineStr">
        <is>
          <t>인천시</t>
        </is>
      </c>
      <c r="AC686" s="0" t="inlineStr">
        <is>
          <t>계양구</t>
        </is>
      </c>
      <c r="AD686" s="0" t="inlineStr">
        <is>
          <t>효성동</t>
        </is>
      </c>
      <c r="AG686" s="0" t="inlineStr">
        <is>
          <t>인천시 계양구</t>
        </is>
      </c>
      <c r="AH686" s="0" t="n">
        <v>0</v>
      </c>
      <c r="AI686" s="0" t="n">
        <v>194</v>
      </c>
      <c r="AJ686" s="0" t="n">
        <v>17</v>
      </c>
      <c r="AK686" s="0" t="n">
        <v>150</v>
      </c>
      <c r="AL686" s="0" t="n">
        <v>1.21</v>
      </c>
    </row>
    <row r="687">
      <c r="A687" s="0" t="inlineStr">
        <is>
          <t>[효성동]</t>
        </is>
      </c>
      <c r="B687" s="0" t="n">
        <v>143441</v>
      </c>
      <c r="C687" s="0" t="n">
        <v>7</v>
      </c>
      <c r="D687" s="0" t="inlineStr">
        <is>
          <t>계양서해그랑블더테라스</t>
        </is>
      </c>
      <c r="E687" s="0" t="inlineStr">
        <is>
          <t>2023.06.</t>
        </is>
      </c>
      <c r="F687" s="0" t="n">
        <v>124</v>
      </c>
      <c r="G687" s="0" t="n">
        <v>34.24</v>
      </c>
      <c r="H687" s="0" t="n">
        <v>113.21</v>
      </c>
      <c r="I687" s="0" t="n">
        <v>25.66</v>
      </c>
      <c r="J687" s="0" t="n">
        <v>84.84</v>
      </c>
      <c r="K687" s="0" t="n">
        <v>19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113B-3</t>
        </is>
      </c>
      <c r="X687" s="0" t="n">
        <v>23</v>
      </c>
      <c r="Y687" s="0" t="n">
        <v>16</v>
      </c>
      <c r="Z687" s="0" t="inlineStr">
        <is>
          <t>https://new.land.naver.com/complexes/143441?tab=detail&amp;rf=Y</t>
        </is>
      </c>
      <c r="AA687" s="0" t="inlineStr">
        <is>
          <t>인천시 계양구 효성동 24-15</t>
        </is>
      </c>
      <c r="AB687" s="0" t="inlineStr">
        <is>
          <t>인천시</t>
        </is>
      </c>
      <c r="AC687" s="0" t="inlineStr">
        <is>
          <t>계양구</t>
        </is>
      </c>
      <c r="AD687" s="0" t="inlineStr">
        <is>
          <t>효성동</t>
        </is>
      </c>
      <c r="AG687" s="0" t="inlineStr">
        <is>
          <t>인천시 계양구</t>
        </is>
      </c>
      <c r="AH687" s="0" t="n">
        <v>0</v>
      </c>
      <c r="AI687" s="0" t="n">
        <v>194</v>
      </c>
      <c r="AJ687" s="0" t="n">
        <v>17</v>
      </c>
      <c r="AK687" s="0" t="n">
        <v>150</v>
      </c>
      <c r="AL687" s="0" t="n">
        <v>1.21</v>
      </c>
    </row>
    <row r="688">
      <c r="A688" s="0" t="inlineStr">
        <is>
          <t>[효성동]</t>
        </is>
      </c>
      <c r="B688" s="0" t="n">
        <v>143441</v>
      </c>
      <c r="C688" s="0" t="n">
        <v>8</v>
      </c>
      <c r="D688" s="0" t="inlineStr">
        <is>
          <t>계양서해그랑블더테라스</t>
        </is>
      </c>
      <c r="E688" s="0" t="inlineStr">
        <is>
          <t>2023.06.</t>
        </is>
      </c>
      <c r="F688" s="0" t="n">
        <v>124</v>
      </c>
      <c r="G688" s="0" t="n">
        <v>34.21</v>
      </c>
      <c r="H688" s="0" t="n">
        <v>113.11</v>
      </c>
      <c r="I688" s="0" t="n">
        <v>25.5</v>
      </c>
      <c r="J688" s="0" t="n">
        <v>84.3</v>
      </c>
      <c r="K688" s="0" t="n">
        <v>18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113B-4</t>
        </is>
      </c>
      <c r="X688" s="0" t="n">
        <v>23</v>
      </c>
      <c r="Y688" s="0" t="n">
        <v>16</v>
      </c>
      <c r="Z688" s="0" t="inlineStr">
        <is>
          <t>https://new.land.naver.com/complexes/143441?tab=detail&amp;rf=Y</t>
        </is>
      </c>
      <c r="AA688" s="0" t="inlineStr">
        <is>
          <t>인천시 계양구 효성동 24-15</t>
        </is>
      </c>
      <c r="AB688" s="0" t="inlineStr">
        <is>
          <t>인천시</t>
        </is>
      </c>
      <c r="AC688" s="0" t="inlineStr">
        <is>
          <t>계양구</t>
        </is>
      </c>
      <c r="AD688" s="0" t="inlineStr">
        <is>
          <t>효성동</t>
        </is>
      </c>
      <c r="AG688" s="0" t="inlineStr">
        <is>
          <t>인천시 계양구</t>
        </is>
      </c>
      <c r="AH688" s="0" t="n">
        <v>0</v>
      </c>
      <c r="AI688" s="0" t="n">
        <v>194</v>
      </c>
      <c r="AJ688" s="0" t="n">
        <v>17</v>
      </c>
      <c r="AK688" s="0" t="n">
        <v>150</v>
      </c>
      <c r="AL688" s="0" t="n">
        <v>1.21</v>
      </c>
    </row>
    <row r="689">
      <c r="A689" s="0" t="inlineStr">
        <is>
          <t>[효성동]</t>
        </is>
      </c>
      <c r="B689" s="0" t="n">
        <v>143441</v>
      </c>
      <c r="C689" s="0" t="n">
        <v>9</v>
      </c>
      <c r="D689" s="0" t="inlineStr">
        <is>
          <t>계양서해그랑블더테라스</t>
        </is>
      </c>
      <c r="E689" s="0" t="inlineStr">
        <is>
          <t>2023.06.</t>
        </is>
      </c>
      <c r="F689" s="0" t="n">
        <v>124</v>
      </c>
      <c r="G689" s="0" t="n">
        <v>34.38</v>
      </c>
      <c r="H689" s="0" t="n">
        <v>113.66</v>
      </c>
      <c r="I689" s="0" t="n">
        <v>25.66</v>
      </c>
      <c r="J689" s="0" t="n">
        <v>84.84999999999999</v>
      </c>
      <c r="K689" s="0" t="n">
        <v>13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113C-2</t>
        </is>
      </c>
      <c r="X689" s="0" t="n">
        <v>23</v>
      </c>
      <c r="Y689" s="0" t="n">
        <v>16</v>
      </c>
      <c r="Z689" s="0" t="inlineStr">
        <is>
          <t>https://new.land.naver.com/complexes/143441?tab=detail&amp;rf=Y</t>
        </is>
      </c>
      <c r="AA689" s="0" t="inlineStr">
        <is>
          <t>인천시 계양구 효성동 24-15</t>
        </is>
      </c>
      <c r="AB689" s="0" t="inlineStr">
        <is>
          <t>인천시</t>
        </is>
      </c>
      <c r="AC689" s="0" t="inlineStr">
        <is>
          <t>계양구</t>
        </is>
      </c>
      <c r="AD689" s="0" t="inlineStr">
        <is>
          <t>효성동</t>
        </is>
      </c>
      <c r="AG689" s="0" t="inlineStr">
        <is>
          <t>인천시 계양구</t>
        </is>
      </c>
      <c r="AH689" s="0" t="n">
        <v>0</v>
      </c>
      <c r="AI689" s="0" t="n">
        <v>194</v>
      </c>
      <c r="AJ689" s="0" t="n">
        <v>17</v>
      </c>
      <c r="AK689" s="0" t="n">
        <v>150</v>
      </c>
      <c r="AL689" s="0" t="n">
        <v>1.21</v>
      </c>
    </row>
    <row r="690">
      <c r="A690" s="0" t="inlineStr">
        <is>
          <t>[효성동]</t>
        </is>
      </c>
      <c r="B690" s="0" t="n">
        <v>143441</v>
      </c>
      <c r="C690" s="0" t="n">
        <v>10</v>
      </c>
      <c r="D690" s="0" t="inlineStr">
        <is>
          <t>계양서해그랑블더테라스</t>
        </is>
      </c>
      <c r="E690" s="0" t="inlineStr">
        <is>
          <t>2023.06.</t>
        </is>
      </c>
      <c r="F690" s="0" t="n">
        <v>124</v>
      </c>
      <c r="G690" s="0" t="n">
        <v>34.34</v>
      </c>
      <c r="H690" s="0" t="n">
        <v>113.55</v>
      </c>
      <c r="I690" s="0" t="n">
        <v>25.5</v>
      </c>
      <c r="J690" s="0" t="n">
        <v>84.3</v>
      </c>
      <c r="K690" s="0" t="n">
        <v>13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113C-3</t>
        </is>
      </c>
      <c r="X690" s="0" t="n">
        <v>23</v>
      </c>
      <c r="Y690" s="0" t="n">
        <v>16</v>
      </c>
      <c r="Z690" s="0" t="inlineStr">
        <is>
          <t>https://new.land.naver.com/complexes/143441?tab=detail&amp;rf=Y</t>
        </is>
      </c>
      <c r="AA690" s="0" t="inlineStr">
        <is>
          <t>인천시 계양구 효성동 24-15</t>
        </is>
      </c>
      <c r="AB690" s="0" t="inlineStr">
        <is>
          <t>인천시</t>
        </is>
      </c>
      <c r="AC690" s="0" t="inlineStr">
        <is>
          <t>계양구</t>
        </is>
      </c>
      <c r="AD690" s="0" t="inlineStr">
        <is>
          <t>효성동</t>
        </is>
      </c>
      <c r="AG690" s="0" t="inlineStr">
        <is>
          <t>인천시 계양구</t>
        </is>
      </c>
      <c r="AH690" s="0" t="n">
        <v>0</v>
      </c>
      <c r="AI690" s="0" t="n">
        <v>194</v>
      </c>
      <c r="AJ690" s="0" t="n">
        <v>17</v>
      </c>
      <c r="AK690" s="0" t="n">
        <v>150</v>
      </c>
      <c r="AL690" s="0" t="n">
        <v>1.21</v>
      </c>
    </row>
    <row r="691">
      <c r="A691" s="0" t="inlineStr">
        <is>
          <t>[효성동]</t>
        </is>
      </c>
      <c r="B691" s="0" t="n">
        <v>143441</v>
      </c>
      <c r="C691" s="0" t="n">
        <v>11</v>
      </c>
      <c r="D691" s="0" t="inlineStr">
        <is>
          <t>계양서해그랑블더테라스</t>
        </is>
      </c>
      <c r="E691" s="0" t="inlineStr">
        <is>
          <t>2023.06.</t>
        </is>
      </c>
      <c r="F691" s="0" t="n">
        <v>124</v>
      </c>
      <c r="G691" s="0" t="n">
        <v>34.34</v>
      </c>
      <c r="H691" s="0" t="n">
        <v>113.55</v>
      </c>
      <c r="I691" s="0" t="n">
        <v>25.5</v>
      </c>
      <c r="J691" s="0" t="n">
        <v>84.3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113C-4</t>
        </is>
      </c>
      <c r="X691" s="0" t="n">
        <v>23</v>
      </c>
      <c r="Y691" s="0" t="n">
        <v>16</v>
      </c>
      <c r="Z691" s="0" t="inlineStr">
        <is>
          <t>https://new.land.naver.com/complexes/143441?tab=detail&amp;rf=Y</t>
        </is>
      </c>
      <c r="AA691" s="0" t="inlineStr">
        <is>
          <t>인천시 계양구 효성동 24-15</t>
        </is>
      </c>
      <c r="AB691" s="0" t="inlineStr">
        <is>
          <t>인천시</t>
        </is>
      </c>
      <c r="AC691" s="0" t="inlineStr">
        <is>
          <t>계양구</t>
        </is>
      </c>
      <c r="AD691" s="0" t="inlineStr">
        <is>
          <t>효성동</t>
        </is>
      </c>
      <c r="AG691" s="0" t="inlineStr">
        <is>
          <t>인천시 계양구</t>
        </is>
      </c>
      <c r="AH691" s="0" t="n">
        <v>0</v>
      </c>
      <c r="AI691" s="0" t="n">
        <v>194</v>
      </c>
      <c r="AJ691" s="0" t="n">
        <v>17</v>
      </c>
      <c r="AK691" s="0" t="n">
        <v>150</v>
      </c>
      <c r="AL691" s="0" t="n">
        <v>1.21</v>
      </c>
    </row>
    <row r="692">
      <c r="A692" s="0" t="inlineStr">
        <is>
          <t>[효성동]</t>
        </is>
      </c>
      <c r="B692" s="0" t="n">
        <v>143441</v>
      </c>
      <c r="C692" s="0" t="n">
        <v>12</v>
      </c>
      <c r="D692" s="0" t="inlineStr">
        <is>
          <t>계양서해그랑블더테라스</t>
        </is>
      </c>
      <c r="E692" s="0" t="inlineStr">
        <is>
          <t>2023.06.</t>
        </is>
      </c>
      <c r="F692" s="0" t="n">
        <v>124</v>
      </c>
      <c r="G692" s="0" t="n">
        <v>34.28</v>
      </c>
      <c r="H692" s="0" t="n">
        <v>113.33</v>
      </c>
      <c r="I692" s="0" t="n">
        <v>25.7</v>
      </c>
      <c r="J692" s="0" t="n">
        <v>84.98</v>
      </c>
      <c r="K692" s="0" t="n">
        <v>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113C-1</t>
        </is>
      </c>
      <c r="X692" s="0" t="n">
        <v>23</v>
      </c>
      <c r="Y692" s="0" t="n">
        <v>16</v>
      </c>
      <c r="Z692" s="0" t="inlineStr">
        <is>
          <t>https://new.land.naver.com/complexes/143441?tab=detail&amp;rf=Y</t>
        </is>
      </c>
      <c r="AA692" s="0" t="inlineStr">
        <is>
          <t>인천시 계양구 효성동 24-15</t>
        </is>
      </c>
      <c r="AB692" s="0" t="inlineStr">
        <is>
          <t>인천시</t>
        </is>
      </c>
      <c r="AC692" s="0" t="inlineStr">
        <is>
          <t>계양구</t>
        </is>
      </c>
      <c r="AD692" s="0" t="inlineStr">
        <is>
          <t>효성동</t>
        </is>
      </c>
      <c r="AG692" s="0" t="inlineStr">
        <is>
          <t>인천시 계양구</t>
        </is>
      </c>
      <c r="AH692" s="0" t="n">
        <v>0</v>
      </c>
      <c r="AI692" s="0" t="n">
        <v>194</v>
      </c>
      <c r="AJ692" s="0" t="n">
        <v>17</v>
      </c>
      <c r="AK692" s="0" t="n">
        <v>150</v>
      </c>
      <c r="AL692" s="0" t="n">
        <v>1.21</v>
      </c>
    </row>
    <row r="693">
      <c r="A693" s="0" t="inlineStr">
        <is>
          <t>[효성동]</t>
        </is>
      </c>
      <c r="B693" s="0" t="n">
        <v>8911</v>
      </c>
      <c r="C693" s="0" t="n">
        <v>1</v>
      </c>
      <c r="D693" s="0" t="inlineStr">
        <is>
          <t>새사미</t>
        </is>
      </c>
      <c r="E693" s="0" t="inlineStr">
        <is>
          <t>1985.01.</t>
        </is>
      </c>
      <c r="F693" s="0" t="n">
        <v>280</v>
      </c>
      <c r="G693" s="0" t="n">
        <v>18.56</v>
      </c>
      <c r="H693" s="0" t="n">
        <v>61.36</v>
      </c>
      <c r="I693" s="0" t="n">
        <v>14.8</v>
      </c>
      <c r="J693" s="0" t="n">
        <v>48.93</v>
      </c>
      <c r="K693" s="0" t="n">
        <v>140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61</v>
      </c>
      <c r="X693" s="0" t="n">
        <v>5</v>
      </c>
      <c r="Y693" s="0" t="n">
        <v>5</v>
      </c>
      <c r="Z693" s="0" t="inlineStr">
        <is>
          <t>https://new.land.naver.com/complexes/8911?tab=detail&amp;rf=Y</t>
        </is>
      </c>
      <c r="AA693" s="0" t="inlineStr">
        <is>
          <t>인천시 계양구 효성동 623-16</t>
        </is>
      </c>
      <c r="AB693" s="0" t="inlineStr">
        <is>
          <t>인천시</t>
        </is>
      </c>
      <c r="AC693" s="0" t="inlineStr">
        <is>
          <t>계양구</t>
        </is>
      </c>
      <c r="AD693" s="0" t="inlineStr">
        <is>
          <t>효성동</t>
        </is>
      </c>
      <c r="AG693" s="0" t="inlineStr">
        <is>
          <t>인천시 계양구 봉오대로 441</t>
        </is>
      </c>
      <c r="AH693" s="0" t="n">
        <v>0</v>
      </c>
      <c r="AI693" s="0" t="n">
        <v>123</v>
      </c>
      <c r="AJ693" s="0" t="n">
        <v>27</v>
      </c>
      <c r="AK693" s="0" t="n">
        <v>0</v>
      </c>
      <c r="AL693" s="0" t="n">
        <v>0</v>
      </c>
    </row>
    <row r="694">
      <c r="A694" s="0" t="inlineStr">
        <is>
          <t>[효성동]</t>
        </is>
      </c>
      <c r="B694" s="0" t="n">
        <v>8911</v>
      </c>
      <c r="C694" s="0" t="n">
        <v>2</v>
      </c>
      <c r="D694" s="0" t="inlineStr">
        <is>
          <t>새사미</t>
        </is>
      </c>
      <c r="E694" s="0" t="inlineStr">
        <is>
          <t>1985.01.</t>
        </is>
      </c>
      <c r="F694" s="0" t="n">
        <v>280</v>
      </c>
      <c r="G694" s="0" t="n">
        <v>21.58</v>
      </c>
      <c r="H694" s="0" t="n">
        <v>71.34999999999999</v>
      </c>
      <c r="I694" s="0" t="n">
        <v>17.49</v>
      </c>
      <c r="J694" s="0" t="n">
        <v>57.84</v>
      </c>
      <c r="K694" s="0" t="n">
        <v>140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71</v>
      </c>
      <c r="X694" s="0" t="n">
        <v>5</v>
      </c>
      <c r="Y694" s="0" t="n">
        <v>5</v>
      </c>
      <c r="Z694" s="0" t="inlineStr">
        <is>
          <t>https://new.land.naver.com/complexes/8911?tab=detail&amp;rf=Y</t>
        </is>
      </c>
      <c r="AA694" s="0" t="inlineStr">
        <is>
          <t>인천시 계양구 효성동 623-16</t>
        </is>
      </c>
      <c r="AB694" s="0" t="inlineStr">
        <is>
          <t>인천시</t>
        </is>
      </c>
      <c r="AC694" s="0" t="inlineStr">
        <is>
          <t>계양구</t>
        </is>
      </c>
      <c r="AD694" s="0" t="inlineStr">
        <is>
          <t>효성동</t>
        </is>
      </c>
      <c r="AG694" s="0" t="inlineStr">
        <is>
          <t>인천시 계양구 봉오대로 441</t>
        </is>
      </c>
      <c r="AH694" s="0" t="n">
        <v>0</v>
      </c>
      <c r="AI694" s="0" t="n">
        <v>123</v>
      </c>
      <c r="AJ694" s="0" t="n">
        <v>27</v>
      </c>
      <c r="AK694" s="0" t="n">
        <v>0</v>
      </c>
      <c r="AL694" s="0" t="n">
        <v>0</v>
      </c>
    </row>
    <row r="695">
      <c r="A695" s="0" t="inlineStr">
        <is>
          <t>[효성동]</t>
        </is>
      </c>
      <c r="B695" s="0" t="n">
        <v>9677</v>
      </c>
      <c r="C695" s="0" t="n">
        <v>1</v>
      </c>
      <c r="D695" s="0" t="inlineStr">
        <is>
          <t>동남</t>
        </is>
      </c>
      <c r="E695" s="0" t="inlineStr">
        <is>
          <t>1984.06.</t>
        </is>
      </c>
      <c r="F695" s="0" t="n">
        <v>120</v>
      </c>
      <c r="G695" s="0" t="n">
        <v>18.03</v>
      </c>
      <c r="H695" s="0" t="n">
        <v>59.61</v>
      </c>
      <c r="I695" s="0" t="n">
        <v>15.58</v>
      </c>
      <c r="J695" s="0" t="n">
        <v>51.51</v>
      </c>
      <c r="K695" s="0" t="n">
        <v>40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59</v>
      </c>
      <c r="X695" s="0" t="n">
        <v>5</v>
      </c>
      <c r="Y695" s="0" t="n">
        <v>5</v>
      </c>
      <c r="Z695" s="0" t="inlineStr">
        <is>
          <t>https://new.land.naver.com/complexes/9677?tab=detail&amp;rf=Y</t>
        </is>
      </c>
      <c r="AA695" s="0" t="inlineStr">
        <is>
          <t>인천시 계양구 효성동 25-20</t>
        </is>
      </c>
      <c r="AB695" s="0" t="inlineStr">
        <is>
          <t>인천시</t>
        </is>
      </c>
      <c r="AC695" s="0" t="inlineStr">
        <is>
          <t>계양구</t>
        </is>
      </c>
      <c r="AD695" s="0" t="inlineStr">
        <is>
          <t>효성동</t>
        </is>
      </c>
      <c r="AG695" s="0" t="inlineStr">
        <is>
          <t>인천시 계양구 안남로 590</t>
        </is>
      </c>
      <c r="AH695" s="0" t="n">
        <v>0</v>
      </c>
      <c r="AI695" s="0" t="n">
        <v>126</v>
      </c>
      <c r="AJ695" s="0" t="n">
        <v>25</v>
      </c>
      <c r="AK695" s="0" t="n">
        <v>0</v>
      </c>
      <c r="AL695" s="0" t="n">
        <v>0</v>
      </c>
    </row>
    <row r="696">
      <c r="A696" s="0" t="inlineStr">
        <is>
          <t>[효성동]</t>
        </is>
      </c>
      <c r="B696" s="0" t="n">
        <v>9677</v>
      </c>
      <c r="C696" s="0" t="n">
        <v>2</v>
      </c>
      <c r="D696" s="0" t="inlineStr">
        <is>
          <t>동남</t>
        </is>
      </c>
      <c r="E696" s="0" t="inlineStr">
        <is>
          <t>1984.06.</t>
        </is>
      </c>
      <c r="F696" s="0" t="n">
        <v>120</v>
      </c>
      <c r="G696" s="0" t="n">
        <v>20.05</v>
      </c>
      <c r="H696" s="0" t="n">
        <v>66.29000000000001</v>
      </c>
      <c r="I696" s="0" t="n">
        <v>17.21</v>
      </c>
      <c r="J696" s="0" t="n">
        <v>56.91</v>
      </c>
      <c r="K696" s="0" t="n">
        <v>40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66A</t>
        </is>
      </c>
      <c r="X696" s="0" t="n">
        <v>5</v>
      </c>
      <c r="Y696" s="0" t="n">
        <v>5</v>
      </c>
      <c r="Z696" s="0" t="inlineStr">
        <is>
          <t>https://new.land.naver.com/complexes/9677?tab=detail&amp;rf=Y</t>
        </is>
      </c>
      <c r="AA696" s="0" t="inlineStr">
        <is>
          <t>인천시 계양구 효성동 25-20</t>
        </is>
      </c>
      <c r="AB696" s="0" t="inlineStr">
        <is>
          <t>인천시</t>
        </is>
      </c>
      <c r="AC696" s="0" t="inlineStr">
        <is>
          <t>계양구</t>
        </is>
      </c>
      <c r="AD696" s="0" t="inlineStr">
        <is>
          <t>효성동</t>
        </is>
      </c>
      <c r="AG696" s="0" t="inlineStr">
        <is>
          <t>인천시 계양구 안남로 590</t>
        </is>
      </c>
      <c r="AH696" s="0" t="n">
        <v>0</v>
      </c>
      <c r="AI696" s="0" t="n">
        <v>126</v>
      </c>
      <c r="AJ696" s="0" t="n">
        <v>25</v>
      </c>
      <c r="AK696" s="0" t="n">
        <v>0</v>
      </c>
      <c r="AL696" s="0" t="n">
        <v>0</v>
      </c>
    </row>
    <row r="697">
      <c r="A697" s="0" t="inlineStr">
        <is>
          <t>[효성동]</t>
        </is>
      </c>
      <c r="B697" s="0" t="n">
        <v>9677</v>
      </c>
      <c r="C697" s="0" t="n">
        <v>3</v>
      </c>
      <c r="D697" s="0" t="inlineStr">
        <is>
          <t>동남</t>
        </is>
      </c>
      <c r="E697" s="0" t="inlineStr">
        <is>
          <t>1984.06.</t>
        </is>
      </c>
      <c r="F697" s="0" t="n">
        <v>120</v>
      </c>
      <c r="G697" s="0" t="n">
        <v>20.35</v>
      </c>
      <c r="H697" s="0" t="n">
        <v>67.29000000000001</v>
      </c>
      <c r="I697" s="0" t="n">
        <v>17.21</v>
      </c>
      <c r="J697" s="0" t="n">
        <v>56.91</v>
      </c>
      <c r="K697" s="0" t="n">
        <v>40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https://new.land.naver.com/complexes/9677?tab=detail&amp;rf=Y</t>
        </is>
      </c>
      <c r="AA697" s="0" t="inlineStr">
        <is>
          <t>인천시 계양구 효성동 25-20</t>
        </is>
      </c>
      <c r="AB697" s="0" t="inlineStr">
        <is>
          <t>인천시</t>
        </is>
      </c>
      <c r="AC697" s="0" t="inlineStr">
        <is>
          <t>계양구</t>
        </is>
      </c>
      <c r="AD697" s="0" t="inlineStr">
        <is>
          <t>효성동</t>
        </is>
      </c>
      <c r="AG697" s="0" t="inlineStr">
        <is>
          <t>인천시 계양구 안남로 590</t>
        </is>
      </c>
      <c r="AH697" s="0" t="n">
        <v>0</v>
      </c>
      <c r="AI697" s="0" t="n">
        <v>126</v>
      </c>
      <c r="AJ697" s="0" t="n">
        <v>25</v>
      </c>
      <c r="AK697" s="0" t="n">
        <v>0</v>
      </c>
      <c r="AL697" s="0" t="n">
        <v>0</v>
      </c>
    </row>
    <row r="698">
      <c r="A698" s="0" t="inlineStr">
        <is>
          <t>[효성동]</t>
        </is>
      </c>
      <c r="B698" s="0" t="n">
        <v>2473</v>
      </c>
      <c r="C698" s="0" t="n">
        <v>1</v>
      </c>
      <c r="D698" s="0" t="inlineStr">
        <is>
          <t>뉴서울6차</t>
        </is>
      </c>
      <c r="E698" s="0" t="inlineStr">
        <is>
          <t>1995.05.</t>
        </is>
      </c>
      <c r="F698" s="0" t="n">
        <v>370</v>
      </c>
      <c r="G698" s="0" t="n">
        <v>23.21</v>
      </c>
      <c r="H698" s="0" t="n">
        <v>76.75</v>
      </c>
      <c r="I698" s="0" t="n">
        <v>18.08</v>
      </c>
      <c r="J698" s="0" t="n">
        <v>59.79</v>
      </c>
      <c r="K698" s="0" t="n">
        <v>224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76</v>
      </c>
      <c r="X698" s="0" t="n">
        <v>21</v>
      </c>
      <c r="Y698" s="0" t="n">
        <v>18</v>
      </c>
      <c r="Z698" s="0" t="inlineStr">
        <is>
          <t>https://new.land.naver.com/complexes/2473?tab=detail&amp;rf=Y</t>
        </is>
      </c>
      <c r="AA698" s="0" t="inlineStr">
        <is>
          <t>인천시 계양구 효성동 301-1</t>
        </is>
      </c>
      <c r="AB698" s="0" t="inlineStr">
        <is>
          <t>인천시</t>
        </is>
      </c>
      <c r="AC698" s="0" t="inlineStr">
        <is>
          <t>계양구</t>
        </is>
      </c>
      <c r="AD698" s="0" t="inlineStr">
        <is>
          <t>효성동</t>
        </is>
      </c>
      <c r="AG698" s="0" t="inlineStr">
        <is>
          <t>인천시 계양구 아나지로198번길 8</t>
        </is>
      </c>
      <c r="AH698" s="0" t="n">
        <v>0</v>
      </c>
      <c r="AI698" s="0" t="n">
        <v>263</v>
      </c>
      <c r="AJ698" s="0" t="n">
        <v>17</v>
      </c>
      <c r="AK698" s="0" t="n">
        <v>331</v>
      </c>
      <c r="AL698" s="0" t="n">
        <v>0.89</v>
      </c>
    </row>
    <row r="699">
      <c r="A699" s="0" t="inlineStr">
        <is>
          <t>[효성동]</t>
        </is>
      </c>
      <c r="B699" s="0" t="n">
        <v>2473</v>
      </c>
      <c r="C699" s="0" t="n">
        <v>2</v>
      </c>
      <c r="D699" s="0" t="inlineStr">
        <is>
          <t>뉴서울6차</t>
        </is>
      </c>
      <c r="E699" s="0" t="inlineStr">
        <is>
          <t>1995.05.</t>
        </is>
      </c>
      <c r="F699" s="0" t="n">
        <v>370</v>
      </c>
      <c r="G699" s="0" t="n">
        <v>28.82</v>
      </c>
      <c r="H699" s="0" t="n">
        <v>95.29000000000001</v>
      </c>
      <c r="I699" s="0" t="n">
        <v>22.89</v>
      </c>
      <c r="J699" s="0" t="n">
        <v>75.67</v>
      </c>
      <c r="K699" s="0" t="n">
        <v>20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95</v>
      </c>
      <c r="X699" s="0" t="n">
        <v>21</v>
      </c>
      <c r="Y699" s="0" t="n">
        <v>18</v>
      </c>
      <c r="Z699" s="0" t="inlineStr">
        <is>
          <t>https://new.land.naver.com/complexes/2473?tab=detail&amp;rf=Y</t>
        </is>
      </c>
      <c r="AA699" s="0" t="inlineStr">
        <is>
          <t>인천시 계양구 효성동 301-1</t>
        </is>
      </c>
      <c r="AB699" s="0" t="inlineStr">
        <is>
          <t>인천시</t>
        </is>
      </c>
      <c r="AC699" s="0" t="inlineStr">
        <is>
          <t>계양구</t>
        </is>
      </c>
      <c r="AD699" s="0" t="inlineStr">
        <is>
          <t>효성동</t>
        </is>
      </c>
      <c r="AG699" s="0" t="inlineStr">
        <is>
          <t>인천시 계양구 아나지로198번길 8</t>
        </is>
      </c>
      <c r="AH699" s="0" t="n">
        <v>0</v>
      </c>
      <c r="AI699" s="0" t="n">
        <v>263</v>
      </c>
      <c r="AJ699" s="0" t="n">
        <v>17</v>
      </c>
      <c r="AK699" s="0" t="n">
        <v>331</v>
      </c>
      <c r="AL699" s="0" t="n">
        <v>0.89</v>
      </c>
    </row>
    <row r="700">
      <c r="A700" s="0" t="inlineStr">
        <is>
          <t>[효성동]</t>
        </is>
      </c>
      <c r="B700" s="0" t="n">
        <v>2473</v>
      </c>
      <c r="C700" s="0" t="n">
        <v>3</v>
      </c>
      <c r="D700" s="0" t="inlineStr">
        <is>
          <t>뉴서울6차</t>
        </is>
      </c>
      <c r="E700" s="0" t="inlineStr">
        <is>
          <t>1995.05.</t>
        </is>
      </c>
      <c r="F700" s="0" t="n">
        <v>370</v>
      </c>
      <c r="G700" s="0" t="n">
        <v>31.4</v>
      </c>
      <c r="H700" s="0" t="n">
        <v>103.81</v>
      </c>
      <c r="I700" s="0" t="n">
        <v>25.7</v>
      </c>
      <c r="J700" s="0" t="n">
        <v>84.98</v>
      </c>
      <c r="K700" s="0" t="n">
        <v>126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103</v>
      </c>
      <c r="X700" s="0" t="n">
        <v>21</v>
      </c>
      <c r="Y700" s="0" t="n">
        <v>18</v>
      </c>
      <c r="Z700" s="0" t="inlineStr">
        <is>
          <t>https://new.land.naver.com/complexes/2473?tab=detail&amp;rf=Y</t>
        </is>
      </c>
      <c r="AA700" s="0" t="inlineStr">
        <is>
          <t>인천시 계양구 효성동 301-1</t>
        </is>
      </c>
      <c r="AB700" s="0" t="inlineStr">
        <is>
          <t>인천시</t>
        </is>
      </c>
      <c r="AC700" s="0" t="inlineStr">
        <is>
          <t>계양구</t>
        </is>
      </c>
      <c r="AD700" s="0" t="inlineStr">
        <is>
          <t>효성동</t>
        </is>
      </c>
      <c r="AG700" s="0" t="inlineStr">
        <is>
          <t>인천시 계양구 아나지로198번길 8</t>
        </is>
      </c>
      <c r="AH700" s="0" t="n">
        <v>0</v>
      </c>
      <c r="AI700" s="0" t="n">
        <v>263</v>
      </c>
      <c r="AJ700" s="0" t="n">
        <v>17</v>
      </c>
      <c r="AK700" s="0" t="n">
        <v>331</v>
      </c>
      <c r="AL700" s="0" t="n">
        <v>0.89</v>
      </c>
    </row>
    <row r="701">
      <c r="A701" s="0" t="inlineStr">
        <is>
          <t>[효성동]</t>
        </is>
      </c>
      <c r="B701" s="0" t="n">
        <v>8505</v>
      </c>
      <c r="C701" s="0" t="n">
        <v>1</v>
      </c>
      <c r="D701" s="0" t="inlineStr">
        <is>
          <t>경남2차</t>
        </is>
      </c>
      <c r="E701" s="0" t="inlineStr">
        <is>
          <t>1990.05.</t>
        </is>
      </c>
      <c r="F701" s="0" t="n">
        <v>156</v>
      </c>
      <c r="G701" s="0" t="n">
        <v>19.34</v>
      </c>
      <c r="H701" s="0" t="n">
        <v>63.95</v>
      </c>
      <c r="I701" s="0" t="n">
        <v>15.39</v>
      </c>
      <c r="J701" s="0" t="n">
        <v>50.9</v>
      </c>
      <c r="K701" s="0" t="n">
        <v>108</v>
      </c>
      <c r="T701" s="0" t="n">
        <v>2</v>
      </c>
      <c r="U701" s="0" t="n">
        <v>1</v>
      </c>
      <c r="V701" s="0" t="inlineStr">
        <is>
          <t>계단식</t>
        </is>
      </c>
      <c r="W701" s="0" t="n">
        <v>63</v>
      </c>
      <c r="X701" s="0" t="n">
        <v>6</v>
      </c>
      <c r="Y701" s="0" t="n">
        <v>6</v>
      </c>
      <c r="Z701" s="0" t="inlineStr">
        <is>
          <t>https://new.land.naver.com/complexes/8505?tab=detail&amp;rf=Y</t>
        </is>
      </c>
      <c r="AA701" s="0" t="inlineStr">
        <is>
          <t>인천시 계양구 효성동 623-6</t>
        </is>
      </c>
      <c r="AB701" s="0" t="inlineStr">
        <is>
          <t>인천시</t>
        </is>
      </c>
      <c r="AC701" s="0" t="inlineStr">
        <is>
          <t>계양구</t>
        </is>
      </c>
      <c r="AD701" s="0" t="inlineStr">
        <is>
          <t>효성동</t>
        </is>
      </c>
      <c r="AG701" s="0" t="inlineStr">
        <is>
          <t>인천시 계양구 봉오대로463번길 7</t>
        </is>
      </c>
      <c r="AH701" s="0" t="n">
        <v>0</v>
      </c>
      <c r="AI701" s="0" t="n">
        <v>129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[효성동]</t>
        </is>
      </c>
      <c r="B702" s="0" t="n">
        <v>8505</v>
      </c>
      <c r="C702" s="0" t="n">
        <v>2</v>
      </c>
      <c r="D702" s="0" t="inlineStr">
        <is>
          <t>경남2차</t>
        </is>
      </c>
      <c r="E702" s="0" t="inlineStr">
        <is>
          <t>1990.05.</t>
        </is>
      </c>
      <c r="F702" s="0" t="n">
        <v>156</v>
      </c>
      <c r="G702" s="0" t="n">
        <v>22.35</v>
      </c>
      <c r="H702" s="0" t="n">
        <v>73.90000000000001</v>
      </c>
      <c r="I702" s="0" t="n">
        <v>18.11</v>
      </c>
      <c r="J702" s="0" t="n">
        <v>59.87</v>
      </c>
      <c r="K702" s="0" t="n">
        <v>48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73</v>
      </c>
      <c r="X702" s="0" t="n">
        <v>6</v>
      </c>
      <c r="Y702" s="0" t="n">
        <v>6</v>
      </c>
      <c r="Z702" s="0" t="inlineStr">
        <is>
          <t>https://new.land.naver.com/complexes/8505?tab=detail&amp;rf=Y</t>
        </is>
      </c>
      <c r="AA702" s="0" t="inlineStr">
        <is>
          <t>인천시 계양구 효성동 623-6</t>
        </is>
      </c>
      <c r="AB702" s="0" t="inlineStr">
        <is>
          <t>인천시</t>
        </is>
      </c>
      <c r="AC702" s="0" t="inlineStr">
        <is>
          <t>계양구</t>
        </is>
      </c>
      <c r="AD702" s="0" t="inlineStr">
        <is>
          <t>효성동</t>
        </is>
      </c>
      <c r="AG702" s="0" t="inlineStr">
        <is>
          <t>인천시 계양구 봉오대로463번길 7</t>
        </is>
      </c>
      <c r="AH702" s="0" t="n">
        <v>0</v>
      </c>
      <c r="AI702" s="0" t="n">
        <v>129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[효성동]</t>
        </is>
      </c>
      <c r="B703" s="0" t="n">
        <v>8925</v>
      </c>
      <c r="C703" s="0" t="n">
        <v>1</v>
      </c>
      <c r="D703" s="0" t="inlineStr">
        <is>
          <t>효성대림</t>
        </is>
      </c>
      <c r="E703" s="0" t="inlineStr">
        <is>
          <t>1999.09.</t>
        </is>
      </c>
      <c r="F703" s="0" t="n">
        <v>298</v>
      </c>
      <c r="G703" s="0" t="n">
        <v>22.54</v>
      </c>
      <c r="H703" s="0" t="n">
        <v>74.52</v>
      </c>
      <c r="I703" s="0" t="n">
        <v>15.79</v>
      </c>
      <c r="J703" s="0" t="n">
        <v>52.2</v>
      </c>
      <c r="K703" s="0" t="n">
        <v>2</v>
      </c>
      <c r="T703" s="0" t="n">
        <v>3</v>
      </c>
      <c r="U703" s="0" t="n">
        <v>1</v>
      </c>
      <c r="V703" s="0" t="inlineStr">
        <is>
          <t>계단식</t>
        </is>
      </c>
      <c r="W703" s="0" t="n">
        <v>74</v>
      </c>
      <c r="X703" s="0" t="n">
        <v>20</v>
      </c>
      <c r="Y703" s="0" t="n">
        <v>14</v>
      </c>
      <c r="Z703" s="0" t="inlineStr">
        <is>
          <t>https://new.land.naver.com/complexes/8925?tab=detail&amp;rf=Y</t>
        </is>
      </c>
      <c r="AA703" s="0" t="inlineStr">
        <is>
          <t>인천시 계양구 효성동 28</t>
        </is>
      </c>
      <c r="AB703" s="0" t="inlineStr">
        <is>
          <t>인천시</t>
        </is>
      </c>
      <c r="AC703" s="0" t="inlineStr">
        <is>
          <t>계양구</t>
        </is>
      </c>
      <c r="AD703" s="0" t="inlineStr">
        <is>
          <t>효성동</t>
        </is>
      </c>
      <c r="AG703" s="0" t="inlineStr">
        <is>
          <t>인천시 계양구 안남로 583</t>
        </is>
      </c>
      <c r="AH703" s="0" t="n">
        <v>0</v>
      </c>
      <c r="AI703" s="0" t="n">
        <v>284</v>
      </c>
      <c r="AJ703" s="0" t="n">
        <v>24</v>
      </c>
      <c r="AK703" s="0" t="n">
        <v>300</v>
      </c>
      <c r="AL703" s="0" t="n">
        <v>1.01</v>
      </c>
    </row>
    <row r="704">
      <c r="A704" s="0" t="inlineStr">
        <is>
          <t>[효성동]</t>
        </is>
      </c>
      <c r="B704" s="0" t="n">
        <v>8925</v>
      </c>
      <c r="C704" s="0" t="n">
        <v>2</v>
      </c>
      <c r="D704" s="0" t="inlineStr">
        <is>
          <t>효성대림</t>
        </is>
      </c>
      <c r="E704" s="0" t="inlineStr">
        <is>
          <t>1999.09.</t>
        </is>
      </c>
      <c r="F704" s="0" t="n">
        <v>298</v>
      </c>
      <c r="G704" s="0" t="n">
        <v>24.65</v>
      </c>
      <c r="H704" s="0" t="n">
        <v>81.52</v>
      </c>
      <c r="I704" s="0" t="n">
        <v>17.9</v>
      </c>
      <c r="J704" s="0" t="n">
        <v>59.2</v>
      </c>
      <c r="K704" s="0" t="n">
        <v>123</v>
      </c>
      <c r="T704" s="0" t="n">
        <v>3</v>
      </c>
      <c r="U704" s="0" t="n">
        <v>1</v>
      </c>
      <c r="V704" s="0" t="inlineStr">
        <is>
          <t>계단식</t>
        </is>
      </c>
      <c r="W704" s="0" t="n">
        <v>81</v>
      </c>
      <c r="X704" s="0" t="n">
        <v>20</v>
      </c>
      <c r="Y704" s="0" t="n">
        <v>14</v>
      </c>
      <c r="Z704" s="0" t="inlineStr">
        <is>
          <t>https://new.land.naver.com/complexes/8925?tab=detail&amp;rf=Y</t>
        </is>
      </c>
      <c r="AA704" s="0" t="inlineStr">
        <is>
          <t>인천시 계양구 효성동 28</t>
        </is>
      </c>
      <c r="AB704" s="0" t="inlineStr">
        <is>
          <t>인천시</t>
        </is>
      </c>
      <c r="AC704" s="0" t="inlineStr">
        <is>
          <t>계양구</t>
        </is>
      </c>
      <c r="AD704" s="0" t="inlineStr">
        <is>
          <t>효성동</t>
        </is>
      </c>
      <c r="AG704" s="0" t="inlineStr">
        <is>
          <t>인천시 계양구 안남로 583</t>
        </is>
      </c>
      <c r="AH704" s="0" t="n">
        <v>0</v>
      </c>
      <c r="AI704" s="0" t="n">
        <v>284</v>
      </c>
      <c r="AJ704" s="0" t="n">
        <v>24</v>
      </c>
      <c r="AK704" s="0" t="n">
        <v>300</v>
      </c>
      <c r="AL704" s="0" t="n">
        <v>1.01</v>
      </c>
    </row>
    <row r="705">
      <c r="A705" s="0" t="inlineStr">
        <is>
          <t>[효성동]</t>
        </is>
      </c>
      <c r="B705" s="0" t="n">
        <v>8925</v>
      </c>
      <c r="C705" s="0" t="n">
        <v>3</v>
      </c>
      <c r="D705" s="0" t="inlineStr">
        <is>
          <t>효성대림</t>
        </is>
      </c>
      <c r="E705" s="0" t="inlineStr">
        <is>
          <t>1999.09.</t>
        </is>
      </c>
      <c r="F705" s="0" t="n">
        <v>298</v>
      </c>
      <c r="G705" s="0" t="n">
        <v>32.94</v>
      </c>
      <c r="H705" s="0" t="n">
        <v>108.91</v>
      </c>
      <c r="I705" s="0" t="n">
        <v>25.4</v>
      </c>
      <c r="J705" s="0" t="n">
        <v>83.98999999999999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108A</t>
        </is>
      </c>
      <c r="X705" s="0" t="n">
        <v>20</v>
      </c>
      <c r="Y705" s="0" t="n">
        <v>14</v>
      </c>
      <c r="Z705" s="0" t="inlineStr">
        <is>
          <t>https://new.land.naver.com/complexes/8925?tab=detail&amp;rf=Y</t>
        </is>
      </c>
      <c r="AA705" s="0" t="inlineStr">
        <is>
          <t>인천시 계양구 효성동 28</t>
        </is>
      </c>
      <c r="AB705" s="0" t="inlineStr">
        <is>
          <t>인천시</t>
        </is>
      </c>
      <c r="AC705" s="0" t="inlineStr">
        <is>
          <t>계양구</t>
        </is>
      </c>
      <c r="AD705" s="0" t="inlineStr">
        <is>
          <t>효성동</t>
        </is>
      </c>
      <c r="AG705" s="0" t="inlineStr">
        <is>
          <t>인천시 계양구 안남로 583</t>
        </is>
      </c>
      <c r="AH705" s="0" t="n">
        <v>0</v>
      </c>
      <c r="AI705" s="0" t="n">
        <v>284</v>
      </c>
      <c r="AJ705" s="0" t="n">
        <v>24</v>
      </c>
      <c r="AK705" s="0" t="n">
        <v>300</v>
      </c>
      <c r="AL705" s="0" t="n">
        <v>1.01</v>
      </c>
    </row>
    <row r="706">
      <c r="A706" s="0" t="inlineStr">
        <is>
          <t>[효성동]</t>
        </is>
      </c>
      <c r="B706" s="0" t="n">
        <v>8925</v>
      </c>
      <c r="C706" s="0" t="n">
        <v>4</v>
      </c>
      <c r="D706" s="0" t="inlineStr">
        <is>
          <t>효성대림</t>
        </is>
      </c>
      <c r="E706" s="0" t="inlineStr">
        <is>
          <t>1999.09.</t>
        </is>
      </c>
      <c r="F706" s="0" t="n">
        <v>298</v>
      </c>
      <c r="G706" s="0" t="n">
        <v>33.28</v>
      </c>
      <c r="H706" s="0" t="n">
        <v>110.02</v>
      </c>
      <c r="I706" s="0" t="n">
        <v>25.44</v>
      </c>
      <c r="J706" s="0" t="n">
        <v>84.11</v>
      </c>
      <c r="K706" s="0" t="n">
        <v>36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110B</t>
        </is>
      </c>
      <c r="X706" s="0" t="n">
        <v>20</v>
      </c>
      <c r="Y706" s="0" t="n">
        <v>14</v>
      </c>
      <c r="Z706" s="0" t="inlineStr">
        <is>
          <t>https://new.land.naver.com/complexes/8925?tab=detail&amp;rf=Y</t>
        </is>
      </c>
      <c r="AA706" s="0" t="inlineStr">
        <is>
          <t>인천시 계양구 효성동 28</t>
        </is>
      </c>
      <c r="AB706" s="0" t="inlineStr">
        <is>
          <t>인천시</t>
        </is>
      </c>
      <c r="AC706" s="0" t="inlineStr">
        <is>
          <t>계양구</t>
        </is>
      </c>
      <c r="AD706" s="0" t="inlineStr">
        <is>
          <t>효성동</t>
        </is>
      </c>
      <c r="AG706" s="0" t="inlineStr">
        <is>
          <t>인천시 계양구 안남로 583</t>
        </is>
      </c>
      <c r="AH706" s="0" t="n">
        <v>0</v>
      </c>
      <c r="AI706" s="0" t="n">
        <v>284</v>
      </c>
      <c r="AJ706" s="0" t="n">
        <v>24</v>
      </c>
      <c r="AK706" s="0" t="n">
        <v>300</v>
      </c>
      <c r="AL706" s="0" t="n">
        <v>1.01</v>
      </c>
    </row>
    <row r="707">
      <c r="A707" s="0" t="inlineStr">
        <is>
          <t>[효성동]</t>
        </is>
      </c>
      <c r="B707" s="0" t="n">
        <v>8238</v>
      </c>
      <c r="C707" s="0" t="n">
        <v>1</v>
      </c>
      <c r="D707" s="0" t="inlineStr">
        <is>
          <t>중앙하이츠</t>
        </is>
      </c>
      <c r="E707" s="0" t="inlineStr">
        <is>
          <t>1996.11.</t>
        </is>
      </c>
      <c r="F707" s="0" t="n">
        <v>375</v>
      </c>
      <c r="G707" s="0" t="n">
        <v>24.49</v>
      </c>
      <c r="H707" s="0" t="n">
        <v>80.95999999999999</v>
      </c>
      <c r="I707" s="0" t="n">
        <v>18.14</v>
      </c>
      <c r="J707" s="0" t="n">
        <v>59.98</v>
      </c>
      <c r="K707" s="0" t="n">
        <v>194</v>
      </c>
      <c r="T707" s="0" t="n">
        <v>3</v>
      </c>
      <c r="U707" s="0" t="n">
        <v>1</v>
      </c>
      <c r="V707" s="0" t="inlineStr">
        <is>
          <t>복도식</t>
        </is>
      </c>
      <c r="W707" s="0" t="n">
        <v>80</v>
      </c>
      <c r="X707" s="0" t="n">
        <v>24</v>
      </c>
      <c r="Y707" s="0" t="n">
        <v>15</v>
      </c>
      <c r="Z707" s="0" t="inlineStr">
        <is>
          <t>https://new.land.naver.com/complexes/8238?tab=detail&amp;rf=Y</t>
        </is>
      </c>
      <c r="AA707" s="0" t="inlineStr">
        <is>
          <t>인천시 계양구 효성동 24-3</t>
        </is>
      </c>
      <c r="AB707" s="0" t="inlineStr">
        <is>
          <t>인천시</t>
        </is>
      </c>
      <c r="AC707" s="0" t="inlineStr">
        <is>
          <t>계양구</t>
        </is>
      </c>
      <c r="AD707" s="0" t="inlineStr">
        <is>
          <t>효성동</t>
        </is>
      </c>
      <c r="AG707" s="0" t="inlineStr">
        <is>
          <t>인천시 계양구 안남로572번길 17</t>
        </is>
      </c>
      <c r="AH707" s="0" t="n">
        <v>0</v>
      </c>
      <c r="AI707" s="0" t="n">
        <v>273</v>
      </c>
      <c r="AJ707" s="0" t="n">
        <v>17</v>
      </c>
      <c r="AK707" s="0" t="n">
        <v>353</v>
      </c>
      <c r="AL707" s="0" t="n">
        <v>0.9399999999999999</v>
      </c>
    </row>
    <row r="708">
      <c r="A708" s="0" t="inlineStr">
        <is>
          <t>[효성동]</t>
        </is>
      </c>
      <c r="B708" s="0" t="n">
        <v>8238</v>
      </c>
      <c r="C708" s="0" t="n">
        <v>2</v>
      </c>
      <c r="D708" s="0" t="inlineStr">
        <is>
          <t>중앙하이츠</t>
        </is>
      </c>
      <c r="E708" s="0" t="inlineStr">
        <is>
          <t>1996.11.</t>
        </is>
      </c>
      <c r="F708" s="0" t="n">
        <v>375</v>
      </c>
      <c r="G708" s="0" t="n">
        <v>32.5</v>
      </c>
      <c r="H708" s="0" t="n">
        <v>107.44</v>
      </c>
      <c r="I708" s="0" t="n">
        <v>25.68</v>
      </c>
      <c r="J708" s="0" t="n">
        <v>84.92</v>
      </c>
      <c r="K708" s="0" t="n">
        <v>164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107</v>
      </c>
      <c r="X708" s="0" t="n">
        <v>24</v>
      </c>
      <c r="Y708" s="0" t="n">
        <v>15</v>
      </c>
      <c r="Z708" s="0" t="inlineStr">
        <is>
          <t>https://new.land.naver.com/complexes/8238?tab=detail&amp;rf=Y</t>
        </is>
      </c>
      <c r="AA708" s="0" t="inlineStr">
        <is>
          <t>인천시 계양구 효성동 24-3</t>
        </is>
      </c>
      <c r="AB708" s="0" t="inlineStr">
        <is>
          <t>인천시</t>
        </is>
      </c>
      <c r="AC708" s="0" t="inlineStr">
        <is>
          <t>계양구</t>
        </is>
      </c>
      <c r="AD708" s="0" t="inlineStr">
        <is>
          <t>효성동</t>
        </is>
      </c>
      <c r="AG708" s="0" t="inlineStr">
        <is>
          <t>인천시 계양구 안남로572번길 17</t>
        </is>
      </c>
      <c r="AH708" s="0" t="n">
        <v>0</v>
      </c>
      <c r="AI708" s="0" t="n">
        <v>273</v>
      </c>
      <c r="AJ708" s="0" t="n">
        <v>17</v>
      </c>
      <c r="AK708" s="0" t="n">
        <v>353</v>
      </c>
      <c r="AL708" s="0" t="n">
        <v>0.9399999999999999</v>
      </c>
    </row>
    <row r="709">
      <c r="A709" s="0" t="inlineStr">
        <is>
          <t>[효성동]</t>
        </is>
      </c>
      <c r="B709" s="0" t="n">
        <v>8238</v>
      </c>
      <c r="C709" s="0" t="n">
        <v>3</v>
      </c>
      <c r="D709" s="0" t="inlineStr">
        <is>
          <t>중앙하이츠</t>
        </is>
      </c>
      <c r="E709" s="0" t="inlineStr">
        <is>
          <t>1996.11.</t>
        </is>
      </c>
      <c r="F709" s="0" t="n">
        <v>375</v>
      </c>
      <c r="G709" s="0" t="n">
        <v>35.3</v>
      </c>
      <c r="H709" s="0" t="n">
        <v>116.72</v>
      </c>
      <c r="I709" s="0" t="n">
        <v>26.99</v>
      </c>
      <c r="J709" s="0" t="n">
        <v>89.23999999999999</v>
      </c>
      <c r="K709" s="0" t="n">
        <v>17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116</v>
      </c>
      <c r="X709" s="0" t="n">
        <v>24</v>
      </c>
      <c r="Y709" s="0" t="n">
        <v>15</v>
      </c>
      <c r="Z709" s="0" t="inlineStr">
        <is>
          <t>https://new.land.naver.com/complexes/8238?tab=detail&amp;rf=Y</t>
        </is>
      </c>
      <c r="AA709" s="0" t="inlineStr">
        <is>
          <t>인천시 계양구 효성동 24-3</t>
        </is>
      </c>
      <c r="AB709" s="0" t="inlineStr">
        <is>
          <t>인천시</t>
        </is>
      </c>
      <c r="AC709" s="0" t="inlineStr">
        <is>
          <t>계양구</t>
        </is>
      </c>
      <c r="AD709" s="0" t="inlineStr">
        <is>
          <t>효성동</t>
        </is>
      </c>
      <c r="AG709" s="0" t="inlineStr">
        <is>
          <t>인천시 계양구 안남로572번길 17</t>
        </is>
      </c>
      <c r="AH709" s="0" t="n">
        <v>0</v>
      </c>
      <c r="AI709" s="0" t="n">
        <v>273</v>
      </c>
      <c r="AJ709" s="0" t="n">
        <v>17</v>
      </c>
      <c r="AK709" s="0" t="n">
        <v>353</v>
      </c>
      <c r="AL709" s="0" t="n">
        <v>0.9399999999999999</v>
      </c>
    </row>
    <row r="710">
      <c r="A710" s="0" t="inlineStr">
        <is>
          <t>[효성동]</t>
        </is>
      </c>
      <c r="B710" s="0" t="n">
        <v>8512</v>
      </c>
      <c r="C710" s="0" t="n">
        <v>1</v>
      </c>
      <c r="D710" s="0" t="inlineStr">
        <is>
          <t>미도</t>
        </is>
      </c>
      <c r="E710" s="0" t="inlineStr">
        <is>
          <t>1985.01.</t>
        </is>
      </c>
      <c r="F710" s="0" t="n">
        <v>205</v>
      </c>
      <c r="G710" s="0" t="n">
        <v>16.47</v>
      </c>
      <c r="H710" s="0" t="n">
        <v>54.46</v>
      </c>
      <c r="I710" s="0" t="n">
        <v>13.91</v>
      </c>
      <c r="J710" s="0" t="n">
        <v>45.99</v>
      </c>
      <c r="K710" s="0" t="n">
        <v>5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54</v>
      </c>
      <c r="X710" s="0" t="n">
        <v>5</v>
      </c>
      <c r="Y710" s="0" t="n">
        <v>5</v>
      </c>
      <c r="Z710" s="0" t="inlineStr">
        <is>
          <t>https://new.land.naver.com/complexes/8512?tab=detail&amp;rf=Y</t>
        </is>
      </c>
      <c r="AA710" s="0" t="inlineStr">
        <is>
          <t>인천시 계양구 효성동 228-1</t>
        </is>
      </c>
      <c r="AB710" s="0" t="inlineStr">
        <is>
          <t>인천시</t>
        </is>
      </c>
      <c r="AC710" s="0" t="inlineStr">
        <is>
          <t>계양구</t>
        </is>
      </c>
      <c r="AD710" s="0" t="inlineStr">
        <is>
          <t>효성동</t>
        </is>
      </c>
      <c r="AG710" s="0" t="inlineStr">
        <is>
          <t>인천시 계양구 효서로 115</t>
        </is>
      </c>
      <c r="AH710" s="0" t="n">
        <v>0</v>
      </c>
      <c r="AI710" s="0" t="n">
        <v>177</v>
      </c>
      <c r="AJ710" s="0" t="n">
        <v>35</v>
      </c>
      <c r="AK710" s="0" t="n">
        <v>0</v>
      </c>
      <c r="AL710" s="0" t="n">
        <v>0</v>
      </c>
    </row>
    <row r="711">
      <c r="A711" s="0" t="inlineStr">
        <is>
          <t>[효성동]</t>
        </is>
      </c>
      <c r="B711" s="0" t="n">
        <v>8512</v>
      </c>
      <c r="C711" s="0" t="n">
        <v>2</v>
      </c>
      <c r="D711" s="0" t="inlineStr">
        <is>
          <t>미도</t>
        </is>
      </c>
      <c r="E711" s="0" t="inlineStr">
        <is>
          <t>1985.01.</t>
        </is>
      </c>
      <c r="F711" s="0" t="n">
        <v>205</v>
      </c>
      <c r="G711" s="0" t="n">
        <v>21.48</v>
      </c>
      <c r="H711" s="0" t="n">
        <v>71.02</v>
      </c>
      <c r="I711" s="0" t="n">
        <v>18.13</v>
      </c>
      <c r="J711" s="0" t="n">
        <v>59.94</v>
      </c>
      <c r="K711" s="0" t="n">
        <v>5</v>
      </c>
      <c r="T711" s="0" t="n">
        <v>2</v>
      </c>
      <c r="U711" s="0" t="n">
        <v>1</v>
      </c>
      <c r="V711" s="0" t="inlineStr">
        <is>
          <t>계단식</t>
        </is>
      </c>
      <c r="W711" s="0" t="n">
        <v>71</v>
      </c>
      <c r="X711" s="0" t="n">
        <v>5</v>
      </c>
      <c r="Y711" s="0" t="n">
        <v>5</v>
      </c>
      <c r="Z711" s="0" t="inlineStr">
        <is>
          <t>https://new.land.naver.com/complexes/8512?tab=detail&amp;rf=Y</t>
        </is>
      </c>
      <c r="AA711" s="0" t="inlineStr">
        <is>
          <t>인천시 계양구 효성동 228-1</t>
        </is>
      </c>
      <c r="AB711" s="0" t="inlineStr">
        <is>
          <t>인천시</t>
        </is>
      </c>
      <c r="AC711" s="0" t="inlineStr">
        <is>
          <t>계양구</t>
        </is>
      </c>
      <c r="AD711" s="0" t="inlineStr">
        <is>
          <t>효성동</t>
        </is>
      </c>
      <c r="AG711" s="0" t="inlineStr">
        <is>
          <t>인천시 계양구 효서로 115</t>
        </is>
      </c>
      <c r="AH711" s="0" t="n">
        <v>0</v>
      </c>
      <c r="AI711" s="0" t="n">
        <v>177</v>
      </c>
      <c r="AJ711" s="0" t="n">
        <v>35</v>
      </c>
      <c r="AK711" s="0" t="n">
        <v>0</v>
      </c>
      <c r="AL711" s="0" t="n">
        <v>0</v>
      </c>
    </row>
    <row r="712">
      <c r="A712" s="0" t="inlineStr">
        <is>
          <t>[효성동]</t>
        </is>
      </c>
      <c r="B712" s="0" t="n">
        <v>8512</v>
      </c>
      <c r="C712" s="0" t="n">
        <v>3</v>
      </c>
      <c r="D712" s="0" t="inlineStr">
        <is>
          <t>미도</t>
        </is>
      </c>
      <c r="E712" s="0" t="inlineStr">
        <is>
          <t>1985.01.</t>
        </is>
      </c>
      <c r="F712" s="0" t="n">
        <v>205</v>
      </c>
      <c r="G712" s="0" t="n">
        <v>23.7</v>
      </c>
      <c r="H712" s="0" t="n">
        <v>78.34999999999999</v>
      </c>
      <c r="I712" s="0" t="n">
        <v>19.95</v>
      </c>
      <c r="J712" s="0" t="n">
        <v>65.97</v>
      </c>
      <c r="K712" s="0" t="n">
        <v>70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78</v>
      </c>
      <c r="X712" s="0" t="n">
        <v>5</v>
      </c>
      <c r="Y712" s="0" t="n">
        <v>5</v>
      </c>
      <c r="Z712" s="0" t="inlineStr">
        <is>
          <t>https://new.land.naver.com/complexes/8512?tab=detail&amp;rf=Y</t>
        </is>
      </c>
      <c r="AA712" s="0" t="inlineStr">
        <is>
          <t>인천시 계양구 효성동 228-1</t>
        </is>
      </c>
      <c r="AB712" s="0" t="inlineStr">
        <is>
          <t>인천시</t>
        </is>
      </c>
      <c r="AC712" s="0" t="inlineStr">
        <is>
          <t>계양구</t>
        </is>
      </c>
      <c r="AD712" s="0" t="inlineStr">
        <is>
          <t>효성동</t>
        </is>
      </c>
      <c r="AG712" s="0" t="inlineStr">
        <is>
          <t>인천시 계양구 효서로 115</t>
        </is>
      </c>
      <c r="AH712" s="0" t="n">
        <v>0</v>
      </c>
      <c r="AI712" s="0" t="n">
        <v>177</v>
      </c>
      <c r="AJ712" s="0" t="n">
        <v>35</v>
      </c>
      <c r="AK712" s="0" t="n">
        <v>0</v>
      </c>
      <c r="AL712" s="0" t="n">
        <v>0</v>
      </c>
    </row>
    <row r="713">
      <c r="A713" s="0" t="inlineStr">
        <is>
          <t>[효성동]</t>
        </is>
      </c>
      <c r="B713" s="0" t="n">
        <v>8512</v>
      </c>
      <c r="C713" s="0" t="n">
        <v>4</v>
      </c>
      <c r="D713" s="0" t="inlineStr">
        <is>
          <t>미도</t>
        </is>
      </c>
      <c r="E713" s="0" t="inlineStr">
        <is>
          <t>1985.01.</t>
        </is>
      </c>
      <c r="F713" s="0" t="n">
        <v>205</v>
      </c>
      <c r="G713" s="0" t="n">
        <v>24.45</v>
      </c>
      <c r="H713" s="0" t="n">
        <v>80.83</v>
      </c>
      <c r="I713" s="0" t="n">
        <v>20.58</v>
      </c>
      <c r="J713" s="0" t="n">
        <v>68.04000000000001</v>
      </c>
      <c r="K713" s="0" t="n">
        <v>40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80</v>
      </c>
      <c r="X713" s="0" t="n">
        <v>5</v>
      </c>
      <c r="Y713" s="0" t="n">
        <v>5</v>
      </c>
      <c r="Z713" s="0" t="inlineStr">
        <is>
          <t>https://new.land.naver.com/complexes/8512?tab=detail&amp;rf=Y</t>
        </is>
      </c>
      <c r="AA713" s="0" t="inlineStr">
        <is>
          <t>인천시 계양구 효성동 228-1</t>
        </is>
      </c>
      <c r="AB713" s="0" t="inlineStr">
        <is>
          <t>인천시</t>
        </is>
      </c>
      <c r="AC713" s="0" t="inlineStr">
        <is>
          <t>계양구</t>
        </is>
      </c>
      <c r="AD713" s="0" t="inlineStr">
        <is>
          <t>효성동</t>
        </is>
      </c>
      <c r="AG713" s="0" t="inlineStr">
        <is>
          <t>인천시 계양구 효서로 115</t>
        </is>
      </c>
      <c r="AH713" s="0" t="n">
        <v>0</v>
      </c>
      <c r="AI713" s="0" t="n">
        <v>177</v>
      </c>
      <c r="AJ713" s="0" t="n">
        <v>35</v>
      </c>
      <c r="AK713" s="0" t="n">
        <v>0</v>
      </c>
      <c r="AL713" s="0" t="n">
        <v>0</v>
      </c>
    </row>
    <row r="714">
      <c r="A714" s="0" t="inlineStr">
        <is>
          <t>[효성동]</t>
        </is>
      </c>
      <c r="B714" s="0" t="n">
        <v>8512</v>
      </c>
      <c r="C714" s="0" t="n">
        <v>5</v>
      </c>
      <c r="D714" s="0" t="inlineStr">
        <is>
          <t>미도</t>
        </is>
      </c>
      <c r="E714" s="0" t="inlineStr">
        <is>
          <t>1985.01.</t>
        </is>
      </c>
      <c r="F714" s="0" t="n">
        <v>205</v>
      </c>
      <c r="G714" s="0" t="n">
        <v>25.75</v>
      </c>
      <c r="H714" s="0" t="n">
        <v>85.15000000000001</v>
      </c>
      <c r="I714" s="0" t="n">
        <v>21.67</v>
      </c>
      <c r="J714" s="0" t="n">
        <v>71.64</v>
      </c>
      <c r="K714" s="0" t="n">
        <v>20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85</v>
      </c>
      <c r="X714" s="0" t="n">
        <v>5</v>
      </c>
      <c r="Y714" s="0" t="n">
        <v>5</v>
      </c>
      <c r="Z714" s="0" t="inlineStr">
        <is>
          <t>https://new.land.naver.com/complexes/8512?tab=detail&amp;rf=Y</t>
        </is>
      </c>
      <c r="AA714" s="0" t="inlineStr">
        <is>
          <t>인천시 계양구 효성동 228-1</t>
        </is>
      </c>
      <c r="AB714" s="0" t="inlineStr">
        <is>
          <t>인천시</t>
        </is>
      </c>
      <c r="AC714" s="0" t="inlineStr">
        <is>
          <t>계양구</t>
        </is>
      </c>
      <c r="AD714" s="0" t="inlineStr">
        <is>
          <t>효성동</t>
        </is>
      </c>
      <c r="AG714" s="0" t="inlineStr">
        <is>
          <t>인천시 계양구 효서로 115</t>
        </is>
      </c>
      <c r="AH714" s="0" t="n">
        <v>0</v>
      </c>
      <c r="AI714" s="0" t="n">
        <v>177</v>
      </c>
      <c r="AJ714" s="0" t="n">
        <v>35</v>
      </c>
      <c r="AK714" s="0" t="n">
        <v>0</v>
      </c>
      <c r="AL714" s="0" t="n">
        <v>0</v>
      </c>
    </row>
    <row r="715">
      <c r="A715" s="0" t="inlineStr">
        <is>
          <t>[효성동]</t>
        </is>
      </c>
      <c r="B715" s="0" t="n">
        <v>8512</v>
      </c>
      <c r="C715" s="0" t="n">
        <v>6</v>
      </c>
      <c r="D715" s="0" t="inlineStr">
        <is>
          <t>미도</t>
        </is>
      </c>
      <c r="E715" s="0" t="inlineStr">
        <is>
          <t>1985.01.</t>
        </is>
      </c>
      <c r="F715" s="0" t="n">
        <v>205</v>
      </c>
      <c r="G715" s="0" t="n">
        <v>28.66</v>
      </c>
      <c r="H715" s="0" t="n">
        <v>94.77</v>
      </c>
      <c r="I715" s="0" t="n">
        <v>24.09</v>
      </c>
      <c r="J715" s="0" t="n">
        <v>79.65000000000001</v>
      </c>
      <c r="K715" s="0" t="n">
        <v>60</v>
      </c>
      <c r="T715" s="0" t="n">
        <v>3</v>
      </c>
      <c r="U715" s="0" t="n">
        <v>1</v>
      </c>
      <c r="V715" s="0" t="inlineStr">
        <is>
          <t>계단식</t>
        </is>
      </c>
      <c r="W715" s="0" t="n">
        <v>94</v>
      </c>
      <c r="X715" s="0" t="n">
        <v>5</v>
      </c>
      <c r="Y715" s="0" t="n">
        <v>5</v>
      </c>
      <c r="Z715" s="0" t="inlineStr">
        <is>
          <t>https://new.land.naver.com/complexes/8512?tab=detail&amp;rf=Y</t>
        </is>
      </c>
      <c r="AA715" s="0" t="inlineStr">
        <is>
          <t>인천시 계양구 효성동 228-1</t>
        </is>
      </c>
      <c r="AB715" s="0" t="inlineStr">
        <is>
          <t>인천시</t>
        </is>
      </c>
      <c r="AC715" s="0" t="inlineStr">
        <is>
          <t>계양구</t>
        </is>
      </c>
      <c r="AD715" s="0" t="inlineStr">
        <is>
          <t>효성동</t>
        </is>
      </c>
      <c r="AG715" s="0" t="inlineStr">
        <is>
          <t>인천시 계양구 효서로 115</t>
        </is>
      </c>
      <c r="AH715" s="0" t="n">
        <v>0</v>
      </c>
      <c r="AI715" s="0" t="n">
        <v>177</v>
      </c>
      <c r="AJ715" s="0" t="n">
        <v>35</v>
      </c>
      <c r="AK715" s="0" t="n">
        <v>0</v>
      </c>
      <c r="AL715" s="0" t="n">
        <v>0</v>
      </c>
    </row>
    <row r="716">
      <c r="A716" s="0" t="inlineStr">
        <is>
          <t>[효성동]</t>
        </is>
      </c>
      <c r="B716" s="0" t="n">
        <v>8512</v>
      </c>
      <c r="C716" s="0" t="n">
        <v>7</v>
      </c>
      <c r="D716" s="0" t="inlineStr">
        <is>
          <t>미도</t>
        </is>
      </c>
      <c r="E716" s="0" t="inlineStr">
        <is>
          <t>1985.01.</t>
        </is>
      </c>
      <c r="F716" s="0" t="n">
        <v>205</v>
      </c>
      <c r="G716" s="0" t="n">
        <v>32.23</v>
      </c>
      <c r="H716" s="0" t="n">
        <v>106.57</v>
      </c>
      <c r="I716" s="0" t="n">
        <v>27.11</v>
      </c>
      <c r="J716" s="0" t="n">
        <v>89.64</v>
      </c>
      <c r="K716" s="0" t="n">
        <v>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5</v>
      </c>
      <c r="Y716" s="0" t="n">
        <v>5</v>
      </c>
      <c r="Z716" s="0" t="inlineStr">
        <is>
          <t>https://new.land.naver.com/complexes/8512?tab=detail&amp;rf=Y</t>
        </is>
      </c>
      <c r="AA716" s="0" t="inlineStr">
        <is>
          <t>인천시 계양구 효성동 228-1</t>
        </is>
      </c>
      <c r="AB716" s="0" t="inlineStr">
        <is>
          <t>인천시</t>
        </is>
      </c>
      <c r="AC716" s="0" t="inlineStr">
        <is>
          <t>계양구</t>
        </is>
      </c>
      <c r="AD716" s="0" t="inlineStr">
        <is>
          <t>효성동</t>
        </is>
      </c>
      <c r="AG716" s="0" t="inlineStr">
        <is>
          <t>인천시 계양구 효서로 115</t>
        </is>
      </c>
      <c r="AH716" s="0" t="n">
        <v>0</v>
      </c>
      <c r="AI716" s="0" t="n">
        <v>177</v>
      </c>
      <c r="AJ716" s="0" t="n">
        <v>35</v>
      </c>
      <c r="AK716" s="0" t="n">
        <v>0</v>
      </c>
      <c r="AL716" s="0" t="n">
        <v>0</v>
      </c>
    </row>
    <row r="717">
      <c r="A717" s="0" t="inlineStr">
        <is>
          <t>[효성동]</t>
        </is>
      </c>
      <c r="B717" s="0" t="n">
        <v>2472</v>
      </c>
      <c r="C717" s="0" t="n">
        <v>1</v>
      </c>
      <c r="D717" s="0" t="inlineStr">
        <is>
          <t>뉴서울5차</t>
        </is>
      </c>
      <c r="E717" s="0" t="inlineStr">
        <is>
          <t>1994.12.</t>
        </is>
      </c>
      <c r="F717" s="0" t="n">
        <v>648</v>
      </c>
      <c r="G717" s="0" t="n">
        <v>22.56</v>
      </c>
      <c r="H717" s="0" t="n">
        <v>74.58</v>
      </c>
      <c r="I717" s="0" t="n">
        <v>18.05</v>
      </c>
      <c r="J717" s="0" t="n">
        <v>59.7</v>
      </c>
      <c r="K717" s="0" t="n">
        <v>260</v>
      </c>
      <c r="T717" s="0" t="n">
        <v>3</v>
      </c>
      <c r="U717" s="0" t="n">
        <v>1</v>
      </c>
      <c r="V717" s="0" t="inlineStr">
        <is>
          <t>계단식</t>
        </is>
      </c>
      <c r="W717" s="0" t="n">
        <v>74</v>
      </c>
      <c r="X717" s="0" t="n">
        <v>25</v>
      </c>
      <c r="Y717" s="0" t="n">
        <v>16</v>
      </c>
      <c r="Z717" s="0" t="inlineStr">
        <is>
          <t>https://new.land.naver.com/complexes/2472?tab=detail&amp;rf=Y</t>
        </is>
      </c>
      <c r="AA717" s="0" t="inlineStr">
        <is>
          <t>인천시 계양구 효성동 238-1</t>
        </is>
      </c>
      <c r="AB717" s="0" t="inlineStr">
        <is>
          <t>인천시</t>
        </is>
      </c>
      <c r="AC717" s="0" t="inlineStr">
        <is>
          <t>계양구</t>
        </is>
      </c>
      <c r="AD717" s="0" t="inlineStr">
        <is>
          <t>효성동</t>
        </is>
      </c>
      <c r="AG717" s="0" t="inlineStr">
        <is>
          <t>인천시 계양구 아나지로 199</t>
        </is>
      </c>
      <c r="AH717" s="0" t="n">
        <v>0</v>
      </c>
      <c r="AI717" s="0" t="n">
        <v>298</v>
      </c>
      <c r="AJ717" s="0" t="n">
        <v>20</v>
      </c>
      <c r="AK717" s="0" t="n">
        <v>429</v>
      </c>
      <c r="AL717" s="0" t="n">
        <v>0.66</v>
      </c>
    </row>
    <row r="718">
      <c r="A718" s="0" t="inlineStr">
        <is>
          <t>[효성동]</t>
        </is>
      </c>
      <c r="B718" s="0" t="n">
        <v>2472</v>
      </c>
      <c r="C718" s="0" t="n">
        <v>2</v>
      </c>
      <c r="D718" s="0" t="inlineStr">
        <is>
          <t>뉴서울5차</t>
        </is>
      </c>
      <c r="E718" s="0" t="inlineStr">
        <is>
          <t>1994.12.</t>
        </is>
      </c>
      <c r="F718" s="0" t="n">
        <v>648</v>
      </c>
      <c r="G718" s="0" t="n">
        <v>31.9</v>
      </c>
      <c r="H718" s="0" t="n">
        <v>105.47</v>
      </c>
      <c r="I718" s="0" t="n">
        <v>25.53</v>
      </c>
      <c r="J718" s="0" t="n">
        <v>84.42</v>
      </c>
      <c r="K718" s="0" t="n">
        <v>388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105</v>
      </c>
      <c r="X718" s="0" t="n">
        <v>25</v>
      </c>
      <c r="Y718" s="0" t="n">
        <v>16</v>
      </c>
      <c r="Z718" s="0" t="inlineStr">
        <is>
          <t>https://new.land.naver.com/complexes/2472?tab=detail&amp;rf=Y</t>
        </is>
      </c>
      <c r="AA718" s="0" t="inlineStr">
        <is>
          <t>인천시 계양구 효성동 238-1</t>
        </is>
      </c>
      <c r="AB718" s="0" t="inlineStr">
        <is>
          <t>인천시</t>
        </is>
      </c>
      <c r="AC718" s="0" t="inlineStr">
        <is>
          <t>계양구</t>
        </is>
      </c>
      <c r="AD718" s="0" t="inlineStr">
        <is>
          <t>효성동</t>
        </is>
      </c>
      <c r="AG718" s="0" t="inlineStr">
        <is>
          <t>인천시 계양구 아나지로 199</t>
        </is>
      </c>
      <c r="AH718" s="0" t="n">
        <v>0</v>
      </c>
      <c r="AI718" s="0" t="n">
        <v>298</v>
      </c>
      <c r="AJ718" s="0" t="n">
        <v>20</v>
      </c>
      <c r="AK718" s="0" t="n">
        <v>429</v>
      </c>
      <c r="AL718" s="0" t="n">
        <v>0.66</v>
      </c>
    </row>
    <row r="719">
      <c r="A719" s="0" t="inlineStr">
        <is>
          <t>[효성동]</t>
        </is>
      </c>
      <c r="B719" s="0" t="n">
        <v>8268</v>
      </c>
      <c r="C719" s="0" t="n">
        <v>1</v>
      </c>
      <c r="D719" s="0" t="inlineStr">
        <is>
          <t>유승그린</t>
        </is>
      </c>
      <c r="E719" s="0" t="inlineStr">
        <is>
          <t>1996.11.</t>
        </is>
      </c>
      <c r="F719" s="0" t="n">
        <v>279</v>
      </c>
      <c r="G719" s="0" t="n">
        <v>25.43</v>
      </c>
      <c r="H719" s="0" t="n">
        <v>84.06999999999999</v>
      </c>
      <c r="I719" s="0" t="n">
        <v>18.1</v>
      </c>
      <c r="J719" s="0" t="n">
        <v>59.85</v>
      </c>
      <c r="K719" s="0" t="n">
        <v>279</v>
      </c>
      <c r="T719" s="0" t="n">
        <v>3</v>
      </c>
      <c r="U719" s="0" t="n">
        <v>1</v>
      </c>
      <c r="V719" s="0" t="inlineStr">
        <is>
          <t>복도식</t>
        </is>
      </c>
      <c r="W719" s="0" t="n">
        <v>84</v>
      </c>
      <c r="X719" s="0" t="n">
        <v>21</v>
      </c>
      <c r="Y719" s="0" t="n">
        <v>21</v>
      </c>
      <c r="Z719" s="0" t="inlineStr">
        <is>
          <t>https://new.land.naver.com/complexes/8268?tab=detail&amp;rf=Y</t>
        </is>
      </c>
      <c r="AA719" s="0" t="inlineStr">
        <is>
          <t>인천시 계양구 효성동 273</t>
        </is>
      </c>
      <c r="AB719" s="0" t="inlineStr">
        <is>
          <t>인천시</t>
        </is>
      </c>
      <c r="AC719" s="0" t="inlineStr">
        <is>
          <t>계양구</t>
        </is>
      </c>
      <c r="AD719" s="0" t="inlineStr">
        <is>
          <t>효성동</t>
        </is>
      </c>
      <c r="AG719" s="0" t="inlineStr">
        <is>
          <t>인천시 계양구 아나지로197번길 9</t>
        </is>
      </c>
      <c r="AH719" s="0" t="n">
        <v>0</v>
      </c>
      <c r="AI719" s="0" t="n">
        <v>299</v>
      </c>
      <c r="AJ719" s="0" t="n">
        <v>22</v>
      </c>
      <c r="AK719" s="0" t="n">
        <v>151</v>
      </c>
      <c r="AL719" s="0" t="n">
        <v>0.54</v>
      </c>
    </row>
    <row r="720">
      <c r="A720" s="0" t="inlineStr">
        <is>
          <t>[효성동]</t>
        </is>
      </c>
      <c r="B720" s="0" t="n">
        <v>8239</v>
      </c>
      <c r="C720" s="0" t="n">
        <v>1</v>
      </c>
      <c r="D720" s="0" t="inlineStr">
        <is>
          <t>뉴서울1차</t>
        </is>
      </c>
      <c r="E720" s="0" t="inlineStr">
        <is>
          <t>1985.06.</t>
        </is>
      </c>
      <c r="F720" s="0" t="n">
        <v>460</v>
      </c>
      <c r="G720" s="0" t="n">
        <v>17.07</v>
      </c>
      <c r="H720" s="0" t="n">
        <v>56.45</v>
      </c>
      <c r="I720" s="0" t="n">
        <v>12.19</v>
      </c>
      <c r="J720" s="0" t="n">
        <v>40.32</v>
      </c>
      <c r="K720" s="0" t="n">
        <v>50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56</v>
      </c>
      <c r="X720" s="0" t="n">
        <v>5</v>
      </c>
      <c r="Y720" s="0" t="n">
        <v>5</v>
      </c>
      <c r="Z720" s="0" t="inlineStr">
        <is>
          <t>https://new.land.naver.com/complexes/8239?tab=detail&amp;rf=Y</t>
        </is>
      </c>
      <c r="AA720" s="0" t="inlineStr">
        <is>
          <t>인천시 계양구 효성동 99-11</t>
        </is>
      </c>
      <c r="AB720" s="0" t="inlineStr">
        <is>
          <t>인천시</t>
        </is>
      </c>
      <c r="AC720" s="0" t="inlineStr">
        <is>
          <t>계양구</t>
        </is>
      </c>
      <c r="AD720" s="0" t="inlineStr">
        <is>
          <t>효성동</t>
        </is>
      </c>
      <c r="AG720" s="0" t="inlineStr">
        <is>
          <t>인천시 계양구 안남로573번길 16</t>
        </is>
      </c>
      <c r="AH720" s="0" t="n">
        <v>0</v>
      </c>
      <c r="AI720" s="0" t="n">
        <v>139</v>
      </c>
      <c r="AJ720" s="0" t="n">
        <v>33</v>
      </c>
      <c r="AK720" s="0" t="n">
        <v>0</v>
      </c>
      <c r="AL720" s="0" t="n">
        <v>0</v>
      </c>
    </row>
    <row r="721">
      <c r="A721" s="0" t="inlineStr">
        <is>
          <t>[효성동]</t>
        </is>
      </c>
      <c r="B721" s="0" t="n">
        <v>8239</v>
      </c>
      <c r="C721" s="0" t="n">
        <v>2</v>
      </c>
      <c r="D721" s="0" t="inlineStr">
        <is>
          <t>뉴서울1차</t>
        </is>
      </c>
      <c r="E721" s="0" t="inlineStr">
        <is>
          <t>1985.06.</t>
        </is>
      </c>
      <c r="F721" s="0" t="n">
        <v>460</v>
      </c>
      <c r="G721" s="0" t="n">
        <v>17.69</v>
      </c>
      <c r="H721" s="0" t="n">
        <v>58.5</v>
      </c>
      <c r="I721" s="0" t="n">
        <v>12.6</v>
      </c>
      <c r="J721" s="0" t="n">
        <v>41.67</v>
      </c>
      <c r="K721" s="0" t="n">
        <v>150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58</v>
      </c>
      <c r="X721" s="0" t="n">
        <v>5</v>
      </c>
      <c r="Y721" s="0" t="n">
        <v>5</v>
      </c>
      <c r="Z721" s="0" t="inlineStr">
        <is>
          <t>https://new.land.naver.com/complexes/8239?tab=detail&amp;rf=Y</t>
        </is>
      </c>
      <c r="AA721" s="0" t="inlineStr">
        <is>
          <t>인천시 계양구 효성동 99-11</t>
        </is>
      </c>
      <c r="AB721" s="0" t="inlineStr">
        <is>
          <t>인천시</t>
        </is>
      </c>
      <c r="AC721" s="0" t="inlineStr">
        <is>
          <t>계양구</t>
        </is>
      </c>
      <c r="AD721" s="0" t="inlineStr">
        <is>
          <t>효성동</t>
        </is>
      </c>
      <c r="AG721" s="0" t="inlineStr">
        <is>
          <t>인천시 계양구 안남로573번길 16</t>
        </is>
      </c>
      <c r="AH721" s="0" t="n">
        <v>0</v>
      </c>
      <c r="AI721" s="0" t="n">
        <v>139</v>
      </c>
      <c r="AJ721" s="0" t="n">
        <v>33</v>
      </c>
      <c r="AK721" s="0" t="n">
        <v>0</v>
      </c>
      <c r="AL721" s="0" t="n">
        <v>0</v>
      </c>
    </row>
    <row r="722">
      <c r="A722" s="0" t="inlineStr">
        <is>
          <t>[효성동]</t>
        </is>
      </c>
      <c r="B722" s="0" t="n">
        <v>8239</v>
      </c>
      <c r="C722" s="0" t="n">
        <v>3</v>
      </c>
      <c r="D722" s="0" t="inlineStr">
        <is>
          <t>뉴서울1차</t>
        </is>
      </c>
      <c r="E722" s="0" t="inlineStr">
        <is>
          <t>1985.06.</t>
        </is>
      </c>
      <c r="F722" s="0" t="n">
        <v>460</v>
      </c>
      <c r="G722" s="0" t="n">
        <v>18.56</v>
      </c>
      <c r="H722" s="0" t="n">
        <v>61.36</v>
      </c>
      <c r="I722" s="0" t="n">
        <v>13.31</v>
      </c>
      <c r="J722" s="0" t="n">
        <v>44.01</v>
      </c>
      <c r="K722" s="0" t="n">
        <v>90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61</v>
      </c>
      <c r="X722" s="0" t="n">
        <v>5</v>
      </c>
      <c r="Y722" s="0" t="n">
        <v>5</v>
      </c>
      <c r="Z722" s="0" t="inlineStr">
        <is>
          <t>https://new.land.naver.com/complexes/8239?tab=detail&amp;rf=Y</t>
        </is>
      </c>
      <c r="AA722" s="0" t="inlineStr">
        <is>
          <t>인천시 계양구 효성동 99-11</t>
        </is>
      </c>
      <c r="AB722" s="0" t="inlineStr">
        <is>
          <t>인천시</t>
        </is>
      </c>
      <c r="AC722" s="0" t="inlineStr">
        <is>
          <t>계양구</t>
        </is>
      </c>
      <c r="AD722" s="0" t="inlineStr">
        <is>
          <t>효성동</t>
        </is>
      </c>
      <c r="AG722" s="0" t="inlineStr">
        <is>
          <t>인천시 계양구 안남로573번길 16</t>
        </is>
      </c>
      <c r="AH722" s="0" t="n">
        <v>0</v>
      </c>
      <c r="AI722" s="0" t="n">
        <v>139</v>
      </c>
      <c r="AJ722" s="0" t="n">
        <v>33</v>
      </c>
      <c r="AK722" s="0" t="n">
        <v>0</v>
      </c>
      <c r="AL722" s="0" t="n">
        <v>0</v>
      </c>
    </row>
    <row r="723">
      <c r="A723" s="0" t="inlineStr">
        <is>
          <t>[효성동]</t>
        </is>
      </c>
      <c r="B723" s="0" t="n">
        <v>8239</v>
      </c>
      <c r="C723" s="0" t="n">
        <v>4</v>
      </c>
      <c r="D723" s="0" t="inlineStr">
        <is>
          <t>뉴서울1차</t>
        </is>
      </c>
      <c r="E723" s="0" t="inlineStr">
        <is>
          <t>1985.06.</t>
        </is>
      </c>
      <c r="F723" s="0" t="n">
        <v>460</v>
      </c>
      <c r="G723" s="0" t="n">
        <v>20.37</v>
      </c>
      <c r="H723" s="0" t="n">
        <v>67.36</v>
      </c>
      <c r="I723" s="0" t="n">
        <v>14.81</v>
      </c>
      <c r="J723" s="0" t="n">
        <v>48.96</v>
      </c>
      <c r="K723" s="0" t="n">
        <v>100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67</v>
      </c>
      <c r="X723" s="0" t="n">
        <v>5</v>
      </c>
      <c r="Y723" s="0" t="n">
        <v>5</v>
      </c>
      <c r="Z723" s="0" t="inlineStr">
        <is>
          <t>https://new.land.naver.com/complexes/8239?tab=detail&amp;rf=Y</t>
        </is>
      </c>
      <c r="AA723" s="0" t="inlineStr">
        <is>
          <t>인천시 계양구 효성동 99-11</t>
        </is>
      </c>
      <c r="AB723" s="0" t="inlineStr">
        <is>
          <t>인천시</t>
        </is>
      </c>
      <c r="AC723" s="0" t="inlineStr">
        <is>
          <t>계양구</t>
        </is>
      </c>
      <c r="AD723" s="0" t="inlineStr">
        <is>
          <t>효성동</t>
        </is>
      </c>
      <c r="AG723" s="0" t="inlineStr">
        <is>
          <t>인천시 계양구 안남로573번길 16</t>
        </is>
      </c>
      <c r="AH723" s="0" t="n">
        <v>0</v>
      </c>
      <c r="AI723" s="0" t="n">
        <v>139</v>
      </c>
      <c r="AJ723" s="0" t="n">
        <v>33</v>
      </c>
      <c r="AK723" s="0" t="n">
        <v>0</v>
      </c>
      <c r="AL723" s="0" t="n">
        <v>0</v>
      </c>
    </row>
    <row r="724">
      <c r="A724" s="0" t="inlineStr">
        <is>
          <t>[효성동]</t>
        </is>
      </c>
      <c r="B724" s="0" t="n">
        <v>8239</v>
      </c>
      <c r="C724" s="0" t="n">
        <v>5</v>
      </c>
      <c r="D724" s="0" t="inlineStr">
        <is>
          <t>뉴서울1차</t>
        </is>
      </c>
      <c r="E724" s="0" t="inlineStr">
        <is>
          <t>1985.06.</t>
        </is>
      </c>
      <c r="F724" s="0" t="n">
        <v>460</v>
      </c>
      <c r="G724" s="0" t="n">
        <v>21.31</v>
      </c>
      <c r="H724" s="0" t="n">
        <v>70.47</v>
      </c>
      <c r="I724" s="0" t="n">
        <v>15.59</v>
      </c>
      <c r="J724" s="0" t="n">
        <v>51.57</v>
      </c>
      <c r="K724" s="0" t="n">
        <v>70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70</v>
      </c>
      <c r="X724" s="0" t="n">
        <v>5</v>
      </c>
      <c r="Y724" s="0" t="n">
        <v>5</v>
      </c>
      <c r="Z724" s="0" t="inlineStr">
        <is>
          <t>https://new.land.naver.com/complexes/8239?tab=detail&amp;rf=Y</t>
        </is>
      </c>
      <c r="AA724" s="0" t="inlineStr">
        <is>
          <t>인천시 계양구 효성동 99-11</t>
        </is>
      </c>
      <c r="AB724" s="0" t="inlineStr">
        <is>
          <t>인천시</t>
        </is>
      </c>
      <c r="AC724" s="0" t="inlineStr">
        <is>
          <t>계양구</t>
        </is>
      </c>
      <c r="AD724" s="0" t="inlineStr">
        <is>
          <t>효성동</t>
        </is>
      </c>
      <c r="AG724" s="0" t="inlineStr">
        <is>
          <t>인천시 계양구 안남로573번길 16</t>
        </is>
      </c>
      <c r="AH724" s="0" t="n">
        <v>0</v>
      </c>
      <c r="AI724" s="0" t="n">
        <v>139</v>
      </c>
      <c r="AJ724" s="0" t="n">
        <v>33</v>
      </c>
      <c r="AK724" s="0" t="n">
        <v>0</v>
      </c>
      <c r="AL724" s="0" t="n">
        <v>0</v>
      </c>
    </row>
    <row r="725">
      <c r="A725" s="0" t="inlineStr">
        <is>
          <t>[효성동]</t>
        </is>
      </c>
      <c r="B725" s="0" t="n">
        <v>2475</v>
      </c>
      <c r="C725" s="0" t="n">
        <v>1</v>
      </c>
      <c r="D725" s="0" t="inlineStr">
        <is>
          <t>풍림</t>
        </is>
      </c>
      <c r="E725" s="0" t="inlineStr">
        <is>
          <t>1997.07.</t>
        </is>
      </c>
      <c r="F725" s="0" t="n">
        <v>342</v>
      </c>
      <c r="G725" s="0" t="n">
        <v>24.55</v>
      </c>
      <c r="H725" s="0" t="n">
        <v>81.19</v>
      </c>
      <c r="I725" s="0" t="n">
        <v>18.14</v>
      </c>
      <c r="J725" s="0" t="n">
        <v>59.99</v>
      </c>
      <c r="K725" s="0" t="n">
        <v>130</v>
      </c>
      <c r="T725" s="0" t="n">
        <v>3</v>
      </c>
      <c r="U725" s="0" t="n">
        <v>1</v>
      </c>
      <c r="V725" s="0" t="inlineStr">
        <is>
          <t>계단식</t>
        </is>
      </c>
      <c r="W725" s="0" t="n">
        <v>81</v>
      </c>
      <c r="X725" s="0" t="n">
        <v>23</v>
      </c>
      <c r="Y725" s="0" t="n">
        <v>20</v>
      </c>
      <c r="Z725" s="0" t="inlineStr">
        <is>
          <t>https://new.land.naver.com/complexes/2475?tab=detail&amp;rf=Y</t>
        </is>
      </c>
      <c r="AA725" s="0" t="inlineStr">
        <is>
          <t>인천시 계양구 효성동 225-1</t>
        </is>
      </c>
      <c r="AB725" s="0" t="inlineStr">
        <is>
          <t>인천시</t>
        </is>
      </c>
      <c r="AC725" s="0" t="inlineStr">
        <is>
          <t>계양구</t>
        </is>
      </c>
      <c r="AD725" s="0" t="inlineStr">
        <is>
          <t>효성동</t>
        </is>
      </c>
      <c r="AG725" s="0" t="inlineStr">
        <is>
          <t>인천시 계양구 아나지로213번길 22</t>
        </is>
      </c>
      <c r="AH725" s="0" t="n">
        <v>0</v>
      </c>
      <c r="AI725" s="0" t="n">
        <v>360</v>
      </c>
      <c r="AJ725" s="0" t="n">
        <v>30</v>
      </c>
      <c r="AK725" s="0" t="n">
        <v>392</v>
      </c>
      <c r="AL725" s="0" t="n">
        <v>1.15</v>
      </c>
    </row>
    <row r="726">
      <c r="A726" s="0" t="inlineStr">
        <is>
          <t>[효성동]</t>
        </is>
      </c>
      <c r="B726" s="0" t="n">
        <v>2475</v>
      </c>
      <c r="C726" s="0" t="n">
        <v>2</v>
      </c>
      <c r="D726" s="0" t="inlineStr">
        <is>
          <t>풍림</t>
        </is>
      </c>
      <c r="E726" s="0" t="inlineStr">
        <is>
          <t>1997.07.</t>
        </is>
      </c>
      <c r="F726" s="0" t="n">
        <v>342</v>
      </c>
      <c r="G726" s="0" t="n">
        <v>32.84</v>
      </c>
      <c r="H726" s="0" t="n">
        <v>108.59</v>
      </c>
      <c r="I726" s="0" t="n">
        <v>25.67</v>
      </c>
      <c r="J726" s="0" t="n">
        <v>84.86</v>
      </c>
      <c r="K726" s="0" t="n">
        <v>156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23</v>
      </c>
      <c r="Y726" s="0" t="n">
        <v>20</v>
      </c>
      <c r="Z726" s="0" t="inlineStr">
        <is>
          <t>https://new.land.naver.com/complexes/2475?tab=detail&amp;rf=Y</t>
        </is>
      </c>
      <c r="AA726" s="0" t="inlineStr">
        <is>
          <t>인천시 계양구 효성동 225-1</t>
        </is>
      </c>
      <c r="AB726" s="0" t="inlineStr">
        <is>
          <t>인천시</t>
        </is>
      </c>
      <c r="AC726" s="0" t="inlineStr">
        <is>
          <t>계양구</t>
        </is>
      </c>
      <c r="AD726" s="0" t="inlineStr">
        <is>
          <t>효성동</t>
        </is>
      </c>
      <c r="AG726" s="0" t="inlineStr">
        <is>
          <t>인천시 계양구 아나지로213번길 22</t>
        </is>
      </c>
      <c r="AH726" s="0" t="n">
        <v>0</v>
      </c>
      <c r="AI726" s="0" t="n">
        <v>360</v>
      </c>
      <c r="AJ726" s="0" t="n">
        <v>30</v>
      </c>
      <c r="AK726" s="0" t="n">
        <v>392</v>
      </c>
      <c r="AL726" s="0" t="n">
        <v>1.15</v>
      </c>
    </row>
    <row r="727">
      <c r="A727" s="0" t="inlineStr">
        <is>
          <t>[효성동]</t>
        </is>
      </c>
      <c r="B727" s="0" t="n">
        <v>2475</v>
      </c>
      <c r="C727" s="0" t="n">
        <v>3</v>
      </c>
      <c r="D727" s="0" t="inlineStr">
        <is>
          <t>풍림</t>
        </is>
      </c>
      <c r="E727" s="0" t="inlineStr">
        <is>
          <t>1997.07.</t>
        </is>
      </c>
      <c r="F727" s="0" t="n">
        <v>342</v>
      </c>
      <c r="G727" s="0" t="n">
        <v>41.55</v>
      </c>
      <c r="H727" s="0" t="n">
        <v>137.37</v>
      </c>
      <c r="I727" s="0" t="n">
        <v>33.57</v>
      </c>
      <c r="J727" s="0" t="n">
        <v>110.99</v>
      </c>
      <c r="K727" s="0" t="n">
        <v>6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137</v>
      </c>
      <c r="X727" s="0" t="n">
        <v>23</v>
      </c>
      <c r="Y727" s="0" t="n">
        <v>20</v>
      </c>
      <c r="Z727" s="0" t="inlineStr">
        <is>
          <t>https://new.land.naver.com/complexes/2475?tab=detail&amp;rf=Y</t>
        </is>
      </c>
      <c r="AA727" s="0" t="inlineStr">
        <is>
          <t>인천시 계양구 효성동 225-1</t>
        </is>
      </c>
      <c r="AB727" s="0" t="inlineStr">
        <is>
          <t>인천시</t>
        </is>
      </c>
      <c r="AC727" s="0" t="inlineStr">
        <is>
          <t>계양구</t>
        </is>
      </c>
      <c r="AD727" s="0" t="inlineStr">
        <is>
          <t>효성동</t>
        </is>
      </c>
      <c r="AG727" s="0" t="inlineStr">
        <is>
          <t>인천시 계양구 아나지로213번길 22</t>
        </is>
      </c>
      <c r="AH727" s="0" t="n">
        <v>0</v>
      </c>
      <c r="AI727" s="0" t="n">
        <v>360</v>
      </c>
      <c r="AJ727" s="0" t="n">
        <v>30</v>
      </c>
      <c r="AK727" s="0" t="n">
        <v>392</v>
      </c>
      <c r="AL727" s="0" t="n">
        <v>1.15</v>
      </c>
    </row>
    <row r="728">
      <c r="A728" s="0" t="inlineStr">
        <is>
          <t>[효성동]</t>
        </is>
      </c>
      <c r="B728" s="0" t="n">
        <v>2475</v>
      </c>
      <c r="C728" s="0" t="n">
        <v>4</v>
      </c>
      <c r="D728" s="0" t="inlineStr">
        <is>
          <t>풍림</t>
        </is>
      </c>
      <c r="E728" s="0" t="inlineStr">
        <is>
          <t>1997.07.</t>
        </is>
      </c>
      <c r="F728" s="0" t="n">
        <v>342</v>
      </c>
      <c r="G728" s="0" t="n">
        <v>43.77</v>
      </c>
      <c r="H728" s="0" t="n">
        <v>144.72</v>
      </c>
      <c r="I728" s="0" t="n">
        <v>35.59</v>
      </c>
      <c r="J728" s="0" t="n">
        <v>117.66</v>
      </c>
      <c r="K728" s="0" t="n">
        <v>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144</v>
      </c>
      <c r="X728" s="0" t="n">
        <v>23</v>
      </c>
      <c r="Y728" s="0" t="n">
        <v>20</v>
      </c>
      <c r="Z728" s="0" t="inlineStr">
        <is>
          <t>https://new.land.naver.com/complexes/2475?tab=detail&amp;rf=Y</t>
        </is>
      </c>
      <c r="AA728" s="0" t="inlineStr">
        <is>
          <t>인천시 계양구 효성동 225-1</t>
        </is>
      </c>
      <c r="AB728" s="0" t="inlineStr">
        <is>
          <t>인천시</t>
        </is>
      </c>
      <c r="AC728" s="0" t="inlineStr">
        <is>
          <t>계양구</t>
        </is>
      </c>
      <c r="AD728" s="0" t="inlineStr">
        <is>
          <t>효성동</t>
        </is>
      </c>
      <c r="AG728" s="0" t="inlineStr">
        <is>
          <t>인천시 계양구 아나지로213번길 22</t>
        </is>
      </c>
      <c r="AH728" s="0" t="n">
        <v>0</v>
      </c>
      <c r="AI728" s="0" t="n">
        <v>360</v>
      </c>
      <c r="AJ728" s="0" t="n">
        <v>30</v>
      </c>
      <c r="AK728" s="0" t="n">
        <v>392</v>
      </c>
      <c r="AL728" s="0" t="n">
        <v>1.15</v>
      </c>
    </row>
    <row r="729">
      <c r="A729" s="0" t="inlineStr">
        <is>
          <t>[효성동]</t>
        </is>
      </c>
      <c r="B729" s="0" t="n">
        <v>2475</v>
      </c>
      <c r="C729" s="0" t="n">
        <v>5</v>
      </c>
      <c r="D729" s="0" t="inlineStr">
        <is>
          <t>풍림</t>
        </is>
      </c>
      <c r="E729" s="0" t="inlineStr">
        <is>
          <t>1997.07.</t>
        </is>
      </c>
      <c r="F729" s="0" t="n">
        <v>342</v>
      </c>
      <c r="G729" s="0" t="n">
        <v>56.42</v>
      </c>
      <c r="H729" s="0" t="n">
        <v>186.54</v>
      </c>
      <c r="I729" s="0" t="n">
        <v>47.07</v>
      </c>
      <c r="J729" s="0" t="n">
        <v>155.63</v>
      </c>
      <c r="K729" s="0" t="n">
        <v>8</v>
      </c>
      <c r="T729" s="0" t="n">
        <v>4</v>
      </c>
      <c r="U729" s="0" t="n">
        <v>3</v>
      </c>
      <c r="V729" s="0" t="inlineStr">
        <is>
          <t>계단식</t>
        </is>
      </c>
      <c r="W729" s="0" t="n">
        <v>186</v>
      </c>
      <c r="X729" s="0" t="n">
        <v>23</v>
      </c>
      <c r="Y729" s="0" t="n">
        <v>20</v>
      </c>
      <c r="Z729" s="0" t="inlineStr">
        <is>
          <t>https://new.land.naver.com/complexes/2475?tab=detail&amp;rf=Y</t>
        </is>
      </c>
      <c r="AA729" s="0" t="inlineStr">
        <is>
          <t>인천시 계양구 효성동 225-1</t>
        </is>
      </c>
      <c r="AB729" s="0" t="inlineStr">
        <is>
          <t>인천시</t>
        </is>
      </c>
      <c r="AC729" s="0" t="inlineStr">
        <is>
          <t>계양구</t>
        </is>
      </c>
      <c r="AD729" s="0" t="inlineStr">
        <is>
          <t>효성동</t>
        </is>
      </c>
      <c r="AG729" s="0" t="inlineStr">
        <is>
          <t>인천시 계양구 아나지로213번길 22</t>
        </is>
      </c>
      <c r="AH729" s="0" t="n">
        <v>0</v>
      </c>
      <c r="AI729" s="0" t="n">
        <v>360</v>
      </c>
      <c r="AJ729" s="0" t="n">
        <v>30</v>
      </c>
      <c r="AK729" s="0" t="n">
        <v>392</v>
      </c>
      <c r="AL729" s="0" t="n">
        <v>1.15</v>
      </c>
    </row>
    <row r="730">
      <c r="A730" s="0" t="inlineStr">
        <is>
          <t>[효성동]</t>
        </is>
      </c>
      <c r="B730" s="0" t="n">
        <v>2475</v>
      </c>
      <c r="C730" s="0" t="n">
        <v>6</v>
      </c>
      <c r="D730" s="0" t="inlineStr">
        <is>
          <t>풍림</t>
        </is>
      </c>
      <c r="E730" s="0" t="inlineStr">
        <is>
          <t>1997.07.</t>
        </is>
      </c>
      <c r="F730" s="0" t="n">
        <v>342</v>
      </c>
      <c r="G730" s="0" t="n">
        <v>72.48999999999999</v>
      </c>
      <c r="H730" s="0" t="n">
        <v>239.66</v>
      </c>
      <c r="I730" s="0" t="n">
        <v>61.66</v>
      </c>
      <c r="J730" s="0" t="n">
        <v>203.85</v>
      </c>
      <c r="K730" s="0" t="n">
        <v>2</v>
      </c>
      <c r="T730" s="0" t="n">
        <v>7</v>
      </c>
      <c r="U730" s="0" t="n">
        <v>4</v>
      </c>
      <c r="V730" s="0" t="inlineStr">
        <is>
          <t>계단식</t>
        </is>
      </c>
      <c r="W730" s="0" t="n">
        <v>239</v>
      </c>
      <c r="X730" s="0" t="n">
        <v>23</v>
      </c>
      <c r="Y730" s="0" t="n">
        <v>20</v>
      </c>
      <c r="Z730" s="0" t="inlineStr">
        <is>
          <t>https://new.land.naver.com/complexes/2475?tab=detail&amp;rf=Y</t>
        </is>
      </c>
      <c r="AA730" s="0" t="inlineStr">
        <is>
          <t>인천시 계양구 효성동 225-1</t>
        </is>
      </c>
      <c r="AB730" s="0" t="inlineStr">
        <is>
          <t>인천시</t>
        </is>
      </c>
      <c r="AC730" s="0" t="inlineStr">
        <is>
          <t>계양구</t>
        </is>
      </c>
      <c r="AD730" s="0" t="inlineStr">
        <is>
          <t>효성동</t>
        </is>
      </c>
      <c r="AG730" s="0" t="inlineStr">
        <is>
          <t>인천시 계양구 아나지로213번길 22</t>
        </is>
      </c>
      <c r="AH730" s="0" t="n">
        <v>0</v>
      </c>
      <c r="AI730" s="0" t="n">
        <v>360</v>
      </c>
      <c r="AJ730" s="0" t="n">
        <v>30</v>
      </c>
      <c r="AK730" s="0" t="n">
        <v>392</v>
      </c>
      <c r="AL730" s="0" t="n">
        <v>1.15</v>
      </c>
    </row>
    <row r="731">
      <c r="A731" s="0" t="inlineStr">
        <is>
          <t>[효성동]</t>
        </is>
      </c>
      <c r="B731" s="0" t="n">
        <v>8267</v>
      </c>
      <c r="C731" s="0" t="n">
        <v>1</v>
      </c>
      <c r="D731" s="0" t="inlineStr">
        <is>
          <t>서광</t>
        </is>
      </c>
      <c r="E731" s="0" t="inlineStr">
        <is>
          <t>1983.11.</t>
        </is>
      </c>
      <c r="F731" s="0" t="n">
        <v>140</v>
      </c>
      <c r="G731" s="0" t="n">
        <v>19.11</v>
      </c>
      <c r="H731" s="0" t="n">
        <v>63.18</v>
      </c>
      <c r="I731" s="0" t="n">
        <v>15.99</v>
      </c>
      <c r="J731" s="0" t="n">
        <v>52.86</v>
      </c>
      <c r="K731" s="0" t="n">
        <v>110</v>
      </c>
      <c r="T731" s="0" t="n">
        <v>3</v>
      </c>
      <c r="U731" s="0" t="n">
        <v>1</v>
      </c>
      <c r="V731" s="0" t="inlineStr">
        <is>
          <t>계단식</t>
        </is>
      </c>
      <c r="W731" s="0" t="n">
        <v>63</v>
      </c>
      <c r="X731" s="0" t="n">
        <v>5</v>
      </c>
      <c r="Y731" s="0" t="n">
        <v>5</v>
      </c>
      <c r="Z731" s="0" t="inlineStr">
        <is>
          <t>https://new.land.naver.com/complexes/8267?tab=detail&amp;rf=Y</t>
        </is>
      </c>
      <c r="AA731" s="0" t="inlineStr">
        <is>
          <t>인천시 계양구 효성동 236-6</t>
        </is>
      </c>
      <c r="AB731" s="0" t="inlineStr">
        <is>
          <t>인천시</t>
        </is>
      </c>
      <c r="AC731" s="0" t="inlineStr">
        <is>
          <t>계양구</t>
        </is>
      </c>
      <c r="AD731" s="0" t="inlineStr">
        <is>
          <t>효성동</t>
        </is>
      </c>
      <c r="AG731" s="0" t="inlineStr">
        <is>
          <t>인천시 계양구 아나지로197번길 24</t>
        </is>
      </c>
      <c r="AH731" s="0" t="n">
        <v>0</v>
      </c>
      <c r="AI731" s="0" t="n">
        <v>118</v>
      </c>
      <c r="AJ731" s="0" t="n">
        <v>23</v>
      </c>
      <c r="AK731" s="0" t="n">
        <v>0</v>
      </c>
      <c r="AL731" s="0" t="n">
        <v>0</v>
      </c>
    </row>
    <row r="732">
      <c r="A732" s="0" t="inlineStr">
        <is>
          <t>[효성동]</t>
        </is>
      </c>
      <c r="B732" s="0" t="n">
        <v>8267</v>
      </c>
      <c r="C732" s="0" t="n">
        <v>2</v>
      </c>
      <c r="D732" s="0" t="inlineStr">
        <is>
          <t>서광</t>
        </is>
      </c>
      <c r="E732" s="0" t="inlineStr">
        <is>
          <t>1983.11.</t>
        </is>
      </c>
      <c r="F732" s="0" t="n">
        <v>140</v>
      </c>
      <c r="G732" s="0" t="n">
        <v>22.54</v>
      </c>
      <c r="H732" s="0" t="n">
        <v>74.54000000000001</v>
      </c>
      <c r="I732" s="0" t="n">
        <v>20.03</v>
      </c>
      <c r="J732" s="0" t="n">
        <v>66.23</v>
      </c>
      <c r="K732" s="0" t="n">
        <v>30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74</v>
      </c>
      <c r="X732" s="0" t="n">
        <v>5</v>
      </c>
      <c r="Y732" s="0" t="n">
        <v>5</v>
      </c>
      <c r="Z732" s="0" t="inlineStr">
        <is>
          <t>https://new.land.naver.com/complexes/8267?tab=detail&amp;rf=Y</t>
        </is>
      </c>
      <c r="AA732" s="0" t="inlineStr">
        <is>
          <t>인천시 계양구 효성동 236-6</t>
        </is>
      </c>
      <c r="AB732" s="0" t="inlineStr">
        <is>
          <t>인천시</t>
        </is>
      </c>
      <c r="AC732" s="0" t="inlineStr">
        <is>
          <t>계양구</t>
        </is>
      </c>
      <c r="AD732" s="0" t="inlineStr">
        <is>
          <t>효성동</t>
        </is>
      </c>
      <c r="AG732" s="0" t="inlineStr">
        <is>
          <t>인천시 계양구 아나지로197번길 24</t>
        </is>
      </c>
      <c r="AH732" s="0" t="n">
        <v>0</v>
      </c>
      <c r="AI732" s="0" t="n">
        <v>118</v>
      </c>
      <c r="AJ732" s="0" t="n">
        <v>23</v>
      </c>
      <c r="AK732" s="0" t="n">
        <v>0</v>
      </c>
      <c r="AL732" s="0" t="n">
        <v>0</v>
      </c>
    </row>
    <row r="733">
      <c r="A733" s="0" t="inlineStr">
        <is>
          <t>[효성동]</t>
        </is>
      </c>
      <c r="B733" s="0" t="n">
        <v>14782</v>
      </c>
      <c r="C733" s="0" t="n">
        <v>1</v>
      </c>
      <c r="D733" s="0" t="inlineStr">
        <is>
          <t>동서</t>
        </is>
      </c>
      <c r="E733" s="0" t="inlineStr">
        <is>
          <t>1981.10.</t>
        </is>
      </c>
      <c r="F733" s="0" t="n">
        <v>112</v>
      </c>
      <c r="G733" s="0" t="n">
        <v>17.72</v>
      </c>
      <c r="H733" s="0" t="n">
        <v>58.6</v>
      </c>
      <c r="I733" s="0" t="n">
        <v>13.14</v>
      </c>
      <c r="J733" s="0" t="n">
        <v>43.45</v>
      </c>
      <c r="K733" s="0" t="n">
        <v>50</v>
      </c>
      <c r="T733" s="0" t="n">
        <v>2</v>
      </c>
      <c r="U733" s="0" t="n">
        <v>1</v>
      </c>
      <c r="V733" s="0" t="inlineStr">
        <is>
          <t>복합식</t>
        </is>
      </c>
      <c r="W733" s="0" t="n">
        <v>58</v>
      </c>
      <c r="X733" s="0" t="n">
        <v>6</v>
      </c>
      <c r="Y733" s="0" t="n">
        <v>5</v>
      </c>
      <c r="Z733" s="0" t="inlineStr">
        <is>
          <t>https://new.land.naver.com/complexes/14782?tab=detail&amp;rf=Y</t>
        </is>
      </c>
      <c r="AA733" s="0" t="inlineStr">
        <is>
          <t>인천시 계양구 효성동 21-6</t>
        </is>
      </c>
      <c r="AB733" s="0" t="inlineStr">
        <is>
          <t>인천시</t>
        </is>
      </c>
      <c r="AC733" s="0" t="inlineStr">
        <is>
          <t>계양구</t>
        </is>
      </c>
      <c r="AD733" s="0" t="inlineStr">
        <is>
          <t>효성동</t>
        </is>
      </c>
      <c r="AG733" s="0" t="inlineStr">
        <is>
          <t>인천시 계양구 길마로 57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[효성동]</t>
        </is>
      </c>
      <c r="B734" s="0" t="n">
        <v>14782</v>
      </c>
      <c r="C734" s="0" t="n">
        <v>2</v>
      </c>
      <c r="D734" s="0" t="inlineStr">
        <is>
          <t>동서</t>
        </is>
      </c>
      <c r="E734" s="0" t="inlineStr">
        <is>
          <t>1981.10.</t>
        </is>
      </c>
      <c r="F734" s="0" t="n">
        <v>112</v>
      </c>
      <c r="G734" s="0" t="n">
        <v>18.91</v>
      </c>
      <c r="H734" s="0" t="n">
        <v>62.54</v>
      </c>
      <c r="I734" s="0" t="n">
        <v>15.96</v>
      </c>
      <c r="J734" s="0" t="n">
        <v>52.79</v>
      </c>
      <c r="K734" s="0" t="n">
        <v>40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62B</t>
        </is>
      </c>
      <c r="X734" s="0" t="n">
        <v>6</v>
      </c>
      <c r="Y734" s="0" t="n">
        <v>5</v>
      </c>
      <c r="Z734" s="0" t="inlineStr">
        <is>
          <t>https://new.land.naver.com/complexes/14782?tab=detail&amp;rf=Y</t>
        </is>
      </c>
      <c r="AA734" s="0" t="inlineStr">
        <is>
          <t>인천시 계양구 효성동 21-6</t>
        </is>
      </c>
      <c r="AB734" s="0" t="inlineStr">
        <is>
          <t>인천시</t>
        </is>
      </c>
      <c r="AC734" s="0" t="inlineStr">
        <is>
          <t>계양구</t>
        </is>
      </c>
      <c r="AD734" s="0" t="inlineStr">
        <is>
          <t>효성동</t>
        </is>
      </c>
      <c r="AG734" s="0" t="inlineStr">
        <is>
          <t>인천시 계양구 길마로 57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[효성동]</t>
        </is>
      </c>
      <c r="B735" s="0" t="n">
        <v>14782</v>
      </c>
      <c r="C735" s="0" t="n">
        <v>3</v>
      </c>
      <c r="D735" s="0" t="inlineStr">
        <is>
          <t>동서</t>
        </is>
      </c>
      <c r="E735" s="0" t="inlineStr">
        <is>
          <t>1981.10.</t>
        </is>
      </c>
      <c r="F735" s="0" t="n">
        <v>112</v>
      </c>
      <c r="G735" s="0" t="n">
        <v>18.9</v>
      </c>
      <c r="H735" s="0" t="n">
        <v>62.51</v>
      </c>
      <c r="I735" s="0" t="n">
        <v>15.95</v>
      </c>
      <c r="J735" s="0" t="n">
        <v>52.76</v>
      </c>
      <c r="K735" s="0" t="n">
        <v>10</v>
      </c>
      <c r="T735" s="0" t="n">
        <v>2</v>
      </c>
      <c r="U735" s="0" t="n">
        <v>1</v>
      </c>
      <c r="V735" s="0" t="inlineStr">
        <is>
          <t>계단식</t>
        </is>
      </c>
      <c r="W735" s="0" t="inlineStr">
        <is>
          <t>62A</t>
        </is>
      </c>
      <c r="X735" s="0" t="n">
        <v>6</v>
      </c>
      <c r="Y735" s="0" t="n">
        <v>5</v>
      </c>
      <c r="Z735" s="0" t="inlineStr">
        <is>
          <t>https://new.land.naver.com/complexes/14782?tab=detail&amp;rf=Y</t>
        </is>
      </c>
      <c r="AA735" s="0" t="inlineStr">
        <is>
          <t>인천시 계양구 효성동 21-6</t>
        </is>
      </c>
      <c r="AB735" s="0" t="inlineStr">
        <is>
          <t>인천시</t>
        </is>
      </c>
      <c r="AC735" s="0" t="inlineStr">
        <is>
          <t>계양구</t>
        </is>
      </c>
      <c r="AD735" s="0" t="inlineStr">
        <is>
          <t>효성동</t>
        </is>
      </c>
      <c r="AG735" s="0" t="inlineStr">
        <is>
          <t>인천시 계양구 길마로 57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[효성동]</t>
        </is>
      </c>
      <c r="B736" s="0" t="n">
        <v>14782</v>
      </c>
      <c r="C736" s="0" t="n">
        <v>4</v>
      </c>
      <c r="D736" s="0" t="inlineStr">
        <is>
          <t>동서</t>
        </is>
      </c>
      <c r="E736" s="0" t="inlineStr">
        <is>
          <t>1981.10.</t>
        </is>
      </c>
      <c r="F736" s="0" t="n">
        <v>112</v>
      </c>
      <c r="G736" s="0" t="n">
        <v>22.86</v>
      </c>
      <c r="H736" s="0" t="n">
        <v>75.58</v>
      </c>
      <c r="I736" s="0" t="n">
        <v>17.87</v>
      </c>
      <c r="J736" s="0" t="n">
        <v>59.1</v>
      </c>
      <c r="K736" s="0" t="n">
        <v>12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75</v>
      </c>
      <c r="X736" s="0" t="n">
        <v>6</v>
      </c>
      <c r="Y736" s="0" t="n">
        <v>5</v>
      </c>
      <c r="Z736" s="0" t="inlineStr">
        <is>
          <t>https://new.land.naver.com/complexes/14782?tab=detail&amp;rf=Y</t>
        </is>
      </c>
      <c r="AA736" s="0" t="inlineStr">
        <is>
          <t>인천시 계양구 효성동 21-6</t>
        </is>
      </c>
      <c r="AB736" s="0" t="inlineStr">
        <is>
          <t>인천시</t>
        </is>
      </c>
      <c r="AC736" s="0" t="inlineStr">
        <is>
          <t>계양구</t>
        </is>
      </c>
      <c r="AD736" s="0" t="inlineStr">
        <is>
          <t>효성동</t>
        </is>
      </c>
      <c r="AG736" s="0" t="inlineStr">
        <is>
          <t>인천시 계양구 길마로 57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[효성동]</t>
        </is>
      </c>
      <c r="B737" s="0" t="n">
        <v>8234</v>
      </c>
      <c r="C737" s="0" t="n">
        <v>1</v>
      </c>
      <c r="D737" s="0" t="inlineStr">
        <is>
          <t>동아</t>
        </is>
      </c>
      <c r="E737" s="0" t="inlineStr">
        <is>
          <t>1986.05.</t>
        </is>
      </c>
      <c r="F737" s="0" t="n">
        <v>270</v>
      </c>
      <c r="G737" s="0" t="n">
        <v>17.4</v>
      </c>
      <c r="H737" s="0" t="n">
        <v>57.54</v>
      </c>
      <c r="I737" s="0" t="n">
        <v>13.66</v>
      </c>
      <c r="J737" s="0" t="n">
        <v>45.18</v>
      </c>
      <c r="K737" s="0" t="n">
        <v>140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57</v>
      </c>
      <c r="X737" s="0" t="n">
        <v>5</v>
      </c>
      <c r="Y737" s="0" t="n">
        <v>5</v>
      </c>
      <c r="Z737" s="0" t="inlineStr">
        <is>
          <t>https://new.land.naver.com/complexes/8234?tab=detail&amp;rf=Y</t>
        </is>
      </c>
      <c r="AA737" s="0" t="inlineStr">
        <is>
          <t>인천시 계양구 효성동 286</t>
        </is>
      </c>
      <c r="AB737" s="0" t="inlineStr">
        <is>
          <t>인천시</t>
        </is>
      </c>
      <c r="AC737" s="0" t="inlineStr">
        <is>
          <t>계양구</t>
        </is>
      </c>
      <c r="AD737" s="0" t="inlineStr">
        <is>
          <t>효성동</t>
        </is>
      </c>
      <c r="AG737" s="0" t="inlineStr">
        <is>
          <t>인천시 계양구 새벌로 159</t>
        </is>
      </c>
      <c r="AH737" s="0" t="n">
        <v>0</v>
      </c>
      <c r="AI737" s="0" t="n">
        <v>140</v>
      </c>
      <c r="AJ737" s="0" t="n">
        <v>29</v>
      </c>
      <c r="AK737" s="0" t="n">
        <v>0</v>
      </c>
      <c r="AL737" s="0" t="n">
        <v>0</v>
      </c>
    </row>
    <row r="738">
      <c r="A738" s="0" t="inlineStr">
        <is>
          <t>[효성동]</t>
        </is>
      </c>
      <c r="B738" s="0" t="n">
        <v>8234</v>
      </c>
      <c r="C738" s="0" t="n">
        <v>2</v>
      </c>
      <c r="D738" s="0" t="inlineStr">
        <is>
          <t>동아</t>
        </is>
      </c>
      <c r="E738" s="0" t="inlineStr">
        <is>
          <t>1986.05.</t>
        </is>
      </c>
      <c r="F738" s="0" t="n">
        <v>270</v>
      </c>
      <c r="G738" s="0" t="n">
        <v>20.11</v>
      </c>
      <c r="H738" s="0" t="n">
        <v>66.51000000000001</v>
      </c>
      <c r="I738" s="0" t="n">
        <v>15.99</v>
      </c>
      <c r="J738" s="0" t="n">
        <v>52.89</v>
      </c>
      <c r="K738" s="0" t="n">
        <v>120</v>
      </c>
      <c r="T738" s="0" t="n">
        <v>3</v>
      </c>
      <c r="U738" s="0" t="n">
        <v>1</v>
      </c>
      <c r="V738" s="0" t="inlineStr">
        <is>
          <t>계단식</t>
        </is>
      </c>
      <c r="W738" s="0" t="n">
        <v>66</v>
      </c>
      <c r="X738" s="0" t="n">
        <v>5</v>
      </c>
      <c r="Y738" s="0" t="n">
        <v>5</v>
      </c>
      <c r="Z738" s="0" t="inlineStr">
        <is>
          <t>https://new.land.naver.com/complexes/8234?tab=detail&amp;rf=Y</t>
        </is>
      </c>
      <c r="AA738" s="0" t="inlineStr">
        <is>
          <t>인천시 계양구 효성동 286</t>
        </is>
      </c>
      <c r="AB738" s="0" t="inlineStr">
        <is>
          <t>인천시</t>
        </is>
      </c>
      <c r="AC738" s="0" t="inlineStr">
        <is>
          <t>계양구</t>
        </is>
      </c>
      <c r="AD738" s="0" t="inlineStr">
        <is>
          <t>효성동</t>
        </is>
      </c>
      <c r="AG738" s="0" t="inlineStr">
        <is>
          <t>인천시 계양구 새벌로 159</t>
        </is>
      </c>
      <c r="AH738" s="0" t="n">
        <v>0</v>
      </c>
      <c r="AI738" s="0" t="n">
        <v>140</v>
      </c>
      <c r="AJ738" s="0" t="n">
        <v>29</v>
      </c>
      <c r="AK738" s="0" t="n">
        <v>0</v>
      </c>
      <c r="AL738" s="0" t="n">
        <v>0</v>
      </c>
    </row>
    <row r="739">
      <c r="A739" s="0" t="inlineStr">
        <is>
          <t>[효성동]</t>
        </is>
      </c>
      <c r="B739" s="0" t="n">
        <v>8234</v>
      </c>
      <c r="C739" s="0" t="n">
        <v>3</v>
      </c>
      <c r="D739" s="0" t="inlineStr">
        <is>
          <t>동아</t>
        </is>
      </c>
      <c r="E739" s="0" t="inlineStr">
        <is>
          <t>1986.05.</t>
        </is>
      </c>
      <c r="F739" s="0" t="n">
        <v>270</v>
      </c>
      <c r="G739" s="0" t="n">
        <v>21.47</v>
      </c>
      <c r="H739" s="0" t="n">
        <v>70.98</v>
      </c>
      <c r="I739" s="0" t="n">
        <v>15.77</v>
      </c>
      <c r="J739" s="0" t="n">
        <v>52.14</v>
      </c>
      <c r="K739" s="0" t="n">
        <v>5</v>
      </c>
      <c r="T739" s="0" t="n">
        <v>2</v>
      </c>
      <c r="U739" s="0" t="n">
        <v>1</v>
      </c>
      <c r="V739" s="0" t="inlineStr">
        <is>
          <t>복합식</t>
        </is>
      </c>
      <c r="W739" s="0" t="n">
        <v>70</v>
      </c>
      <c r="X739" s="0" t="n">
        <v>5</v>
      </c>
      <c r="Y739" s="0" t="n">
        <v>5</v>
      </c>
      <c r="Z739" s="0" t="inlineStr">
        <is>
          <t>https://new.land.naver.com/complexes/8234?tab=detail&amp;rf=Y</t>
        </is>
      </c>
      <c r="AA739" s="0" t="inlineStr">
        <is>
          <t>인천시 계양구 효성동 286</t>
        </is>
      </c>
      <c r="AB739" s="0" t="inlineStr">
        <is>
          <t>인천시</t>
        </is>
      </c>
      <c r="AC739" s="0" t="inlineStr">
        <is>
          <t>계양구</t>
        </is>
      </c>
      <c r="AD739" s="0" t="inlineStr">
        <is>
          <t>효성동</t>
        </is>
      </c>
      <c r="AG739" s="0" t="inlineStr">
        <is>
          <t>인천시 계양구 새벌로 159</t>
        </is>
      </c>
      <c r="AH739" s="0" t="n">
        <v>0</v>
      </c>
      <c r="AI739" s="0" t="n">
        <v>140</v>
      </c>
      <c r="AJ739" s="0" t="n">
        <v>29</v>
      </c>
      <c r="AK739" s="0" t="n">
        <v>0</v>
      </c>
      <c r="AL739" s="0" t="n">
        <v>0</v>
      </c>
    </row>
    <row r="740">
      <c r="A740" s="0" t="inlineStr">
        <is>
          <t>[효성동]</t>
        </is>
      </c>
      <c r="B740" s="0" t="n">
        <v>8234</v>
      </c>
      <c r="C740" s="0" t="n">
        <v>4</v>
      </c>
      <c r="D740" s="0" t="inlineStr">
        <is>
          <t>동아</t>
        </is>
      </c>
      <c r="E740" s="0" t="inlineStr">
        <is>
          <t>1986.05.</t>
        </is>
      </c>
      <c r="F740" s="0" t="n">
        <v>270</v>
      </c>
      <c r="G740" s="0" t="n">
        <v>23.47</v>
      </c>
      <c r="H740" s="0" t="n">
        <v>77.59999999999999</v>
      </c>
      <c r="I740" s="0" t="n">
        <v>17.63</v>
      </c>
      <c r="J740" s="0" t="n">
        <v>58.29</v>
      </c>
      <c r="K740" s="0" t="n">
        <v>5</v>
      </c>
      <c r="T740" s="0" t="n">
        <v>3</v>
      </c>
      <c r="U740" s="0" t="n">
        <v>1</v>
      </c>
      <c r="V740" s="0" t="inlineStr">
        <is>
          <t>계단식</t>
        </is>
      </c>
      <c r="W740" s="0" t="n">
        <v>77</v>
      </c>
      <c r="X740" s="0" t="n">
        <v>5</v>
      </c>
      <c r="Y740" s="0" t="n">
        <v>5</v>
      </c>
      <c r="Z740" s="0" t="inlineStr">
        <is>
          <t>https://new.land.naver.com/complexes/8234?tab=detail&amp;rf=Y</t>
        </is>
      </c>
      <c r="AA740" s="0" t="inlineStr">
        <is>
          <t>인천시 계양구 효성동 286</t>
        </is>
      </c>
      <c r="AB740" s="0" t="inlineStr">
        <is>
          <t>인천시</t>
        </is>
      </c>
      <c r="AC740" s="0" t="inlineStr">
        <is>
          <t>계양구</t>
        </is>
      </c>
      <c r="AD740" s="0" t="inlineStr">
        <is>
          <t>효성동</t>
        </is>
      </c>
      <c r="AG740" s="0" t="inlineStr">
        <is>
          <t>인천시 계양구 새벌로 159</t>
        </is>
      </c>
      <c r="AH740" s="0" t="n">
        <v>0</v>
      </c>
      <c r="AI740" s="0" t="n">
        <v>140</v>
      </c>
      <c r="AJ740" s="0" t="n">
        <v>29</v>
      </c>
      <c r="AK740" s="0" t="n">
        <v>0</v>
      </c>
      <c r="AL740" s="0" t="n">
        <v>0</v>
      </c>
    </row>
    <row r="741">
      <c r="A741" s="0" t="inlineStr">
        <is>
          <t>[효성동]</t>
        </is>
      </c>
      <c r="B741" s="0" t="n">
        <v>10366</v>
      </c>
      <c r="C741" s="0" t="n">
        <v>1</v>
      </c>
      <c r="D741" s="0" t="inlineStr">
        <is>
          <t>대신</t>
        </is>
      </c>
      <c r="E741" s="0" t="inlineStr">
        <is>
          <t>1989.06.</t>
        </is>
      </c>
      <c r="F741" s="0" t="n">
        <v>120</v>
      </c>
      <c r="G741" s="0" t="n">
        <v>17.76</v>
      </c>
      <c r="H741" s="0" t="n">
        <v>58.73</v>
      </c>
      <c r="I741" s="0" t="n">
        <v>11.96</v>
      </c>
      <c r="J741" s="0" t="n">
        <v>39.54</v>
      </c>
      <c r="K741" s="0" t="n">
        <v>90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58</v>
      </c>
      <c r="X741" s="0" t="n">
        <v>6</v>
      </c>
      <c r="Y741" s="0" t="n">
        <v>6</v>
      </c>
      <c r="Z741" s="0" t="inlineStr">
        <is>
          <t>https://new.land.naver.com/complexes/10366?tab=detail&amp;rf=Y</t>
        </is>
      </c>
      <c r="AA741" s="0" t="inlineStr">
        <is>
          <t>인천시 계양구 효성동 69-4</t>
        </is>
      </c>
      <c r="AB741" s="0" t="inlineStr">
        <is>
          <t>인천시</t>
        </is>
      </c>
      <c r="AC741" s="0" t="inlineStr">
        <is>
          <t>계양구</t>
        </is>
      </c>
      <c r="AD741" s="0" t="inlineStr">
        <is>
          <t>효성동</t>
        </is>
      </c>
      <c r="AG741" s="0" t="inlineStr">
        <is>
          <t>인천시 계양구 안남로 526</t>
        </is>
      </c>
      <c r="AH741" s="0" t="n">
        <v>0</v>
      </c>
      <c r="AI741" s="0" t="n">
        <v>172</v>
      </c>
      <c r="AJ741" s="0" t="n">
        <v>29</v>
      </c>
      <c r="AK741" s="0" t="n">
        <v>27</v>
      </c>
      <c r="AL741" s="0" t="n">
        <v>0.23</v>
      </c>
    </row>
    <row r="742">
      <c r="A742" s="0" t="inlineStr">
        <is>
          <t>[효성동]</t>
        </is>
      </c>
      <c r="B742" s="0" t="n">
        <v>10366</v>
      </c>
      <c r="C742" s="0" t="n">
        <v>2</v>
      </c>
      <c r="D742" s="0" t="inlineStr">
        <is>
          <t>대신</t>
        </is>
      </c>
      <c r="E742" s="0" t="inlineStr">
        <is>
          <t>1989.06.</t>
        </is>
      </c>
      <c r="F742" s="0" t="n">
        <v>120</v>
      </c>
      <c r="G742" s="0" t="n">
        <v>20.57</v>
      </c>
      <c r="H742" s="0" t="n">
        <v>68.03</v>
      </c>
      <c r="I742" s="0" t="n">
        <v>14.06</v>
      </c>
      <c r="J742" s="0" t="n">
        <v>46.5</v>
      </c>
      <c r="K742" s="0" t="n">
        <v>18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68A</t>
        </is>
      </c>
      <c r="X742" s="0" t="n">
        <v>6</v>
      </c>
      <c r="Y742" s="0" t="n">
        <v>6</v>
      </c>
      <c r="Z742" s="0" t="inlineStr">
        <is>
          <t>https://new.land.naver.com/complexes/10366?tab=detail&amp;rf=Y</t>
        </is>
      </c>
      <c r="AA742" s="0" t="inlineStr">
        <is>
          <t>인천시 계양구 효성동 69-4</t>
        </is>
      </c>
      <c r="AB742" s="0" t="inlineStr">
        <is>
          <t>인천시</t>
        </is>
      </c>
      <c r="AC742" s="0" t="inlineStr">
        <is>
          <t>계양구</t>
        </is>
      </c>
      <c r="AD742" s="0" t="inlineStr">
        <is>
          <t>효성동</t>
        </is>
      </c>
      <c r="AG742" s="0" t="inlineStr">
        <is>
          <t>인천시 계양구 안남로 526</t>
        </is>
      </c>
      <c r="AH742" s="0" t="n">
        <v>0</v>
      </c>
      <c r="AI742" s="0" t="n">
        <v>172</v>
      </c>
      <c r="AJ742" s="0" t="n">
        <v>29</v>
      </c>
      <c r="AK742" s="0" t="n">
        <v>27</v>
      </c>
      <c r="AL742" s="0" t="n">
        <v>0.23</v>
      </c>
    </row>
    <row r="743">
      <c r="A743" s="0" t="inlineStr">
        <is>
          <t>[효성동]</t>
        </is>
      </c>
      <c r="B743" s="0" t="n">
        <v>10366</v>
      </c>
      <c r="C743" s="0" t="n">
        <v>3</v>
      </c>
      <c r="D743" s="0" t="inlineStr">
        <is>
          <t>대신</t>
        </is>
      </c>
      <c r="E743" s="0" t="inlineStr">
        <is>
          <t>1989.06.</t>
        </is>
      </c>
      <c r="F743" s="0" t="n">
        <v>120</v>
      </c>
      <c r="G743" s="0" t="n">
        <v>21.05</v>
      </c>
      <c r="H743" s="0" t="n">
        <v>69.59</v>
      </c>
      <c r="I743" s="0" t="n">
        <v>14.44</v>
      </c>
      <c r="J743" s="0" t="n">
        <v>47.76</v>
      </c>
      <c r="K743" s="0" t="n">
        <v>6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69B</t>
        </is>
      </c>
      <c r="X743" s="0" t="n">
        <v>6</v>
      </c>
      <c r="Y743" s="0" t="n">
        <v>6</v>
      </c>
      <c r="Z743" s="0" t="inlineStr">
        <is>
          <t>https://new.land.naver.com/complexes/10366?tab=detail&amp;rf=Y</t>
        </is>
      </c>
      <c r="AA743" s="0" t="inlineStr">
        <is>
          <t>인천시 계양구 효성동 69-4</t>
        </is>
      </c>
      <c r="AB743" s="0" t="inlineStr">
        <is>
          <t>인천시</t>
        </is>
      </c>
      <c r="AC743" s="0" t="inlineStr">
        <is>
          <t>계양구</t>
        </is>
      </c>
      <c r="AD743" s="0" t="inlineStr">
        <is>
          <t>효성동</t>
        </is>
      </c>
      <c r="AG743" s="0" t="inlineStr">
        <is>
          <t>인천시 계양구 안남로 526</t>
        </is>
      </c>
      <c r="AH743" s="0" t="n">
        <v>0</v>
      </c>
      <c r="AI743" s="0" t="n">
        <v>172</v>
      </c>
      <c r="AJ743" s="0" t="n">
        <v>29</v>
      </c>
      <c r="AK743" s="0" t="n">
        <v>27</v>
      </c>
      <c r="AL743" s="0" t="n">
        <v>0.23</v>
      </c>
    </row>
    <row r="744">
      <c r="A744" s="0" t="inlineStr">
        <is>
          <t>[효성동]</t>
        </is>
      </c>
      <c r="B744" s="0" t="n">
        <v>10366</v>
      </c>
      <c r="C744" s="0" t="n">
        <v>4</v>
      </c>
      <c r="D744" s="0" t="inlineStr">
        <is>
          <t>대신</t>
        </is>
      </c>
      <c r="E744" s="0" t="inlineStr">
        <is>
          <t>1989.06.</t>
        </is>
      </c>
      <c r="F744" s="0" t="n">
        <v>120</v>
      </c>
      <c r="G744" s="0" t="n">
        <v>21.27</v>
      </c>
      <c r="H744" s="0" t="n">
        <v>70.34</v>
      </c>
      <c r="I744" s="0" t="n">
        <v>14.58</v>
      </c>
      <c r="J744" s="0" t="n">
        <v>48.23</v>
      </c>
      <c r="K744" s="0" t="n">
        <v>6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70C</t>
        </is>
      </c>
      <c r="X744" s="0" t="n">
        <v>6</v>
      </c>
      <c r="Y744" s="0" t="n">
        <v>6</v>
      </c>
      <c r="Z744" s="0" t="inlineStr">
        <is>
          <t>https://new.land.naver.com/complexes/10366?tab=detail&amp;rf=Y</t>
        </is>
      </c>
      <c r="AA744" s="0" t="inlineStr">
        <is>
          <t>인천시 계양구 효성동 69-4</t>
        </is>
      </c>
      <c r="AB744" s="0" t="inlineStr">
        <is>
          <t>인천시</t>
        </is>
      </c>
      <c r="AC744" s="0" t="inlineStr">
        <is>
          <t>계양구</t>
        </is>
      </c>
      <c r="AD744" s="0" t="inlineStr">
        <is>
          <t>효성동</t>
        </is>
      </c>
      <c r="AG744" s="0" t="inlineStr">
        <is>
          <t>인천시 계양구 안남로 526</t>
        </is>
      </c>
      <c r="AH744" s="0" t="n">
        <v>0</v>
      </c>
      <c r="AI744" s="0" t="n">
        <v>172</v>
      </c>
      <c r="AJ744" s="0" t="n">
        <v>29</v>
      </c>
      <c r="AK744" s="0" t="n">
        <v>27</v>
      </c>
      <c r="AL744" s="0" t="n">
        <v>0.23</v>
      </c>
    </row>
    <row r="745">
      <c r="A745" s="0" t="inlineStr">
        <is>
          <t>[효성동]</t>
        </is>
      </c>
      <c r="B745" s="0" t="n">
        <v>2474</v>
      </c>
      <c r="C745" s="0" t="n">
        <v>1</v>
      </c>
      <c r="D745" s="0" t="inlineStr">
        <is>
          <t>중앙공영</t>
        </is>
      </c>
      <c r="E745" s="0" t="inlineStr">
        <is>
          <t>1989.11.</t>
        </is>
      </c>
      <c r="F745" s="0" t="n">
        <v>168</v>
      </c>
      <c r="G745" s="0" t="n">
        <v>16.47</v>
      </c>
      <c r="H745" s="0" t="n">
        <v>54.45</v>
      </c>
      <c r="I745" s="0" t="n">
        <v>12.51</v>
      </c>
      <c r="J745" s="0" t="n">
        <v>41.37</v>
      </c>
      <c r="K745" s="0" t="n">
        <v>42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54</v>
      </c>
      <c r="X745" s="0" t="n">
        <v>6</v>
      </c>
      <c r="Y745" s="0" t="n">
        <v>6</v>
      </c>
      <c r="Z745" s="0" t="inlineStr">
        <is>
          <t>https://new.land.naver.com/complexes/2474?tab=detail&amp;rf=Y</t>
        </is>
      </c>
      <c r="AA745" s="0" t="inlineStr">
        <is>
          <t>인천시 계양구 효성동 293-1</t>
        </is>
      </c>
      <c r="AB745" s="0" t="inlineStr">
        <is>
          <t>인천시</t>
        </is>
      </c>
      <c r="AC745" s="0" t="inlineStr">
        <is>
          <t>계양구</t>
        </is>
      </c>
      <c r="AD745" s="0" t="inlineStr">
        <is>
          <t>효성동</t>
        </is>
      </c>
      <c r="AG745" s="0" t="inlineStr">
        <is>
          <t>인천시 계양구 봉오대로628번길 8</t>
        </is>
      </c>
      <c r="AH745" s="0" t="n">
        <v>0</v>
      </c>
      <c r="AI745" s="0" t="n">
        <v>152</v>
      </c>
      <c r="AJ745" s="0" t="n">
        <v>28</v>
      </c>
      <c r="AK745" s="0" t="n">
        <v>50</v>
      </c>
      <c r="AL745" s="0" t="n">
        <v>0.3</v>
      </c>
    </row>
    <row r="746">
      <c r="A746" s="0" t="inlineStr">
        <is>
          <t>[효성동]</t>
        </is>
      </c>
      <c r="B746" s="0" t="n">
        <v>2474</v>
      </c>
      <c r="C746" s="0" t="n">
        <v>2</v>
      </c>
      <c r="D746" s="0" t="inlineStr">
        <is>
          <t>중앙공영</t>
        </is>
      </c>
      <c r="E746" s="0" t="inlineStr">
        <is>
          <t>1989.11.</t>
        </is>
      </c>
      <c r="F746" s="0" t="n">
        <v>168</v>
      </c>
      <c r="G746" s="0" t="n">
        <v>19.68</v>
      </c>
      <c r="H746" s="0" t="n">
        <v>65.06</v>
      </c>
      <c r="I746" s="0" t="n">
        <v>15.25</v>
      </c>
      <c r="J746" s="0" t="n">
        <v>50.43</v>
      </c>
      <c r="K746" s="0" t="n">
        <v>6</v>
      </c>
      <c r="T746" s="0" t="n">
        <v>2</v>
      </c>
      <c r="U746" s="0" t="n">
        <v>1</v>
      </c>
      <c r="V746" s="0" t="inlineStr">
        <is>
          <t>계단식</t>
        </is>
      </c>
      <c r="W746" s="0" t="n">
        <v>65</v>
      </c>
      <c r="X746" s="0" t="n">
        <v>6</v>
      </c>
      <c r="Y746" s="0" t="n">
        <v>6</v>
      </c>
      <c r="Z746" s="0" t="inlineStr">
        <is>
          <t>https://new.land.naver.com/complexes/2474?tab=detail&amp;rf=Y</t>
        </is>
      </c>
      <c r="AA746" s="0" t="inlineStr">
        <is>
          <t>인천시 계양구 효성동 293-1</t>
        </is>
      </c>
      <c r="AB746" s="0" t="inlineStr">
        <is>
          <t>인천시</t>
        </is>
      </c>
      <c r="AC746" s="0" t="inlineStr">
        <is>
          <t>계양구</t>
        </is>
      </c>
      <c r="AD746" s="0" t="inlineStr">
        <is>
          <t>효성동</t>
        </is>
      </c>
      <c r="AG746" s="0" t="inlineStr">
        <is>
          <t>인천시 계양구 봉오대로628번길 8</t>
        </is>
      </c>
      <c r="AH746" s="0" t="n">
        <v>0</v>
      </c>
      <c r="AI746" s="0" t="n">
        <v>152</v>
      </c>
      <c r="AJ746" s="0" t="n">
        <v>28</v>
      </c>
      <c r="AK746" s="0" t="n">
        <v>50</v>
      </c>
      <c r="AL746" s="0" t="n">
        <v>0.3</v>
      </c>
    </row>
    <row r="747">
      <c r="A747" s="0" t="inlineStr">
        <is>
          <t>[효성동]</t>
        </is>
      </c>
      <c r="B747" s="0" t="n">
        <v>2474</v>
      </c>
      <c r="C747" s="0" t="n">
        <v>3</v>
      </c>
      <c r="D747" s="0" t="inlineStr">
        <is>
          <t>중앙공영</t>
        </is>
      </c>
      <c r="E747" s="0" t="inlineStr">
        <is>
          <t>1989.11.</t>
        </is>
      </c>
      <c r="F747" s="0" t="n">
        <v>168</v>
      </c>
      <c r="G747" s="0" t="n">
        <v>21.91</v>
      </c>
      <c r="H747" s="0" t="n">
        <v>72.43000000000001</v>
      </c>
      <c r="I747" s="0" t="n">
        <v>17.15</v>
      </c>
      <c r="J747" s="0" t="n">
        <v>56.72</v>
      </c>
      <c r="K747" s="0" t="n">
        <v>114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72</v>
      </c>
      <c r="X747" s="0" t="n">
        <v>6</v>
      </c>
      <c r="Y747" s="0" t="n">
        <v>6</v>
      </c>
      <c r="Z747" s="0" t="inlineStr">
        <is>
          <t>https://new.land.naver.com/complexes/2474?tab=detail&amp;rf=Y</t>
        </is>
      </c>
      <c r="AA747" s="0" t="inlineStr">
        <is>
          <t>인천시 계양구 효성동 293-1</t>
        </is>
      </c>
      <c r="AB747" s="0" t="inlineStr">
        <is>
          <t>인천시</t>
        </is>
      </c>
      <c r="AC747" s="0" t="inlineStr">
        <is>
          <t>계양구</t>
        </is>
      </c>
      <c r="AD747" s="0" t="inlineStr">
        <is>
          <t>효성동</t>
        </is>
      </c>
      <c r="AG747" s="0" t="inlineStr">
        <is>
          <t>인천시 계양구 봉오대로628번길 8</t>
        </is>
      </c>
      <c r="AH747" s="0" t="n">
        <v>0</v>
      </c>
      <c r="AI747" s="0" t="n">
        <v>152</v>
      </c>
      <c r="AJ747" s="0" t="n">
        <v>28</v>
      </c>
      <c r="AK747" s="0" t="n">
        <v>50</v>
      </c>
      <c r="AL747" s="0" t="n">
        <v>0.3</v>
      </c>
    </row>
    <row r="748">
      <c r="A748" s="0" t="inlineStr">
        <is>
          <t>[효성동]</t>
        </is>
      </c>
      <c r="B748" s="0" t="n">
        <v>2474</v>
      </c>
      <c r="C748" s="0" t="n">
        <v>4</v>
      </c>
      <c r="D748" s="0" t="inlineStr">
        <is>
          <t>중앙공영</t>
        </is>
      </c>
      <c r="E748" s="0" t="inlineStr">
        <is>
          <t>1989.11.</t>
        </is>
      </c>
      <c r="F748" s="0" t="n">
        <v>168</v>
      </c>
      <c r="G748" s="0" t="n">
        <v>23.02</v>
      </c>
      <c r="H748" s="0" t="n">
        <v>76.13</v>
      </c>
      <c r="I748" s="0" t="n">
        <v>18.11</v>
      </c>
      <c r="J748" s="0" t="n">
        <v>59.88</v>
      </c>
      <c r="K748" s="0" t="n">
        <v>6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76</v>
      </c>
      <c r="X748" s="0" t="n">
        <v>6</v>
      </c>
      <c r="Y748" s="0" t="n">
        <v>6</v>
      </c>
      <c r="Z748" s="0" t="inlineStr">
        <is>
          <t>https://new.land.naver.com/complexes/2474?tab=detail&amp;rf=Y</t>
        </is>
      </c>
      <c r="AA748" s="0" t="inlineStr">
        <is>
          <t>인천시 계양구 효성동 293-1</t>
        </is>
      </c>
      <c r="AB748" s="0" t="inlineStr">
        <is>
          <t>인천시</t>
        </is>
      </c>
      <c r="AC748" s="0" t="inlineStr">
        <is>
          <t>계양구</t>
        </is>
      </c>
      <c r="AD748" s="0" t="inlineStr">
        <is>
          <t>효성동</t>
        </is>
      </c>
      <c r="AG748" s="0" t="inlineStr">
        <is>
          <t>인천시 계양구 봉오대로628번길 8</t>
        </is>
      </c>
      <c r="AH748" s="0" t="n">
        <v>0</v>
      </c>
      <c r="AI748" s="0" t="n">
        <v>152</v>
      </c>
      <c r="AJ748" s="0" t="n">
        <v>28</v>
      </c>
      <c r="AK748" s="0" t="n">
        <v>50</v>
      </c>
      <c r="AL748" s="0" t="n">
        <v>0.3</v>
      </c>
    </row>
    <row r="749">
      <c r="A749" s="0" t="inlineStr">
        <is>
          <t>[효성동]</t>
        </is>
      </c>
      <c r="B749" s="0" t="n">
        <v>8504</v>
      </c>
      <c r="C749" s="0" t="n">
        <v>1</v>
      </c>
      <c r="D749" s="0" t="inlineStr">
        <is>
          <t>경남1차</t>
        </is>
      </c>
      <c r="E749" s="0" t="inlineStr">
        <is>
          <t>1987.07.</t>
        </is>
      </c>
      <c r="F749" s="0" t="n">
        <v>310</v>
      </c>
      <c r="G749" s="0" t="n">
        <v>18.64</v>
      </c>
      <c r="H749" s="0" t="n">
        <v>61.64</v>
      </c>
      <c r="I749" s="0" t="n">
        <v>15.1</v>
      </c>
      <c r="J749" s="0" t="n">
        <v>49.93</v>
      </c>
      <c r="K749" s="0" t="n">
        <v>290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61</v>
      </c>
      <c r="X749" s="0" t="n">
        <v>5</v>
      </c>
      <c r="Y749" s="0" t="n">
        <v>5</v>
      </c>
      <c r="Z749" s="0" t="inlineStr">
        <is>
          <t>https://new.land.naver.com/complexes/8504?tab=detail&amp;rf=Y</t>
        </is>
      </c>
      <c r="AA749" s="0" t="inlineStr">
        <is>
          <t>인천시 계양구 효성동 623-27</t>
        </is>
      </c>
      <c r="AB749" s="0" t="inlineStr">
        <is>
          <t>인천시</t>
        </is>
      </c>
      <c r="AC749" s="0" t="inlineStr">
        <is>
          <t>계양구</t>
        </is>
      </c>
      <c r="AD749" s="0" t="inlineStr">
        <is>
          <t>효성동</t>
        </is>
      </c>
      <c r="AG749" s="0" t="inlineStr">
        <is>
          <t>인천시 계양구 봉오대로463번길 17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[효성동]</t>
        </is>
      </c>
      <c r="B750" s="0" t="n">
        <v>8504</v>
      </c>
      <c r="C750" s="0" t="n">
        <v>2</v>
      </c>
      <c r="D750" s="0" t="inlineStr">
        <is>
          <t>경남1차</t>
        </is>
      </c>
      <c r="E750" s="0" t="inlineStr">
        <is>
          <t>1987.07.</t>
        </is>
      </c>
      <c r="F750" s="0" t="n">
        <v>310</v>
      </c>
      <c r="G750" s="0" t="n">
        <v>21.83</v>
      </c>
      <c r="H750" s="0" t="n">
        <v>72.19</v>
      </c>
      <c r="I750" s="0" t="n">
        <v>17.96</v>
      </c>
      <c r="J750" s="0" t="n">
        <v>59.4</v>
      </c>
      <c r="K750" s="0" t="n">
        <v>20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72</v>
      </c>
      <c r="X750" s="0" t="n">
        <v>5</v>
      </c>
      <c r="Y750" s="0" t="n">
        <v>5</v>
      </c>
      <c r="Z750" s="0" t="inlineStr">
        <is>
          <t>https://new.land.naver.com/complexes/8504?tab=detail&amp;rf=Y</t>
        </is>
      </c>
      <c r="AA750" s="0" t="inlineStr">
        <is>
          <t>인천시 계양구 효성동 623-27</t>
        </is>
      </c>
      <c r="AB750" s="0" t="inlineStr">
        <is>
          <t>인천시</t>
        </is>
      </c>
      <c r="AC750" s="0" t="inlineStr">
        <is>
          <t>계양구</t>
        </is>
      </c>
      <c r="AD750" s="0" t="inlineStr">
        <is>
          <t>효성동</t>
        </is>
      </c>
      <c r="AG750" s="0" t="inlineStr">
        <is>
          <t>인천시 계양구 봉오대로463번길 17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[효성동]</t>
        </is>
      </c>
      <c r="B751" s="0" t="n">
        <v>135191</v>
      </c>
      <c r="C751" s="0" t="n">
        <v>1</v>
      </c>
      <c r="D751" s="0" t="inlineStr">
        <is>
          <t>피렌체하우스(도시형)</t>
        </is>
      </c>
      <c r="E751" s="0" t="inlineStr">
        <is>
          <t>2017.04.</t>
        </is>
      </c>
      <c r="F751" s="0" t="n">
        <v>28</v>
      </c>
      <c r="G751" s="0" t="n">
        <v>16.38</v>
      </c>
      <c r="H751" s="0" t="n">
        <v>54.16</v>
      </c>
      <c r="I751" s="0" t="n">
        <v>13.36</v>
      </c>
      <c r="J751" s="0" t="n">
        <v>44.17</v>
      </c>
      <c r="K751" s="0" t="n">
        <v>3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54</v>
      </c>
      <c r="X751" s="0" t="n">
        <v>5</v>
      </c>
      <c r="Y751" s="0" t="n">
        <v>5</v>
      </c>
      <c r="Z751" s="0" t="inlineStr">
        <is>
          <t>https://new.land.naver.com/complexes/135191?tab=detail&amp;rf=Y</t>
        </is>
      </c>
      <c r="AA751" s="0" t="inlineStr">
        <is>
          <t>인천시 계양구 효성동 34-59</t>
        </is>
      </c>
      <c r="AB751" s="0" t="inlineStr">
        <is>
          <t>인천시</t>
        </is>
      </c>
      <c r="AC751" s="0" t="inlineStr">
        <is>
          <t>계양구</t>
        </is>
      </c>
      <c r="AD751" s="0" t="inlineStr">
        <is>
          <t>효성동</t>
        </is>
      </c>
      <c r="AG751" s="0" t="inlineStr">
        <is>
          <t>인천시 계양구 길마로 23-2</t>
        </is>
      </c>
      <c r="AH751" s="0" t="n">
        <v>0</v>
      </c>
      <c r="AI751" s="0" t="n">
        <v>224</v>
      </c>
      <c r="AJ751" s="0" t="n">
        <v>49</v>
      </c>
      <c r="AK751" s="0" t="n">
        <v>28</v>
      </c>
      <c r="AL751" s="0" t="n">
        <v>1</v>
      </c>
    </row>
    <row r="752">
      <c r="A752" s="0" t="inlineStr">
        <is>
          <t>[효성동]</t>
        </is>
      </c>
      <c r="B752" s="0" t="n">
        <v>135191</v>
      </c>
      <c r="C752" s="0" t="n">
        <v>2</v>
      </c>
      <c r="D752" s="0" t="inlineStr">
        <is>
          <t>피렌체하우스(도시형)</t>
        </is>
      </c>
      <c r="E752" s="0" t="inlineStr">
        <is>
          <t>2017.04.</t>
        </is>
      </c>
      <c r="F752" s="0" t="n">
        <v>28</v>
      </c>
      <c r="G752" s="0" t="n">
        <v>16.61</v>
      </c>
      <c r="H752" s="0" t="n">
        <v>54.94</v>
      </c>
      <c r="I752" s="0" t="n">
        <v>13.56</v>
      </c>
      <c r="J752" s="0" t="n">
        <v>44.83</v>
      </c>
      <c r="K752" s="0" t="n">
        <v>1</v>
      </c>
      <c r="T752" s="0" t="n">
        <v>2</v>
      </c>
      <c r="U752" s="0" t="n">
        <v>1</v>
      </c>
      <c r="V752" s="0" t="inlineStr">
        <is>
          <t>계단식</t>
        </is>
      </c>
      <c r="W752" s="0" t="n">
        <v>54</v>
      </c>
      <c r="X752" s="0" t="n">
        <v>5</v>
      </c>
      <c r="Y752" s="0" t="n">
        <v>5</v>
      </c>
      <c r="Z752" s="0" t="inlineStr">
        <is>
          <t>https://new.land.naver.com/complexes/135191?tab=detail&amp;rf=Y</t>
        </is>
      </c>
      <c r="AA752" s="0" t="inlineStr">
        <is>
          <t>인천시 계양구 효성동 34-59</t>
        </is>
      </c>
      <c r="AB752" s="0" t="inlineStr">
        <is>
          <t>인천시</t>
        </is>
      </c>
      <c r="AC752" s="0" t="inlineStr">
        <is>
          <t>계양구</t>
        </is>
      </c>
      <c r="AD752" s="0" t="inlineStr">
        <is>
          <t>효성동</t>
        </is>
      </c>
      <c r="AG752" s="0" t="inlineStr">
        <is>
          <t>인천시 계양구 길마로 23-2</t>
        </is>
      </c>
      <c r="AH752" s="0" t="n">
        <v>0</v>
      </c>
      <c r="AI752" s="0" t="n">
        <v>224</v>
      </c>
      <c r="AJ752" s="0" t="n">
        <v>49</v>
      </c>
      <c r="AK752" s="0" t="n">
        <v>28</v>
      </c>
      <c r="AL752" s="0" t="n">
        <v>1</v>
      </c>
    </row>
    <row r="753">
      <c r="A753" s="0" t="inlineStr">
        <is>
          <t>[효성동]</t>
        </is>
      </c>
      <c r="B753" s="0" t="n">
        <v>135191</v>
      </c>
      <c r="C753" s="0" t="n">
        <v>3</v>
      </c>
      <c r="D753" s="0" t="inlineStr">
        <is>
          <t>피렌체하우스(도시형)</t>
        </is>
      </c>
      <c r="E753" s="0" t="inlineStr">
        <is>
          <t>2017.04.</t>
        </is>
      </c>
      <c r="F753" s="0" t="n">
        <v>28</v>
      </c>
      <c r="G753" s="0" t="n">
        <v>17.56</v>
      </c>
      <c r="H753" s="0" t="n">
        <v>58.06</v>
      </c>
      <c r="I753" s="0" t="n">
        <v>14.35</v>
      </c>
      <c r="J753" s="0" t="n">
        <v>47.47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58A</t>
        </is>
      </c>
      <c r="X753" s="0" t="n">
        <v>5</v>
      </c>
      <c r="Y753" s="0" t="n">
        <v>5</v>
      </c>
      <c r="Z753" s="0" t="inlineStr">
        <is>
          <t>https://new.land.naver.com/complexes/135191?tab=detail&amp;rf=Y</t>
        </is>
      </c>
      <c r="AA753" s="0" t="inlineStr">
        <is>
          <t>인천시 계양구 효성동 34-59</t>
        </is>
      </c>
      <c r="AB753" s="0" t="inlineStr">
        <is>
          <t>인천시</t>
        </is>
      </c>
      <c r="AC753" s="0" t="inlineStr">
        <is>
          <t>계양구</t>
        </is>
      </c>
      <c r="AD753" s="0" t="inlineStr">
        <is>
          <t>효성동</t>
        </is>
      </c>
      <c r="AG753" s="0" t="inlineStr">
        <is>
          <t>인천시 계양구 길마로 23-2</t>
        </is>
      </c>
      <c r="AH753" s="0" t="n">
        <v>0</v>
      </c>
      <c r="AI753" s="0" t="n">
        <v>224</v>
      </c>
      <c r="AJ753" s="0" t="n">
        <v>49</v>
      </c>
      <c r="AK753" s="0" t="n">
        <v>28</v>
      </c>
      <c r="AL753" s="0" t="n">
        <v>1</v>
      </c>
    </row>
    <row r="754">
      <c r="A754" s="0" t="inlineStr">
        <is>
          <t>[효성동]</t>
        </is>
      </c>
      <c r="B754" s="0" t="n">
        <v>135191</v>
      </c>
      <c r="C754" s="0" t="n">
        <v>4</v>
      </c>
      <c r="D754" s="0" t="inlineStr">
        <is>
          <t>피렌체하우스(도시형)</t>
        </is>
      </c>
      <c r="E754" s="0" t="inlineStr">
        <is>
          <t>2017.04.</t>
        </is>
      </c>
      <c r="F754" s="0" t="n">
        <v>28</v>
      </c>
      <c r="G754" s="0" t="n">
        <v>17.75</v>
      </c>
      <c r="H754" s="0" t="n">
        <v>58.71</v>
      </c>
      <c r="I754" s="0" t="n">
        <v>14.67</v>
      </c>
      <c r="J754" s="0" t="n">
        <v>48.52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inlineStr">
        <is>
          <t>58B</t>
        </is>
      </c>
      <c r="X754" s="0" t="n">
        <v>5</v>
      </c>
      <c r="Y754" s="0" t="n">
        <v>5</v>
      </c>
      <c r="Z754" s="0" t="inlineStr">
        <is>
          <t>https://new.land.naver.com/complexes/135191?tab=detail&amp;rf=Y</t>
        </is>
      </c>
      <c r="AA754" s="0" t="inlineStr">
        <is>
          <t>인천시 계양구 효성동 34-59</t>
        </is>
      </c>
      <c r="AB754" s="0" t="inlineStr">
        <is>
          <t>인천시</t>
        </is>
      </c>
      <c r="AC754" s="0" t="inlineStr">
        <is>
          <t>계양구</t>
        </is>
      </c>
      <c r="AD754" s="0" t="inlineStr">
        <is>
          <t>효성동</t>
        </is>
      </c>
      <c r="AG754" s="0" t="inlineStr">
        <is>
          <t>인천시 계양구 길마로 23-2</t>
        </is>
      </c>
      <c r="AH754" s="0" t="n">
        <v>0</v>
      </c>
      <c r="AI754" s="0" t="n">
        <v>224</v>
      </c>
      <c r="AJ754" s="0" t="n">
        <v>49</v>
      </c>
      <c r="AK754" s="0" t="n">
        <v>28</v>
      </c>
      <c r="AL754" s="0" t="n">
        <v>1</v>
      </c>
    </row>
    <row r="755">
      <c r="A755" s="0" t="inlineStr">
        <is>
          <t>[효성동]</t>
        </is>
      </c>
      <c r="B755" s="0" t="n">
        <v>135191</v>
      </c>
      <c r="C755" s="0" t="n">
        <v>5</v>
      </c>
      <c r="D755" s="0" t="inlineStr">
        <is>
          <t>피렌체하우스(도시형)</t>
        </is>
      </c>
      <c r="E755" s="0" t="inlineStr">
        <is>
          <t>2017.04.</t>
        </is>
      </c>
      <c r="F755" s="0" t="n">
        <v>28</v>
      </c>
      <c r="G755" s="0" t="n">
        <v>17.92</v>
      </c>
      <c r="H755" s="0" t="n">
        <v>59.27</v>
      </c>
      <c r="I755" s="0" t="n">
        <v>14.8</v>
      </c>
      <c r="J755" s="0" t="n">
        <v>48.94</v>
      </c>
      <c r="K755" s="0" t="n">
        <v>8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59C</t>
        </is>
      </c>
      <c r="X755" s="0" t="n">
        <v>5</v>
      </c>
      <c r="Y755" s="0" t="n">
        <v>5</v>
      </c>
      <c r="Z755" s="0" t="inlineStr">
        <is>
          <t>https://new.land.naver.com/complexes/135191?tab=detail&amp;rf=Y</t>
        </is>
      </c>
      <c r="AA755" s="0" t="inlineStr">
        <is>
          <t>인천시 계양구 효성동 34-59</t>
        </is>
      </c>
      <c r="AB755" s="0" t="inlineStr">
        <is>
          <t>인천시</t>
        </is>
      </c>
      <c r="AC755" s="0" t="inlineStr">
        <is>
          <t>계양구</t>
        </is>
      </c>
      <c r="AD755" s="0" t="inlineStr">
        <is>
          <t>효성동</t>
        </is>
      </c>
      <c r="AG755" s="0" t="inlineStr">
        <is>
          <t>인천시 계양구 길마로 23-2</t>
        </is>
      </c>
      <c r="AH755" s="0" t="n">
        <v>0</v>
      </c>
      <c r="AI755" s="0" t="n">
        <v>224</v>
      </c>
      <c r="AJ755" s="0" t="n">
        <v>49</v>
      </c>
      <c r="AK755" s="0" t="n">
        <v>28</v>
      </c>
      <c r="AL755" s="0" t="n">
        <v>1</v>
      </c>
    </row>
    <row r="756">
      <c r="A756" s="0" t="inlineStr">
        <is>
          <t>[효성동]</t>
        </is>
      </c>
      <c r="B756" s="0" t="n">
        <v>135191</v>
      </c>
      <c r="C756" s="0" t="n">
        <v>6</v>
      </c>
      <c r="D756" s="0" t="inlineStr">
        <is>
          <t>피렌체하우스(도시형)</t>
        </is>
      </c>
      <c r="E756" s="0" t="inlineStr">
        <is>
          <t>2017.04.</t>
        </is>
      </c>
      <c r="F756" s="0" t="n">
        <v>28</v>
      </c>
      <c r="G756" s="0" t="n">
        <v>18.94</v>
      </c>
      <c r="H756" s="0" t="n">
        <v>62.62</v>
      </c>
      <c r="I756" s="0" t="n">
        <v>15.56</v>
      </c>
      <c r="J756" s="0" t="n">
        <v>51.45</v>
      </c>
      <c r="K756" s="0" t="n">
        <v>4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62</v>
      </c>
      <c r="X756" s="0" t="n">
        <v>5</v>
      </c>
      <c r="Y756" s="0" t="n">
        <v>5</v>
      </c>
      <c r="Z756" s="0" t="inlineStr">
        <is>
          <t>https://new.land.naver.com/complexes/135191?tab=detail&amp;rf=Y</t>
        </is>
      </c>
      <c r="AA756" s="0" t="inlineStr">
        <is>
          <t>인천시 계양구 효성동 34-59</t>
        </is>
      </c>
      <c r="AB756" s="0" t="inlineStr">
        <is>
          <t>인천시</t>
        </is>
      </c>
      <c r="AC756" s="0" t="inlineStr">
        <is>
          <t>계양구</t>
        </is>
      </c>
      <c r="AD756" s="0" t="inlineStr">
        <is>
          <t>효성동</t>
        </is>
      </c>
      <c r="AG756" s="0" t="inlineStr">
        <is>
          <t>인천시 계양구 길마로 23-2</t>
        </is>
      </c>
      <c r="AH756" s="0" t="n">
        <v>0</v>
      </c>
      <c r="AI756" s="0" t="n">
        <v>224</v>
      </c>
      <c r="AJ756" s="0" t="n">
        <v>49</v>
      </c>
      <c r="AK756" s="0" t="n">
        <v>28</v>
      </c>
      <c r="AL756" s="0" t="n">
        <v>1</v>
      </c>
    </row>
    <row r="757">
      <c r="A757" s="0" t="inlineStr">
        <is>
          <t>[효성동]</t>
        </is>
      </c>
      <c r="B757" s="0" t="n">
        <v>135191</v>
      </c>
      <c r="C757" s="0" t="n">
        <v>7</v>
      </c>
      <c r="D757" s="0" t="inlineStr">
        <is>
          <t>피렌체하우스(도시형)</t>
        </is>
      </c>
      <c r="E757" s="0" t="inlineStr">
        <is>
          <t>2017.04.</t>
        </is>
      </c>
      <c r="F757" s="0" t="n">
        <v>28</v>
      </c>
      <c r="G757" s="0" t="n">
        <v>20.08</v>
      </c>
      <c r="H757" s="0" t="n">
        <v>66.41</v>
      </c>
      <c r="I757" s="0" t="n">
        <v>16.61</v>
      </c>
      <c r="J757" s="0" t="n">
        <v>54.94</v>
      </c>
      <c r="K757" s="0" t="n">
        <v>4</v>
      </c>
      <c r="T757" s="0" t="n">
        <v>3</v>
      </c>
      <c r="U757" s="0" t="n">
        <v>1</v>
      </c>
      <c r="V757" s="0" t="inlineStr">
        <is>
          <t>계단식</t>
        </is>
      </c>
      <c r="W757" s="0" t="n">
        <v>66</v>
      </c>
      <c r="X757" s="0" t="n">
        <v>5</v>
      </c>
      <c r="Y757" s="0" t="n">
        <v>5</v>
      </c>
      <c r="Z757" s="0" t="inlineStr">
        <is>
          <t>https://new.land.naver.com/complexes/135191?tab=detail&amp;rf=Y</t>
        </is>
      </c>
      <c r="AA757" s="0" t="inlineStr">
        <is>
          <t>인천시 계양구 효성동 34-59</t>
        </is>
      </c>
      <c r="AB757" s="0" t="inlineStr">
        <is>
          <t>인천시</t>
        </is>
      </c>
      <c r="AC757" s="0" t="inlineStr">
        <is>
          <t>계양구</t>
        </is>
      </c>
      <c r="AD757" s="0" t="inlineStr">
        <is>
          <t>효성동</t>
        </is>
      </c>
      <c r="AG757" s="0" t="inlineStr">
        <is>
          <t>인천시 계양구 길마로 23-2</t>
        </is>
      </c>
      <c r="AH757" s="0" t="n">
        <v>0</v>
      </c>
      <c r="AI757" s="0" t="n">
        <v>224</v>
      </c>
      <c r="AJ757" s="0" t="n">
        <v>49</v>
      </c>
      <c r="AK757" s="0" t="n">
        <v>28</v>
      </c>
      <c r="AL757" s="0" t="n">
        <v>1</v>
      </c>
    </row>
    <row r="758">
      <c r="A758" s="0" t="inlineStr">
        <is>
          <t>[효성동]</t>
        </is>
      </c>
      <c r="B758" s="0" t="n">
        <v>2471</v>
      </c>
      <c r="C758" s="0" t="n">
        <v>1</v>
      </c>
      <c r="D758" s="0" t="inlineStr">
        <is>
          <t>뉴서울3차</t>
        </is>
      </c>
      <c r="E758" s="0" t="inlineStr">
        <is>
          <t>1993.08.</t>
        </is>
      </c>
      <c r="F758" s="0" t="n">
        <v>542</v>
      </c>
      <c r="G758" s="0" t="n">
        <v>31.99</v>
      </c>
      <c r="H758" s="0" t="n">
        <v>105.78</v>
      </c>
      <c r="I758" s="0" t="n">
        <v>25.61</v>
      </c>
      <c r="J758" s="0" t="n">
        <v>84.69</v>
      </c>
      <c r="K758" s="0" t="n">
        <v>432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105</v>
      </c>
      <c r="X758" s="0" t="n">
        <v>20</v>
      </c>
      <c r="Y758" s="0" t="n">
        <v>11</v>
      </c>
      <c r="Z758" s="0" t="inlineStr">
        <is>
          <t>https://new.land.naver.com/complexes/2471?tab=detail&amp;rf=Y</t>
        </is>
      </c>
      <c r="AA758" s="0" t="inlineStr">
        <is>
          <t>인천시 계양구 효성동 207-1</t>
        </is>
      </c>
      <c r="AB758" s="0" t="inlineStr">
        <is>
          <t>인천시</t>
        </is>
      </c>
      <c r="AC758" s="0" t="inlineStr">
        <is>
          <t>계양구</t>
        </is>
      </c>
      <c r="AD758" s="0" t="inlineStr">
        <is>
          <t>효성동</t>
        </is>
      </c>
      <c r="AG758" s="0" t="inlineStr">
        <is>
          <t>인천시 계양구 새벌로 88</t>
        </is>
      </c>
      <c r="AH758" s="0" t="n">
        <v>0</v>
      </c>
      <c r="AI758" s="0" t="n">
        <v>299</v>
      </c>
      <c r="AJ758" s="0" t="n">
        <v>22</v>
      </c>
      <c r="AK758" s="0" t="n">
        <v>273</v>
      </c>
      <c r="AL758" s="0" t="n">
        <v>0.5</v>
      </c>
    </row>
    <row r="759">
      <c r="A759" s="0" t="inlineStr">
        <is>
          <t>[효성동]</t>
        </is>
      </c>
      <c r="B759" s="0" t="n">
        <v>2471</v>
      </c>
      <c r="C759" s="0" t="n">
        <v>2</v>
      </c>
      <c r="D759" s="0" t="inlineStr">
        <is>
          <t>뉴서울3차</t>
        </is>
      </c>
      <c r="E759" s="0" t="inlineStr">
        <is>
          <t>1993.08.</t>
        </is>
      </c>
      <c r="F759" s="0" t="n">
        <v>542</v>
      </c>
      <c r="G759" s="0" t="n">
        <v>32.99</v>
      </c>
      <c r="H759" s="0" t="n">
        <v>109.09</v>
      </c>
      <c r="I759" s="0" t="n">
        <v>25.55</v>
      </c>
      <c r="J759" s="0" t="n">
        <v>84.48</v>
      </c>
      <c r="K759" s="0" t="n">
        <v>110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109</v>
      </c>
      <c r="X759" s="0" t="n">
        <v>20</v>
      </c>
      <c r="Y759" s="0" t="n">
        <v>11</v>
      </c>
      <c r="Z759" s="0" t="inlineStr">
        <is>
          <t>https://new.land.naver.com/complexes/2471?tab=detail&amp;rf=Y</t>
        </is>
      </c>
      <c r="AA759" s="0" t="inlineStr">
        <is>
          <t>인천시 계양구 효성동 207-1</t>
        </is>
      </c>
      <c r="AB759" s="0" t="inlineStr">
        <is>
          <t>인천시</t>
        </is>
      </c>
      <c r="AC759" s="0" t="inlineStr">
        <is>
          <t>계양구</t>
        </is>
      </c>
      <c r="AD759" s="0" t="inlineStr">
        <is>
          <t>효성동</t>
        </is>
      </c>
      <c r="AG759" s="0" t="inlineStr">
        <is>
          <t>인천시 계양구 새벌로 88</t>
        </is>
      </c>
      <c r="AH759" s="0" t="n">
        <v>0</v>
      </c>
      <c r="AI759" s="0" t="n">
        <v>299</v>
      </c>
      <c r="AJ759" s="0" t="n">
        <v>22</v>
      </c>
      <c r="AK759" s="0" t="n">
        <v>273</v>
      </c>
      <c r="AL759" s="0" t="n">
        <v>0.5</v>
      </c>
    </row>
    <row r="760">
      <c r="A760" s="0" t="inlineStr">
        <is>
          <t>[효성동]</t>
        </is>
      </c>
      <c r="B760" s="0" t="n">
        <v>109437</v>
      </c>
      <c r="C760" s="0" t="n">
        <v>1</v>
      </c>
      <c r="D760" s="0" t="inlineStr">
        <is>
          <t>삼성홈타운</t>
        </is>
      </c>
      <c r="E760" s="0" t="inlineStr">
        <is>
          <t>2014.02.</t>
        </is>
      </c>
      <c r="F760" s="0" t="n">
        <v>75</v>
      </c>
      <c r="G760" s="0" t="n">
        <v>32.51</v>
      </c>
      <c r="H760" s="0" t="n">
        <v>107.5</v>
      </c>
      <c r="I760" s="0" t="n">
        <v>25.51</v>
      </c>
      <c r="J760" s="0" t="n">
        <v>84.36</v>
      </c>
      <c r="K760" s="0" t="n">
        <v>75</v>
      </c>
      <c r="T760" s="0" t="n">
        <v>3</v>
      </c>
      <c r="U760" s="0" t="n">
        <v>2</v>
      </c>
      <c r="V760" s="0" t="inlineStr">
        <is>
          <t>복합식</t>
        </is>
      </c>
      <c r="W760" s="0" t="n">
        <v>107</v>
      </c>
      <c r="X760" s="0" t="n">
        <v>21</v>
      </c>
      <c r="Y760" s="0" t="n">
        <v>18</v>
      </c>
      <c r="Z760" s="0" t="inlineStr">
        <is>
          <t>https://new.land.naver.com/complexes/109437?tab=detail&amp;rf=Y</t>
        </is>
      </c>
      <c r="AA760" s="0" t="inlineStr">
        <is>
          <t>인천시 계양구 효성동 676</t>
        </is>
      </c>
      <c r="AB760" s="0" t="inlineStr">
        <is>
          <t>인천시</t>
        </is>
      </c>
      <c r="AC760" s="0" t="inlineStr">
        <is>
          <t>계양구</t>
        </is>
      </c>
      <c r="AD760" s="0" t="inlineStr">
        <is>
          <t>효성동</t>
        </is>
      </c>
      <c r="AG760" s="0" t="inlineStr">
        <is>
          <t>인천시 계양구 효서로 10</t>
        </is>
      </c>
      <c r="AH760" s="0" t="n">
        <v>0</v>
      </c>
      <c r="AI760" s="0" t="n">
        <v>299</v>
      </c>
      <c r="AJ760" s="0" t="n">
        <v>22</v>
      </c>
      <c r="AK760" s="0" t="n">
        <v>78</v>
      </c>
      <c r="AL760" s="0" t="n">
        <v>1.04</v>
      </c>
    </row>
    <row r="761">
      <c r="A761" s="0" t="inlineStr">
        <is>
          <t>[효성동]</t>
        </is>
      </c>
      <c r="B761" s="0" t="n">
        <v>2477</v>
      </c>
      <c r="C761" s="0" t="n">
        <v>1</v>
      </c>
      <c r="D761" s="0" t="inlineStr">
        <is>
          <t>현대1차</t>
        </is>
      </c>
      <c r="E761" s="0" t="inlineStr">
        <is>
          <t>1991.11.</t>
        </is>
      </c>
      <c r="F761" s="0" t="n">
        <v>874</v>
      </c>
      <c r="G761" s="0" t="n">
        <v>26.26</v>
      </c>
      <c r="H761" s="0" t="n">
        <v>86.84</v>
      </c>
      <c r="I761" s="0" t="n">
        <v>21.52</v>
      </c>
      <c r="J761" s="0" t="n">
        <v>71.17</v>
      </c>
      <c r="K761" s="0" t="n">
        <v>234</v>
      </c>
      <c r="T761" s="0" t="n">
        <v>3</v>
      </c>
      <c r="U761" s="0" t="n">
        <v>1</v>
      </c>
      <c r="V761" s="0" t="inlineStr">
        <is>
          <t>계단식</t>
        </is>
      </c>
      <c r="W761" s="0" t="inlineStr">
        <is>
          <t>86A</t>
        </is>
      </c>
      <c r="X761" s="0" t="n">
        <v>20</v>
      </c>
      <c r="Y761" s="0" t="n">
        <v>17</v>
      </c>
      <c r="Z761" s="0" t="inlineStr">
        <is>
          <t>https://new.land.naver.com/complexes/2477?tab=detail&amp;rf=Y</t>
        </is>
      </c>
      <c r="AA761" s="0" t="inlineStr">
        <is>
          <t>인천시 계양구 효성동 21-11</t>
        </is>
      </c>
      <c r="AB761" s="0" t="inlineStr">
        <is>
          <t>인천시</t>
        </is>
      </c>
      <c r="AC761" s="0" t="inlineStr">
        <is>
          <t>계양구</t>
        </is>
      </c>
      <c r="AD761" s="0" t="inlineStr">
        <is>
          <t>효성동</t>
        </is>
      </c>
      <c r="AG761" s="0" t="inlineStr">
        <is>
          <t>인천시 계양구 길마로 70</t>
        </is>
      </c>
      <c r="AH761" s="0" t="n">
        <v>0</v>
      </c>
      <c r="AI761" s="0" t="n">
        <v>197</v>
      </c>
      <c r="AJ761" s="0" t="n">
        <v>0</v>
      </c>
      <c r="AK761" s="0" t="n">
        <v>579</v>
      </c>
      <c r="AL761" s="0" t="n">
        <v>0.66</v>
      </c>
    </row>
    <row r="762">
      <c r="A762" s="0" t="inlineStr">
        <is>
          <t>[효성동]</t>
        </is>
      </c>
      <c r="B762" s="0" t="n">
        <v>2477</v>
      </c>
      <c r="C762" s="0" t="n">
        <v>2</v>
      </c>
      <c r="D762" s="0" t="inlineStr">
        <is>
          <t>현대1차</t>
        </is>
      </c>
      <c r="E762" s="0" t="inlineStr">
        <is>
          <t>1991.11.</t>
        </is>
      </c>
      <c r="F762" s="0" t="n">
        <v>874</v>
      </c>
      <c r="G762" s="0" t="n">
        <v>26.26</v>
      </c>
      <c r="H762" s="0" t="n">
        <v>86.84</v>
      </c>
      <c r="I762" s="0" t="n">
        <v>21.52</v>
      </c>
      <c r="J762" s="0" t="n">
        <v>71.17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86B</t>
        </is>
      </c>
      <c r="X762" s="0" t="n">
        <v>20</v>
      </c>
      <c r="Y762" s="0" t="n">
        <v>17</v>
      </c>
      <c r="Z762" s="0" t="inlineStr">
        <is>
          <t>https://new.land.naver.com/complexes/2477?tab=detail&amp;rf=Y</t>
        </is>
      </c>
      <c r="AA762" s="0" t="inlineStr">
        <is>
          <t>인천시 계양구 효성동 21-11</t>
        </is>
      </c>
      <c r="AB762" s="0" t="inlineStr">
        <is>
          <t>인천시</t>
        </is>
      </c>
      <c r="AC762" s="0" t="inlineStr">
        <is>
          <t>계양구</t>
        </is>
      </c>
      <c r="AD762" s="0" t="inlineStr">
        <is>
          <t>효성동</t>
        </is>
      </c>
      <c r="AG762" s="0" t="inlineStr">
        <is>
          <t>인천시 계양구 길마로 70</t>
        </is>
      </c>
      <c r="AH762" s="0" t="n">
        <v>0</v>
      </c>
      <c r="AI762" s="0" t="n">
        <v>197</v>
      </c>
      <c r="AJ762" s="0" t="n">
        <v>0</v>
      </c>
      <c r="AK762" s="0" t="n">
        <v>579</v>
      </c>
      <c r="AL762" s="0" t="n">
        <v>0.66</v>
      </c>
    </row>
    <row r="763">
      <c r="A763" s="0" t="inlineStr">
        <is>
          <t>[효성동]</t>
        </is>
      </c>
      <c r="B763" s="0" t="n">
        <v>2477</v>
      </c>
      <c r="C763" s="0" t="n">
        <v>3</v>
      </c>
      <c r="D763" s="0" t="inlineStr">
        <is>
          <t>현대1차</t>
        </is>
      </c>
      <c r="E763" s="0" t="inlineStr">
        <is>
          <t>1991.11.</t>
        </is>
      </c>
      <c r="F763" s="0" t="n">
        <v>874</v>
      </c>
      <c r="G763" s="0" t="n">
        <v>31.35</v>
      </c>
      <c r="H763" s="0" t="n">
        <v>103.64</v>
      </c>
      <c r="I763" s="0" t="n">
        <v>25.69</v>
      </c>
      <c r="J763" s="0" t="n">
        <v>84.94</v>
      </c>
      <c r="K763" s="0" t="n">
        <v>517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103</v>
      </c>
      <c r="X763" s="0" t="n">
        <v>20</v>
      </c>
      <c r="Y763" s="0" t="n">
        <v>17</v>
      </c>
      <c r="Z763" s="0" t="inlineStr">
        <is>
          <t>https://new.land.naver.com/complexes/2477?tab=detail&amp;rf=Y</t>
        </is>
      </c>
      <c r="AA763" s="0" t="inlineStr">
        <is>
          <t>인천시 계양구 효성동 21-11</t>
        </is>
      </c>
      <c r="AB763" s="0" t="inlineStr">
        <is>
          <t>인천시</t>
        </is>
      </c>
      <c r="AC763" s="0" t="inlineStr">
        <is>
          <t>계양구</t>
        </is>
      </c>
      <c r="AD763" s="0" t="inlineStr">
        <is>
          <t>효성동</t>
        </is>
      </c>
      <c r="AG763" s="0" t="inlineStr">
        <is>
          <t>인천시 계양구 길마로 70</t>
        </is>
      </c>
      <c r="AH763" s="0" t="n">
        <v>0</v>
      </c>
      <c r="AI763" s="0" t="n">
        <v>197</v>
      </c>
      <c r="AJ763" s="0" t="n">
        <v>0</v>
      </c>
      <c r="AK763" s="0" t="n">
        <v>579</v>
      </c>
      <c r="AL763" s="0" t="n">
        <v>0.66</v>
      </c>
    </row>
    <row r="764">
      <c r="A764" s="0" t="inlineStr">
        <is>
          <t>[효성동]</t>
        </is>
      </c>
      <c r="B764" s="0" t="n">
        <v>2477</v>
      </c>
      <c r="C764" s="0" t="n">
        <v>4</v>
      </c>
      <c r="D764" s="0" t="inlineStr">
        <is>
          <t>현대1차</t>
        </is>
      </c>
      <c r="E764" s="0" t="inlineStr">
        <is>
          <t>1991.11.</t>
        </is>
      </c>
      <c r="F764" s="0" t="n">
        <v>874</v>
      </c>
      <c r="G764" s="0" t="n">
        <v>47.87</v>
      </c>
      <c r="H764" s="0" t="n">
        <v>158.28</v>
      </c>
      <c r="I764" s="0" t="n">
        <v>39.24</v>
      </c>
      <c r="J764" s="0" t="n">
        <v>129.73</v>
      </c>
      <c r="K764" s="0" t="n">
        <v>120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158</v>
      </c>
      <c r="X764" s="0" t="n">
        <v>20</v>
      </c>
      <c r="Y764" s="0" t="n">
        <v>17</v>
      </c>
      <c r="Z764" s="0" t="inlineStr">
        <is>
          <t>https://new.land.naver.com/complexes/2477?tab=detail&amp;rf=Y</t>
        </is>
      </c>
      <c r="AA764" s="0" t="inlineStr">
        <is>
          <t>인천시 계양구 효성동 21-11</t>
        </is>
      </c>
      <c r="AB764" s="0" t="inlineStr">
        <is>
          <t>인천시</t>
        </is>
      </c>
      <c r="AC764" s="0" t="inlineStr">
        <is>
          <t>계양구</t>
        </is>
      </c>
      <c r="AD764" s="0" t="inlineStr">
        <is>
          <t>효성동</t>
        </is>
      </c>
      <c r="AG764" s="0" t="inlineStr">
        <is>
          <t>인천시 계양구 길마로 70</t>
        </is>
      </c>
      <c r="AH764" s="0" t="n">
        <v>0</v>
      </c>
      <c r="AI764" s="0" t="n">
        <v>197</v>
      </c>
      <c r="AJ764" s="0" t="n">
        <v>0</v>
      </c>
      <c r="AK764" s="0" t="n">
        <v>579</v>
      </c>
      <c r="AL764" s="0" t="n">
        <v>0.66</v>
      </c>
    </row>
    <row r="765">
      <c r="A765" s="0" t="inlineStr">
        <is>
          <t>[효성동]</t>
        </is>
      </c>
      <c r="B765" s="0" t="n">
        <v>2480</v>
      </c>
      <c r="C765" s="0" t="n">
        <v>1</v>
      </c>
      <c r="D765" s="0" t="inlineStr">
        <is>
          <t>현대4차</t>
        </is>
      </c>
      <c r="E765" s="0" t="inlineStr">
        <is>
          <t>1995.12.</t>
        </is>
      </c>
      <c r="F765" s="0" t="n">
        <v>919</v>
      </c>
      <c r="G765" s="0" t="n">
        <v>22.62</v>
      </c>
      <c r="H765" s="0" t="n">
        <v>74.79000000000001</v>
      </c>
      <c r="I765" s="0" t="n">
        <v>17.96</v>
      </c>
      <c r="J765" s="0" t="n">
        <v>59.4</v>
      </c>
      <c r="K765" s="0" t="n">
        <v>375</v>
      </c>
      <c r="T765" s="0" t="n">
        <v>3</v>
      </c>
      <c r="U765" s="0" t="n">
        <v>1</v>
      </c>
      <c r="V765" s="0" t="inlineStr">
        <is>
          <t>복도식</t>
        </is>
      </c>
      <c r="W765" s="0" t="n">
        <v>74</v>
      </c>
      <c r="X765" s="0" t="n">
        <v>25</v>
      </c>
      <c r="Y765" s="0" t="n">
        <v>17</v>
      </c>
      <c r="Z765" s="0" t="inlineStr">
        <is>
          <t>https://new.land.naver.com/complexes/2480?tab=detail&amp;rf=Y</t>
        </is>
      </c>
      <c r="AA765" s="0" t="inlineStr">
        <is>
          <t>인천시 계양구 효성동 200-1</t>
        </is>
      </c>
      <c r="AB765" s="0" t="inlineStr">
        <is>
          <t>인천시</t>
        </is>
      </c>
      <c r="AC765" s="0" t="inlineStr">
        <is>
          <t>계양구</t>
        </is>
      </c>
      <c r="AD765" s="0" t="inlineStr">
        <is>
          <t>효성동</t>
        </is>
      </c>
      <c r="AG765" s="0" t="inlineStr">
        <is>
          <t>인천시 계양구 새벌로112번길 12</t>
        </is>
      </c>
      <c r="AH765" s="0" t="n">
        <v>0</v>
      </c>
      <c r="AI765" s="0" t="n">
        <v>296</v>
      </c>
      <c r="AJ765" s="0" t="n">
        <v>19</v>
      </c>
      <c r="AK765" s="0" t="n">
        <v>937</v>
      </c>
      <c r="AL765" s="0" t="n">
        <v>1.02</v>
      </c>
    </row>
    <row r="766">
      <c r="A766" s="0" t="inlineStr">
        <is>
          <t>[효성동]</t>
        </is>
      </c>
      <c r="B766" s="0" t="n">
        <v>2480</v>
      </c>
      <c r="C766" s="0" t="n">
        <v>2</v>
      </c>
      <c r="D766" s="0" t="inlineStr">
        <is>
          <t>현대4차</t>
        </is>
      </c>
      <c r="E766" s="0" t="inlineStr">
        <is>
          <t>1995.12.</t>
        </is>
      </c>
      <c r="F766" s="0" t="n">
        <v>919</v>
      </c>
      <c r="G766" s="0" t="n">
        <v>22.7</v>
      </c>
      <c r="H766" s="0" t="n">
        <v>75.05</v>
      </c>
      <c r="I766" s="0" t="n">
        <v>18.03</v>
      </c>
      <c r="J766" s="0" t="n">
        <v>59.61</v>
      </c>
      <c r="K766" s="0" t="n">
        <v>25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75C</t>
        </is>
      </c>
      <c r="X766" s="0" t="n">
        <v>25</v>
      </c>
      <c r="Y766" s="0" t="n">
        <v>17</v>
      </c>
      <c r="Z766" s="0" t="inlineStr">
        <is>
          <t>https://new.land.naver.com/complexes/2480?tab=detail&amp;rf=Y</t>
        </is>
      </c>
      <c r="AA766" s="0" t="inlineStr">
        <is>
          <t>인천시 계양구 효성동 200-1</t>
        </is>
      </c>
      <c r="AB766" s="0" t="inlineStr">
        <is>
          <t>인천시</t>
        </is>
      </c>
      <c r="AC766" s="0" t="inlineStr">
        <is>
          <t>계양구</t>
        </is>
      </c>
      <c r="AD766" s="0" t="inlineStr">
        <is>
          <t>효성동</t>
        </is>
      </c>
      <c r="AG766" s="0" t="inlineStr">
        <is>
          <t>인천시 계양구 새벌로112번길 12</t>
        </is>
      </c>
      <c r="AH766" s="0" t="n">
        <v>0</v>
      </c>
      <c r="AI766" s="0" t="n">
        <v>296</v>
      </c>
      <c r="AJ766" s="0" t="n">
        <v>19</v>
      </c>
      <c r="AK766" s="0" t="n">
        <v>937</v>
      </c>
      <c r="AL766" s="0" t="n">
        <v>1.02</v>
      </c>
    </row>
    <row r="767">
      <c r="A767" s="0" t="inlineStr">
        <is>
          <t>[효성동]</t>
        </is>
      </c>
      <c r="B767" s="0" t="n">
        <v>2480</v>
      </c>
      <c r="C767" s="0" t="n">
        <v>3</v>
      </c>
      <c r="D767" s="0" t="inlineStr">
        <is>
          <t>현대4차</t>
        </is>
      </c>
      <c r="E767" s="0" t="inlineStr">
        <is>
          <t>1995.12.</t>
        </is>
      </c>
      <c r="F767" s="0" t="n">
        <v>919</v>
      </c>
      <c r="G767" s="0" t="n">
        <v>32.04</v>
      </c>
      <c r="H767" s="0" t="n">
        <v>105.94</v>
      </c>
      <c r="I767" s="0" t="n">
        <v>25.45</v>
      </c>
      <c r="J767" s="0" t="n">
        <v>84.14</v>
      </c>
      <c r="K767" s="0" t="n">
        <v>25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105C</t>
        </is>
      </c>
      <c r="X767" s="0" t="n">
        <v>25</v>
      </c>
      <c r="Y767" s="0" t="n">
        <v>17</v>
      </c>
      <c r="Z767" s="0" t="inlineStr">
        <is>
          <t>https://new.land.naver.com/complexes/2480?tab=detail&amp;rf=Y</t>
        </is>
      </c>
      <c r="AA767" s="0" t="inlineStr">
        <is>
          <t>인천시 계양구 효성동 200-1</t>
        </is>
      </c>
      <c r="AB767" s="0" t="inlineStr">
        <is>
          <t>인천시</t>
        </is>
      </c>
      <c r="AC767" s="0" t="inlineStr">
        <is>
          <t>계양구</t>
        </is>
      </c>
      <c r="AD767" s="0" t="inlineStr">
        <is>
          <t>효성동</t>
        </is>
      </c>
      <c r="AG767" s="0" t="inlineStr">
        <is>
          <t>인천시 계양구 새벌로112번길 12</t>
        </is>
      </c>
      <c r="AH767" s="0" t="n">
        <v>0</v>
      </c>
      <c r="AI767" s="0" t="n">
        <v>296</v>
      </c>
      <c r="AJ767" s="0" t="n">
        <v>19</v>
      </c>
      <c r="AK767" s="0" t="n">
        <v>937</v>
      </c>
      <c r="AL767" s="0" t="n">
        <v>1.02</v>
      </c>
    </row>
    <row r="768">
      <c r="A768" s="0" t="inlineStr">
        <is>
          <t>[효성동]</t>
        </is>
      </c>
      <c r="B768" s="0" t="n">
        <v>2480</v>
      </c>
      <c r="C768" s="0" t="n">
        <v>4</v>
      </c>
      <c r="D768" s="0" t="inlineStr">
        <is>
          <t>현대4차</t>
        </is>
      </c>
      <c r="E768" s="0" t="inlineStr">
        <is>
          <t>1995.12.</t>
        </is>
      </c>
      <c r="F768" s="0" t="n">
        <v>919</v>
      </c>
      <c r="G768" s="0" t="n">
        <v>32.21</v>
      </c>
      <c r="H768" s="0" t="n">
        <v>106.51</v>
      </c>
      <c r="I768" s="0" t="n">
        <v>25.59</v>
      </c>
      <c r="J768" s="0" t="n">
        <v>84.59999999999999</v>
      </c>
      <c r="K768" s="0" t="n">
        <v>394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106</v>
      </c>
      <c r="X768" s="0" t="n">
        <v>25</v>
      </c>
      <c r="Y768" s="0" t="n">
        <v>17</v>
      </c>
      <c r="Z768" s="0" t="inlineStr">
        <is>
          <t>https://new.land.naver.com/complexes/2480?tab=detail&amp;rf=Y</t>
        </is>
      </c>
      <c r="AA768" s="0" t="inlineStr">
        <is>
          <t>인천시 계양구 효성동 200-1</t>
        </is>
      </c>
      <c r="AB768" s="0" t="inlineStr">
        <is>
          <t>인천시</t>
        </is>
      </c>
      <c r="AC768" s="0" t="inlineStr">
        <is>
          <t>계양구</t>
        </is>
      </c>
      <c r="AD768" s="0" t="inlineStr">
        <is>
          <t>효성동</t>
        </is>
      </c>
      <c r="AG768" s="0" t="inlineStr">
        <is>
          <t>인천시 계양구 새벌로112번길 12</t>
        </is>
      </c>
      <c r="AH768" s="0" t="n">
        <v>0</v>
      </c>
      <c r="AI768" s="0" t="n">
        <v>296</v>
      </c>
      <c r="AJ768" s="0" t="n">
        <v>19</v>
      </c>
      <c r="AK768" s="0" t="n">
        <v>937</v>
      </c>
      <c r="AL768" s="0" t="n">
        <v>1.02</v>
      </c>
    </row>
    <row r="769">
      <c r="A769" s="0" t="inlineStr">
        <is>
          <t>[효성동]</t>
        </is>
      </c>
      <c r="B769" s="0" t="n">
        <v>2480</v>
      </c>
      <c r="C769" s="0" t="n">
        <v>5</v>
      </c>
      <c r="D769" s="0" t="inlineStr">
        <is>
          <t>현대4차</t>
        </is>
      </c>
      <c r="E769" s="0" t="inlineStr">
        <is>
          <t>1995.12.</t>
        </is>
      </c>
      <c r="F769" s="0" t="n">
        <v>919</v>
      </c>
      <c r="G769" s="0" t="n">
        <v>50.61</v>
      </c>
      <c r="H769" s="0" t="n">
        <v>167.33</v>
      </c>
      <c r="I769" s="0" t="n">
        <v>40.2</v>
      </c>
      <c r="J769" s="0" t="n">
        <v>132.9</v>
      </c>
      <c r="K769" s="0" t="n">
        <v>100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167</v>
      </c>
      <c r="X769" s="0" t="n">
        <v>25</v>
      </c>
      <c r="Y769" s="0" t="n">
        <v>17</v>
      </c>
      <c r="Z769" s="0" t="inlineStr">
        <is>
          <t>https://new.land.naver.com/complexes/2480?tab=detail&amp;rf=Y</t>
        </is>
      </c>
      <c r="AA769" s="0" t="inlineStr">
        <is>
          <t>인천시 계양구 효성동 200-1</t>
        </is>
      </c>
      <c r="AB769" s="0" t="inlineStr">
        <is>
          <t>인천시</t>
        </is>
      </c>
      <c r="AC769" s="0" t="inlineStr">
        <is>
          <t>계양구</t>
        </is>
      </c>
      <c r="AD769" s="0" t="inlineStr">
        <is>
          <t>효성동</t>
        </is>
      </c>
      <c r="AG769" s="0" t="inlineStr">
        <is>
          <t>인천시 계양구 새벌로112번길 12</t>
        </is>
      </c>
      <c r="AH769" s="0" t="n">
        <v>0</v>
      </c>
      <c r="AI769" s="0" t="n">
        <v>296</v>
      </c>
      <c r="AJ769" s="0" t="n">
        <v>19</v>
      </c>
      <c r="AK769" s="0" t="n">
        <v>937</v>
      </c>
      <c r="AL769" s="0" t="n">
        <v>1.02</v>
      </c>
    </row>
    <row r="770">
      <c r="A770" s="0" t="inlineStr">
        <is>
          <t>[효성동]</t>
        </is>
      </c>
      <c r="B770" s="0" t="n">
        <v>8355</v>
      </c>
      <c r="C770" s="0" t="n">
        <v>1</v>
      </c>
      <c r="D770" s="0" t="inlineStr">
        <is>
          <t>신진</t>
        </is>
      </c>
      <c r="E770" s="0" t="inlineStr">
        <is>
          <t>1984.12.</t>
        </is>
      </c>
      <c r="F770" s="0" t="n">
        <v>285</v>
      </c>
      <c r="G770" s="0" t="n">
        <v>19.34</v>
      </c>
      <c r="H770" s="0" t="n">
        <v>63.94</v>
      </c>
      <c r="I770" s="0" t="n">
        <v>16.11</v>
      </c>
      <c r="J770" s="0" t="n">
        <v>53.28</v>
      </c>
      <c r="K770" s="0" t="n">
        <v>80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63</v>
      </c>
      <c r="X770" s="0" t="n">
        <v>5</v>
      </c>
      <c r="Y770" s="0" t="n">
        <v>5</v>
      </c>
      <c r="Z770" s="0" t="inlineStr">
        <is>
          <t>https://new.land.naver.com/complexes/8355?tab=detail&amp;rf=Y</t>
        </is>
      </c>
      <c r="AA770" s="0" t="inlineStr">
        <is>
          <t>인천시 계양구 효성동 242-6</t>
        </is>
      </c>
      <c r="AB770" s="0" t="inlineStr">
        <is>
          <t>인천시</t>
        </is>
      </c>
      <c r="AC770" s="0" t="inlineStr">
        <is>
          <t>계양구</t>
        </is>
      </c>
      <c r="AD770" s="0" t="inlineStr">
        <is>
          <t>효성동</t>
        </is>
      </c>
      <c r="AG770" s="0" t="inlineStr">
        <is>
          <t>인천시 계양구 효서로 150</t>
        </is>
      </c>
      <c r="AH770" s="0" t="n">
        <v>0</v>
      </c>
      <c r="AI770" s="0" t="n">
        <v>158</v>
      </c>
      <c r="AJ770" s="0" t="n">
        <v>31</v>
      </c>
      <c r="AK770" s="0" t="n">
        <v>0</v>
      </c>
      <c r="AL770" s="0" t="n">
        <v>0</v>
      </c>
    </row>
    <row r="771">
      <c r="A771" s="0" t="inlineStr">
        <is>
          <t>[효성동]</t>
        </is>
      </c>
      <c r="B771" s="0" t="n">
        <v>8355</v>
      </c>
      <c r="C771" s="0" t="n">
        <v>2</v>
      </c>
      <c r="D771" s="0" t="inlineStr">
        <is>
          <t>신진</t>
        </is>
      </c>
      <c r="E771" s="0" t="inlineStr">
        <is>
          <t>1984.12.</t>
        </is>
      </c>
      <c r="F771" s="0" t="n">
        <v>285</v>
      </c>
      <c r="G771" s="0" t="n">
        <v>22.28</v>
      </c>
      <c r="H771" s="0" t="n">
        <v>73.66</v>
      </c>
      <c r="I771" s="0" t="n">
        <v>18.56</v>
      </c>
      <c r="J771" s="0" t="n">
        <v>61.38</v>
      </c>
      <c r="K771" s="0" t="n">
        <v>70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73</v>
      </c>
      <c r="X771" s="0" t="n">
        <v>5</v>
      </c>
      <c r="Y771" s="0" t="n">
        <v>5</v>
      </c>
      <c r="Z771" s="0" t="inlineStr">
        <is>
          <t>https://new.land.naver.com/complexes/8355?tab=detail&amp;rf=Y</t>
        </is>
      </c>
      <c r="AA771" s="0" t="inlineStr">
        <is>
          <t>인천시 계양구 효성동 242-6</t>
        </is>
      </c>
      <c r="AB771" s="0" t="inlineStr">
        <is>
          <t>인천시</t>
        </is>
      </c>
      <c r="AC771" s="0" t="inlineStr">
        <is>
          <t>계양구</t>
        </is>
      </c>
      <c r="AD771" s="0" t="inlineStr">
        <is>
          <t>효성동</t>
        </is>
      </c>
      <c r="AG771" s="0" t="inlineStr">
        <is>
          <t>인천시 계양구 효서로 150</t>
        </is>
      </c>
      <c r="AH771" s="0" t="n">
        <v>0</v>
      </c>
      <c r="AI771" s="0" t="n">
        <v>158</v>
      </c>
      <c r="AJ771" s="0" t="n">
        <v>31</v>
      </c>
      <c r="AK771" s="0" t="n">
        <v>0</v>
      </c>
      <c r="AL771" s="0" t="n">
        <v>0</v>
      </c>
    </row>
    <row r="772">
      <c r="A772" s="0" t="inlineStr">
        <is>
          <t>[효성동]</t>
        </is>
      </c>
      <c r="B772" s="0" t="n">
        <v>8355</v>
      </c>
      <c r="C772" s="0" t="n">
        <v>3</v>
      </c>
      <c r="D772" s="0" t="inlineStr">
        <is>
          <t>신진</t>
        </is>
      </c>
      <c r="E772" s="0" t="inlineStr">
        <is>
          <t>1984.12.</t>
        </is>
      </c>
      <c r="F772" s="0" t="n">
        <v>285</v>
      </c>
      <c r="G772" s="0" t="n">
        <v>24.8</v>
      </c>
      <c r="H772" s="0" t="n">
        <v>82.01000000000001</v>
      </c>
      <c r="I772" s="0" t="n">
        <v>20.67</v>
      </c>
      <c r="J772" s="0" t="n">
        <v>68.34</v>
      </c>
      <c r="K772" s="0" t="n">
        <v>130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82</v>
      </c>
      <c r="X772" s="0" t="n">
        <v>5</v>
      </c>
      <c r="Y772" s="0" t="n">
        <v>5</v>
      </c>
      <c r="Z772" s="0" t="inlineStr">
        <is>
          <t>https://new.land.naver.com/complexes/8355?tab=detail&amp;rf=Y</t>
        </is>
      </c>
      <c r="AA772" s="0" t="inlineStr">
        <is>
          <t>인천시 계양구 효성동 242-6</t>
        </is>
      </c>
      <c r="AB772" s="0" t="inlineStr">
        <is>
          <t>인천시</t>
        </is>
      </c>
      <c r="AC772" s="0" t="inlineStr">
        <is>
          <t>계양구</t>
        </is>
      </c>
      <c r="AD772" s="0" t="inlineStr">
        <is>
          <t>효성동</t>
        </is>
      </c>
      <c r="AG772" s="0" t="inlineStr">
        <is>
          <t>인천시 계양구 효서로 150</t>
        </is>
      </c>
      <c r="AH772" s="0" t="n">
        <v>0</v>
      </c>
      <c r="AI772" s="0" t="n">
        <v>158</v>
      </c>
      <c r="AJ772" s="0" t="n">
        <v>31</v>
      </c>
      <c r="AK772" s="0" t="n">
        <v>0</v>
      </c>
      <c r="AL772" s="0" t="n">
        <v>0</v>
      </c>
    </row>
    <row r="773">
      <c r="A773" s="0" t="inlineStr">
        <is>
          <t>[효성동]</t>
        </is>
      </c>
      <c r="B773" s="0" t="n">
        <v>8355</v>
      </c>
      <c r="C773" s="0" t="n">
        <v>4</v>
      </c>
      <c r="D773" s="0" t="inlineStr">
        <is>
          <t>신진</t>
        </is>
      </c>
      <c r="E773" s="0" t="inlineStr">
        <is>
          <t>1984.12.</t>
        </is>
      </c>
      <c r="F773" s="0" t="n">
        <v>285</v>
      </c>
      <c r="G773" s="0" t="n">
        <v>29.03</v>
      </c>
      <c r="H773" s="0" t="n">
        <v>95.98</v>
      </c>
      <c r="I773" s="0" t="n">
        <v>24.19</v>
      </c>
      <c r="J773" s="0" t="n">
        <v>79.98</v>
      </c>
      <c r="K773" s="0" t="n">
        <v>5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95</v>
      </c>
      <c r="X773" s="0" t="n">
        <v>5</v>
      </c>
      <c r="Y773" s="0" t="n">
        <v>5</v>
      </c>
      <c r="Z773" s="0" t="inlineStr">
        <is>
          <t>https://new.land.naver.com/complexes/8355?tab=detail&amp;rf=Y</t>
        </is>
      </c>
      <c r="AA773" s="0" t="inlineStr">
        <is>
          <t>인천시 계양구 효성동 242-6</t>
        </is>
      </c>
      <c r="AB773" s="0" t="inlineStr">
        <is>
          <t>인천시</t>
        </is>
      </c>
      <c r="AC773" s="0" t="inlineStr">
        <is>
          <t>계양구</t>
        </is>
      </c>
      <c r="AD773" s="0" t="inlineStr">
        <is>
          <t>효성동</t>
        </is>
      </c>
      <c r="AG773" s="0" t="inlineStr">
        <is>
          <t>인천시 계양구 효서로 150</t>
        </is>
      </c>
      <c r="AH773" s="0" t="n">
        <v>0</v>
      </c>
      <c r="AI773" s="0" t="n">
        <v>158</v>
      </c>
      <c r="AJ773" s="0" t="n">
        <v>31</v>
      </c>
      <c r="AK773" s="0" t="n">
        <v>0</v>
      </c>
      <c r="AL773" s="0" t="n">
        <v>0</v>
      </c>
    </row>
    <row r="774">
      <c r="A774" s="0" t="inlineStr">
        <is>
          <t>[효성동]</t>
        </is>
      </c>
      <c r="B774" s="0" t="n">
        <v>8975</v>
      </c>
      <c r="C774" s="0" t="n">
        <v>1</v>
      </c>
      <c r="D774" s="0" t="inlineStr">
        <is>
          <t>유승</t>
        </is>
      </c>
      <c r="E774" s="0" t="inlineStr">
        <is>
          <t>2002.08.</t>
        </is>
      </c>
      <c r="F774" s="0" t="n">
        <v>350</v>
      </c>
      <c r="G774" s="0" t="n">
        <v>26.99</v>
      </c>
      <c r="H774" s="0" t="n">
        <v>89.23999999999999</v>
      </c>
      <c r="I774" s="0" t="n">
        <v>17.88</v>
      </c>
      <c r="J774" s="0" t="n">
        <v>59.11</v>
      </c>
      <c r="K774" s="0" t="n">
        <v>350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89</v>
      </c>
      <c r="X774" s="0" t="n">
        <v>25</v>
      </c>
      <c r="Y774" s="0" t="n">
        <v>14</v>
      </c>
      <c r="Z774" s="0" t="inlineStr">
        <is>
          <t>https://new.land.naver.com/complexes/8975?tab=detail&amp;rf=Y</t>
        </is>
      </c>
      <c r="AA774" s="0" t="inlineStr">
        <is>
          <t>인천시 계양구 효성동 556</t>
        </is>
      </c>
      <c r="AB774" s="0" t="inlineStr">
        <is>
          <t>인천시</t>
        </is>
      </c>
      <c r="AC774" s="0" t="inlineStr">
        <is>
          <t>계양구</t>
        </is>
      </c>
      <c r="AD774" s="0" t="inlineStr">
        <is>
          <t>효성동</t>
        </is>
      </c>
      <c r="AG774" s="0" t="inlineStr">
        <is>
          <t>인천시 계양구 새풀로 27</t>
        </is>
      </c>
      <c r="AH774" s="0" t="n">
        <v>0</v>
      </c>
      <c r="AI774" s="0" t="n">
        <v>247</v>
      </c>
      <c r="AJ774" s="0" t="n">
        <v>15</v>
      </c>
      <c r="AK774" s="0" t="n">
        <v>321</v>
      </c>
      <c r="AL774" s="0" t="n">
        <v>0.92</v>
      </c>
    </row>
    <row r="775">
      <c r="A775" s="0" t="inlineStr">
        <is>
          <t>[효성동]</t>
        </is>
      </c>
      <c r="B775" s="0" t="n">
        <v>8271</v>
      </c>
      <c r="C775" s="0" t="n">
        <v>1</v>
      </c>
      <c r="D775" s="0" t="inlineStr">
        <is>
          <t>두산</t>
        </is>
      </c>
      <c r="E775" s="0" t="inlineStr">
        <is>
          <t>1997.09.</t>
        </is>
      </c>
      <c r="F775" s="0" t="n">
        <v>957</v>
      </c>
      <c r="G775" s="0" t="n">
        <v>24.11</v>
      </c>
      <c r="H775" s="0" t="n">
        <v>79.72</v>
      </c>
      <c r="I775" s="0" t="n">
        <v>18.12</v>
      </c>
      <c r="J775" s="0" t="n">
        <v>59.93</v>
      </c>
      <c r="K775" s="0" t="n">
        <v>390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79A</t>
        </is>
      </c>
      <c r="X775" s="0" t="n">
        <v>18</v>
      </c>
      <c r="Y775" s="0" t="n">
        <v>7</v>
      </c>
      <c r="Z775" s="0" t="inlineStr">
        <is>
          <t>https://new.land.naver.com/complexes/8271?tab=detail&amp;rf=Y</t>
        </is>
      </c>
      <c r="AA775" s="0" t="inlineStr">
        <is>
          <t>인천시 계양구 효성동 33-2</t>
        </is>
      </c>
      <c r="AB775" s="0" t="inlineStr">
        <is>
          <t>인천시</t>
        </is>
      </c>
      <c r="AC775" s="0" t="inlineStr">
        <is>
          <t>계양구</t>
        </is>
      </c>
      <c r="AD775" s="0" t="inlineStr">
        <is>
          <t>효성동</t>
        </is>
      </c>
      <c r="AG775" s="0" t="inlineStr">
        <is>
          <t>인천시 계양구 안남로573번길 18</t>
        </is>
      </c>
      <c r="AH775" s="0" t="n">
        <v>0</v>
      </c>
      <c r="AI775" s="0" t="n">
        <v>261</v>
      </c>
      <c r="AJ775" s="0" t="n">
        <v>24</v>
      </c>
      <c r="AK775" s="0" t="n">
        <v>1003</v>
      </c>
      <c r="AL775" s="0" t="n">
        <v>1.05</v>
      </c>
    </row>
    <row r="776">
      <c r="A776" s="0" t="inlineStr">
        <is>
          <t>[효성동]</t>
        </is>
      </c>
      <c r="B776" s="0" t="n">
        <v>8271</v>
      </c>
      <c r="C776" s="0" t="n">
        <v>2</v>
      </c>
      <c r="D776" s="0" t="inlineStr">
        <is>
          <t>두산</t>
        </is>
      </c>
      <c r="E776" s="0" t="inlineStr">
        <is>
          <t>1997.09.</t>
        </is>
      </c>
      <c r="F776" s="0" t="n">
        <v>957</v>
      </c>
      <c r="G776" s="0" t="n">
        <v>24.11</v>
      </c>
      <c r="H776" s="0" t="n">
        <v>79.73</v>
      </c>
      <c r="I776" s="0" t="n">
        <v>18.13</v>
      </c>
      <c r="J776" s="0" t="n">
        <v>59.94</v>
      </c>
      <c r="K776" s="0" t="n">
        <v>15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79B</t>
        </is>
      </c>
      <c r="X776" s="0" t="n">
        <v>18</v>
      </c>
      <c r="Y776" s="0" t="n">
        <v>7</v>
      </c>
      <c r="Z776" s="0" t="inlineStr">
        <is>
          <t>https://new.land.naver.com/complexes/8271?tab=detail&amp;rf=Y</t>
        </is>
      </c>
      <c r="AA776" s="0" t="inlineStr">
        <is>
          <t>인천시 계양구 효성동 33-2</t>
        </is>
      </c>
      <c r="AB776" s="0" t="inlineStr">
        <is>
          <t>인천시</t>
        </is>
      </c>
      <c r="AC776" s="0" t="inlineStr">
        <is>
          <t>계양구</t>
        </is>
      </c>
      <c r="AD776" s="0" t="inlineStr">
        <is>
          <t>효성동</t>
        </is>
      </c>
      <c r="AG776" s="0" t="inlineStr">
        <is>
          <t>인천시 계양구 안남로573번길 18</t>
        </is>
      </c>
      <c r="AH776" s="0" t="n">
        <v>0</v>
      </c>
      <c r="AI776" s="0" t="n">
        <v>261</v>
      </c>
      <c r="AJ776" s="0" t="n">
        <v>24</v>
      </c>
      <c r="AK776" s="0" t="n">
        <v>1003</v>
      </c>
      <c r="AL776" s="0" t="n">
        <v>1.05</v>
      </c>
    </row>
    <row r="777">
      <c r="A777" s="0" t="inlineStr">
        <is>
          <t>[효성동]</t>
        </is>
      </c>
      <c r="B777" s="0" t="n">
        <v>8271</v>
      </c>
      <c r="C777" s="0" t="n">
        <v>3</v>
      </c>
      <c r="D777" s="0" t="inlineStr">
        <is>
          <t>두산</t>
        </is>
      </c>
      <c r="E777" s="0" t="inlineStr">
        <is>
          <t>1997.09.</t>
        </is>
      </c>
      <c r="F777" s="0" t="n">
        <v>957</v>
      </c>
      <c r="G777" s="0" t="n">
        <v>32.58</v>
      </c>
      <c r="H777" s="0" t="n">
        <v>107.72</v>
      </c>
      <c r="I777" s="0" t="n">
        <v>25.67</v>
      </c>
      <c r="J777" s="0" t="n">
        <v>84.86</v>
      </c>
      <c r="K777" s="0" t="n">
        <v>406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107A</t>
        </is>
      </c>
      <c r="X777" s="0" t="n">
        <v>18</v>
      </c>
      <c r="Y777" s="0" t="n">
        <v>7</v>
      </c>
      <c r="Z777" s="0" t="inlineStr">
        <is>
          <t>https://new.land.naver.com/complexes/8271?tab=detail&amp;rf=Y</t>
        </is>
      </c>
      <c r="AA777" s="0" t="inlineStr">
        <is>
          <t>인천시 계양구 효성동 33-2</t>
        </is>
      </c>
      <c r="AB777" s="0" t="inlineStr">
        <is>
          <t>인천시</t>
        </is>
      </c>
      <c r="AC777" s="0" t="inlineStr">
        <is>
          <t>계양구</t>
        </is>
      </c>
      <c r="AD777" s="0" t="inlineStr">
        <is>
          <t>효성동</t>
        </is>
      </c>
      <c r="AG777" s="0" t="inlineStr">
        <is>
          <t>인천시 계양구 안남로573번길 18</t>
        </is>
      </c>
      <c r="AH777" s="0" t="n">
        <v>0</v>
      </c>
      <c r="AI777" s="0" t="n">
        <v>261</v>
      </c>
      <c r="AJ777" s="0" t="n">
        <v>24</v>
      </c>
      <c r="AK777" s="0" t="n">
        <v>1003</v>
      </c>
      <c r="AL777" s="0" t="n">
        <v>1.05</v>
      </c>
    </row>
    <row r="778">
      <c r="A778" s="0" t="inlineStr">
        <is>
          <t>[효성동]</t>
        </is>
      </c>
      <c r="B778" s="0" t="n">
        <v>8271</v>
      </c>
      <c r="C778" s="0" t="n">
        <v>4</v>
      </c>
      <c r="D778" s="0" t="inlineStr">
        <is>
          <t>두산</t>
        </is>
      </c>
      <c r="E778" s="0" t="inlineStr">
        <is>
          <t>1997.09.</t>
        </is>
      </c>
      <c r="F778" s="0" t="n">
        <v>957</v>
      </c>
      <c r="G778" s="0" t="n">
        <v>32.58</v>
      </c>
      <c r="H778" s="0" t="n">
        <v>107.73</v>
      </c>
      <c r="I778" s="0" t="n">
        <v>25.67</v>
      </c>
      <c r="J778" s="0" t="n">
        <v>84.87</v>
      </c>
      <c r="K778" s="0" t="n">
        <v>34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107B</t>
        </is>
      </c>
      <c r="X778" s="0" t="n">
        <v>18</v>
      </c>
      <c r="Y778" s="0" t="n">
        <v>7</v>
      </c>
      <c r="Z778" s="0" t="inlineStr">
        <is>
          <t>https://new.land.naver.com/complexes/8271?tab=detail&amp;rf=Y</t>
        </is>
      </c>
      <c r="AA778" s="0" t="inlineStr">
        <is>
          <t>인천시 계양구 효성동 33-2</t>
        </is>
      </c>
      <c r="AB778" s="0" t="inlineStr">
        <is>
          <t>인천시</t>
        </is>
      </c>
      <c r="AC778" s="0" t="inlineStr">
        <is>
          <t>계양구</t>
        </is>
      </c>
      <c r="AD778" s="0" t="inlineStr">
        <is>
          <t>효성동</t>
        </is>
      </c>
      <c r="AG778" s="0" t="inlineStr">
        <is>
          <t>인천시 계양구 안남로573번길 18</t>
        </is>
      </c>
      <c r="AH778" s="0" t="n">
        <v>0</v>
      </c>
      <c r="AI778" s="0" t="n">
        <v>261</v>
      </c>
      <c r="AJ778" s="0" t="n">
        <v>24</v>
      </c>
      <c r="AK778" s="0" t="n">
        <v>1003</v>
      </c>
      <c r="AL778" s="0" t="n">
        <v>1.05</v>
      </c>
    </row>
    <row r="779">
      <c r="A779" s="0" t="inlineStr">
        <is>
          <t>[효성동]</t>
        </is>
      </c>
      <c r="B779" s="0" t="n">
        <v>8271</v>
      </c>
      <c r="C779" s="0" t="n">
        <v>5</v>
      </c>
      <c r="D779" s="0" t="inlineStr">
        <is>
          <t>두산</t>
        </is>
      </c>
      <c r="E779" s="0" t="inlineStr">
        <is>
          <t>1997.09.</t>
        </is>
      </c>
      <c r="F779" s="0" t="n">
        <v>957</v>
      </c>
      <c r="G779" s="0" t="n">
        <v>32.62</v>
      </c>
      <c r="H779" s="0" t="n">
        <v>107.84</v>
      </c>
      <c r="I779" s="0" t="n">
        <v>25.7</v>
      </c>
      <c r="J779" s="0" t="n">
        <v>84.97</v>
      </c>
      <c r="K779" s="0" t="n">
        <v>16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107C</t>
        </is>
      </c>
      <c r="X779" s="0" t="n">
        <v>18</v>
      </c>
      <c r="Y779" s="0" t="n">
        <v>7</v>
      </c>
      <c r="Z779" s="0" t="inlineStr">
        <is>
          <t>https://new.land.naver.com/complexes/8271?tab=detail&amp;rf=Y</t>
        </is>
      </c>
      <c r="AA779" s="0" t="inlineStr">
        <is>
          <t>인천시 계양구 효성동 33-2</t>
        </is>
      </c>
      <c r="AB779" s="0" t="inlineStr">
        <is>
          <t>인천시</t>
        </is>
      </c>
      <c r="AC779" s="0" t="inlineStr">
        <is>
          <t>계양구</t>
        </is>
      </c>
      <c r="AD779" s="0" t="inlineStr">
        <is>
          <t>효성동</t>
        </is>
      </c>
      <c r="AG779" s="0" t="inlineStr">
        <is>
          <t>인천시 계양구 안남로573번길 18</t>
        </is>
      </c>
      <c r="AH779" s="0" t="n">
        <v>0</v>
      </c>
      <c r="AI779" s="0" t="n">
        <v>261</v>
      </c>
      <c r="AJ779" s="0" t="n">
        <v>24</v>
      </c>
      <c r="AK779" s="0" t="n">
        <v>1003</v>
      </c>
      <c r="AL779" s="0" t="n">
        <v>1.05</v>
      </c>
    </row>
    <row r="780">
      <c r="A780" s="0" t="inlineStr">
        <is>
          <t>[효성동]</t>
        </is>
      </c>
      <c r="B780" s="0" t="n">
        <v>8271</v>
      </c>
      <c r="C780" s="0" t="n">
        <v>6</v>
      </c>
      <c r="D780" s="0" t="inlineStr">
        <is>
          <t>두산</t>
        </is>
      </c>
      <c r="E780" s="0" t="inlineStr">
        <is>
          <t>1997.09.</t>
        </is>
      </c>
      <c r="F780" s="0" t="n">
        <v>957</v>
      </c>
      <c r="G780" s="0" t="n">
        <v>41.8</v>
      </c>
      <c r="H780" s="0" t="n">
        <v>138.2</v>
      </c>
      <c r="I780" s="0" t="n">
        <v>34.54</v>
      </c>
      <c r="J780" s="0" t="n">
        <v>114.2</v>
      </c>
      <c r="K780" s="0" t="n">
        <v>96</v>
      </c>
      <c r="T780" s="0" t="n">
        <v>4</v>
      </c>
      <c r="U780" s="0" t="n">
        <v>2</v>
      </c>
      <c r="V780" s="0" t="inlineStr">
        <is>
          <t>계단식</t>
        </is>
      </c>
      <c r="W780" s="0" t="n">
        <v>138</v>
      </c>
      <c r="X780" s="0" t="n">
        <v>18</v>
      </c>
      <c r="Y780" s="0" t="n">
        <v>7</v>
      </c>
      <c r="Z780" s="0" t="inlineStr">
        <is>
          <t>https://new.land.naver.com/complexes/8271?tab=detail&amp;rf=Y</t>
        </is>
      </c>
      <c r="AA780" s="0" t="inlineStr">
        <is>
          <t>인천시 계양구 효성동 33-2</t>
        </is>
      </c>
      <c r="AB780" s="0" t="inlineStr">
        <is>
          <t>인천시</t>
        </is>
      </c>
      <c r="AC780" s="0" t="inlineStr">
        <is>
          <t>계양구</t>
        </is>
      </c>
      <c r="AD780" s="0" t="inlineStr">
        <is>
          <t>효성동</t>
        </is>
      </c>
      <c r="AG780" s="0" t="inlineStr">
        <is>
          <t>인천시 계양구 안남로573번길 18</t>
        </is>
      </c>
      <c r="AH780" s="0" t="n">
        <v>0</v>
      </c>
      <c r="AI780" s="0" t="n">
        <v>261</v>
      </c>
      <c r="AJ780" s="0" t="n">
        <v>24</v>
      </c>
      <c r="AK780" s="0" t="n">
        <v>1003</v>
      </c>
      <c r="AL780" s="0" t="n">
        <v>1.05</v>
      </c>
    </row>
    <row r="781">
      <c r="A781" s="0" t="inlineStr">
        <is>
          <t>[효성동]</t>
        </is>
      </c>
      <c r="B781" s="0" t="n">
        <v>14521</v>
      </c>
      <c r="C781" s="0" t="n">
        <v>1</v>
      </c>
      <c r="D781" s="0" t="inlineStr">
        <is>
          <t>금호어울림</t>
        </is>
      </c>
      <c r="E781" s="0" t="inlineStr">
        <is>
          <t>2005.08.</t>
        </is>
      </c>
      <c r="F781" s="0" t="n">
        <v>410</v>
      </c>
      <c r="G781" s="0" t="n">
        <v>23.05</v>
      </c>
      <c r="H781" s="0" t="n">
        <v>76.22</v>
      </c>
      <c r="I781" s="0" t="n">
        <v>18.13</v>
      </c>
      <c r="J781" s="0" t="n">
        <v>59.96</v>
      </c>
      <c r="K781" s="0" t="n">
        <v>147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76</v>
      </c>
      <c r="X781" s="0" t="n">
        <v>11</v>
      </c>
      <c r="Y781" s="0" t="n">
        <v>7</v>
      </c>
      <c r="Z781" s="0" t="inlineStr">
        <is>
          <t>https://new.land.naver.com/complexes/14521?tab=detail&amp;rf=Y</t>
        </is>
      </c>
      <c r="AA781" s="0" t="inlineStr">
        <is>
          <t>인천시 계양구 효성동 675</t>
        </is>
      </c>
      <c r="AB781" s="0" t="inlineStr">
        <is>
          <t>인천시</t>
        </is>
      </c>
      <c r="AC781" s="0" t="inlineStr">
        <is>
          <t>계양구</t>
        </is>
      </c>
      <c r="AD781" s="0" t="inlineStr">
        <is>
          <t>효성동</t>
        </is>
      </c>
      <c r="AG781" s="0" t="inlineStr">
        <is>
          <t>인천시 계양구 아나지로198번길 11</t>
        </is>
      </c>
      <c r="AH781" s="0" t="n">
        <v>0</v>
      </c>
      <c r="AI781" s="0" t="n">
        <v>281</v>
      </c>
      <c r="AJ781" s="0" t="n">
        <v>32</v>
      </c>
      <c r="AK781" s="0" t="n">
        <v>419</v>
      </c>
      <c r="AL781" s="0" t="n">
        <v>1.02</v>
      </c>
    </row>
    <row r="782">
      <c r="A782" s="0" t="inlineStr">
        <is>
          <t>[효성동]</t>
        </is>
      </c>
      <c r="B782" s="0" t="n">
        <v>14521</v>
      </c>
      <c r="C782" s="0" t="n">
        <v>2</v>
      </c>
      <c r="D782" s="0" t="inlineStr">
        <is>
          <t>금호어울림</t>
        </is>
      </c>
      <c r="E782" s="0" t="inlineStr">
        <is>
          <t>2005.08.</t>
        </is>
      </c>
      <c r="F782" s="0" t="n">
        <v>410</v>
      </c>
      <c r="G782" s="0" t="n">
        <v>30.24</v>
      </c>
      <c r="H782" s="0" t="n">
        <v>99.98</v>
      </c>
      <c r="I782" s="0" t="n">
        <v>23.65</v>
      </c>
      <c r="J782" s="0" t="n">
        <v>78.19</v>
      </c>
      <c r="K782" s="0" t="n">
        <v>14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99</v>
      </c>
      <c r="X782" s="0" t="n">
        <v>11</v>
      </c>
      <c r="Y782" s="0" t="n">
        <v>7</v>
      </c>
      <c r="Z782" s="0" t="inlineStr">
        <is>
          <t>https://new.land.naver.com/complexes/14521?tab=detail&amp;rf=Y</t>
        </is>
      </c>
      <c r="AA782" s="0" t="inlineStr">
        <is>
          <t>인천시 계양구 효성동 675</t>
        </is>
      </c>
      <c r="AB782" s="0" t="inlineStr">
        <is>
          <t>인천시</t>
        </is>
      </c>
      <c r="AC782" s="0" t="inlineStr">
        <is>
          <t>계양구</t>
        </is>
      </c>
      <c r="AD782" s="0" t="inlineStr">
        <is>
          <t>효성동</t>
        </is>
      </c>
      <c r="AG782" s="0" t="inlineStr">
        <is>
          <t>인천시 계양구 아나지로198번길 11</t>
        </is>
      </c>
      <c r="AH782" s="0" t="n">
        <v>0</v>
      </c>
      <c r="AI782" s="0" t="n">
        <v>281</v>
      </c>
      <c r="AJ782" s="0" t="n">
        <v>32</v>
      </c>
      <c r="AK782" s="0" t="n">
        <v>419</v>
      </c>
      <c r="AL782" s="0" t="n">
        <v>1.02</v>
      </c>
    </row>
    <row r="783">
      <c r="A783" s="0" t="inlineStr">
        <is>
          <t>[효성동]</t>
        </is>
      </c>
      <c r="B783" s="0" t="n">
        <v>14521</v>
      </c>
      <c r="C783" s="0" t="n">
        <v>3</v>
      </c>
      <c r="D783" s="0" t="inlineStr">
        <is>
          <t>금호어울림</t>
        </is>
      </c>
      <c r="E783" s="0" t="inlineStr">
        <is>
          <t>2005.08.</t>
        </is>
      </c>
      <c r="F783" s="0" t="n">
        <v>410</v>
      </c>
      <c r="G783" s="0" t="n">
        <v>32.76</v>
      </c>
      <c r="H783" s="0" t="n">
        <v>108.31</v>
      </c>
      <c r="I783" s="0" t="n">
        <v>25.7</v>
      </c>
      <c r="J783" s="0" t="n">
        <v>84.98999999999999</v>
      </c>
      <c r="K783" s="0" t="n">
        <v>183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108</v>
      </c>
      <c r="X783" s="0" t="n">
        <v>11</v>
      </c>
      <c r="Y783" s="0" t="n">
        <v>7</v>
      </c>
      <c r="Z783" s="0" t="inlineStr">
        <is>
          <t>https://new.land.naver.com/complexes/14521?tab=detail&amp;rf=Y</t>
        </is>
      </c>
      <c r="AA783" s="0" t="inlineStr">
        <is>
          <t>인천시 계양구 효성동 675</t>
        </is>
      </c>
      <c r="AB783" s="0" t="inlineStr">
        <is>
          <t>인천시</t>
        </is>
      </c>
      <c r="AC783" s="0" t="inlineStr">
        <is>
          <t>계양구</t>
        </is>
      </c>
      <c r="AD783" s="0" t="inlineStr">
        <is>
          <t>효성동</t>
        </is>
      </c>
      <c r="AG783" s="0" t="inlineStr">
        <is>
          <t>인천시 계양구 아나지로198번길 11</t>
        </is>
      </c>
      <c r="AH783" s="0" t="n">
        <v>0</v>
      </c>
      <c r="AI783" s="0" t="n">
        <v>281</v>
      </c>
      <c r="AJ783" s="0" t="n">
        <v>32</v>
      </c>
      <c r="AK783" s="0" t="n">
        <v>419</v>
      </c>
      <c r="AL783" s="0" t="n">
        <v>1.02</v>
      </c>
    </row>
    <row r="784">
      <c r="A784" s="0" t="inlineStr">
        <is>
          <t>[효성동]</t>
        </is>
      </c>
      <c r="B784" s="0" t="n">
        <v>14521</v>
      </c>
      <c r="C784" s="0" t="n">
        <v>4</v>
      </c>
      <c r="D784" s="0" t="inlineStr">
        <is>
          <t>금호어울림</t>
        </is>
      </c>
      <c r="E784" s="0" t="inlineStr">
        <is>
          <t>2005.08.</t>
        </is>
      </c>
      <c r="F784" s="0" t="n">
        <v>410</v>
      </c>
      <c r="G784" s="0" t="n">
        <v>45.17</v>
      </c>
      <c r="H784" s="0" t="n">
        <v>149.35</v>
      </c>
      <c r="I784" s="0" t="n">
        <v>33.86</v>
      </c>
      <c r="J784" s="0" t="n">
        <v>111.94</v>
      </c>
      <c r="K784" s="0" t="n">
        <v>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149</v>
      </c>
      <c r="X784" s="0" t="n">
        <v>11</v>
      </c>
      <c r="Y784" s="0" t="n">
        <v>7</v>
      </c>
      <c r="Z784" s="0" t="inlineStr">
        <is>
          <t>https://new.land.naver.com/complexes/14521?tab=detail&amp;rf=Y</t>
        </is>
      </c>
      <c r="AA784" s="0" t="inlineStr">
        <is>
          <t>인천시 계양구 효성동 675</t>
        </is>
      </c>
      <c r="AB784" s="0" t="inlineStr">
        <is>
          <t>인천시</t>
        </is>
      </c>
      <c r="AC784" s="0" t="inlineStr">
        <is>
          <t>계양구</t>
        </is>
      </c>
      <c r="AD784" s="0" t="inlineStr">
        <is>
          <t>효성동</t>
        </is>
      </c>
      <c r="AG784" s="0" t="inlineStr">
        <is>
          <t>인천시 계양구 아나지로198번길 11</t>
        </is>
      </c>
      <c r="AH784" s="0" t="n">
        <v>0</v>
      </c>
      <c r="AI784" s="0" t="n">
        <v>281</v>
      </c>
      <c r="AJ784" s="0" t="n">
        <v>32</v>
      </c>
      <c r="AK784" s="0" t="n">
        <v>419</v>
      </c>
      <c r="AL784" s="0" t="n">
        <v>1.02</v>
      </c>
    </row>
    <row r="785">
      <c r="A785" s="0" t="inlineStr">
        <is>
          <t>[효성동]</t>
        </is>
      </c>
      <c r="B785" s="0" t="n">
        <v>14521</v>
      </c>
      <c r="C785" s="0" t="n">
        <v>5</v>
      </c>
      <c r="D785" s="0" t="inlineStr">
        <is>
          <t>금호어울림</t>
        </is>
      </c>
      <c r="E785" s="0" t="inlineStr">
        <is>
          <t>2005.08.</t>
        </is>
      </c>
      <c r="F785" s="0" t="n">
        <v>410</v>
      </c>
      <c r="G785" s="0" t="n">
        <v>48.9</v>
      </c>
      <c r="H785" s="0" t="n">
        <v>161.68</v>
      </c>
      <c r="I785" s="0" t="n">
        <v>36.89</v>
      </c>
      <c r="J785" s="0" t="n">
        <v>121.97</v>
      </c>
      <c r="K785" s="0" t="n">
        <v>60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161</v>
      </c>
      <c r="X785" s="0" t="n">
        <v>11</v>
      </c>
      <c r="Y785" s="0" t="n">
        <v>7</v>
      </c>
      <c r="Z785" s="0" t="inlineStr">
        <is>
          <t>https://new.land.naver.com/complexes/14521?tab=detail&amp;rf=Y</t>
        </is>
      </c>
      <c r="AA785" s="0" t="inlineStr">
        <is>
          <t>인천시 계양구 효성동 675</t>
        </is>
      </c>
      <c r="AB785" s="0" t="inlineStr">
        <is>
          <t>인천시</t>
        </is>
      </c>
      <c r="AC785" s="0" t="inlineStr">
        <is>
          <t>계양구</t>
        </is>
      </c>
      <c r="AD785" s="0" t="inlineStr">
        <is>
          <t>효성동</t>
        </is>
      </c>
      <c r="AG785" s="0" t="inlineStr">
        <is>
          <t>인천시 계양구 아나지로198번길 11</t>
        </is>
      </c>
      <c r="AH785" s="0" t="n">
        <v>0</v>
      </c>
      <c r="AI785" s="0" t="n">
        <v>281</v>
      </c>
      <c r="AJ785" s="0" t="n">
        <v>32</v>
      </c>
      <c r="AK785" s="0" t="n">
        <v>419</v>
      </c>
      <c r="AL785" s="0" t="n">
        <v>1.02</v>
      </c>
    </row>
    <row r="786">
      <c r="A786" s="0" t="inlineStr">
        <is>
          <t>[효성동]</t>
        </is>
      </c>
      <c r="B786" s="0" t="n">
        <v>127669</v>
      </c>
      <c r="C786" s="0" t="n">
        <v>1</v>
      </c>
      <c r="D786" s="0" t="inlineStr">
        <is>
          <t>효성메트하임</t>
        </is>
      </c>
      <c r="E786" s="0" t="inlineStr">
        <is>
          <t>2019.09.</t>
        </is>
      </c>
      <c r="F786" s="0" t="n">
        <v>88</v>
      </c>
      <c r="G786" s="0" t="n">
        <v>20.7</v>
      </c>
      <c r="H786" s="0" t="n">
        <v>68.45</v>
      </c>
      <c r="I786" s="0" t="n">
        <v>15.36</v>
      </c>
      <c r="J786" s="0" t="n">
        <v>50.78</v>
      </c>
      <c r="K786" s="0" t="n">
        <v>14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68</v>
      </c>
      <c r="X786" s="0" t="n">
        <v>16</v>
      </c>
      <c r="Y786" s="0" t="n">
        <v>9</v>
      </c>
      <c r="Z786" s="0" t="inlineStr">
        <is>
          <t>https://new.land.naver.com/complexes/127669?tab=detail&amp;rf=Y</t>
        </is>
      </c>
      <c r="AA786" s="0" t="inlineStr">
        <is>
          <t>인천시 계양구 효성동 75-3</t>
        </is>
      </c>
      <c r="AB786" s="0" t="inlineStr">
        <is>
          <t>인천시</t>
        </is>
      </c>
      <c r="AC786" s="0" t="inlineStr">
        <is>
          <t>계양구</t>
        </is>
      </c>
      <c r="AD786" s="0" t="inlineStr">
        <is>
          <t>효성동</t>
        </is>
      </c>
      <c r="AG786" s="0" t="inlineStr">
        <is>
          <t>인천시 계양구 안남로519번길 4</t>
        </is>
      </c>
      <c r="AH786" s="0" t="n">
        <v>0</v>
      </c>
      <c r="AI786" s="0" t="n">
        <v>246</v>
      </c>
      <c r="AJ786" s="0" t="n">
        <v>55</v>
      </c>
      <c r="AK786" s="0" t="n">
        <v>106</v>
      </c>
      <c r="AL786" s="0" t="n">
        <v>1.2</v>
      </c>
    </row>
    <row r="787">
      <c r="A787" s="0" t="inlineStr">
        <is>
          <t>[효성동]</t>
        </is>
      </c>
      <c r="B787" s="0" t="n">
        <v>127669</v>
      </c>
      <c r="C787" s="0" t="n">
        <v>2</v>
      </c>
      <c r="D787" s="0" t="inlineStr">
        <is>
          <t>효성메트하임</t>
        </is>
      </c>
      <c r="E787" s="0" t="inlineStr">
        <is>
          <t>2019.09.</t>
        </is>
      </c>
      <c r="F787" s="0" t="n">
        <v>88</v>
      </c>
      <c r="G787" s="0" t="n">
        <v>23.6</v>
      </c>
      <c r="H787" s="0" t="n">
        <v>78.04000000000001</v>
      </c>
      <c r="I787" s="0" t="n">
        <v>17.58</v>
      </c>
      <c r="J787" s="0" t="n">
        <v>58.14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78</v>
      </c>
      <c r="X787" s="0" t="n">
        <v>16</v>
      </c>
      <c r="Y787" s="0" t="n">
        <v>9</v>
      </c>
      <c r="Z787" s="0" t="inlineStr">
        <is>
          <t>https://new.land.naver.com/complexes/127669?tab=detail&amp;rf=Y</t>
        </is>
      </c>
      <c r="AA787" s="0" t="inlineStr">
        <is>
          <t>인천시 계양구 효성동 75-3</t>
        </is>
      </c>
      <c r="AB787" s="0" t="inlineStr">
        <is>
          <t>인천시</t>
        </is>
      </c>
      <c r="AC787" s="0" t="inlineStr">
        <is>
          <t>계양구</t>
        </is>
      </c>
      <c r="AD787" s="0" t="inlineStr">
        <is>
          <t>효성동</t>
        </is>
      </c>
      <c r="AG787" s="0" t="inlineStr">
        <is>
          <t>인천시 계양구 안남로519번길 4</t>
        </is>
      </c>
      <c r="AH787" s="0" t="n">
        <v>0</v>
      </c>
      <c r="AI787" s="0" t="n">
        <v>246</v>
      </c>
      <c r="AJ787" s="0" t="n">
        <v>55</v>
      </c>
      <c r="AK787" s="0" t="n">
        <v>106</v>
      </c>
      <c r="AL787" s="0" t="n">
        <v>1.2</v>
      </c>
    </row>
    <row r="788">
      <c r="A788" s="0" t="inlineStr">
        <is>
          <t>[효성동]</t>
        </is>
      </c>
      <c r="B788" s="0" t="n">
        <v>127669</v>
      </c>
      <c r="C788" s="0" t="n">
        <v>3</v>
      </c>
      <c r="D788" s="0" t="inlineStr">
        <is>
          <t>효성메트하임</t>
        </is>
      </c>
      <c r="E788" s="0" t="inlineStr">
        <is>
          <t>2019.09.</t>
        </is>
      </c>
      <c r="F788" s="0" t="n">
        <v>88</v>
      </c>
      <c r="G788" s="0" t="n">
        <v>24.37</v>
      </c>
      <c r="H788" s="0" t="n">
        <v>80.58</v>
      </c>
      <c r="I788" s="0" t="n">
        <v>18.12</v>
      </c>
      <c r="J788" s="0" t="n">
        <v>59.93</v>
      </c>
      <c r="K788" s="0" t="n">
        <v>15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80D</t>
        </is>
      </c>
      <c r="X788" s="0" t="n">
        <v>16</v>
      </c>
      <c r="Y788" s="0" t="n">
        <v>9</v>
      </c>
      <c r="Z788" s="0" t="inlineStr">
        <is>
          <t>https://new.land.naver.com/complexes/127669?tab=detail&amp;rf=Y</t>
        </is>
      </c>
      <c r="AA788" s="0" t="inlineStr">
        <is>
          <t>인천시 계양구 효성동 75-3</t>
        </is>
      </c>
      <c r="AB788" s="0" t="inlineStr">
        <is>
          <t>인천시</t>
        </is>
      </c>
      <c r="AC788" s="0" t="inlineStr">
        <is>
          <t>계양구</t>
        </is>
      </c>
      <c r="AD788" s="0" t="inlineStr">
        <is>
          <t>효성동</t>
        </is>
      </c>
      <c r="AG788" s="0" t="inlineStr">
        <is>
          <t>인천시 계양구 안남로519번길 4</t>
        </is>
      </c>
      <c r="AH788" s="0" t="n">
        <v>0</v>
      </c>
      <c r="AI788" s="0" t="n">
        <v>246</v>
      </c>
      <c r="AJ788" s="0" t="n">
        <v>55</v>
      </c>
      <c r="AK788" s="0" t="n">
        <v>106</v>
      </c>
      <c r="AL788" s="0" t="n">
        <v>1.2</v>
      </c>
    </row>
    <row r="789">
      <c r="A789" s="0" t="inlineStr">
        <is>
          <t>[효성동]</t>
        </is>
      </c>
      <c r="B789" s="0" t="n">
        <v>127669</v>
      </c>
      <c r="C789" s="0" t="n">
        <v>4</v>
      </c>
      <c r="D789" s="0" t="inlineStr">
        <is>
          <t>효성메트하임</t>
        </is>
      </c>
      <c r="E789" s="0" t="inlineStr">
        <is>
          <t>2019.09.</t>
        </is>
      </c>
      <c r="F789" s="0" t="n">
        <v>88</v>
      </c>
      <c r="G789" s="0" t="n">
        <v>24.32</v>
      </c>
      <c r="H789" s="0" t="n">
        <v>80.42</v>
      </c>
      <c r="I789" s="0" t="n">
        <v>18.12</v>
      </c>
      <c r="J789" s="0" t="n">
        <v>59.93</v>
      </c>
      <c r="K789" s="0" t="n">
        <v>15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80E</t>
        </is>
      </c>
      <c r="X789" s="0" t="n">
        <v>16</v>
      </c>
      <c r="Y789" s="0" t="n">
        <v>9</v>
      </c>
      <c r="Z789" s="0" t="inlineStr">
        <is>
          <t>https://new.land.naver.com/complexes/127669?tab=detail&amp;rf=Y</t>
        </is>
      </c>
      <c r="AA789" s="0" t="inlineStr">
        <is>
          <t>인천시 계양구 효성동 75-3</t>
        </is>
      </c>
      <c r="AB789" s="0" t="inlineStr">
        <is>
          <t>인천시</t>
        </is>
      </c>
      <c r="AC789" s="0" t="inlineStr">
        <is>
          <t>계양구</t>
        </is>
      </c>
      <c r="AD789" s="0" t="inlineStr">
        <is>
          <t>효성동</t>
        </is>
      </c>
      <c r="AG789" s="0" t="inlineStr">
        <is>
          <t>인천시 계양구 안남로519번길 4</t>
        </is>
      </c>
      <c r="AH789" s="0" t="n">
        <v>0</v>
      </c>
      <c r="AI789" s="0" t="n">
        <v>246</v>
      </c>
      <c r="AJ789" s="0" t="n">
        <v>55</v>
      </c>
      <c r="AK789" s="0" t="n">
        <v>106</v>
      </c>
      <c r="AL789" s="0" t="n">
        <v>1.2</v>
      </c>
    </row>
    <row r="790">
      <c r="A790" s="0" t="inlineStr">
        <is>
          <t>[효성동]</t>
        </is>
      </c>
      <c r="B790" s="0" t="n">
        <v>127669</v>
      </c>
      <c r="C790" s="0" t="n">
        <v>5</v>
      </c>
      <c r="D790" s="0" t="inlineStr">
        <is>
          <t>효성메트하임</t>
        </is>
      </c>
      <c r="E790" s="0" t="inlineStr">
        <is>
          <t>2019.09.</t>
        </is>
      </c>
      <c r="F790" s="0" t="n">
        <v>88</v>
      </c>
      <c r="G790" s="0" t="n">
        <v>24.33</v>
      </c>
      <c r="H790" s="0" t="n">
        <v>80.45</v>
      </c>
      <c r="I790" s="0" t="n">
        <v>18.08</v>
      </c>
      <c r="J790" s="0" t="n">
        <v>59.8</v>
      </c>
      <c r="K790" s="0" t="n">
        <v>13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80F</t>
        </is>
      </c>
      <c r="X790" s="0" t="n">
        <v>16</v>
      </c>
      <c r="Y790" s="0" t="n">
        <v>9</v>
      </c>
      <c r="Z790" s="0" t="inlineStr">
        <is>
          <t>https://new.land.naver.com/complexes/127669?tab=detail&amp;rf=Y</t>
        </is>
      </c>
      <c r="AA790" s="0" t="inlineStr">
        <is>
          <t>인천시 계양구 효성동 75-3</t>
        </is>
      </c>
      <c r="AB790" s="0" t="inlineStr">
        <is>
          <t>인천시</t>
        </is>
      </c>
      <c r="AC790" s="0" t="inlineStr">
        <is>
          <t>계양구</t>
        </is>
      </c>
      <c r="AD790" s="0" t="inlineStr">
        <is>
          <t>효성동</t>
        </is>
      </c>
      <c r="AG790" s="0" t="inlineStr">
        <is>
          <t>인천시 계양구 안남로519번길 4</t>
        </is>
      </c>
      <c r="AH790" s="0" t="n">
        <v>0</v>
      </c>
      <c r="AI790" s="0" t="n">
        <v>246</v>
      </c>
      <c r="AJ790" s="0" t="n">
        <v>55</v>
      </c>
      <c r="AK790" s="0" t="n">
        <v>106</v>
      </c>
      <c r="AL790" s="0" t="n">
        <v>1.2</v>
      </c>
    </row>
    <row r="791">
      <c r="A791" s="0" t="inlineStr">
        <is>
          <t>[효성동]</t>
        </is>
      </c>
      <c r="B791" s="0" t="n">
        <v>127669</v>
      </c>
      <c r="C791" s="0" t="n">
        <v>6</v>
      </c>
      <c r="D791" s="0" t="inlineStr">
        <is>
          <t>효성메트하임</t>
        </is>
      </c>
      <c r="E791" s="0" t="inlineStr">
        <is>
          <t>2019.09.</t>
        </is>
      </c>
      <c r="F791" s="0" t="n">
        <v>88</v>
      </c>
      <c r="G791" s="0" t="n">
        <v>24.23</v>
      </c>
      <c r="H791" s="0" t="n">
        <v>80.12</v>
      </c>
      <c r="I791" s="0" t="n">
        <v>18.07</v>
      </c>
      <c r="J791" s="0" t="n">
        <v>59.76</v>
      </c>
      <c r="K791" s="0" t="n">
        <v>10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80A</t>
        </is>
      </c>
      <c r="X791" s="0" t="n">
        <v>16</v>
      </c>
      <c r="Y791" s="0" t="n">
        <v>9</v>
      </c>
      <c r="Z791" s="0" t="inlineStr">
        <is>
          <t>https://new.land.naver.com/complexes/127669?tab=detail&amp;rf=Y</t>
        </is>
      </c>
      <c r="AA791" s="0" t="inlineStr">
        <is>
          <t>인천시 계양구 효성동 75-3</t>
        </is>
      </c>
      <c r="AB791" s="0" t="inlineStr">
        <is>
          <t>인천시</t>
        </is>
      </c>
      <c r="AC791" s="0" t="inlineStr">
        <is>
          <t>계양구</t>
        </is>
      </c>
      <c r="AD791" s="0" t="inlineStr">
        <is>
          <t>효성동</t>
        </is>
      </c>
      <c r="AG791" s="0" t="inlineStr">
        <is>
          <t>인천시 계양구 안남로519번길 4</t>
        </is>
      </c>
      <c r="AH791" s="0" t="n">
        <v>0</v>
      </c>
      <c r="AI791" s="0" t="n">
        <v>246</v>
      </c>
      <c r="AJ791" s="0" t="n">
        <v>55</v>
      </c>
      <c r="AK791" s="0" t="n">
        <v>106</v>
      </c>
      <c r="AL791" s="0" t="n">
        <v>1.2</v>
      </c>
    </row>
    <row r="792">
      <c r="A792" s="0" t="inlineStr">
        <is>
          <t>[효성동]</t>
        </is>
      </c>
      <c r="B792" s="0" t="n">
        <v>127669</v>
      </c>
      <c r="C792" s="0" t="n">
        <v>7</v>
      </c>
      <c r="D792" s="0" t="inlineStr">
        <is>
          <t>효성메트하임</t>
        </is>
      </c>
      <c r="E792" s="0" t="inlineStr">
        <is>
          <t>2019.09.</t>
        </is>
      </c>
      <c r="F792" s="0" t="n">
        <v>88</v>
      </c>
      <c r="G792" s="0" t="n">
        <v>24.26</v>
      </c>
      <c r="H792" s="0" t="n">
        <v>80.23</v>
      </c>
      <c r="I792" s="0" t="n">
        <v>18.07</v>
      </c>
      <c r="J792" s="0" t="n">
        <v>59.76</v>
      </c>
      <c r="K792" s="0" t="n">
        <v>10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80B</t>
        </is>
      </c>
      <c r="X792" s="0" t="n">
        <v>16</v>
      </c>
      <c r="Y792" s="0" t="n">
        <v>9</v>
      </c>
      <c r="Z792" s="0" t="inlineStr">
        <is>
          <t>https://new.land.naver.com/complexes/127669?tab=detail&amp;rf=Y</t>
        </is>
      </c>
      <c r="AA792" s="0" t="inlineStr">
        <is>
          <t>인천시 계양구 효성동 75-3</t>
        </is>
      </c>
      <c r="AB792" s="0" t="inlineStr">
        <is>
          <t>인천시</t>
        </is>
      </c>
      <c r="AC792" s="0" t="inlineStr">
        <is>
          <t>계양구</t>
        </is>
      </c>
      <c r="AD792" s="0" t="inlineStr">
        <is>
          <t>효성동</t>
        </is>
      </c>
      <c r="AG792" s="0" t="inlineStr">
        <is>
          <t>인천시 계양구 안남로519번길 4</t>
        </is>
      </c>
      <c r="AH792" s="0" t="n">
        <v>0</v>
      </c>
      <c r="AI792" s="0" t="n">
        <v>246</v>
      </c>
      <c r="AJ792" s="0" t="n">
        <v>55</v>
      </c>
      <c r="AK792" s="0" t="n">
        <v>106</v>
      </c>
      <c r="AL792" s="0" t="n">
        <v>1.2</v>
      </c>
    </row>
    <row r="793">
      <c r="A793" s="0" t="inlineStr">
        <is>
          <t>[효성동]</t>
        </is>
      </c>
      <c r="B793" s="0" t="n">
        <v>127669</v>
      </c>
      <c r="C793" s="0" t="n">
        <v>8</v>
      </c>
      <c r="D793" s="0" t="inlineStr">
        <is>
          <t>효성메트하임</t>
        </is>
      </c>
      <c r="E793" s="0" t="inlineStr">
        <is>
          <t>2019.09.</t>
        </is>
      </c>
      <c r="F793" s="0" t="n">
        <v>88</v>
      </c>
      <c r="G793" s="0" t="n">
        <v>24.4</v>
      </c>
      <c r="H793" s="0" t="n">
        <v>80.68000000000001</v>
      </c>
      <c r="I793" s="0" t="n">
        <v>18.13</v>
      </c>
      <c r="J793" s="0" t="n">
        <v>59.94</v>
      </c>
      <c r="K793" s="0" t="n">
        <v>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80C</t>
        </is>
      </c>
      <c r="X793" s="0" t="n">
        <v>16</v>
      </c>
      <c r="Y793" s="0" t="n">
        <v>9</v>
      </c>
      <c r="Z793" s="0" t="inlineStr">
        <is>
          <t>https://new.land.naver.com/complexes/127669?tab=detail&amp;rf=Y</t>
        </is>
      </c>
      <c r="AA793" s="0" t="inlineStr">
        <is>
          <t>인천시 계양구 효성동 75-3</t>
        </is>
      </c>
      <c r="AB793" s="0" t="inlineStr">
        <is>
          <t>인천시</t>
        </is>
      </c>
      <c r="AC793" s="0" t="inlineStr">
        <is>
          <t>계양구</t>
        </is>
      </c>
      <c r="AD793" s="0" t="inlineStr">
        <is>
          <t>효성동</t>
        </is>
      </c>
      <c r="AG793" s="0" t="inlineStr">
        <is>
          <t>인천시 계양구 안남로519번길 4</t>
        </is>
      </c>
      <c r="AH793" s="0" t="n">
        <v>0</v>
      </c>
      <c r="AI793" s="0" t="n">
        <v>246</v>
      </c>
      <c r="AJ793" s="0" t="n">
        <v>55</v>
      </c>
      <c r="AK793" s="0" t="n">
        <v>106</v>
      </c>
      <c r="AL793" s="0" t="n">
        <v>1.2</v>
      </c>
    </row>
    <row r="794">
      <c r="A794" s="0" t="inlineStr">
        <is>
          <t>[효성동]</t>
        </is>
      </c>
      <c r="B794" s="0" t="n">
        <v>127669</v>
      </c>
      <c r="C794" s="0" t="n">
        <v>9</v>
      </c>
      <c r="D794" s="0" t="inlineStr">
        <is>
          <t>효성메트하임</t>
        </is>
      </c>
      <c r="E794" s="0" t="inlineStr">
        <is>
          <t>2019.09.</t>
        </is>
      </c>
      <c r="F794" s="0" t="n">
        <v>88</v>
      </c>
      <c r="G794" s="0" t="n">
        <v>24.26</v>
      </c>
      <c r="H794" s="0" t="n">
        <v>80.23</v>
      </c>
      <c r="I794" s="0" t="n">
        <v>18.07</v>
      </c>
      <c r="J794" s="0" t="n">
        <v>59.76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80G</t>
        </is>
      </c>
      <c r="X794" s="0" t="n">
        <v>16</v>
      </c>
      <c r="Y794" s="0" t="n">
        <v>9</v>
      </c>
      <c r="Z794" s="0" t="inlineStr">
        <is>
          <t>https://new.land.naver.com/complexes/127669?tab=detail&amp;rf=Y</t>
        </is>
      </c>
      <c r="AA794" s="0" t="inlineStr">
        <is>
          <t>인천시 계양구 효성동 75-3</t>
        </is>
      </c>
      <c r="AB794" s="0" t="inlineStr">
        <is>
          <t>인천시</t>
        </is>
      </c>
      <c r="AC794" s="0" t="inlineStr">
        <is>
          <t>계양구</t>
        </is>
      </c>
      <c r="AD794" s="0" t="inlineStr">
        <is>
          <t>효성동</t>
        </is>
      </c>
      <c r="AG794" s="0" t="inlineStr">
        <is>
          <t>인천시 계양구 안남로519번길 4</t>
        </is>
      </c>
      <c r="AH794" s="0" t="n">
        <v>0</v>
      </c>
      <c r="AI794" s="0" t="n">
        <v>246</v>
      </c>
      <c r="AJ794" s="0" t="n">
        <v>55</v>
      </c>
      <c r="AK794" s="0" t="n">
        <v>106</v>
      </c>
      <c r="AL794" s="0" t="n">
        <v>1.2</v>
      </c>
    </row>
    <row r="795">
      <c r="A795" s="0" t="inlineStr">
        <is>
          <t>[효성동]</t>
        </is>
      </c>
      <c r="B795" s="0" t="n">
        <v>127669</v>
      </c>
      <c r="C795" s="0" t="n">
        <v>10</v>
      </c>
      <c r="D795" s="0" t="inlineStr">
        <is>
          <t>효성메트하임</t>
        </is>
      </c>
      <c r="E795" s="0" t="inlineStr">
        <is>
          <t>2019.09.</t>
        </is>
      </c>
      <c r="F795" s="0" t="n">
        <v>88</v>
      </c>
      <c r="G795" s="0" t="n">
        <v>24.4</v>
      </c>
      <c r="H795" s="0" t="n">
        <v>80.68000000000001</v>
      </c>
      <c r="I795" s="0" t="n">
        <v>18.13</v>
      </c>
      <c r="J795" s="0" t="n">
        <v>59.94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80H</t>
        </is>
      </c>
      <c r="X795" s="0" t="n">
        <v>16</v>
      </c>
      <c r="Y795" s="0" t="n">
        <v>9</v>
      </c>
      <c r="Z795" s="0" t="inlineStr">
        <is>
          <t>https://new.land.naver.com/complexes/127669?tab=detail&amp;rf=Y</t>
        </is>
      </c>
      <c r="AA795" s="0" t="inlineStr">
        <is>
          <t>인천시 계양구 효성동 75-3</t>
        </is>
      </c>
      <c r="AB795" s="0" t="inlineStr">
        <is>
          <t>인천시</t>
        </is>
      </c>
      <c r="AC795" s="0" t="inlineStr">
        <is>
          <t>계양구</t>
        </is>
      </c>
      <c r="AD795" s="0" t="inlineStr">
        <is>
          <t>효성동</t>
        </is>
      </c>
      <c r="AG795" s="0" t="inlineStr">
        <is>
          <t>인천시 계양구 안남로519번길 4</t>
        </is>
      </c>
      <c r="AH795" s="0" t="n">
        <v>0</v>
      </c>
      <c r="AI795" s="0" t="n">
        <v>246</v>
      </c>
      <c r="AJ795" s="0" t="n">
        <v>55</v>
      </c>
      <c r="AK795" s="0" t="n">
        <v>106</v>
      </c>
      <c r="AL795" s="0" t="n">
        <v>1.2</v>
      </c>
    </row>
    <row r="796">
      <c r="A796" s="0" t="inlineStr">
        <is>
          <t>[효성동]</t>
        </is>
      </c>
      <c r="B796" s="0" t="n">
        <v>127669</v>
      </c>
      <c r="C796" s="0" t="n">
        <v>11</v>
      </c>
      <c r="D796" s="0" t="inlineStr">
        <is>
          <t>효성메트하임</t>
        </is>
      </c>
      <c r="E796" s="0" t="inlineStr">
        <is>
          <t>2019.09.</t>
        </is>
      </c>
      <c r="F796" s="0" t="n">
        <v>88</v>
      </c>
      <c r="G796" s="0" t="n">
        <v>24.33</v>
      </c>
      <c r="H796" s="0" t="n">
        <v>80.45</v>
      </c>
      <c r="I796" s="0" t="n">
        <v>18.08</v>
      </c>
      <c r="J796" s="0" t="n">
        <v>59.8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80I</t>
        </is>
      </c>
      <c r="X796" s="0" t="n">
        <v>16</v>
      </c>
      <c r="Y796" s="0" t="n">
        <v>9</v>
      </c>
      <c r="Z796" s="0" t="inlineStr">
        <is>
          <t>https://new.land.naver.com/complexes/127669?tab=detail&amp;rf=Y</t>
        </is>
      </c>
      <c r="AA796" s="0" t="inlineStr">
        <is>
          <t>인천시 계양구 효성동 75-3</t>
        </is>
      </c>
      <c r="AB796" s="0" t="inlineStr">
        <is>
          <t>인천시</t>
        </is>
      </c>
      <c r="AC796" s="0" t="inlineStr">
        <is>
          <t>계양구</t>
        </is>
      </c>
      <c r="AD796" s="0" t="inlineStr">
        <is>
          <t>효성동</t>
        </is>
      </c>
      <c r="AG796" s="0" t="inlineStr">
        <is>
          <t>인천시 계양구 안남로519번길 4</t>
        </is>
      </c>
      <c r="AH796" s="0" t="n">
        <v>0</v>
      </c>
      <c r="AI796" s="0" t="n">
        <v>246</v>
      </c>
      <c r="AJ796" s="0" t="n">
        <v>55</v>
      </c>
      <c r="AK796" s="0" t="n">
        <v>106</v>
      </c>
      <c r="AL796" s="0" t="n">
        <v>1.2</v>
      </c>
    </row>
    <row r="797">
      <c r="A797" s="0" t="inlineStr">
        <is>
          <t>[효성동]</t>
        </is>
      </c>
      <c r="B797" s="0" t="n">
        <v>14309</v>
      </c>
      <c r="C797" s="0" t="n">
        <v>1</v>
      </c>
      <c r="D797" s="0" t="inlineStr">
        <is>
          <t>대산</t>
        </is>
      </c>
      <c r="E797" s="0" t="inlineStr">
        <is>
          <t>2003.03.</t>
        </is>
      </c>
      <c r="F797" s="0" t="n">
        <v>130</v>
      </c>
      <c r="G797" s="0" t="n">
        <v>23.65</v>
      </c>
      <c r="H797" s="0" t="n">
        <v>78.19</v>
      </c>
      <c r="I797" s="0" t="n">
        <v>17.69</v>
      </c>
      <c r="J797" s="0" t="n">
        <v>58.49</v>
      </c>
      <c r="K797" s="0" t="n">
        <v>47</v>
      </c>
      <c r="T797" s="0" t="n">
        <v>3</v>
      </c>
      <c r="U797" s="0" t="n">
        <v>1</v>
      </c>
      <c r="V797" s="0" t="inlineStr">
        <is>
          <t>복도식</t>
        </is>
      </c>
      <c r="W797" s="0" t="n">
        <v>78</v>
      </c>
      <c r="X797" s="0" t="n">
        <v>19</v>
      </c>
      <c r="Y797" s="0" t="n">
        <v>19</v>
      </c>
      <c r="Z797" s="0" t="inlineStr">
        <is>
          <t>https://new.land.naver.com/complexes/14309?tab=detail&amp;rf=Y</t>
        </is>
      </c>
      <c r="AA797" s="0" t="inlineStr">
        <is>
          <t>인천시 계양구 효성동 196-6</t>
        </is>
      </c>
      <c r="AB797" s="0" t="inlineStr">
        <is>
          <t>인천시</t>
        </is>
      </c>
      <c r="AC797" s="0" t="inlineStr">
        <is>
          <t>계양구</t>
        </is>
      </c>
      <c r="AD797" s="0" t="inlineStr">
        <is>
          <t>효성동</t>
        </is>
      </c>
      <c r="AG797" s="0" t="inlineStr">
        <is>
          <t>인천시 계양구 새벌로 120</t>
        </is>
      </c>
      <c r="AH797" s="0" t="n">
        <v>0</v>
      </c>
      <c r="AI797" s="0" t="n">
        <v>398</v>
      </c>
      <c r="AJ797" s="0" t="n">
        <v>44</v>
      </c>
      <c r="AK797" s="0" t="n">
        <v>125</v>
      </c>
      <c r="AL797" s="0" t="n">
        <v>0.96</v>
      </c>
    </row>
    <row r="798">
      <c r="A798" s="0" t="inlineStr">
        <is>
          <t>[효성동]</t>
        </is>
      </c>
      <c r="B798" s="0" t="n">
        <v>14309</v>
      </c>
      <c r="C798" s="0" t="n">
        <v>2</v>
      </c>
      <c r="D798" s="0" t="inlineStr">
        <is>
          <t>대산</t>
        </is>
      </c>
      <c r="E798" s="0" t="inlineStr">
        <is>
          <t>2003.03.</t>
        </is>
      </c>
      <c r="F798" s="0" t="n">
        <v>130</v>
      </c>
      <c r="G798" s="0" t="n">
        <v>24.58</v>
      </c>
      <c r="H798" s="0" t="n">
        <v>81.28</v>
      </c>
      <c r="I798" s="0" t="n">
        <v>18.42</v>
      </c>
      <c r="J798" s="0" t="n">
        <v>60.92</v>
      </c>
      <c r="K798" s="0" t="n">
        <v>16</v>
      </c>
      <c r="T798" s="0" t="n">
        <v>3</v>
      </c>
      <c r="U798" s="0" t="n">
        <v>1</v>
      </c>
      <c r="V798" s="0" t="inlineStr">
        <is>
          <t>복도식</t>
        </is>
      </c>
      <c r="W798" s="0" t="n">
        <v>81</v>
      </c>
      <c r="X798" s="0" t="n">
        <v>19</v>
      </c>
      <c r="Y798" s="0" t="n">
        <v>19</v>
      </c>
      <c r="Z798" s="0" t="inlineStr">
        <is>
          <t>https://new.land.naver.com/complexes/14309?tab=detail&amp;rf=Y</t>
        </is>
      </c>
      <c r="AA798" s="0" t="inlineStr">
        <is>
          <t>인천시 계양구 효성동 196-6</t>
        </is>
      </c>
      <c r="AB798" s="0" t="inlineStr">
        <is>
          <t>인천시</t>
        </is>
      </c>
      <c r="AC798" s="0" t="inlineStr">
        <is>
          <t>계양구</t>
        </is>
      </c>
      <c r="AD798" s="0" t="inlineStr">
        <is>
          <t>효성동</t>
        </is>
      </c>
      <c r="AG798" s="0" t="inlineStr">
        <is>
          <t>인천시 계양구 새벌로 120</t>
        </is>
      </c>
      <c r="AH798" s="0" t="n">
        <v>0</v>
      </c>
      <c r="AI798" s="0" t="n">
        <v>398</v>
      </c>
      <c r="AJ798" s="0" t="n">
        <v>44</v>
      </c>
      <c r="AK798" s="0" t="n">
        <v>125</v>
      </c>
      <c r="AL798" s="0" t="n">
        <v>0.96</v>
      </c>
    </row>
    <row r="799">
      <c r="A799" s="0" t="inlineStr">
        <is>
          <t>[효성동]</t>
        </is>
      </c>
      <c r="B799" s="0" t="n">
        <v>14309</v>
      </c>
      <c r="C799" s="0" t="n">
        <v>3</v>
      </c>
      <c r="D799" s="0" t="inlineStr">
        <is>
          <t>대산</t>
        </is>
      </c>
      <c r="E799" s="0" t="inlineStr">
        <is>
          <t>2003.03.</t>
        </is>
      </c>
      <c r="F799" s="0" t="n">
        <v>130</v>
      </c>
      <c r="G799" s="0" t="n">
        <v>26.23</v>
      </c>
      <c r="H799" s="0" t="n">
        <v>86.73</v>
      </c>
      <c r="I799" s="0" t="n">
        <v>19.66</v>
      </c>
      <c r="J799" s="0" t="n">
        <v>65.01000000000001</v>
      </c>
      <c r="K799" s="0" t="n">
        <v>33</v>
      </c>
      <c r="T799" s="0" t="n">
        <v>3</v>
      </c>
      <c r="U799" s="0" t="n">
        <v>1</v>
      </c>
      <c r="V799" s="0" t="inlineStr">
        <is>
          <t>계단식</t>
        </is>
      </c>
      <c r="W799" s="0" t="n">
        <v>86</v>
      </c>
      <c r="X799" s="0" t="n">
        <v>19</v>
      </c>
      <c r="Y799" s="0" t="n">
        <v>19</v>
      </c>
      <c r="Z799" s="0" t="inlineStr">
        <is>
          <t>https://new.land.naver.com/complexes/14309?tab=detail&amp;rf=Y</t>
        </is>
      </c>
      <c r="AA799" s="0" t="inlineStr">
        <is>
          <t>인천시 계양구 효성동 196-6</t>
        </is>
      </c>
      <c r="AB799" s="0" t="inlineStr">
        <is>
          <t>인천시</t>
        </is>
      </c>
      <c r="AC799" s="0" t="inlineStr">
        <is>
          <t>계양구</t>
        </is>
      </c>
      <c r="AD799" s="0" t="inlineStr">
        <is>
          <t>효성동</t>
        </is>
      </c>
      <c r="AG799" s="0" t="inlineStr">
        <is>
          <t>인천시 계양구 새벌로 120</t>
        </is>
      </c>
      <c r="AH799" s="0" t="n">
        <v>0</v>
      </c>
      <c r="AI799" s="0" t="n">
        <v>398</v>
      </c>
      <c r="AJ799" s="0" t="n">
        <v>44</v>
      </c>
      <c r="AK799" s="0" t="n">
        <v>125</v>
      </c>
      <c r="AL799" s="0" t="n">
        <v>0.96</v>
      </c>
    </row>
    <row r="800">
      <c r="A800" s="0" t="inlineStr">
        <is>
          <t>[효성동]</t>
        </is>
      </c>
      <c r="B800" s="0" t="n">
        <v>14309</v>
      </c>
      <c r="C800" s="0" t="n">
        <v>4</v>
      </c>
      <c r="D800" s="0" t="inlineStr">
        <is>
          <t>대산</t>
        </is>
      </c>
      <c r="E800" s="0" t="inlineStr">
        <is>
          <t>2003.03.</t>
        </is>
      </c>
      <c r="F800" s="0" t="n">
        <v>130</v>
      </c>
      <c r="G800" s="0" t="n">
        <v>34.76</v>
      </c>
      <c r="H800" s="0" t="n">
        <v>114.91</v>
      </c>
      <c r="I800" s="0" t="n">
        <v>25.38</v>
      </c>
      <c r="J800" s="0" t="n">
        <v>83.92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114</v>
      </c>
      <c r="X800" s="0" t="n">
        <v>19</v>
      </c>
      <c r="Y800" s="0" t="n">
        <v>19</v>
      </c>
      <c r="Z800" s="0" t="inlineStr">
        <is>
          <t>https://new.land.naver.com/complexes/14309?tab=detail&amp;rf=Y</t>
        </is>
      </c>
      <c r="AA800" s="0" t="inlineStr">
        <is>
          <t>인천시 계양구 효성동 196-6</t>
        </is>
      </c>
      <c r="AB800" s="0" t="inlineStr">
        <is>
          <t>인천시</t>
        </is>
      </c>
      <c r="AC800" s="0" t="inlineStr">
        <is>
          <t>계양구</t>
        </is>
      </c>
      <c r="AD800" s="0" t="inlineStr">
        <is>
          <t>효성동</t>
        </is>
      </c>
      <c r="AG800" s="0" t="inlineStr">
        <is>
          <t>인천시 계양구 새벌로 120</t>
        </is>
      </c>
      <c r="AH800" s="0" t="n">
        <v>0</v>
      </c>
      <c r="AI800" s="0" t="n">
        <v>398</v>
      </c>
      <c r="AJ800" s="0" t="n">
        <v>44</v>
      </c>
      <c r="AK800" s="0" t="n">
        <v>125</v>
      </c>
      <c r="AL800" s="0" t="n">
        <v>0.96</v>
      </c>
    </row>
    <row r="801">
      <c r="A801" s="0" t="inlineStr">
        <is>
          <t>[효성동]</t>
        </is>
      </c>
      <c r="B801" s="0" t="n">
        <v>8240</v>
      </c>
      <c r="C801" s="0" t="n">
        <v>1</v>
      </c>
      <c r="D801" s="0" t="inlineStr">
        <is>
          <t>뉴서울2차</t>
        </is>
      </c>
      <c r="E801" s="0" t="inlineStr">
        <is>
          <t>1986.12.</t>
        </is>
      </c>
      <c r="F801" s="0" t="n">
        <v>775</v>
      </c>
      <c r="G801" s="0" t="n">
        <v>13.49</v>
      </c>
      <c r="H801" s="0" t="n">
        <v>44.6</v>
      </c>
      <c r="I801" s="0" t="n">
        <v>9.66</v>
      </c>
      <c r="J801" s="0" t="n">
        <v>31.95</v>
      </c>
      <c r="K801" s="0" t="n">
        <v>130</v>
      </c>
      <c r="T801" s="0" t="n">
        <v>1</v>
      </c>
      <c r="U801" s="0" t="n">
        <v>1</v>
      </c>
      <c r="V801" s="0" t="inlineStr">
        <is>
          <t>계단식</t>
        </is>
      </c>
      <c r="W801" s="0" t="n">
        <v>44</v>
      </c>
      <c r="X801" s="0" t="n">
        <v>5</v>
      </c>
      <c r="Y801" s="0" t="n">
        <v>5</v>
      </c>
      <c r="Z801" s="0" t="inlineStr">
        <is>
          <t>https://new.land.naver.com/complexes/8240?tab=detail&amp;rf=Y</t>
        </is>
      </c>
      <c r="AA801" s="0" t="inlineStr">
        <is>
          <t>인천시 계양구 효성동 24</t>
        </is>
      </c>
      <c r="AB801" s="0" t="inlineStr">
        <is>
          <t>인천시</t>
        </is>
      </c>
      <c r="AC801" s="0" t="inlineStr">
        <is>
          <t>계양구</t>
        </is>
      </c>
      <c r="AD801" s="0" t="inlineStr">
        <is>
          <t>효성동</t>
        </is>
      </c>
      <c r="AG801" s="0" t="inlineStr">
        <is>
          <t>인천시 계양구 길마로 49</t>
        </is>
      </c>
      <c r="AH801" s="0" t="n">
        <v>0</v>
      </c>
      <c r="AI801" s="0" t="n">
        <v>153</v>
      </c>
      <c r="AJ801" s="0" t="n">
        <v>31</v>
      </c>
      <c r="AK801" s="0" t="n">
        <v>775</v>
      </c>
      <c r="AL801" s="0" t="n">
        <v>1</v>
      </c>
    </row>
    <row r="802">
      <c r="A802" s="0" t="inlineStr">
        <is>
          <t>[효성동]</t>
        </is>
      </c>
      <c r="B802" s="0" t="n">
        <v>8240</v>
      </c>
      <c r="C802" s="0" t="n">
        <v>2</v>
      </c>
      <c r="D802" s="0" t="inlineStr">
        <is>
          <t>뉴서울2차</t>
        </is>
      </c>
      <c r="E802" s="0" t="inlineStr">
        <is>
          <t>1986.12.</t>
        </is>
      </c>
      <c r="F802" s="0" t="n">
        <v>775</v>
      </c>
      <c r="G802" s="0" t="n">
        <v>14.52</v>
      </c>
      <c r="H802" s="0" t="n">
        <v>48</v>
      </c>
      <c r="I802" s="0" t="n">
        <v>10.5</v>
      </c>
      <c r="J802" s="0" t="n">
        <v>34.74</v>
      </c>
      <c r="K802" s="0" t="n">
        <v>400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48</v>
      </c>
      <c r="X802" s="0" t="n">
        <v>5</v>
      </c>
      <c r="Y802" s="0" t="n">
        <v>5</v>
      </c>
      <c r="Z802" s="0" t="inlineStr">
        <is>
          <t>https://new.land.naver.com/complexes/8240?tab=detail&amp;rf=Y</t>
        </is>
      </c>
      <c r="AA802" s="0" t="inlineStr">
        <is>
          <t>인천시 계양구 효성동 24</t>
        </is>
      </c>
      <c r="AB802" s="0" t="inlineStr">
        <is>
          <t>인천시</t>
        </is>
      </c>
      <c r="AC802" s="0" t="inlineStr">
        <is>
          <t>계양구</t>
        </is>
      </c>
      <c r="AD802" s="0" t="inlineStr">
        <is>
          <t>효성동</t>
        </is>
      </c>
      <c r="AG802" s="0" t="inlineStr">
        <is>
          <t>인천시 계양구 길마로 49</t>
        </is>
      </c>
      <c r="AH802" s="0" t="n">
        <v>0</v>
      </c>
      <c r="AI802" s="0" t="n">
        <v>153</v>
      </c>
      <c r="AJ802" s="0" t="n">
        <v>31</v>
      </c>
      <c r="AK802" s="0" t="n">
        <v>775</v>
      </c>
      <c r="AL802" s="0" t="n">
        <v>1</v>
      </c>
    </row>
    <row r="803">
      <c r="A803" s="0" t="inlineStr">
        <is>
          <t>[효성동]</t>
        </is>
      </c>
      <c r="B803" s="0" t="n">
        <v>8240</v>
      </c>
      <c r="C803" s="0" t="n">
        <v>3</v>
      </c>
      <c r="D803" s="0" t="inlineStr">
        <is>
          <t>뉴서울2차</t>
        </is>
      </c>
      <c r="E803" s="0" t="inlineStr">
        <is>
          <t>1986.12.</t>
        </is>
      </c>
      <c r="F803" s="0" t="n">
        <v>775</v>
      </c>
      <c r="G803" s="0" t="n">
        <v>16.37</v>
      </c>
      <c r="H803" s="0" t="n">
        <v>54.12</v>
      </c>
      <c r="I803" s="0" t="n">
        <v>12.05</v>
      </c>
      <c r="J803" s="0" t="n">
        <v>39.84</v>
      </c>
      <c r="K803" s="0" t="n">
        <v>190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54</v>
      </c>
      <c r="X803" s="0" t="n">
        <v>5</v>
      </c>
      <c r="Y803" s="0" t="n">
        <v>5</v>
      </c>
      <c r="Z803" s="0" t="inlineStr">
        <is>
          <t>https://new.land.naver.com/complexes/8240?tab=detail&amp;rf=Y</t>
        </is>
      </c>
      <c r="AA803" s="0" t="inlineStr">
        <is>
          <t>인천시 계양구 효성동 24</t>
        </is>
      </c>
      <c r="AB803" s="0" t="inlineStr">
        <is>
          <t>인천시</t>
        </is>
      </c>
      <c r="AC803" s="0" t="inlineStr">
        <is>
          <t>계양구</t>
        </is>
      </c>
      <c r="AD803" s="0" t="inlineStr">
        <is>
          <t>효성동</t>
        </is>
      </c>
      <c r="AG803" s="0" t="inlineStr">
        <is>
          <t>인천시 계양구 길마로 49</t>
        </is>
      </c>
      <c r="AH803" s="0" t="n">
        <v>0</v>
      </c>
      <c r="AI803" s="0" t="n">
        <v>153</v>
      </c>
      <c r="AJ803" s="0" t="n">
        <v>31</v>
      </c>
      <c r="AK803" s="0" t="n">
        <v>775</v>
      </c>
      <c r="AL803" s="0" t="n">
        <v>1</v>
      </c>
    </row>
    <row r="804">
      <c r="A804" s="0" t="inlineStr">
        <is>
          <t>[효성동]</t>
        </is>
      </c>
      <c r="B804" s="0" t="n">
        <v>8240</v>
      </c>
      <c r="C804" s="0" t="n">
        <v>4</v>
      </c>
      <c r="D804" s="0" t="inlineStr">
        <is>
          <t>뉴서울2차</t>
        </is>
      </c>
      <c r="E804" s="0" t="inlineStr">
        <is>
          <t>1986.12.</t>
        </is>
      </c>
      <c r="F804" s="0" t="n">
        <v>775</v>
      </c>
      <c r="G804" s="0" t="n">
        <v>19</v>
      </c>
      <c r="H804" s="0" t="n">
        <v>62.82</v>
      </c>
      <c r="I804" s="0" t="n">
        <v>14.09</v>
      </c>
      <c r="J804" s="0" t="n">
        <v>46.59</v>
      </c>
      <c r="K804" s="0" t="n">
        <v>50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https://new.land.naver.com/complexes/8240?tab=detail&amp;rf=Y</t>
        </is>
      </c>
      <c r="AA804" s="0" t="inlineStr">
        <is>
          <t>인천시 계양구 효성동 24</t>
        </is>
      </c>
      <c r="AB804" s="0" t="inlineStr">
        <is>
          <t>인천시</t>
        </is>
      </c>
      <c r="AC804" s="0" t="inlineStr">
        <is>
          <t>계양구</t>
        </is>
      </c>
      <c r="AD804" s="0" t="inlineStr">
        <is>
          <t>효성동</t>
        </is>
      </c>
      <c r="AG804" s="0" t="inlineStr">
        <is>
          <t>인천시 계양구 길마로 49</t>
        </is>
      </c>
      <c r="AH804" s="0" t="n">
        <v>0</v>
      </c>
      <c r="AI804" s="0" t="n">
        <v>153</v>
      </c>
      <c r="AJ804" s="0" t="n">
        <v>31</v>
      </c>
      <c r="AK804" s="0" t="n">
        <v>775</v>
      </c>
      <c r="AL804" s="0" t="n">
        <v>1</v>
      </c>
    </row>
    <row r="805">
      <c r="A805" s="0" t="inlineStr">
        <is>
          <t>[효성동]</t>
        </is>
      </c>
      <c r="B805" s="0" t="n">
        <v>8240</v>
      </c>
      <c r="C805" s="0" t="n">
        <v>5</v>
      </c>
      <c r="D805" s="0" t="inlineStr">
        <is>
          <t>뉴서울2차</t>
        </is>
      </c>
      <c r="E805" s="0" t="inlineStr">
        <is>
          <t>1986.12.</t>
        </is>
      </c>
      <c r="F805" s="0" t="n">
        <v>775</v>
      </c>
      <c r="G805" s="0" t="n">
        <v>20.24</v>
      </c>
      <c r="H805" s="0" t="n">
        <v>66.94</v>
      </c>
      <c r="I805" s="0" t="n">
        <v>13.83</v>
      </c>
      <c r="J805" s="0" t="n">
        <v>45.72</v>
      </c>
      <c r="K805" s="0" t="n">
        <v>5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66</v>
      </c>
      <c r="X805" s="0" t="n">
        <v>5</v>
      </c>
      <c r="Y805" s="0" t="n">
        <v>5</v>
      </c>
      <c r="Z805" s="0" t="inlineStr">
        <is>
          <t>https://new.land.naver.com/complexes/8240?tab=detail&amp;rf=Y</t>
        </is>
      </c>
      <c r="AA805" s="0" t="inlineStr">
        <is>
          <t>인천시 계양구 효성동 24</t>
        </is>
      </c>
      <c r="AB805" s="0" t="inlineStr">
        <is>
          <t>인천시</t>
        </is>
      </c>
      <c r="AC805" s="0" t="inlineStr">
        <is>
          <t>계양구</t>
        </is>
      </c>
      <c r="AD805" s="0" t="inlineStr">
        <is>
          <t>효성동</t>
        </is>
      </c>
      <c r="AG805" s="0" t="inlineStr">
        <is>
          <t>인천시 계양구 길마로 49</t>
        </is>
      </c>
      <c r="AH805" s="0" t="n">
        <v>0</v>
      </c>
      <c r="AI805" s="0" t="n">
        <v>153</v>
      </c>
      <c r="AJ805" s="0" t="n">
        <v>31</v>
      </c>
      <c r="AK805" s="0" t="n">
        <v>775</v>
      </c>
      <c r="AL805" s="0" t="n">
        <v>1</v>
      </c>
    </row>
    <row r="806">
      <c r="A806" s="0" t="inlineStr">
        <is>
          <t>[효성동]</t>
        </is>
      </c>
      <c r="B806" s="0" t="n">
        <v>8269</v>
      </c>
      <c r="C806" s="0" t="n">
        <v>1</v>
      </c>
      <c r="D806" s="0" t="inlineStr">
        <is>
          <t>성지</t>
        </is>
      </c>
      <c r="E806" s="0" t="inlineStr">
        <is>
          <t>1993.10.</t>
        </is>
      </c>
      <c r="F806" s="0" t="n">
        <v>98</v>
      </c>
      <c r="G806" s="0" t="n">
        <v>18.32</v>
      </c>
      <c r="H806" s="0" t="n">
        <v>60.57</v>
      </c>
      <c r="I806" s="0" t="n">
        <v>15.11</v>
      </c>
      <c r="J806" s="0" t="n">
        <v>49.97</v>
      </c>
      <c r="K806" s="0" t="n">
        <v>10</v>
      </c>
      <c r="T806" s="0" t="n">
        <v>2</v>
      </c>
      <c r="U806" s="0" t="n">
        <v>1</v>
      </c>
      <c r="V806" s="0" t="inlineStr">
        <is>
          <t>복도식</t>
        </is>
      </c>
      <c r="W806" s="0" t="n">
        <v>60</v>
      </c>
      <c r="X806" s="0" t="n">
        <v>11</v>
      </c>
      <c r="Y806" s="0" t="n">
        <v>10</v>
      </c>
      <c r="Z806" s="0" t="inlineStr">
        <is>
          <t>https://new.land.naver.com/complexes/8269?tab=detail&amp;rf=Y</t>
        </is>
      </c>
      <c r="AA806" s="0" t="inlineStr">
        <is>
          <t>인천시 계양구 효성동 220-3</t>
        </is>
      </c>
      <c r="AB806" s="0" t="inlineStr">
        <is>
          <t>인천시</t>
        </is>
      </c>
      <c r="AC806" s="0" t="inlineStr">
        <is>
          <t>계양구</t>
        </is>
      </c>
      <c r="AD806" s="0" t="inlineStr">
        <is>
          <t>효성동</t>
        </is>
      </c>
      <c r="AG806" s="0" t="inlineStr">
        <is>
          <t>인천시 계양구 새벌로 89</t>
        </is>
      </c>
      <c r="AH806" s="0" t="n">
        <v>0</v>
      </c>
      <c r="AI806" s="0" t="n">
        <v>275</v>
      </c>
      <c r="AJ806" s="0" t="n">
        <v>28</v>
      </c>
      <c r="AK806" s="0" t="n">
        <v>49</v>
      </c>
      <c r="AL806" s="0" t="n">
        <v>0.5</v>
      </c>
    </row>
    <row r="807">
      <c r="A807" s="0" t="inlineStr">
        <is>
          <t>[효성동]</t>
        </is>
      </c>
      <c r="B807" s="0" t="n">
        <v>8269</v>
      </c>
      <c r="C807" s="0" t="n">
        <v>2</v>
      </c>
      <c r="D807" s="0" t="inlineStr">
        <is>
          <t>성지</t>
        </is>
      </c>
      <c r="E807" s="0" t="inlineStr">
        <is>
          <t>1993.10.</t>
        </is>
      </c>
      <c r="F807" s="0" t="n">
        <v>98</v>
      </c>
      <c r="G807" s="0" t="n">
        <v>18.76</v>
      </c>
      <c r="H807" s="0" t="n">
        <v>62.02</v>
      </c>
      <c r="I807" s="0" t="n">
        <v>15.47</v>
      </c>
      <c r="J807" s="0" t="n">
        <v>51.17</v>
      </c>
      <c r="K807" s="0" t="n">
        <v>10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62</v>
      </c>
      <c r="X807" s="0" t="n">
        <v>11</v>
      </c>
      <c r="Y807" s="0" t="n">
        <v>10</v>
      </c>
      <c r="Z807" s="0" t="inlineStr">
        <is>
          <t>https://new.land.naver.com/complexes/8269?tab=detail&amp;rf=Y</t>
        </is>
      </c>
      <c r="AA807" s="0" t="inlineStr">
        <is>
          <t>인천시 계양구 효성동 220-3</t>
        </is>
      </c>
      <c r="AB807" s="0" t="inlineStr">
        <is>
          <t>인천시</t>
        </is>
      </c>
      <c r="AC807" s="0" t="inlineStr">
        <is>
          <t>계양구</t>
        </is>
      </c>
      <c r="AD807" s="0" t="inlineStr">
        <is>
          <t>효성동</t>
        </is>
      </c>
      <c r="AG807" s="0" t="inlineStr">
        <is>
          <t>인천시 계양구 새벌로 89</t>
        </is>
      </c>
      <c r="AH807" s="0" t="n">
        <v>0</v>
      </c>
      <c r="AI807" s="0" t="n">
        <v>275</v>
      </c>
      <c r="AJ807" s="0" t="n">
        <v>28</v>
      </c>
      <c r="AK807" s="0" t="n">
        <v>49</v>
      </c>
      <c r="AL807" s="0" t="n">
        <v>0.5</v>
      </c>
    </row>
    <row r="808">
      <c r="A808" s="0" t="inlineStr">
        <is>
          <t>[효성동]</t>
        </is>
      </c>
      <c r="B808" s="0" t="n">
        <v>8269</v>
      </c>
      <c r="C808" s="0" t="n">
        <v>3</v>
      </c>
      <c r="D808" s="0" t="inlineStr">
        <is>
          <t>성지</t>
        </is>
      </c>
      <c r="E808" s="0" t="inlineStr">
        <is>
          <t>1993.10.</t>
        </is>
      </c>
      <c r="F808" s="0" t="n">
        <v>98</v>
      </c>
      <c r="G808" s="0" t="n">
        <v>20.76</v>
      </c>
      <c r="H808" s="0" t="n">
        <v>68.63</v>
      </c>
      <c r="I808" s="0" t="n">
        <v>17.12</v>
      </c>
      <c r="J808" s="0" t="n">
        <v>56.62</v>
      </c>
      <c r="K808" s="0" t="n">
        <v>10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68B</t>
        </is>
      </c>
      <c r="X808" s="0" t="n">
        <v>11</v>
      </c>
      <c r="Y808" s="0" t="n">
        <v>10</v>
      </c>
      <c r="Z808" s="0" t="inlineStr">
        <is>
          <t>https://new.land.naver.com/complexes/8269?tab=detail&amp;rf=Y</t>
        </is>
      </c>
      <c r="AA808" s="0" t="inlineStr">
        <is>
          <t>인천시 계양구 효성동 220-3</t>
        </is>
      </c>
      <c r="AB808" s="0" t="inlineStr">
        <is>
          <t>인천시</t>
        </is>
      </c>
      <c r="AC808" s="0" t="inlineStr">
        <is>
          <t>계양구</t>
        </is>
      </c>
      <c r="AD808" s="0" t="inlineStr">
        <is>
          <t>효성동</t>
        </is>
      </c>
      <c r="AG808" s="0" t="inlineStr">
        <is>
          <t>인천시 계양구 새벌로 89</t>
        </is>
      </c>
      <c r="AH808" s="0" t="n">
        <v>0</v>
      </c>
      <c r="AI808" s="0" t="n">
        <v>275</v>
      </c>
      <c r="AJ808" s="0" t="n">
        <v>28</v>
      </c>
      <c r="AK808" s="0" t="n">
        <v>49</v>
      </c>
      <c r="AL808" s="0" t="n">
        <v>0.5</v>
      </c>
    </row>
    <row r="809">
      <c r="A809" s="0" t="inlineStr">
        <is>
          <t>[효성동]</t>
        </is>
      </c>
      <c r="B809" s="0" t="n">
        <v>8269</v>
      </c>
      <c r="C809" s="0" t="n">
        <v>4</v>
      </c>
      <c r="D809" s="0" t="inlineStr">
        <is>
          <t>성지</t>
        </is>
      </c>
      <c r="E809" s="0" t="inlineStr">
        <is>
          <t>1993.10.</t>
        </is>
      </c>
      <c r="F809" s="0" t="n">
        <v>98</v>
      </c>
      <c r="G809" s="0" t="n">
        <v>20.69</v>
      </c>
      <c r="H809" s="0" t="n">
        <v>68.40000000000001</v>
      </c>
      <c r="I809" s="0" t="n">
        <v>17.07</v>
      </c>
      <c r="J809" s="0" t="n">
        <v>56.43</v>
      </c>
      <c r="K809" s="0" t="n">
        <v>1</v>
      </c>
      <c r="T809" s="0" t="n">
        <v>2</v>
      </c>
      <c r="U809" s="0" t="n">
        <v>1</v>
      </c>
      <c r="V809" s="0" t="inlineStr">
        <is>
          <t>복도식</t>
        </is>
      </c>
      <c r="W809" s="0" t="inlineStr">
        <is>
          <t>68A</t>
        </is>
      </c>
      <c r="X809" s="0" t="n">
        <v>11</v>
      </c>
      <c r="Y809" s="0" t="n">
        <v>10</v>
      </c>
      <c r="Z809" s="0" t="inlineStr">
        <is>
          <t>https://new.land.naver.com/complexes/8269?tab=detail&amp;rf=Y</t>
        </is>
      </c>
      <c r="AA809" s="0" t="inlineStr">
        <is>
          <t>인천시 계양구 효성동 220-3</t>
        </is>
      </c>
      <c r="AB809" s="0" t="inlineStr">
        <is>
          <t>인천시</t>
        </is>
      </c>
      <c r="AC809" s="0" t="inlineStr">
        <is>
          <t>계양구</t>
        </is>
      </c>
      <c r="AD809" s="0" t="inlineStr">
        <is>
          <t>효성동</t>
        </is>
      </c>
      <c r="AG809" s="0" t="inlineStr">
        <is>
          <t>인천시 계양구 새벌로 89</t>
        </is>
      </c>
      <c r="AH809" s="0" t="n">
        <v>0</v>
      </c>
      <c r="AI809" s="0" t="n">
        <v>275</v>
      </c>
      <c r="AJ809" s="0" t="n">
        <v>28</v>
      </c>
      <c r="AK809" s="0" t="n">
        <v>49</v>
      </c>
      <c r="AL809" s="0" t="n">
        <v>0.5</v>
      </c>
    </row>
    <row r="810">
      <c r="A810" s="0" t="inlineStr">
        <is>
          <t>[효성동]</t>
        </is>
      </c>
      <c r="B810" s="0" t="n">
        <v>8269</v>
      </c>
      <c r="C810" s="0" t="n">
        <v>5</v>
      </c>
      <c r="D810" s="0" t="inlineStr">
        <is>
          <t>성지</t>
        </is>
      </c>
      <c r="E810" s="0" t="inlineStr">
        <is>
          <t>1993.10.</t>
        </is>
      </c>
      <c r="F810" s="0" t="n">
        <v>98</v>
      </c>
      <c r="G810" s="0" t="n">
        <v>21.07</v>
      </c>
      <c r="H810" s="0" t="n">
        <v>69.68000000000001</v>
      </c>
      <c r="I810" s="0" t="n">
        <v>17.39</v>
      </c>
      <c r="J810" s="0" t="n">
        <v>57.49</v>
      </c>
      <c r="K810" s="0" t="n">
        <v>1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69C</t>
        </is>
      </c>
      <c r="X810" s="0" t="n">
        <v>11</v>
      </c>
      <c r="Y810" s="0" t="n">
        <v>10</v>
      </c>
      <c r="Z810" s="0" t="inlineStr">
        <is>
          <t>https://new.land.naver.com/complexes/8269?tab=detail&amp;rf=Y</t>
        </is>
      </c>
      <c r="AA810" s="0" t="inlineStr">
        <is>
          <t>인천시 계양구 효성동 220-3</t>
        </is>
      </c>
      <c r="AB810" s="0" t="inlineStr">
        <is>
          <t>인천시</t>
        </is>
      </c>
      <c r="AC810" s="0" t="inlineStr">
        <is>
          <t>계양구</t>
        </is>
      </c>
      <c r="AD810" s="0" t="inlineStr">
        <is>
          <t>효성동</t>
        </is>
      </c>
      <c r="AG810" s="0" t="inlineStr">
        <is>
          <t>인천시 계양구 새벌로 89</t>
        </is>
      </c>
      <c r="AH810" s="0" t="n">
        <v>0</v>
      </c>
      <c r="AI810" s="0" t="n">
        <v>275</v>
      </c>
      <c r="AJ810" s="0" t="n">
        <v>28</v>
      </c>
      <c r="AK810" s="0" t="n">
        <v>49</v>
      </c>
      <c r="AL810" s="0" t="n">
        <v>0.5</v>
      </c>
    </row>
    <row r="811">
      <c r="A811" s="0" t="inlineStr">
        <is>
          <t>[효성동]</t>
        </is>
      </c>
      <c r="B811" s="0" t="n">
        <v>8269</v>
      </c>
      <c r="C811" s="0" t="n">
        <v>6</v>
      </c>
      <c r="D811" s="0" t="inlineStr">
        <is>
          <t>성지</t>
        </is>
      </c>
      <c r="E811" s="0" t="inlineStr">
        <is>
          <t>1993.10.</t>
        </is>
      </c>
      <c r="F811" s="0" t="n">
        <v>98</v>
      </c>
      <c r="G811" s="0" t="n">
        <v>21.87</v>
      </c>
      <c r="H811" s="0" t="n">
        <v>72.33</v>
      </c>
      <c r="I811" s="0" t="n">
        <v>18.05</v>
      </c>
      <c r="J811" s="0" t="n">
        <v>59.67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72</v>
      </c>
      <c r="X811" s="0" t="n">
        <v>11</v>
      </c>
      <c r="Y811" s="0" t="n">
        <v>10</v>
      </c>
      <c r="Z811" s="0" t="inlineStr">
        <is>
          <t>https://new.land.naver.com/complexes/8269?tab=detail&amp;rf=Y</t>
        </is>
      </c>
      <c r="AA811" s="0" t="inlineStr">
        <is>
          <t>인천시 계양구 효성동 220-3</t>
        </is>
      </c>
      <c r="AB811" s="0" t="inlineStr">
        <is>
          <t>인천시</t>
        </is>
      </c>
      <c r="AC811" s="0" t="inlineStr">
        <is>
          <t>계양구</t>
        </is>
      </c>
      <c r="AD811" s="0" t="inlineStr">
        <is>
          <t>효성동</t>
        </is>
      </c>
      <c r="AG811" s="0" t="inlineStr">
        <is>
          <t>인천시 계양구 새벌로 89</t>
        </is>
      </c>
      <c r="AH811" s="0" t="n">
        <v>0</v>
      </c>
      <c r="AI811" s="0" t="n">
        <v>275</v>
      </c>
      <c r="AJ811" s="0" t="n">
        <v>28</v>
      </c>
      <c r="AK811" s="0" t="n">
        <v>49</v>
      </c>
      <c r="AL811" s="0" t="n">
        <v>0.5</v>
      </c>
    </row>
    <row r="812">
      <c r="A812" s="0" t="inlineStr">
        <is>
          <t>[효성동]</t>
        </is>
      </c>
      <c r="B812" s="0" t="n">
        <v>8269</v>
      </c>
      <c r="C812" s="0" t="n">
        <v>7</v>
      </c>
      <c r="D812" s="0" t="inlineStr">
        <is>
          <t>성지</t>
        </is>
      </c>
      <c r="E812" s="0" t="inlineStr">
        <is>
          <t>1993.10.</t>
        </is>
      </c>
      <c r="F812" s="0" t="n">
        <v>98</v>
      </c>
      <c r="G812" s="0" t="n">
        <v>31</v>
      </c>
      <c r="H812" s="0" t="n">
        <v>102.49</v>
      </c>
      <c r="I812" s="0" t="n">
        <v>25.57</v>
      </c>
      <c r="J812" s="0" t="n">
        <v>84.56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102</v>
      </c>
      <c r="X812" s="0" t="n">
        <v>11</v>
      </c>
      <c r="Y812" s="0" t="n">
        <v>10</v>
      </c>
      <c r="Z812" s="0" t="inlineStr">
        <is>
          <t>https://new.land.naver.com/complexes/8269?tab=detail&amp;rf=Y</t>
        </is>
      </c>
      <c r="AA812" s="0" t="inlineStr">
        <is>
          <t>인천시 계양구 효성동 220-3</t>
        </is>
      </c>
      <c r="AB812" s="0" t="inlineStr">
        <is>
          <t>인천시</t>
        </is>
      </c>
      <c r="AC812" s="0" t="inlineStr">
        <is>
          <t>계양구</t>
        </is>
      </c>
      <c r="AD812" s="0" t="inlineStr">
        <is>
          <t>효성동</t>
        </is>
      </c>
      <c r="AG812" s="0" t="inlineStr">
        <is>
          <t>인천시 계양구 새벌로 89</t>
        </is>
      </c>
      <c r="AH812" s="0" t="n">
        <v>0</v>
      </c>
      <c r="AI812" s="0" t="n">
        <v>275</v>
      </c>
      <c r="AJ812" s="0" t="n">
        <v>28</v>
      </c>
      <c r="AK812" s="0" t="n">
        <v>49</v>
      </c>
      <c r="AL812" s="0" t="n">
        <v>0.5</v>
      </c>
    </row>
    <row r="813">
      <c r="A813" s="0" t="inlineStr">
        <is>
          <t>[효성동]</t>
        </is>
      </c>
      <c r="B813" s="0" t="n">
        <v>125101</v>
      </c>
      <c r="C813" s="0" t="n">
        <v>1</v>
      </c>
      <c r="D813" s="0" t="inlineStr">
        <is>
          <t>e편한세상계양더프리미어</t>
        </is>
      </c>
      <c r="E813" s="0" t="inlineStr">
        <is>
          <t>2021.10.</t>
        </is>
      </c>
      <c r="F813" s="0" t="n">
        <v>1646</v>
      </c>
      <c r="G813" s="0" t="n">
        <v>17.08</v>
      </c>
      <c r="H813" s="0" t="n">
        <v>56.47</v>
      </c>
      <c r="I813" s="0" t="n">
        <v>12.08</v>
      </c>
      <c r="J813" s="0" t="n">
        <v>39.96</v>
      </c>
      <c r="K813" s="0" t="n">
        <v>85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56</v>
      </c>
      <c r="X813" s="0" t="n">
        <v>33</v>
      </c>
      <c r="Y813" s="0" t="n">
        <v>28</v>
      </c>
      <c r="Z813" s="0" t="inlineStr">
        <is>
          <t>https://new.land.naver.com/complexes/125101?tab=detail&amp;rf=Y</t>
        </is>
      </c>
      <c r="AA813" s="0" t="inlineStr">
        <is>
          <t>인천시 계양구 효성동 254-14</t>
        </is>
      </c>
      <c r="AB813" s="0" t="inlineStr">
        <is>
          <t>인천시</t>
        </is>
      </c>
      <c r="AC813" s="0" t="inlineStr">
        <is>
          <t>계양구</t>
        </is>
      </c>
      <c r="AD813" s="0" t="inlineStr">
        <is>
          <t>효성동</t>
        </is>
      </c>
      <c r="AG813" s="0" t="inlineStr">
        <is>
          <t>인천시 계양구 효서로 145</t>
        </is>
      </c>
      <c r="AH813" s="0" t="n">
        <v>83</v>
      </c>
      <c r="AI813" s="0" t="n">
        <v>249</v>
      </c>
      <c r="AJ813" s="0" t="n">
        <v>14</v>
      </c>
      <c r="AK813" s="0" t="n">
        <v>1942</v>
      </c>
      <c r="AL813" s="0" t="n">
        <v>1.18</v>
      </c>
    </row>
    <row r="814">
      <c r="A814" s="0" t="inlineStr">
        <is>
          <t>[효성동]</t>
        </is>
      </c>
      <c r="B814" s="0" t="n">
        <v>125101</v>
      </c>
      <c r="C814" s="0" t="n">
        <v>2</v>
      </c>
      <c r="D814" s="0" t="inlineStr">
        <is>
          <t>e편한세상계양더프리미어</t>
        </is>
      </c>
      <c r="E814" s="0" t="inlineStr">
        <is>
          <t>2021.10.</t>
        </is>
      </c>
      <c r="F814" s="0" t="n">
        <v>1646</v>
      </c>
      <c r="G814" s="0" t="n">
        <v>19.89</v>
      </c>
      <c r="H814" s="0" t="n">
        <v>65.78</v>
      </c>
      <c r="I814" s="0" t="n">
        <v>14.06</v>
      </c>
      <c r="J814" s="0" t="n">
        <v>46.48</v>
      </c>
      <c r="K814" s="0" t="n">
        <v>87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65</v>
      </c>
      <c r="X814" s="0" t="n">
        <v>33</v>
      </c>
      <c r="Y814" s="0" t="n">
        <v>28</v>
      </c>
      <c r="Z814" s="0" t="inlineStr">
        <is>
          <t>https://new.land.naver.com/complexes/125101?tab=detail&amp;rf=Y</t>
        </is>
      </c>
      <c r="AA814" s="0" t="inlineStr">
        <is>
          <t>인천시 계양구 효성동 254-14</t>
        </is>
      </c>
      <c r="AB814" s="0" t="inlineStr">
        <is>
          <t>인천시</t>
        </is>
      </c>
      <c r="AC814" s="0" t="inlineStr">
        <is>
          <t>계양구</t>
        </is>
      </c>
      <c r="AD814" s="0" t="inlineStr">
        <is>
          <t>효성동</t>
        </is>
      </c>
      <c r="AG814" s="0" t="inlineStr">
        <is>
          <t>인천시 계양구 효서로 145</t>
        </is>
      </c>
      <c r="AH814" s="0" t="n">
        <v>83</v>
      </c>
      <c r="AI814" s="0" t="n">
        <v>249</v>
      </c>
      <c r="AJ814" s="0" t="n">
        <v>14</v>
      </c>
      <c r="AK814" s="0" t="n">
        <v>1942</v>
      </c>
      <c r="AL814" s="0" t="n">
        <v>1.18</v>
      </c>
    </row>
    <row r="815">
      <c r="A815" s="0" t="inlineStr">
        <is>
          <t>[효성동]</t>
        </is>
      </c>
      <c r="B815" s="0" t="n">
        <v>125101</v>
      </c>
      <c r="C815" s="0" t="n">
        <v>3</v>
      </c>
      <c r="D815" s="0" t="inlineStr">
        <is>
          <t>e편한세상계양더프리미어</t>
        </is>
      </c>
      <c r="E815" s="0" t="inlineStr">
        <is>
          <t>2021.10.</t>
        </is>
      </c>
      <c r="F815" s="0" t="n">
        <v>1646</v>
      </c>
      <c r="G815" s="0" t="n">
        <v>24.14</v>
      </c>
      <c r="H815" s="0" t="n">
        <v>79.83</v>
      </c>
      <c r="I815" s="0" t="n">
        <v>18.11</v>
      </c>
      <c r="J815" s="0" t="n">
        <v>59.88</v>
      </c>
      <c r="K815" s="0" t="n">
        <v>723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79A</t>
        </is>
      </c>
      <c r="X815" s="0" t="n">
        <v>33</v>
      </c>
      <c r="Y815" s="0" t="n">
        <v>28</v>
      </c>
      <c r="Z815" s="0" t="inlineStr">
        <is>
          <t>https://new.land.naver.com/complexes/125101?tab=detail&amp;rf=Y</t>
        </is>
      </c>
      <c r="AA815" s="0" t="inlineStr">
        <is>
          <t>인천시 계양구 효성동 254-14</t>
        </is>
      </c>
      <c r="AB815" s="0" t="inlineStr">
        <is>
          <t>인천시</t>
        </is>
      </c>
      <c r="AC815" s="0" t="inlineStr">
        <is>
          <t>계양구</t>
        </is>
      </c>
      <c r="AD815" s="0" t="inlineStr">
        <is>
          <t>효성동</t>
        </is>
      </c>
      <c r="AG815" s="0" t="inlineStr">
        <is>
          <t>인천시 계양구 효서로 145</t>
        </is>
      </c>
      <c r="AH815" s="0" t="n">
        <v>83</v>
      </c>
      <c r="AI815" s="0" t="n">
        <v>249</v>
      </c>
      <c r="AJ815" s="0" t="n">
        <v>14</v>
      </c>
      <c r="AK815" s="0" t="n">
        <v>1942</v>
      </c>
      <c r="AL815" s="0" t="n">
        <v>1.18</v>
      </c>
    </row>
    <row r="816">
      <c r="A816" s="0" t="inlineStr">
        <is>
          <t>[효성동]</t>
        </is>
      </c>
      <c r="B816" s="0" t="n">
        <v>125101</v>
      </c>
      <c r="C816" s="0" t="n">
        <v>4</v>
      </c>
      <c r="D816" s="0" t="inlineStr">
        <is>
          <t>e편한세상계양더프리미어</t>
        </is>
      </c>
      <c r="E816" s="0" t="inlineStr">
        <is>
          <t>2021.10.</t>
        </is>
      </c>
      <c r="F816" s="0" t="n">
        <v>1646</v>
      </c>
      <c r="G816" s="0" t="n">
        <v>24.11</v>
      </c>
      <c r="H816" s="0" t="n">
        <v>79.70999999999999</v>
      </c>
      <c r="I816" s="0" t="n">
        <v>18.14</v>
      </c>
      <c r="J816" s="0" t="n">
        <v>59.97</v>
      </c>
      <c r="K816" s="0" t="n">
        <v>193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79B</t>
        </is>
      </c>
      <c r="X816" s="0" t="n">
        <v>33</v>
      </c>
      <c r="Y816" s="0" t="n">
        <v>28</v>
      </c>
      <c r="Z816" s="0" t="inlineStr">
        <is>
          <t>https://new.land.naver.com/complexes/125101?tab=detail&amp;rf=Y</t>
        </is>
      </c>
      <c r="AA816" s="0" t="inlineStr">
        <is>
          <t>인천시 계양구 효성동 254-14</t>
        </is>
      </c>
      <c r="AB816" s="0" t="inlineStr">
        <is>
          <t>인천시</t>
        </is>
      </c>
      <c r="AC816" s="0" t="inlineStr">
        <is>
          <t>계양구</t>
        </is>
      </c>
      <c r="AD816" s="0" t="inlineStr">
        <is>
          <t>효성동</t>
        </is>
      </c>
      <c r="AG816" s="0" t="inlineStr">
        <is>
          <t>인천시 계양구 효서로 145</t>
        </is>
      </c>
      <c r="AH816" s="0" t="n">
        <v>83</v>
      </c>
      <c r="AI816" s="0" t="n">
        <v>249</v>
      </c>
      <c r="AJ816" s="0" t="n">
        <v>14</v>
      </c>
      <c r="AK816" s="0" t="n">
        <v>1942</v>
      </c>
      <c r="AL816" s="0" t="n">
        <v>1.18</v>
      </c>
    </row>
    <row r="817">
      <c r="A817" s="0" t="inlineStr">
        <is>
          <t>[효성동]</t>
        </is>
      </c>
      <c r="B817" s="0" t="n">
        <v>125101</v>
      </c>
      <c r="C817" s="0" t="n">
        <v>5</v>
      </c>
      <c r="D817" s="0" t="inlineStr">
        <is>
          <t>e편한세상계양더프리미어</t>
        </is>
      </c>
      <c r="E817" s="0" t="inlineStr">
        <is>
          <t>2021.10.</t>
        </is>
      </c>
      <c r="F817" s="0" t="n">
        <v>1646</v>
      </c>
      <c r="G817" s="0" t="n">
        <v>29.64</v>
      </c>
      <c r="H817" s="0" t="n">
        <v>98</v>
      </c>
      <c r="I817" s="0" t="n">
        <v>22.66</v>
      </c>
      <c r="J817" s="0" t="n">
        <v>74.93000000000001</v>
      </c>
      <c r="K817" s="0" t="n">
        <v>253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98</v>
      </c>
      <c r="X817" s="0" t="n">
        <v>33</v>
      </c>
      <c r="Y817" s="0" t="n">
        <v>28</v>
      </c>
      <c r="Z817" s="0" t="inlineStr">
        <is>
          <t>https://new.land.naver.com/complexes/125101?tab=detail&amp;rf=Y</t>
        </is>
      </c>
      <c r="AA817" s="0" t="inlineStr">
        <is>
          <t>인천시 계양구 효성동 254-14</t>
        </is>
      </c>
      <c r="AB817" s="0" t="inlineStr">
        <is>
          <t>인천시</t>
        </is>
      </c>
      <c r="AC817" s="0" t="inlineStr">
        <is>
          <t>계양구</t>
        </is>
      </c>
      <c r="AD817" s="0" t="inlineStr">
        <is>
          <t>효성동</t>
        </is>
      </c>
      <c r="AG817" s="0" t="inlineStr">
        <is>
          <t>인천시 계양구 효서로 145</t>
        </is>
      </c>
      <c r="AH817" s="0" t="n">
        <v>83</v>
      </c>
      <c r="AI817" s="0" t="n">
        <v>249</v>
      </c>
      <c r="AJ817" s="0" t="n">
        <v>14</v>
      </c>
      <c r="AK817" s="0" t="n">
        <v>1942</v>
      </c>
      <c r="AL817" s="0" t="n">
        <v>1.18</v>
      </c>
    </row>
    <row r="818">
      <c r="A818" s="0" t="inlineStr">
        <is>
          <t>[효성동]</t>
        </is>
      </c>
      <c r="B818" s="0" t="n">
        <v>125101</v>
      </c>
      <c r="C818" s="0" t="n">
        <v>6</v>
      </c>
      <c r="D818" s="0" t="inlineStr">
        <is>
          <t>e편한세상계양더프리미어</t>
        </is>
      </c>
      <c r="E818" s="0" t="inlineStr">
        <is>
          <t>2021.10.</t>
        </is>
      </c>
      <c r="F818" s="0" t="n">
        <v>1646</v>
      </c>
      <c r="G818" s="0" t="n">
        <v>32.42</v>
      </c>
      <c r="H818" s="0" t="n">
        <v>107.18</v>
      </c>
      <c r="I818" s="0" t="n">
        <v>25.68</v>
      </c>
      <c r="J818" s="0" t="n">
        <v>84.92</v>
      </c>
      <c r="K818" s="0" t="n">
        <v>305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107</v>
      </c>
      <c r="X818" s="0" t="n">
        <v>33</v>
      </c>
      <c r="Y818" s="0" t="n">
        <v>28</v>
      </c>
      <c r="Z818" s="0" t="inlineStr">
        <is>
          <t>https://new.land.naver.com/complexes/125101?tab=detail&amp;rf=Y</t>
        </is>
      </c>
      <c r="AA818" s="0" t="inlineStr">
        <is>
          <t>인천시 계양구 효성동 254-14</t>
        </is>
      </c>
      <c r="AB818" s="0" t="inlineStr">
        <is>
          <t>인천시</t>
        </is>
      </c>
      <c r="AC818" s="0" t="inlineStr">
        <is>
          <t>계양구</t>
        </is>
      </c>
      <c r="AD818" s="0" t="inlineStr">
        <is>
          <t>효성동</t>
        </is>
      </c>
      <c r="AG818" s="0" t="inlineStr">
        <is>
          <t>인천시 계양구 효서로 145</t>
        </is>
      </c>
      <c r="AH818" s="0" t="n">
        <v>83</v>
      </c>
      <c r="AI818" s="0" t="n">
        <v>249</v>
      </c>
      <c r="AJ818" s="0" t="n">
        <v>14</v>
      </c>
      <c r="AK818" s="0" t="n">
        <v>1942</v>
      </c>
      <c r="AL818" s="0" t="n">
        <v>1.18</v>
      </c>
    </row>
    <row r="819">
      <c r="A819" s="0" t="inlineStr">
        <is>
          <t>[효성동]</t>
        </is>
      </c>
      <c r="B819" s="0" t="n">
        <v>8241</v>
      </c>
      <c r="C819" s="0" t="n">
        <v>1</v>
      </c>
      <c r="D819" s="0" t="inlineStr">
        <is>
          <t>신한</t>
        </is>
      </c>
      <c r="E819" s="0" t="inlineStr">
        <is>
          <t>1996.12.</t>
        </is>
      </c>
      <c r="F819" s="0" t="n">
        <v>324</v>
      </c>
      <c r="G819" s="0" t="n">
        <v>23.42</v>
      </c>
      <c r="H819" s="0" t="n">
        <v>77.45</v>
      </c>
      <c r="I819" s="0" t="n">
        <v>18.15</v>
      </c>
      <c r="J819" s="0" t="n">
        <v>60</v>
      </c>
      <c r="K819" s="0" t="n">
        <v>160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77</v>
      </c>
      <c r="X819" s="0" t="n">
        <v>20</v>
      </c>
      <c r="Y819" s="0" t="n">
        <v>15</v>
      </c>
      <c r="Z819" s="0" t="inlineStr">
        <is>
          <t>https://new.land.naver.com/complexes/8241?tab=detail&amp;rf=Y</t>
        </is>
      </c>
      <c r="AA819" s="0" t="inlineStr">
        <is>
          <t>인천시 계양구 효성동 78-1</t>
        </is>
      </c>
      <c r="AB819" s="0" t="inlineStr">
        <is>
          <t>인천시</t>
        </is>
      </c>
      <c r="AC819" s="0" t="inlineStr">
        <is>
          <t>계양구</t>
        </is>
      </c>
      <c r="AD819" s="0" t="inlineStr">
        <is>
          <t>효성동</t>
        </is>
      </c>
      <c r="AG819" s="0" t="inlineStr">
        <is>
          <t>인천시 계양구 봉오대로555번길 5</t>
        </is>
      </c>
      <c r="AH819" s="0" t="n">
        <v>0</v>
      </c>
      <c r="AI819" s="0" t="n">
        <v>257</v>
      </c>
      <c r="AJ819" s="0" t="n">
        <v>18</v>
      </c>
      <c r="AK819" s="0" t="n">
        <v>231</v>
      </c>
      <c r="AL819" s="0" t="n">
        <v>0.71</v>
      </c>
    </row>
    <row r="820">
      <c r="A820" s="0" t="inlineStr">
        <is>
          <t>[효성동]</t>
        </is>
      </c>
      <c r="B820" s="0" t="n">
        <v>8241</v>
      </c>
      <c r="C820" s="0" t="n">
        <v>2</v>
      </c>
      <c r="D820" s="0" t="inlineStr">
        <is>
          <t>신한</t>
        </is>
      </c>
      <c r="E820" s="0" t="inlineStr">
        <is>
          <t>1996.12.</t>
        </is>
      </c>
      <c r="F820" s="0" t="n">
        <v>324</v>
      </c>
      <c r="G820" s="0" t="n">
        <v>32.02</v>
      </c>
      <c r="H820" s="0" t="n">
        <v>105.86</v>
      </c>
      <c r="I820" s="0" t="n">
        <v>25.7</v>
      </c>
      <c r="J820" s="0" t="n">
        <v>84.97</v>
      </c>
      <c r="K820" s="0" t="n">
        <v>164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105</v>
      </c>
      <c r="X820" s="0" t="n">
        <v>20</v>
      </c>
      <c r="Y820" s="0" t="n">
        <v>15</v>
      </c>
      <c r="Z820" s="0" t="inlineStr">
        <is>
          <t>https://new.land.naver.com/complexes/8241?tab=detail&amp;rf=Y</t>
        </is>
      </c>
      <c r="AA820" s="0" t="inlineStr">
        <is>
          <t>인천시 계양구 효성동 78-1</t>
        </is>
      </c>
      <c r="AB820" s="0" t="inlineStr">
        <is>
          <t>인천시</t>
        </is>
      </c>
      <c r="AC820" s="0" t="inlineStr">
        <is>
          <t>계양구</t>
        </is>
      </c>
      <c r="AD820" s="0" t="inlineStr">
        <is>
          <t>효성동</t>
        </is>
      </c>
      <c r="AG820" s="0" t="inlineStr">
        <is>
          <t>인천시 계양구 봉오대로555번길 5</t>
        </is>
      </c>
      <c r="AH820" s="0" t="n">
        <v>0</v>
      </c>
      <c r="AI820" s="0" t="n">
        <v>257</v>
      </c>
      <c r="AJ820" s="0" t="n">
        <v>18</v>
      </c>
      <c r="AK820" s="0" t="n">
        <v>231</v>
      </c>
      <c r="AL820" s="0" t="n">
        <v>0.71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계산동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서해2차</t>
        </is>
      </c>
      <c r="B6" s="10" t="inlineStr">
        <is>
          <t>'90.09.</t>
        </is>
      </c>
      <c r="C6" s="132" t="n">
        <v>222</v>
      </c>
      <c r="D6" s="130" t="n">
        <v>73.90000000000001</v>
      </c>
      <c r="E6" s="131" t="n">
        <v>22</v>
      </c>
      <c r="F6" s="130" t="n">
        <v>58.1</v>
      </c>
      <c r="G6" s="17" t="n">
        <v>18</v>
      </c>
      <c r="H6" s="132" t="n">
        <v>164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73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서해2차</t>
        </is>
      </c>
      <c r="B7" s="10" t="inlineStr">
        <is>
          <t>'90.09.</t>
        </is>
      </c>
      <c r="C7" s="132" t="n">
        <v>222</v>
      </c>
      <c r="D7" s="130" t="n">
        <v>76</v>
      </c>
      <c r="E7" s="131" t="n">
        <v>23</v>
      </c>
      <c r="F7" s="130" t="n">
        <v>59.9</v>
      </c>
      <c r="G7" s="17" t="n">
        <v>18</v>
      </c>
      <c r="H7" s="132" t="n">
        <v>30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서해2차</t>
        </is>
      </c>
      <c r="B8" s="10" t="inlineStr">
        <is>
          <t>'90.09.</t>
        </is>
      </c>
      <c r="C8" s="132" t="n">
        <v>222</v>
      </c>
      <c r="D8" s="130" t="n">
        <v>83.2</v>
      </c>
      <c r="E8" s="131" t="n">
        <v>25</v>
      </c>
      <c r="F8" s="130" t="n">
        <v>66</v>
      </c>
      <c r="G8" s="17" t="n">
        <v>20</v>
      </c>
      <c r="H8" s="132" t="n">
        <v>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서해2차</t>
        </is>
      </c>
      <c r="B9" s="10" t="inlineStr">
        <is>
          <t>'90.09.</t>
        </is>
      </c>
      <c r="C9" s="132" t="n">
        <v>222</v>
      </c>
      <c r="D9" s="130" t="n">
        <v>83.8</v>
      </c>
      <c r="E9" s="131" t="n">
        <v>25</v>
      </c>
      <c r="F9" s="130" t="n">
        <v>66.5</v>
      </c>
      <c r="G9" s="17" t="n">
        <v>20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83B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서해2차</t>
        </is>
      </c>
      <c r="B10" s="10" t="inlineStr">
        <is>
          <t>'90.09.</t>
        </is>
      </c>
      <c r="C10" s="132" t="n">
        <v>222</v>
      </c>
      <c r="D10" s="130" t="n">
        <v>89.90000000000001</v>
      </c>
      <c r="E10" s="131" t="n">
        <v>27</v>
      </c>
      <c r="F10" s="130" t="n">
        <v>72</v>
      </c>
      <c r="G10" s="17" t="n">
        <v>22</v>
      </c>
      <c r="H10" s="132" t="n">
        <v>4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89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서해2차</t>
        </is>
      </c>
      <c r="B11" s="10" t="inlineStr">
        <is>
          <t>'90.09.</t>
        </is>
      </c>
      <c r="C11" s="132" t="n">
        <v>222</v>
      </c>
      <c r="D11" s="130" t="n">
        <v>97</v>
      </c>
      <c r="E11" s="131" t="n">
        <v>29</v>
      </c>
      <c r="F11" s="130" t="n">
        <v>78.09999999999999</v>
      </c>
      <c r="G11" s="17" t="n">
        <v>24</v>
      </c>
      <c r="H11" s="132" t="n">
        <v>6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96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서해2차</t>
        </is>
      </c>
      <c r="B12" s="10" t="inlineStr">
        <is>
          <t>'90.09.</t>
        </is>
      </c>
      <c r="C12" s="132" t="n">
        <v>222</v>
      </c>
      <c r="D12" s="130" t="n">
        <v>102.6</v>
      </c>
      <c r="E12" s="131" t="n">
        <v>31</v>
      </c>
      <c r="F12" s="130" t="n">
        <v>77.09999999999999</v>
      </c>
      <c r="G12" s="17" t="n">
        <v>23</v>
      </c>
      <c r="H12" s="132" t="n">
        <v>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삼보3차</t>
        </is>
      </c>
      <c r="B14" s="10" t="inlineStr">
        <is>
          <t>'88.10.</t>
        </is>
      </c>
      <c r="C14" s="132" t="n">
        <v>366</v>
      </c>
      <c r="D14" s="130" t="n">
        <v>53.8</v>
      </c>
      <c r="E14" s="131" t="n">
        <v>16</v>
      </c>
      <c r="F14" s="130" t="n">
        <v>41.7</v>
      </c>
      <c r="G14" s="17" t="n">
        <v>13</v>
      </c>
      <c r="H14" s="132" t="n">
        <v>60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삼보3차</t>
        </is>
      </c>
      <c r="B15" s="10" t="inlineStr">
        <is>
          <t>'88.10.</t>
        </is>
      </c>
      <c r="C15" s="132" t="n">
        <v>366</v>
      </c>
      <c r="D15" s="130" t="n">
        <v>63.3</v>
      </c>
      <c r="E15" s="131" t="n">
        <v>19</v>
      </c>
      <c r="F15" s="130" t="n">
        <v>49.6</v>
      </c>
      <c r="G15" s="17" t="n">
        <v>15</v>
      </c>
      <c r="H15" s="132" t="n">
        <v>181</v>
      </c>
      <c r="I15" s="133" t="n">
        <v>23000</v>
      </c>
      <c r="J15" s="133" t="inlineStr">
        <is>
          <t>6</t>
        </is>
      </c>
      <c r="K15" s="133" t="n">
        <v>14000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63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삼보3차</t>
        </is>
      </c>
      <c r="B16" s="10" t="inlineStr">
        <is>
          <t>'88.10.</t>
        </is>
      </c>
      <c r="C16" s="132" t="n">
        <v>366</v>
      </c>
      <c r="D16" s="130" t="n">
        <v>73</v>
      </c>
      <c r="E16" s="131" t="n">
        <v>22</v>
      </c>
      <c r="F16" s="130" t="n">
        <v>58</v>
      </c>
      <c r="G16" s="17" t="n">
        <v>18</v>
      </c>
      <c r="H16" s="132" t="n">
        <v>120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삼보3차</t>
        </is>
      </c>
      <c r="B17" s="10" t="inlineStr">
        <is>
          <t>'88.10.</t>
        </is>
      </c>
      <c r="C17" s="132" t="n">
        <v>366</v>
      </c>
      <c r="D17" s="130" t="n">
        <v>76.5</v>
      </c>
      <c r="E17" s="131" t="n">
        <v>23</v>
      </c>
      <c r="F17" s="130" t="n">
        <v>55.7</v>
      </c>
      <c r="G17" s="17" t="n">
        <v>17</v>
      </c>
      <c r="H17" s="132" t="n">
        <v>5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태평</t>
        </is>
      </c>
      <c r="B19" s="10" t="inlineStr">
        <is>
          <t>'90.12.</t>
        </is>
      </c>
      <c r="C19" s="132" t="n">
        <v>432</v>
      </c>
      <c r="D19" s="130" t="n">
        <v>57.9</v>
      </c>
      <c r="E19" s="131" t="n">
        <v>18</v>
      </c>
      <c r="F19" s="130" t="n">
        <v>44.8</v>
      </c>
      <c r="G19" s="17" t="n">
        <v>14</v>
      </c>
      <c r="H19" s="132" t="n">
        <v>168</v>
      </c>
      <c r="I19" s="133" t="n">
        <v>19000</v>
      </c>
      <c r="J19" s="133" t="inlineStr">
        <is>
          <t>5</t>
        </is>
      </c>
      <c r="K19" s="133" t="n">
        <v>8500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57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태평</t>
        </is>
      </c>
      <c r="B20" s="10" t="inlineStr">
        <is>
          <t>'90.12.</t>
        </is>
      </c>
      <c r="C20" s="132" t="n">
        <v>432</v>
      </c>
      <c r="D20" s="130" t="n">
        <v>72.3</v>
      </c>
      <c r="E20" s="131" t="n">
        <v>22</v>
      </c>
      <c r="F20" s="130" t="n">
        <v>57</v>
      </c>
      <c r="G20" s="17" t="n">
        <v>17</v>
      </c>
      <c r="H20" s="132" t="n">
        <v>168</v>
      </c>
      <c r="I20" s="133" t="n">
        <v>23000</v>
      </c>
      <c r="J20" s="133" t="inlineStr">
        <is>
          <t>5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72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태평</t>
        </is>
      </c>
      <c r="B21" s="10" t="inlineStr">
        <is>
          <t>'90.12.</t>
        </is>
      </c>
      <c r="C21" s="132" t="n">
        <v>432</v>
      </c>
      <c r="D21" s="130" t="n">
        <v>75.5</v>
      </c>
      <c r="E21" s="131" t="n">
        <v>23</v>
      </c>
      <c r="F21" s="130" t="n">
        <v>59.8</v>
      </c>
      <c r="G21" s="17" t="n">
        <v>18</v>
      </c>
      <c r="H21" s="132" t="n">
        <v>48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'90.12.</t>
        </is>
      </c>
      <c r="C22" s="132" t="n">
        <v>432</v>
      </c>
      <c r="D22" s="130" t="n">
        <v>79.90000000000001</v>
      </c>
      <c r="E22" s="131" t="n">
        <v>24</v>
      </c>
      <c r="F22" s="130" t="n">
        <v>63.7</v>
      </c>
      <c r="G22" s="17" t="n">
        <v>19</v>
      </c>
      <c r="H22" s="132" t="n">
        <v>48</v>
      </c>
      <c r="I22" s="133" t="n">
        <v>25000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신도브래뉴</t>
        </is>
      </c>
      <c r="B24" s="10" t="inlineStr">
        <is>
          <t>'05.05.</t>
        </is>
      </c>
      <c r="C24" s="132" t="n">
        <v>481</v>
      </c>
      <c r="D24" s="130" t="n">
        <v>79.59999999999999</v>
      </c>
      <c r="E24" s="131" t="n">
        <v>24</v>
      </c>
      <c r="F24" s="130" t="n">
        <v>57.7</v>
      </c>
      <c r="G24" s="17" t="n">
        <v>17</v>
      </c>
      <c r="H24" s="132" t="n">
        <v>234</v>
      </c>
      <c r="I24" s="133" t="n">
        <v>36000</v>
      </c>
      <c r="J24" s="133" t="inlineStr">
        <is>
          <t>중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복</t>
        </is>
      </c>
      <c r="T24" s="5" t="n">
        <v>79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신도브래뉴</t>
        </is>
      </c>
      <c r="B25" s="10" t="inlineStr">
        <is>
          <t>'05.05.</t>
        </is>
      </c>
      <c r="C25" s="132" t="n">
        <v>481</v>
      </c>
      <c r="D25" s="130" t="n">
        <v>105.5</v>
      </c>
      <c r="E25" s="131" t="n">
        <v>32</v>
      </c>
      <c r="F25" s="130" t="n">
        <v>84.90000000000001</v>
      </c>
      <c r="G25" s="17" t="n">
        <v>26</v>
      </c>
      <c r="H25" s="132" t="n">
        <v>207</v>
      </c>
      <c r="I25" s="133" t="n">
        <v>48000</v>
      </c>
      <c r="J25" s="133" t="inlineStr">
        <is>
          <t>13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신도브래뉴</t>
        </is>
      </c>
      <c r="B26" s="10" t="inlineStr">
        <is>
          <t>'05.05.</t>
        </is>
      </c>
      <c r="C26" s="132" t="n">
        <v>481</v>
      </c>
      <c r="D26" s="130" t="n">
        <v>115.8</v>
      </c>
      <c r="E26" s="131" t="n">
        <v>35</v>
      </c>
      <c r="F26" s="130" t="n">
        <v>85</v>
      </c>
      <c r="G26" s="17" t="n">
        <v>26</v>
      </c>
      <c r="H26" s="132" t="n">
        <v>40</v>
      </c>
      <c r="I26" s="133" t="n">
        <v>55000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115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영남</t>
        </is>
      </c>
      <c r="B28" s="10" t="inlineStr">
        <is>
          <t>'90.12.</t>
        </is>
      </c>
      <c r="C28" s="132" t="n">
        <v>360</v>
      </c>
      <c r="D28" s="130" t="n">
        <v>62.3</v>
      </c>
      <c r="E28" s="131" t="n">
        <v>19</v>
      </c>
      <c r="F28" s="130" t="n">
        <v>48.3</v>
      </c>
      <c r="G28" s="17" t="n">
        <v>15</v>
      </c>
      <c r="H28" s="132" t="n">
        <v>60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n">
        <v>62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영남</t>
        </is>
      </c>
      <c r="B29" s="10" t="inlineStr">
        <is>
          <t>'90.12.</t>
        </is>
      </c>
      <c r="C29" s="132" t="n">
        <v>360</v>
      </c>
      <c r="D29" s="130" t="n">
        <v>69.59999999999999</v>
      </c>
      <c r="E29" s="131" t="n">
        <v>21</v>
      </c>
      <c r="F29" s="130" t="n">
        <v>54.5</v>
      </c>
      <c r="G29" s="17" t="n">
        <v>16</v>
      </c>
      <c r="H29" s="132" t="n">
        <v>60</v>
      </c>
      <c r="I29" s="133" t="n">
        <v>22000</v>
      </c>
      <c r="J29" s="133" t="inlineStr">
        <is>
          <t>6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69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영남</t>
        </is>
      </c>
      <c r="B30" s="10" t="inlineStr">
        <is>
          <t>'90.12.</t>
        </is>
      </c>
      <c r="C30" s="132" t="n">
        <v>360</v>
      </c>
      <c r="D30" s="130" t="n">
        <v>73.5</v>
      </c>
      <c r="E30" s="131" t="n">
        <v>22</v>
      </c>
      <c r="F30" s="130" t="n">
        <v>57.9</v>
      </c>
      <c r="G30" s="17" t="n">
        <v>18</v>
      </c>
      <c r="H30" s="132" t="n">
        <v>180</v>
      </c>
      <c r="I30" s="133" t="n">
        <v>21000</v>
      </c>
      <c r="J30" s="133" t="inlineStr">
        <is>
          <t>6</t>
        </is>
      </c>
      <c r="K30" s="133" t="n">
        <v>13500</v>
      </c>
      <c r="L30" s="133" t="inlineStr">
        <is>
          <t>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영남</t>
        </is>
      </c>
      <c r="B31" s="10" t="inlineStr">
        <is>
          <t>'90.12.</t>
        </is>
      </c>
      <c r="C31" s="132" t="n">
        <v>360</v>
      </c>
      <c r="D31" s="130" t="n">
        <v>75.90000000000001</v>
      </c>
      <c r="E31" s="131" t="n">
        <v>23</v>
      </c>
      <c r="F31" s="130" t="n">
        <v>59.9</v>
      </c>
      <c r="G31" s="17" t="n">
        <v>18</v>
      </c>
      <c r="H31" s="132" t="n">
        <v>60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계양산파크트루엘</t>
        </is>
      </c>
      <c r="B33" s="10" t="inlineStr">
        <is>
          <t>'20.02.</t>
        </is>
      </c>
      <c r="C33" s="132" t="n">
        <v>369</v>
      </c>
      <c r="D33" s="130" t="n">
        <v>82.2</v>
      </c>
      <c r="E33" s="131" t="n">
        <v>25</v>
      </c>
      <c r="F33" s="130" t="n">
        <v>60</v>
      </c>
      <c r="G33" s="17" t="n">
        <v>18</v>
      </c>
      <c r="H33" s="132" t="n">
        <v>80</v>
      </c>
      <c r="I33" s="133" t="n">
        <v>43000</v>
      </c>
      <c r="J33" s="133" t="inlineStr">
        <is>
          <t>10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82E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계양산파크트루엘</t>
        </is>
      </c>
      <c r="B34" s="10" t="inlineStr">
        <is>
          <t>'20.02.</t>
        </is>
      </c>
      <c r="C34" s="132" t="n">
        <v>369</v>
      </c>
      <c r="D34" s="130" t="n">
        <v>82.5</v>
      </c>
      <c r="E34" s="131" t="n">
        <v>25</v>
      </c>
      <c r="F34" s="130" t="n">
        <v>60</v>
      </c>
      <c r="G34" s="17" t="n">
        <v>18</v>
      </c>
      <c r="H34" s="132" t="n">
        <v>36</v>
      </c>
      <c r="I34" s="133" t="n">
        <v>50000</v>
      </c>
      <c r="J34" s="133" t="inlineStr">
        <is>
          <t>11</t>
        </is>
      </c>
      <c r="K34" s="133" t="n">
        <v>32000</v>
      </c>
      <c r="L34" s="133" t="inlineStr">
        <is>
          <t>8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82G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계양산파크트루엘</t>
        </is>
      </c>
      <c r="B35" s="10" t="inlineStr">
        <is>
          <t>'20.02.</t>
        </is>
      </c>
      <c r="C35" s="132" t="n">
        <v>369</v>
      </c>
      <c r="D35" s="130" t="n">
        <v>82.7</v>
      </c>
      <c r="E35" s="131" t="n">
        <v>25</v>
      </c>
      <c r="F35" s="130" t="n">
        <v>60</v>
      </c>
      <c r="G35" s="17" t="n">
        <v>18</v>
      </c>
      <c r="H35" s="132" t="n">
        <v>13</v>
      </c>
      <c r="I35" s="133" t="n">
        <v>47000</v>
      </c>
      <c r="J35" s="133" t="inlineStr">
        <is>
          <t>5</t>
        </is>
      </c>
      <c r="K35" s="133" t="n">
        <v>32000</v>
      </c>
      <c r="L35" s="133" t="inlineStr">
        <is>
          <t>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82D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계양산파크트루엘</t>
        </is>
      </c>
      <c r="B36" s="10" t="inlineStr">
        <is>
          <t>'20.02.</t>
        </is>
      </c>
      <c r="C36" s="132" t="n">
        <v>369</v>
      </c>
      <c r="D36" s="130" t="n">
        <v>83.2</v>
      </c>
      <c r="E36" s="131" t="n">
        <v>25</v>
      </c>
      <c r="F36" s="130" t="n">
        <v>60</v>
      </c>
      <c r="G36" s="17" t="n">
        <v>18</v>
      </c>
      <c r="H36" s="132" t="n">
        <v>156</v>
      </c>
      <c r="I36" s="133" t="n">
        <v>48000</v>
      </c>
      <c r="J36" s="133" t="inlineStr">
        <is>
          <t>12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83A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계양산파크트루엘</t>
        </is>
      </c>
      <c r="B37" s="10" t="inlineStr">
        <is>
          <t>'20.02.</t>
        </is>
      </c>
      <c r="C37" s="132" t="n">
        <v>369</v>
      </c>
      <c r="D37" s="130" t="n">
        <v>83.90000000000001</v>
      </c>
      <c r="E37" s="131" t="n">
        <v>25</v>
      </c>
      <c r="F37" s="130" t="n">
        <v>60</v>
      </c>
      <c r="G37" s="17" t="n">
        <v>18</v>
      </c>
      <c r="H37" s="132" t="n">
        <v>38</v>
      </c>
      <c r="I37" s="133" t="n">
        <v>45000</v>
      </c>
      <c r="J37" s="133" t="inlineStr">
        <is>
          <t>7</t>
        </is>
      </c>
      <c r="K37" s="133" t="n">
        <v>32000</v>
      </c>
      <c r="L37" s="133" t="inlineStr">
        <is>
          <t>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83F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계양산파크트루엘</t>
        </is>
      </c>
      <c r="B38" s="10" t="inlineStr">
        <is>
          <t>'20.02.</t>
        </is>
      </c>
      <c r="C38" s="132" t="n">
        <v>369</v>
      </c>
      <c r="D38" s="130" t="n">
        <v>83.8</v>
      </c>
      <c r="E38" s="131" t="n">
        <v>25</v>
      </c>
      <c r="F38" s="130" t="n">
        <v>60</v>
      </c>
      <c r="G38" s="17" t="n">
        <v>18</v>
      </c>
      <c r="H38" s="132" t="n">
        <v>35</v>
      </c>
      <c r="I38" s="133" t="n">
        <v>55000</v>
      </c>
      <c r="J38" s="133" t="inlineStr">
        <is>
          <t>11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83B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계양산파크트루엘</t>
        </is>
      </c>
      <c r="B39" s="10" t="inlineStr">
        <is>
          <t>'20.02.</t>
        </is>
      </c>
      <c r="C39" s="132" t="n">
        <v>369</v>
      </c>
      <c r="D39" s="130" t="n">
        <v>83.40000000000001</v>
      </c>
      <c r="E39" s="131" t="n">
        <v>25</v>
      </c>
      <c r="F39" s="130" t="n">
        <v>60</v>
      </c>
      <c r="G39" s="17" t="n">
        <v>18</v>
      </c>
      <c r="H39" s="132" t="n">
        <v>11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5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태산</t>
        </is>
      </c>
      <c r="B41" s="10" t="inlineStr">
        <is>
          <t>'90.07.</t>
        </is>
      </c>
      <c r="C41" s="132" t="n">
        <v>408</v>
      </c>
      <c r="D41" s="130" t="n">
        <v>55.1</v>
      </c>
      <c r="E41" s="131" t="n">
        <v>17</v>
      </c>
      <c r="F41" s="130" t="n">
        <v>42.3</v>
      </c>
      <c r="G41" s="17" t="n">
        <v>13</v>
      </c>
      <c r="H41" s="132" t="n">
        <v>119</v>
      </c>
      <c r="I41" s="133" t="n">
        <v>17000</v>
      </c>
      <c r="J41" s="133" t="inlineStr">
        <is>
          <t>6</t>
        </is>
      </c>
      <c r="K41" s="133" t="n">
        <v>11000</v>
      </c>
      <c r="L41" s="133" t="inlineStr">
        <is>
          <t>5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55B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태산</t>
        </is>
      </c>
      <c r="B42" s="10" t="inlineStr">
        <is>
          <t>'90.07.</t>
        </is>
      </c>
      <c r="C42" s="132" t="n">
        <v>408</v>
      </c>
      <c r="D42" s="130" t="n">
        <v>55.1</v>
      </c>
      <c r="E42" s="131" t="n">
        <v>17</v>
      </c>
      <c r="F42" s="130" t="n">
        <v>42.3</v>
      </c>
      <c r="G42" s="17" t="n">
        <v>13</v>
      </c>
      <c r="H42" s="132" t="n">
        <v>1</v>
      </c>
      <c r="I42" s="133" t="n">
        <v>17000</v>
      </c>
      <c r="J42" s="133" t="inlineStr">
        <is>
          <t>6</t>
        </is>
      </c>
      <c r="K42" s="133" t="n">
        <v>11000</v>
      </c>
      <c r="L42" s="133" t="inlineStr">
        <is>
          <t>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inlineStr">
        <is>
          <t>55A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태산</t>
        </is>
      </c>
      <c r="B43" s="10" t="inlineStr">
        <is>
          <t>'90.07.</t>
        </is>
      </c>
      <c r="C43" s="132" t="n">
        <v>408</v>
      </c>
      <c r="D43" s="130" t="n">
        <v>58.5</v>
      </c>
      <c r="E43" s="131" t="n">
        <v>18</v>
      </c>
      <c r="F43" s="130" t="n">
        <v>45.3</v>
      </c>
      <c r="G43" s="17" t="n">
        <v>14</v>
      </c>
      <c r="H43" s="132" t="n">
        <v>180</v>
      </c>
      <c r="I43" s="133" t="n"/>
      <c r="J43" s="133" t="n"/>
      <c r="K43" s="133" t="n">
        <v>10000</v>
      </c>
      <c r="L43" s="133" t="inlineStr">
        <is>
          <t>중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58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태산</t>
        </is>
      </c>
      <c r="B44" s="10" t="inlineStr">
        <is>
          <t>'90.07.</t>
        </is>
      </c>
      <c r="C44" s="132" t="n">
        <v>408</v>
      </c>
      <c r="D44" s="130" t="n">
        <v>59.6</v>
      </c>
      <c r="E44" s="131" t="n">
        <v>18</v>
      </c>
      <c r="F44" s="130" t="n">
        <v>46</v>
      </c>
      <c r="G44" s="17" t="n">
        <v>14</v>
      </c>
      <c r="H44" s="132" t="n">
        <v>36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59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태산</t>
        </is>
      </c>
      <c r="B45" s="10" t="inlineStr">
        <is>
          <t>'90.07.</t>
        </is>
      </c>
      <c r="C45" s="132" t="n">
        <v>408</v>
      </c>
      <c r="D45" s="130" t="n">
        <v>69.59999999999999</v>
      </c>
      <c r="E45" s="131" t="n">
        <v>21</v>
      </c>
      <c r="F45" s="130" t="n">
        <v>54.5</v>
      </c>
      <c r="G45" s="17" t="n">
        <v>16</v>
      </c>
      <c r="H45" s="132" t="n">
        <v>72</v>
      </c>
      <c r="I45" s="133" t="n">
        <v>22000</v>
      </c>
      <c r="J45" s="133" t="inlineStr">
        <is>
          <t>6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은행마을태평</t>
        </is>
      </c>
      <c r="B47" s="10" t="inlineStr">
        <is>
          <t>'97.06.</t>
        </is>
      </c>
      <c r="C47" s="132" t="n">
        <v>574</v>
      </c>
      <c r="D47" s="130" t="n">
        <v>87</v>
      </c>
      <c r="E47" s="131" t="n">
        <v>26</v>
      </c>
      <c r="F47" s="130" t="n">
        <v>68.09999999999999</v>
      </c>
      <c r="G47" s="17" t="n">
        <v>21</v>
      </c>
      <c r="H47" s="132" t="n">
        <v>460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86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은행마을태평</t>
        </is>
      </c>
      <c r="B48" s="10" t="inlineStr">
        <is>
          <t>'97.06.</t>
        </is>
      </c>
      <c r="C48" s="132" t="n">
        <v>574</v>
      </c>
      <c r="D48" s="130" t="n">
        <v>104</v>
      </c>
      <c r="E48" s="131" t="n">
        <v>31</v>
      </c>
      <c r="F48" s="130" t="n">
        <v>84.2</v>
      </c>
      <c r="G48" s="17" t="n">
        <v>25</v>
      </c>
      <c r="H48" s="132" t="n">
        <v>114</v>
      </c>
      <c r="I48" s="133" t="n">
        <v>51500</v>
      </c>
      <c r="J48" s="133" t="inlineStr">
        <is>
          <t>12</t>
        </is>
      </c>
      <c r="K48" s="133" t="n">
        <v>35000</v>
      </c>
      <c r="L48" s="133" t="inlineStr">
        <is>
          <t>17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삼천리열망</t>
        </is>
      </c>
      <c r="B50" s="10" t="inlineStr">
        <is>
          <t>'86.07.</t>
        </is>
      </c>
      <c r="C50" s="132" t="n">
        <v>460</v>
      </c>
      <c r="D50" s="130" t="n">
        <v>51.6</v>
      </c>
      <c r="E50" s="131" t="n">
        <v>16</v>
      </c>
      <c r="F50" s="130" t="n">
        <v>37.6</v>
      </c>
      <c r="G50" s="17" t="n">
        <v>11</v>
      </c>
      <c r="H50" s="132" t="n">
        <v>90</v>
      </c>
      <c r="I50" s="133" t="n">
        <v>19000</v>
      </c>
      <c r="J50" s="133" t="inlineStr">
        <is>
          <t>5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51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삼천리열망</t>
        </is>
      </c>
      <c r="B51" s="10" t="inlineStr">
        <is>
          <t>'86.07.</t>
        </is>
      </c>
      <c r="C51" s="132" t="n">
        <v>460</v>
      </c>
      <c r="D51" s="130" t="n">
        <v>54.9</v>
      </c>
      <c r="E51" s="131" t="n">
        <v>17</v>
      </c>
      <c r="F51" s="130" t="n">
        <v>40.4</v>
      </c>
      <c r="G51" s="17" t="n">
        <v>12</v>
      </c>
      <c r="H51" s="132" t="n">
        <v>80</v>
      </c>
      <c r="I51" s="133" t="n">
        <v>22000</v>
      </c>
      <c r="J51" s="133" t="inlineStr">
        <is>
          <t>5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n">
        <v>54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삼천리열망</t>
        </is>
      </c>
      <c r="B52" s="10" t="inlineStr">
        <is>
          <t>'86.07.</t>
        </is>
      </c>
      <c r="C52" s="132" t="n">
        <v>460</v>
      </c>
      <c r="D52" s="130" t="n">
        <v>58.1</v>
      </c>
      <c r="E52" s="131" t="n">
        <v>18</v>
      </c>
      <c r="F52" s="130" t="n">
        <v>43.1</v>
      </c>
      <c r="G52" s="17" t="n">
        <v>13</v>
      </c>
      <c r="H52" s="132" t="n">
        <v>80</v>
      </c>
      <c r="I52" s="133" t="n">
        <v>22000</v>
      </c>
      <c r="J52" s="133" t="inlineStr">
        <is>
          <t>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58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삼천리열망</t>
        </is>
      </c>
      <c r="B53" s="10" t="inlineStr">
        <is>
          <t>'86.07.</t>
        </is>
      </c>
      <c r="C53" s="132" t="n">
        <v>460</v>
      </c>
      <c r="D53" s="130" t="n">
        <v>62.4</v>
      </c>
      <c r="E53" s="131" t="n">
        <v>19</v>
      </c>
      <c r="F53" s="130" t="n">
        <v>46.6</v>
      </c>
      <c r="G53" s="17" t="n">
        <v>14</v>
      </c>
      <c r="H53" s="132" t="n">
        <v>80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62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삼천리열망</t>
        </is>
      </c>
      <c r="B54" s="10" t="inlineStr">
        <is>
          <t>'86.07.</t>
        </is>
      </c>
      <c r="C54" s="132" t="n">
        <v>460</v>
      </c>
      <c r="D54" s="130" t="n">
        <v>65.5</v>
      </c>
      <c r="E54" s="131" t="n">
        <v>20</v>
      </c>
      <c r="F54" s="130" t="n">
        <v>49.3</v>
      </c>
      <c r="G54" s="17" t="n">
        <v>15</v>
      </c>
      <c r="H54" s="132" t="n">
        <v>100</v>
      </c>
      <c r="I54" s="133" t="n">
        <v>27000</v>
      </c>
      <c r="J54" s="133" t="inlineStr">
        <is>
          <t>5</t>
        </is>
      </c>
      <c r="K54" s="133" t="n">
        <v>14000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65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삼천리열망</t>
        </is>
      </c>
      <c r="B55" s="10" t="inlineStr">
        <is>
          <t>'86.07.</t>
        </is>
      </c>
      <c r="C55" s="132" t="n">
        <v>460</v>
      </c>
      <c r="D55" s="130" t="n">
        <v>68.7</v>
      </c>
      <c r="E55" s="131" t="n">
        <v>21</v>
      </c>
      <c r="F55" s="130" t="n">
        <v>51.9</v>
      </c>
      <c r="G55" s="17" t="n">
        <v>16</v>
      </c>
      <c r="H55" s="132" t="n">
        <v>30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68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n"/>
      <c r="B56" s="117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5">
        <f>IF(E56="","",E56)</f>
        <v/>
      </c>
      <c r="AJ56" s="117" t="n"/>
      <c r="AK56" s="117" t="n"/>
      <c r="AL56" s="117" t="n"/>
      <c r="AM56" s="117" t="n"/>
      <c r="AN56" s="117" t="n"/>
      <c r="AO56" s="117" t="n"/>
      <c r="AP56" s="117" t="n"/>
      <c r="AQ56" s="117" t="n"/>
      <c r="AR56" s="117" t="n"/>
      <c r="AS56" s="117" t="n"/>
      <c r="AT56" s="117" t="n"/>
      <c r="AU56" s="117" t="n"/>
      <c r="AV56" s="117" t="n"/>
    </row>
    <row r="57">
      <c r="A57" s="9" t="inlineStr">
        <is>
          <t>인정프린스</t>
        </is>
      </c>
      <c r="B57" s="10" t="inlineStr">
        <is>
          <t>'92.04.</t>
        </is>
      </c>
      <c r="C57" s="132" t="n">
        <v>299</v>
      </c>
      <c r="D57" s="130" t="n">
        <v>85.59999999999999</v>
      </c>
      <c r="E57" s="131" t="n">
        <v>26</v>
      </c>
      <c r="F57" s="130" t="n">
        <v>65.8</v>
      </c>
      <c r="G57" s="17" t="n">
        <v>20</v>
      </c>
      <c r="H57" s="132" t="n">
        <v>22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85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인정프린스</t>
        </is>
      </c>
      <c r="B58" s="10" t="inlineStr">
        <is>
          <t>'92.04.</t>
        </is>
      </c>
      <c r="C58" s="132" t="n">
        <v>299</v>
      </c>
      <c r="D58" s="130" t="n">
        <v>93.7</v>
      </c>
      <c r="E58" s="131" t="n">
        <v>28</v>
      </c>
      <c r="F58" s="130" t="n">
        <v>68.5</v>
      </c>
      <c r="G58" s="17" t="n">
        <v>21</v>
      </c>
      <c r="H58" s="132" t="n">
        <v>31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93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인정프린스</t>
        </is>
      </c>
      <c r="B59" s="10" t="inlineStr">
        <is>
          <t>'92.04.</t>
        </is>
      </c>
      <c r="C59" s="132" t="n">
        <v>299</v>
      </c>
      <c r="D59" s="130" t="n">
        <v>97.90000000000001</v>
      </c>
      <c r="E59" s="131" t="n">
        <v>30</v>
      </c>
      <c r="F59" s="130" t="n">
        <v>75.2</v>
      </c>
      <c r="G59" s="17" t="n">
        <v>23</v>
      </c>
      <c r="H59" s="132" t="n">
        <v>22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97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인정프린스</t>
        </is>
      </c>
      <c r="B60" s="10" t="inlineStr">
        <is>
          <t>'92.04.</t>
        </is>
      </c>
      <c r="C60" s="132" t="n">
        <v>299</v>
      </c>
      <c r="D60" s="130" t="n">
        <v>101.1</v>
      </c>
      <c r="E60" s="131" t="n">
        <v>31</v>
      </c>
      <c r="F60" s="130" t="n">
        <v>76.7</v>
      </c>
      <c r="G60" s="17" t="n">
        <v>23</v>
      </c>
      <c r="H60" s="132" t="n">
        <v>61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101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인정프린스</t>
        </is>
      </c>
      <c r="B61" s="10" t="inlineStr">
        <is>
          <t>'92.04.</t>
        </is>
      </c>
      <c r="C61" s="132" t="n">
        <v>299</v>
      </c>
      <c r="D61" s="130" t="n">
        <v>108.2</v>
      </c>
      <c r="E61" s="131" t="n">
        <v>33</v>
      </c>
      <c r="F61" s="130" t="n">
        <v>84.8</v>
      </c>
      <c r="G61" s="17" t="n">
        <v>26</v>
      </c>
      <c r="H61" s="132" t="n">
        <v>72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108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인정프린스</t>
        </is>
      </c>
      <c r="B62" s="10" t="inlineStr">
        <is>
          <t>'92.04.</t>
        </is>
      </c>
      <c r="C62" s="132" t="n">
        <v>299</v>
      </c>
      <c r="D62" s="130" t="n">
        <v>112.5</v>
      </c>
      <c r="E62" s="131" t="n">
        <v>34</v>
      </c>
      <c r="F62" s="130" t="n">
        <v>84.40000000000001</v>
      </c>
      <c r="G62" s="17" t="n">
        <v>26</v>
      </c>
      <c r="H62" s="132" t="n">
        <v>28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112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인정프린스</t>
        </is>
      </c>
      <c r="B63" s="10" t="inlineStr">
        <is>
          <t>'92.04.</t>
        </is>
      </c>
      <c r="C63" s="132" t="n">
        <v>299</v>
      </c>
      <c r="D63" s="130" t="n">
        <v>131.4</v>
      </c>
      <c r="E63" s="131" t="n">
        <v>40</v>
      </c>
      <c r="F63" s="130" t="n">
        <v>104.6</v>
      </c>
      <c r="G63" s="17" t="n">
        <v>32</v>
      </c>
      <c r="H63" s="132" t="n">
        <v>63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131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동남(55-1)</t>
        </is>
      </c>
      <c r="B65" s="10" t="inlineStr">
        <is>
          <t>'90.07.</t>
        </is>
      </c>
      <c r="C65" s="132" t="n">
        <v>336</v>
      </c>
      <c r="D65" s="130" t="n">
        <v>56.7</v>
      </c>
      <c r="E65" s="131" t="n">
        <v>17</v>
      </c>
      <c r="F65" s="130" t="n">
        <v>43.7</v>
      </c>
      <c r="G65" s="17" t="n">
        <v>13</v>
      </c>
      <c r="H65" s="132" t="n">
        <v>84</v>
      </c>
      <c r="I65" s="133" t="n">
        <v>21000</v>
      </c>
      <c r="J65" s="133" t="inlineStr">
        <is>
          <t>6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56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동남(55-1)</t>
        </is>
      </c>
      <c r="B66" s="10" t="inlineStr">
        <is>
          <t>'90.07.</t>
        </is>
      </c>
      <c r="C66" s="132" t="n">
        <v>336</v>
      </c>
      <c r="D66" s="130" t="n">
        <v>70.59999999999999</v>
      </c>
      <c r="E66" s="131" t="n">
        <v>21</v>
      </c>
      <c r="F66" s="130" t="n">
        <v>55.5</v>
      </c>
      <c r="G66" s="17" t="n">
        <v>17</v>
      </c>
      <c r="H66" s="132" t="n">
        <v>144</v>
      </c>
      <c r="I66" s="133" t="n">
        <v>23000</v>
      </c>
      <c r="J66" s="133" t="inlineStr">
        <is>
          <t>5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동남(55-1)</t>
        </is>
      </c>
      <c r="B67" s="10" t="inlineStr">
        <is>
          <t>'90.07.</t>
        </is>
      </c>
      <c r="C67" s="132" t="n">
        <v>336</v>
      </c>
      <c r="D67" s="130" t="n">
        <v>73.8</v>
      </c>
      <c r="E67" s="131" t="n">
        <v>22</v>
      </c>
      <c r="F67" s="130" t="n">
        <v>58.2</v>
      </c>
      <c r="G67" s="17" t="n">
        <v>18</v>
      </c>
      <c r="H67" s="132" t="n">
        <v>48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73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동남(55-1)</t>
        </is>
      </c>
      <c r="B68" s="10" t="inlineStr">
        <is>
          <t>'90.07.</t>
        </is>
      </c>
      <c r="C68" s="132" t="n">
        <v>336</v>
      </c>
      <c r="D68" s="130" t="n">
        <v>80.3</v>
      </c>
      <c r="E68" s="131" t="n">
        <v>24</v>
      </c>
      <c r="F68" s="130" t="n">
        <v>64</v>
      </c>
      <c r="G68" s="17" t="n">
        <v>19</v>
      </c>
      <c r="H68" s="132" t="n">
        <v>60</v>
      </c>
      <c r="I68" s="133" t="n">
        <v>28000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극동</t>
        </is>
      </c>
      <c r="B70" s="10" t="inlineStr">
        <is>
          <t>'85.07.</t>
        </is>
      </c>
      <c r="C70" s="132" t="n">
        <v>630</v>
      </c>
      <c r="D70" s="130" t="n">
        <v>48.4</v>
      </c>
      <c r="E70" s="131" t="n">
        <v>15</v>
      </c>
      <c r="F70" s="130" t="n">
        <v>38.1</v>
      </c>
      <c r="G70" s="17" t="n">
        <v>12</v>
      </c>
      <c r="H70" s="132" t="n">
        <v>60</v>
      </c>
      <c r="I70" s="133" t="n"/>
      <c r="J70" s="133" t="n"/>
      <c r="K70" s="133" t="n">
        <v>9000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48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극동</t>
        </is>
      </c>
      <c r="B71" s="10" t="inlineStr">
        <is>
          <t>'85.07.</t>
        </is>
      </c>
      <c r="C71" s="132" t="n">
        <v>630</v>
      </c>
      <c r="D71" s="130" t="n">
        <v>64.2</v>
      </c>
      <c r="E71" s="131" t="n">
        <v>19</v>
      </c>
      <c r="F71" s="130" t="n">
        <v>52.5</v>
      </c>
      <c r="G71" s="17" t="n">
        <v>16</v>
      </c>
      <c r="H71" s="132" t="n">
        <v>240</v>
      </c>
      <c r="I71" s="133" t="n">
        <v>33000</v>
      </c>
      <c r="J71" s="133" t="inlineStr">
        <is>
          <t>중</t>
        </is>
      </c>
      <c r="K71" s="133" t="n">
        <v>12000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64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극동</t>
        </is>
      </c>
      <c r="B72" s="10" t="inlineStr">
        <is>
          <t>'85.07.</t>
        </is>
      </c>
      <c r="C72" s="132" t="n">
        <v>630</v>
      </c>
      <c r="D72" s="130" t="n">
        <v>71.09999999999999</v>
      </c>
      <c r="E72" s="131" t="n">
        <v>22</v>
      </c>
      <c r="F72" s="130" t="n">
        <v>57.1</v>
      </c>
      <c r="G72" s="17" t="n">
        <v>17</v>
      </c>
      <c r="H72" s="132" t="n">
        <v>140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71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극동</t>
        </is>
      </c>
      <c r="B73" s="10" t="inlineStr">
        <is>
          <t>'85.07.</t>
        </is>
      </c>
      <c r="C73" s="132" t="n">
        <v>630</v>
      </c>
      <c r="D73" s="130" t="n">
        <v>87.7</v>
      </c>
      <c r="E73" s="131" t="n">
        <v>27</v>
      </c>
      <c r="F73" s="130" t="n">
        <v>72.7</v>
      </c>
      <c r="G73" s="17" t="n">
        <v>22</v>
      </c>
      <c r="H73" s="132" t="n">
        <v>160</v>
      </c>
      <c r="I73" s="133" t="n">
        <v>42000</v>
      </c>
      <c r="J73" s="133" t="inlineStr">
        <is>
          <t>중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87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극동</t>
        </is>
      </c>
      <c r="B74" s="10" t="inlineStr">
        <is>
          <t>'85.07.</t>
        </is>
      </c>
      <c r="C74" s="132" t="n">
        <v>630</v>
      </c>
      <c r="D74" s="130" t="n">
        <v>101.6</v>
      </c>
      <c r="E74" s="131" t="n">
        <v>31</v>
      </c>
      <c r="F74" s="130" t="n">
        <v>85</v>
      </c>
      <c r="G74" s="17" t="n">
        <v>26</v>
      </c>
      <c r="H74" s="132" t="n">
        <v>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4</v>
      </c>
      <c r="R74" s="117" t="n">
        <v>1</v>
      </c>
      <c r="S74" s="117" t="inlineStr">
        <is>
          <t>계</t>
        </is>
      </c>
      <c r="T74" s="5" t="n">
        <v>101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</t>
        </is>
      </c>
      <c r="B76" s="10" t="inlineStr">
        <is>
          <t>'92.01.</t>
        </is>
      </c>
      <c r="C76" s="132" t="n">
        <v>1248</v>
      </c>
      <c r="D76" s="130" t="n">
        <v>87.5</v>
      </c>
      <c r="E76" s="131" t="n">
        <v>26</v>
      </c>
      <c r="F76" s="130" t="n">
        <v>71.2</v>
      </c>
      <c r="G76" s="17" t="n">
        <v>22</v>
      </c>
      <c r="H76" s="132" t="n">
        <v>306</v>
      </c>
      <c r="I76" s="133" t="n">
        <v>37000</v>
      </c>
      <c r="J76" s="133" t="inlineStr">
        <is>
          <t>6</t>
        </is>
      </c>
      <c r="K76" s="133" t="n">
        <v>27000</v>
      </c>
      <c r="L76" s="133" t="inlineStr">
        <is>
          <t>14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87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</t>
        </is>
      </c>
      <c r="B77" s="10" t="inlineStr">
        <is>
          <t>'92.01.</t>
        </is>
      </c>
      <c r="C77" s="132" t="n">
        <v>1248</v>
      </c>
      <c r="D77" s="130" t="n">
        <v>104.5</v>
      </c>
      <c r="E77" s="131" t="n">
        <v>32</v>
      </c>
      <c r="F77" s="130" t="n">
        <v>84.90000000000001</v>
      </c>
      <c r="G77" s="17" t="n">
        <v>26</v>
      </c>
      <c r="H77" s="132" t="n">
        <v>806</v>
      </c>
      <c r="I77" s="133" t="n">
        <v>42000</v>
      </c>
      <c r="J77" s="133" t="inlineStr">
        <is>
          <t>6</t>
        </is>
      </c>
      <c r="K77" s="133" t="n">
        <v>35000</v>
      </c>
      <c r="L77" s="133" t="inlineStr">
        <is>
          <t>고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</t>
        </is>
      </c>
      <c r="B78" s="10" t="inlineStr">
        <is>
          <t>'92.01.</t>
        </is>
      </c>
      <c r="C78" s="132" t="n">
        <v>1248</v>
      </c>
      <c r="D78" s="130" t="n">
        <v>159.5</v>
      </c>
      <c r="E78" s="131" t="n">
        <v>48</v>
      </c>
      <c r="F78" s="130" t="n">
        <v>129.7</v>
      </c>
      <c r="G78" s="17" t="n">
        <v>39</v>
      </c>
      <c r="H78" s="132" t="n">
        <v>136</v>
      </c>
      <c r="I78" s="133" t="n">
        <v>60000</v>
      </c>
      <c r="J78" s="133" t="inlineStr">
        <is>
          <t>12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30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5" t="n"/>
      <c r="P79" s="135" t="n"/>
      <c r="Q79" s="131" t="n"/>
      <c r="R79" s="131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5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은행마을삼보</t>
        </is>
      </c>
      <c r="B80" s="10" t="inlineStr">
        <is>
          <t>'97.07.</t>
        </is>
      </c>
      <c r="C80" s="132" t="n">
        <v>436</v>
      </c>
      <c r="D80" s="130" t="n">
        <v>115.1</v>
      </c>
      <c r="E80" s="131" t="n">
        <v>35</v>
      </c>
      <c r="F80" s="130" t="n">
        <v>90.2</v>
      </c>
      <c r="G80" s="17" t="n">
        <v>27</v>
      </c>
      <c r="H80" s="132" t="n">
        <v>260</v>
      </c>
      <c r="I80" s="133" t="n">
        <v>52500</v>
      </c>
      <c r="J80" s="133" t="inlineStr">
        <is>
          <t>9</t>
        </is>
      </c>
      <c r="K80" s="133" t="n">
        <v>35000</v>
      </c>
      <c r="L80" s="133" t="inlineStr">
        <is>
          <t>11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115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은행마을삼보</t>
        </is>
      </c>
      <c r="B81" s="10" t="inlineStr">
        <is>
          <t>'97.07.</t>
        </is>
      </c>
      <c r="C81" s="132" t="n">
        <v>436</v>
      </c>
      <c r="D81" s="130" t="n">
        <v>128.1</v>
      </c>
      <c r="E81" s="131" t="n">
        <v>39</v>
      </c>
      <c r="F81" s="130" t="n">
        <v>101.9</v>
      </c>
      <c r="G81" s="17" t="n">
        <v>31</v>
      </c>
      <c r="H81" s="132" t="n">
        <v>88</v>
      </c>
      <c r="I81" s="133" t="n">
        <v>58000</v>
      </c>
      <c r="J81" s="133" t="inlineStr">
        <is>
          <t>16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128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은행마을삼보</t>
        </is>
      </c>
      <c r="B82" s="10" t="inlineStr">
        <is>
          <t>'97.07.</t>
        </is>
      </c>
      <c r="C82" s="132" t="n">
        <v>436</v>
      </c>
      <c r="D82" s="130" t="n">
        <v>142.2</v>
      </c>
      <c r="E82" s="131" t="n">
        <v>43</v>
      </c>
      <c r="F82" s="130" t="n">
        <v>114.6</v>
      </c>
      <c r="G82" s="17" t="n">
        <v>35</v>
      </c>
      <c r="H82" s="132" t="n">
        <v>88</v>
      </c>
      <c r="I82" s="133" t="n">
        <v>70000</v>
      </c>
      <c r="J82" s="133" t="inlineStr">
        <is>
          <t>12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142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5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한국</t>
        </is>
      </c>
      <c r="B84" s="10" t="inlineStr">
        <is>
          <t>'91.05.</t>
        </is>
      </c>
      <c r="C84" s="132" t="n">
        <v>416</v>
      </c>
      <c r="D84" s="130" t="n">
        <v>99.09999999999999</v>
      </c>
      <c r="E84" s="131" t="n">
        <v>30</v>
      </c>
      <c r="F84" s="130" t="n">
        <v>82.90000000000001</v>
      </c>
      <c r="G84" s="17" t="n">
        <v>25</v>
      </c>
      <c r="H84" s="132" t="n">
        <v>386</v>
      </c>
      <c r="I84" s="133" t="n">
        <v>40000</v>
      </c>
      <c r="J84" s="133" t="inlineStr">
        <is>
          <t>7</t>
        </is>
      </c>
      <c r="K84" s="133" t="n">
        <v>25000</v>
      </c>
      <c r="L84" s="133" t="inlineStr">
        <is>
          <t>15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inlineStr">
        <is>
          <t>99A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한국</t>
        </is>
      </c>
      <c r="B85" s="10" t="inlineStr">
        <is>
          <t>'91.05.</t>
        </is>
      </c>
      <c r="C85" s="132" t="n">
        <v>416</v>
      </c>
      <c r="D85" s="130" t="n">
        <v>99</v>
      </c>
      <c r="E85" s="131" t="n">
        <v>30</v>
      </c>
      <c r="F85" s="130" t="n">
        <v>83.7</v>
      </c>
      <c r="G85" s="17" t="n">
        <v>25</v>
      </c>
      <c r="H85" s="132" t="n">
        <v>30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inlineStr">
        <is>
          <t>99B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은행마을태산</t>
        </is>
      </c>
      <c r="B87" s="10" t="inlineStr">
        <is>
          <t>'97.08.</t>
        </is>
      </c>
      <c r="C87" s="132" t="n">
        <v>544</v>
      </c>
      <c r="D87" s="130" t="n">
        <v>125.5</v>
      </c>
      <c r="E87" s="131" t="n">
        <v>38</v>
      </c>
      <c r="F87" s="130" t="n">
        <v>100.6</v>
      </c>
      <c r="G87" s="17" t="n">
        <v>30</v>
      </c>
      <c r="H87" s="132" t="n">
        <v>544</v>
      </c>
      <c r="I87" s="133" t="n">
        <v>53000</v>
      </c>
      <c r="J87" s="133" t="inlineStr">
        <is>
          <t>6</t>
        </is>
      </c>
      <c r="K87" s="133" t="n">
        <v>36000</v>
      </c>
      <c r="L87" s="133" t="inlineStr">
        <is>
          <t>5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삼보1,2차</t>
        </is>
      </c>
      <c r="B89" s="10" t="inlineStr">
        <is>
          <t>'87.10.</t>
        </is>
      </c>
      <c r="C89" s="132" t="n">
        <v>474</v>
      </c>
      <c r="D89" s="130" t="n">
        <v>51.6</v>
      </c>
      <c r="E89" s="131" t="n">
        <v>16</v>
      </c>
      <c r="F89" s="130" t="n">
        <v>40.6</v>
      </c>
      <c r="G89" s="17" t="n">
        <v>12</v>
      </c>
      <c r="H89" s="132" t="n">
        <v>360</v>
      </c>
      <c r="I89" s="133" t="n">
        <v>18000</v>
      </c>
      <c r="J89" s="133" t="inlineStr">
        <is>
          <t>6</t>
        </is>
      </c>
      <c r="K89" s="133" t="n">
        <v>10000</v>
      </c>
      <c r="L89" s="133" t="inlineStr">
        <is>
          <t>6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51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삼보1,2차</t>
        </is>
      </c>
      <c r="B90" s="10" t="inlineStr">
        <is>
          <t>'87.10.</t>
        </is>
      </c>
      <c r="C90" s="132" t="n">
        <v>474</v>
      </c>
      <c r="D90" s="130" t="n">
        <v>61.6</v>
      </c>
      <c r="E90" s="131" t="n">
        <v>19</v>
      </c>
      <c r="F90" s="130" t="n">
        <v>49.6</v>
      </c>
      <c r="G90" s="17" t="n">
        <v>15</v>
      </c>
      <c r="H90" s="132" t="n">
        <v>72</v>
      </c>
      <c r="I90" s="133" t="n">
        <v>25000</v>
      </c>
      <c r="J90" s="133" t="inlineStr">
        <is>
          <t>5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61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삼보1,2차</t>
        </is>
      </c>
      <c r="B91" s="10" t="inlineStr">
        <is>
          <t>'87.10.</t>
        </is>
      </c>
      <c r="C91" s="132" t="n">
        <v>474</v>
      </c>
      <c r="D91" s="130" t="n">
        <v>71.59999999999999</v>
      </c>
      <c r="E91" s="131" t="n">
        <v>22</v>
      </c>
      <c r="F91" s="130" t="n">
        <v>58.2</v>
      </c>
      <c r="G91" s="17" t="n">
        <v>18</v>
      </c>
      <c r="H91" s="132" t="n">
        <v>36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71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삼보1,2차</t>
        </is>
      </c>
      <c r="B92" s="10" t="inlineStr">
        <is>
          <t>'87.10.</t>
        </is>
      </c>
      <c r="C92" s="132" t="n">
        <v>474</v>
      </c>
      <c r="D92" s="130" t="n">
        <v>85.90000000000001</v>
      </c>
      <c r="E92" s="131" t="n">
        <v>26</v>
      </c>
      <c r="F92" s="130" t="n">
        <v>66.3</v>
      </c>
      <c r="G92" s="17" t="n">
        <v>20</v>
      </c>
      <c r="H92" s="132" t="n">
        <v>6</v>
      </c>
      <c r="I92" s="133" t="n">
        <v>30500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85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삼환1차</t>
        </is>
      </c>
      <c r="B94" s="10" t="inlineStr">
        <is>
          <t>'89.12.</t>
        </is>
      </c>
      <c r="C94" s="132" t="n">
        <v>276</v>
      </c>
      <c r="D94" s="130" t="n">
        <v>70.40000000000001</v>
      </c>
      <c r="E94" s="131" t="n">
        <v>21</v>
      </c>
      <c r="F94" s="130" t="n">
        <v>57.8</v>
      </c>
      <c r="G94" s="17" t="n">
        <v>17</v>
      </c>
      <c r="H94" s="132" t="n">
        <v>84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2</v>
      </c>
      <c r="R94" s="117" t="n">
        <v>1</v>
      </c>
      <c r="S94" s="117" t="inlineStr">
        <is>
          <t>계</t>
        </is>
      </c>
      <c r="T94" s="5" t="n">
        <v>70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삼환1차</t>
        </is>
      </c>
      <c r="B95" s="10" t="inlineStr">
        <is>
          <t>'89.12.</t>
        </is>
      </c>
      <c r="C95" s="132" t="n">
        <v>276</v>
      </c>
      <c r="D95" s="130" t="n">
        <v>79.2</v>
      </c>
      <c r="E95" s="131" t="n">
        <v>24</v>
      </c>
      <c r="F95" s="130" t="n">
        <v>65.90000000000001</v>
      </c>
      <c r="G95" s="17" t="n">
        <v>20</v>
      </c>
      <c r="H95" s="132" t="n">
        <v>84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79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삼환1차</t>
        </is>
      </c>
      <c r="B96" s="10" t="inlineStr">
        <is>
          <t>'89.12.</t>
        </is>
      </c>
      <c r="C96" s="132" t="n">
        <v>276</v>
      </c>
      <c r="D96" s="130" t="n">
        <v>87.8</v>
      </c>
      <c r="E96" s="131" t="n">
        <v>27</v>
      </c>
      <c r="F96" s="130" t="n">
        <v>73.5</v>
      </c>
      <c r="G96" s="17" t="n">
        <v>22</v>
      </c>
      <c r="H96" s="132" t="n">
        <v>108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87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30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5" t="n"/>
      <c r="P97" s="135" t="n"/>
      <c r="Q97" s="131" t="n"/>
      <c r="R97" s="131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55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팬더1,2차</t>
        </is>
      </c>
      <c r="B98" s="10" t="inlineStr">
        <is>
          <t>'89.09.</t>
        </is>
      </c>
      <c r="C98" s="132" t="n">
        <v>504</v>
      </c>
      <c r="D98" s="130" t="n">
        <v>53.7</v>
      </c>
      <c r="E98" s="131" t="n">
        <v>16</v>
      </c>
      <c r="F98" s="130" t="n">
        <v>40.8</v>
      </c>
      <c r="G98" s="17" t="n">
        <v>12</v>
      </c>
      <c r="H98" s="132" t="n">
        <v>204</v>
      </c>
      <c r="I98" s="133" t="n">
        <v>25500</v>
      </c>
      <c r="J98" s="133" t="inlineStr">
        <is>
          <t>6</t>
        </is>
      </c>
      <c r="K98" s="133" t="n">
        <v>11000</v>
      </c>
      <c r="L98" s="133" t="inlineStr">
        <is>
          <t>5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계</t>
        </is>
      </c>
      <c r="T98" s="5" t="inlineStr">
        <is>
          <t>53A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팬더1,2차</t>
        </is>
      </c>
      <c r="B99" s="10" t="inlineStr">
        <is>
          <t>'89.09.</t>
        </is>
      </c>
      <c r="C99" s="132" t="n">
        <v>504</v>
      </c>
      <c r="D99" s="130" t="n">
        <v>54.2</v>
      </c>
      <c r="E99" s="131" t="n">
        <v>16</v>
      </c>
      <c r="F99" s="130" t="n">
        <v>41.2</v>
      </c>
      <c r="G99" s="17" t="n">
        <v>12</v>
      </c>
      <c r="H99" s="132" t="n">
        <v>6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계</t>
        </is>
      </c>
      <c r="T99" s="5" t="inlineStr">
        <is>
          <t>54B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팬더1,2차</t>
        </is>
      </c>
      <c r="B100" s="10" t="inlineStr">
        <is>
          <t>'89.09.</t>
        </is>
      </c>
      <c r="C100" s="132" t="n">
        <v>504</v>
      </c>
      <c r="D100" s="130" t="n">
        <v>63.5</v>
      </c>
      <c r="E100" s="131" t="n">
        <v>19</v>
      </c>
      <c r="F100" s="130" t="n">
        <v>49.1</v>
      </c>
      <c r="G100" s="17" t="n">
        <v>15</v>
      </c>
      <c r="H100" s="132" t="n">
        <v>150</v>
      </c>
      <c r="I100" s="133" t="n">
        <v>19000</v>
      </c>
      <c r="J100" s="133" t="inlineStr">
        <is>
          <t>6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63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팬더1,2차</t>
        </is>
      </c>
      <c r="B101" s="10" t="inlineStr">
        <is>
          <t>'89.09.</t>
        </is>
      </c>
      <c r="C101" s="132" t="n">
        <v>504</v>
      </c>
      <c r="D101" s="130" t="n">
        <v>69</v>
      </c>
      <c r="E101" s="131" t="n">
        <v>21</v>
      </c>
      <c r="F101" s="130" t="n">
        <v>53.9</v>
      </c>
      <c r="G101" s="17" t="n">
        <v>16</v>
      </c>
      <c r="H101" s="132" t="n">
        <v>36</v>
      </c>
      <c r="I101" s="133" t="n">
        <v>24000</v>
      </c>
      <c r="J101" s="133" t="inlineStr">
        <is>
          <t>5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69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팬더1,2차</t>
        </is>
      </c>
      <c r="B102" s="10" t="inlineStr">
        <is>
          <t>'89.09.</t>
        </is>
      </c>
      <c r="C102" s="132" t="n">
        <v>504</v>
      </c>
      <c r="D102" s="130" t="n">
        <v>72.2</v>
      </c>
      <c r="E102" s="131" t="n">
        <v>22</v>
      </c>
      <c r="F102" s="130" t="n">
        <v>51.5</v>
      </c>
      <c r="G102" s="17" t="n">
        <v>16</v>
      </c>
      <c r="H102" s="132" t="n">
        <v>6</v>
      </c>
      <c r="I102" s="133" t="n">
        <v>23000</v>
      </c>
      <c r="J102" s="133" t="inlineStr">
        <is>
          <t>5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1</v>
      </c>
      <c r="S102" s="117" t="inlineStr">
        <is>
          <t>계</t>
        </is>
      </c>
      <c r="T102" s="5" t="inlineStr">
        <is>
          <t>72A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팬더1,2차</t>
        </is>
      </c>
      <c r="B103" s="10" t="inlineStr">
        <is>
          <t>'89.09.</t>
        </is>
      </c>
      <c r="C103" s="132" t="n">
        <v>504</v>
      </c>
      <c r="D103" s="130" t="n">
        <v>74.3</v>
      </c>
      <c r="E103" s="131" t="n">
        <v>22</v>
      </c>
      <c r="F103" s="130" t="n">
        <v>58.4</v>
      </c>
      <c r="G103" s="17" t="n">
        <v>18</v>
      </c>
      <c r="H103" s="132" t="n">
        <v>60</v>
      </c>
      <c r="I103" s="133" t="n">
        <v>27500</v>
      </c>
      <c r="J103" s="133" t="inlineStr">
        <is>
          <t>5</t>
        </is>
      </c>
      <c r="K103" s="133" t="n">
        <v>17000</v>
      </c>
      <c r="L103" s="133" t="inlineStr">
        <is>
          <t>5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inlineStr">
        <is>
          <t>74B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팬더1,2차</t>
        </is>
      </c>
      <c r="B104" s="10" t="inlineStr">
        <is>
          <t>'89.09.</t>
        </is>
      </c>
      <c r="C104" s="132" t="n">
        <v>504</v>
      </c>
      <c r="D104" s="130" t="n">
        <v>75.7</v>
      </c>
      <c r="E104" s="131" t="n">
        <v>23</v>
      </c>
      <c r="F104" s="130" t="n">
        <v>59.6</v>
      </c>
      <c r="G104" s="17" t="n">
        <v>18</v>
      </c>
      <c r="H104" s="132" t="n">
        <v>36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팬더1,2차</t>
        </is>
      </c>
      <c r="B105" s="10" t="inlineStr">
        <is>
          <t>'89.09.</t>
        </is>
      </c>
      <c r="C105" s="132" t="n">
        <v>504</v>
      </c>
      <c r="D105" s="130" t="n">
        <v>78.09999999999999</v>
      </c>
      <c r="E105" s="131" t="n">
        <v>24</v>
      </c>
      <c r="F105" s="130" t="n">
        <v>56.5</v>
      </c>
      <c r="G105" s="17" t="n">
        <v>17</v>
      </c>
      <c r="H105" s="132" t="n">
        <v>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계</t>
        </is>
      </c>
      <c r="T105" s="5" t="n">
        <v>78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하나</t>
        </is>
      </c>
      <c r="B107" s="10" t="inlineStr">
        <is>
          <t>'87.08.</t>
        </is>
      </c>
      <c r="C107" s="132" t="n">
        <v>994</v>
      </c>
      <c r="D107" s="130" t="n">
        <v>47</v>
      </c>
      <c r="E107" s="131" t="n">
        <v>14</v>
      </c>
      <c r="F107" s="130" t="n">
        <v>37.2</v>
      </c>
      <c r="G107" s="17" t="n">
        <v>11</v>
      </c>
      <c r="H107" s="132" t="n">
        <v>289</v>
      </c>
      <c r="I107" s="133" t="n">
        <v>23000</v>
      </c>
      <c r="J107" s="133" t="inlineStr">
        <is>
          <t>6</t>
        </is>
      </c>
      <c r="K107" s="133" t="n">
        <v>10000</v>
      </c>
      <c r="L107" s="133" t="inlineStr">
        <is>
          <t>6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계</t>
        </is>
      </c>
      <c r="T107" s="5" t="n">
        <v>46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하나</t>
        </is>
      </c>
      <c r="B108" s="10" t="inlineStr">
        <is>
          <t>'87.08.</t>
        </is>
      </c>
      <c r="C108" s="132" t="n">
        <v>994</v>
      </c>
      <c r="D108" s="130" t="n">
        <v>50.5</v>
      </c>
      <c r="E108" s="131" t="n">
        <v>15</v>
      </c>
      <c r="F108" s="130" t="n">
        <v>40</v>
      </c>
      <c r="G108" s="17" t="n">
        <v>12</v>
      </c>
      <c r="H108" s="132" t="n">
        <v>549</v>
      </c>
      <c r="I108" s="133" t="n">
        <v>22000</v>
      </c>
      <c r="J108" s="133" t="inlineStr">
        <is>
          <t>5</t>
        </is>
      </c>
      <c r="K108" s="133" t="n">
        <v>10000</v>
      </c>
      <c r="L108" s="133" t="inlineStr">
        <is>
          <t>6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50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하나</t>
        </is>
      </c>
      <c r="B109" s="10" t="inlineStr">
        <is>
          <t>'87.08.</t>
        </is>
      </c>
      <c r="C109" s="132" t="n">
        <v>994</v>
      </c>
      <c r="D109" s="130" t="n">
        <v>53.4</v>
      </c>
      <c r="E109" s="131" t="n">
        <v>16</v>
      </c>
      <c r="F109" s="130" t="n">
        <v>42.8</v>
      </c>
      <c r="G109" s="17" t="n">
        <v>13</v>
      </c>
      <c r="H109" s="132" t="n">
        <v>48</v>
      </c>
      <c r="I109" s="133" t="n"/>
      <c r="J109" s="133" t="n"/>
      <c r="K109" s="133" t="n">
        <v>11000</v>
      </c>
      <c r="L109" s="133" t="inlineStr">
        <is>
          <t>6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하나</t>
        </is>
      </c>
      <c r="B110" s="10" t="inlineStr">
        <is>
          <t>'87.08.</t>
        </is>
      </c>
      <c r="C110" s="132" t="n">
        <v>994</v>
      </c>
      <c r="D110" s="130" t="n">
        <v>62.2</v>
      </c>
      <c r="E110" s="131" t="n">
        <v>19</v>
      </c>
      <c r="F110" s="130" t="n">
        <v>51.1</v>
      </c>
      <c r="G110" s="17" t="n">
        <v>15</v>
      </c>
      <c r="H110" s="132" t="n">
        <v>108</v>
      </c>
      <c r="I110" s="133" t="n">
        <v>28000</v>
      </c>
      <c r="J110" s="133" t="inlineStr">
        <is>
          <t>6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2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n"/>
      <c r="B111" s="117" t="n"/>
      <c r="C111" s="6" t="n"/>
      <c r="D111" s="9" t="n"/>
      <c r="E111" s="14" t="n"/>
      <c r="F111" s="130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5" t="n"/>
      <c r="P111" s="135" t="n"/>
      <c r="Q111" s="131" t="n"/>
      <c r="R111" s="131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55">
        <f>IF(E111="","",E111)</f>
        <v/>
      </c>
      <c r="AJ111" s="117" t="n"/>
      <c r="AK111" s="117" t="n"/>
      <c r="AL111" s="117" t="n"/>
      <c r="AM111" s="117" t="n"/>
      <c r="AN111" s="117" t="n"/>
      <c r="AO111" s="117" t="n"/>
      <c r="AP111" s="117" t="n"/>
      <c r="AQ111" s="117" t="n"/>
      <c r="AR111" s="117" t="n"/>
      <c r="AS111" s="117" t="n"/>
      <c r="AT111" s="117" t="n"/>
      <c r="AU111" s="117" t="n"/>
      <c r="AV111" s="117" t="n"/>
    </row>
    <row r="112">
      <c r="A112" s="9" t="inlineStr">
        <is>
          <t>서해그린3차</t>
        </is>
      </c>
      <c r="B112" s="10" t="inlineStr">
        <is>
          <t>'91.08.</t>
        </is>
      </c>
      <c r="C112" s="132" t="n">
        <v>498</v>
      </c>
      <c r="D112" s="130" t="n">
        <v>76.8</v>
      </c>
      <c r="E112" s="131" t="n">
        <v>23</v>
      </c>
      <c r="F112" s="130" t="n">
        <v>58.3</v>
      </c>
      <c r="G112" s="17" t="n">
        <v>18</v>
      </c>
      <c r="H112" s="132" t="n">
        <v>204</v>
      </c>
      <c r="I112" s="133" t="n">
        <v>22000</v>
      </c>
      <c r="J112" s="133" t="inlineStr">
        <is>
          <t>5</t>
        </is>
      </c>
      <c r="K112" s="133" t="n">
        <v>16000</v>
      </c>
      <c r="L112" s="133" t="inlineStr">
        <is>
          <t>5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계</t>
        </is>
      </c>
      <c r="T112" s="5" t="n">
        <v>76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서해그린3차</t>
        </is>
      </c>
      <c r="B113" s="10" t="inlineStr">
        <is>
          <t>'91.08.</t>
        </is>
      </c>
      <c r="C113" s="132" t="n">
        <v>498</v>
      </c>
      <c r="D113" s="130" t="n">
        <v>79.7</v>
      </c>
      <c r="E113" s="131" t="n">
        <v>24</v>
      </c>
      <c r="F113" s="130" t="n">
        <v>60</v>
      </c>
      <c r="G113" s="17" t="n">
        <v>18</v>
      </c>
      <c r="H113" s="132" t="n">
        <v>252</v>
      </c>
      <c r="I113" s="133" t="n">
        <v>21000</v>
      </c>
      <c r="J113" s="133" t="inlineStr">
        <is>
          <t>5</t>
        </is>
      </c>
      <c r="K113" s="133" t="n">
        <v>14000</v>
      </c>
      <c r="L113" s="133" t="inlineStr">
        <is>
          <t>6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79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서해그린3차</t>
        </is>
      </c>
      <c r="B114" s="10" t="inlineStr">
        <is>
          <t>'91.08.</t>
        </is>
      </c>
      <c r="C114" s="132" t="n">
        <v>498</v>
      </c>
      <c r="D114" s="130" t="n">
        <v>87.09999999999999</v>
      </c>
      <c r="E114" s="131" t="n">
        <v>26</v>
      </c>
      <c r="F114" s="130" t="n">
        <v>60</v>
      </c>
      <c r="G114" s="17" t="n">
        <v>18</v>
      </c>
      <c r="H114" s="132" t="n">
        <v>6</v>
      </c>
      <c r="I114" s="133" t="n">
        <v>25000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서해그린3차</t>
        </is>
      </c>
      <c r="B115" s="10" t="inlineStr">
        <is>
          <t>'91.08.</t>
        </is>
      </c>
      <c r="C115" s="132" t="n">
        <v>498</v>
      </c>
      <c r="D115" s="130" t="n">
        <v>100.6</v>
      </c>
      <c r="E115" s="131" t="n">
        <v>30</v>
      </c>
      <c r="F115" s="130" t="n">
        <v>78.3</v>
      </c>
      <c r="G115" s="17" t="n">
        <v>24</v>
      </c>
      <c r="H115" s="132" t="n">
        <v>12</v>
      </c>
      <c r="I115" s="133" t="n">
        <v>30000</v>
      </c>
      <c r="J115" s="133" t="inlineStr">
        <is>
          <t>고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100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서해그린3차</t>
        </is>
      </c>
      <c r="B116" s="10" t="inlineStr">
        <is>
          <t>'91.08.</t>
        </is>
      </c>
      <c r="C116" s="132" t="n">
        <v>498</v>
      </c>
      <c r="D116" s="130" t="n">
        <v>102.8</v>
      </c>
      <c r="E116" s="131" t="n">
        <v>31</v>
      </c>
      <c r="F116" s="130" t="n">
        <v>81.59999999999999</v>
      </c>
      <c r="G116" s="17" t="n">
        <v>25</v>
      </c>
      <c r="H116" s="132" t="n">
        <v>24</v>
      </c>
      <c r="I116" s="133" t="n">
        <v>30000</v>
      </c>
      <c r="J116" s="133" t="inlineStr">
        <is>
          <t>6</t>
        </is>
      </c>
      <c r="K116" s="133" t="n">
        <v>30000</v>
      </c>
      <c r="L116" s="133" t="inlineStr">
        <is>
          <t>6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1</v>
      </c>
      <c r="S116" s="117" t="inlineStr">
        <is>
          <t>계</t>
        </is>
      </c>
      <c r="T116" s="5" t="n">
        <v>102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30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5" t="n"/>
      <c r="P117" s="135" t="n"/>
      <c r="Q117" s="131" t="n"/>
      <c r="R117" s="131" t="n"/>
      <c r="S117" s="9" t="n"/>
      <c r="T117" s="48" t="n"/>
      <c r="U117" s="9" t="n"/>
      <c r="W117" s="69">
        <f>$A$4&amp;" "&amp;A118&amp;"("&amp;B118&amp;","&amp;C118&amp;"^)"</f>
        <v/>
      </c>
      <c r="X117" s="70" t="n"/>
      <c r="Y117" s="70" t="n"/>
      <c r="Z117" s="70" t="n"/>
      <c r="AA117" s="70" t="n"/>
      <c r="AB117" s="70" t="n"/>
      <c r="AC117" s="70" t="n"/>
      <c r="AD117" s="70" t="n"/>
      <c r="AE117" s="70" t="n"/>
      <c r="AF117" s="71" t="n"/>
      <c r="AH117" s="20">
        <f>IF(A117="","",A117)</f>
        <v/>
      </c>
      <c r="AI117" s="155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은행마을아주</t>
        </is>
      </c>
      <c r="B118" s="10" t="inlineStr">
        <is>
          <t>'97.07.</t>
        </is>
      </c>
      <c r="C118" s="132" t="n">
        <v>612</v>
      </c>
      <c r="D118" s="130" t="n">
        <v>76.8</v>
      </c>
      <c r="E118" s="131" t="n">
        <v>23</v>
      </c>
      <c r="F118" s="130" t="n">
        <v>60.3</v>
      </c>
      <c r="G118" s="17" t="n">
        <v>18</v>
      </c>
      <c r="H118" s="132" t="n">
        <v>144</v>
      </c>
      <c r="I118" s="133" t="n">
        <v>38500</v>
      </c>
      <c r="J118" s="133" t="inlineStr">
        <is>
          <t>13</t>
        </is>
      </c>
      <c r="K118" s="133" t="n">
        <v>30000</v>
      </c>
      <c r="L118" s="133" t="inlineStr">
        <is>
          <t>14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76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은행마을아주</t>
        </is>
      </c>
      <c r="B119" s="10" t="inlineStr">
        <is>
          <t>'97.07.</t>
        </is>
      </c>
      <c r="C119" s="132" t="n">
        <v>612</v>
      </c>
      <c r="D119" s="130" t="n">
        <v>79.09999999999999</v>
      </c>
      <c r="E119" s="131" t="n">
        <v>24</v>
      </c>
      <c r="F119" s="130" t="n">
        <v>62.2</v>
      </c>
      <c r="G119" s="17" t="n">
        <v>19</v>
      </c>
      <c r="H119" s="132" t="n">
        <v>22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79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은행마을아주</t>
        </is>
      </c>
      <c r="B120" s="10" t="inlineStr">
        <is>
          <t>'97.07.</t>
        </is>
      </c>
      <c r="C120" s="132" t="n">
        <v>612</v>
      </c>
      <c r="D120" s="130" t="n">
        <v>93.2</v>
      </c>
      <c r="E120" s="131" t="n">
        <v>28</v>
      </c>
      <c r="F120" s="130" t="n">
        <v>73.2</v>
      </c>
      <c r="G120" s="17" t="n">
        <v>22</v>
      </c>
      <c r="H120" s="132" t="n">
        <v>446</v>
      </c>
      <c r="I120" s="133" t="n">
        <v>39000</v>
      </c>
      <c r="J120" s="133" t="inlineStr">
        <is>
          <t>16</t>
        </is>
      </c>
      <c r="K120" s="133" t="n">
        <v>34000</v>
      </c>
      <c r="L120" s="133" t="inlineStr">
        <is>
          <t>18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93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n"/>
      <c r="B121" s="117" t="n"/>
      <c r="C121" s="6" t="n"/>
      <c r="D121" s="9" t="n"/>
      <c r="E121" s="14" t="n"/>
      <c r="F121" s="130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5" t="n"/>
      <c r="P121" s="135" t="n"/>
      <c r="Q121" s="131" t="n"/>
      <c r="R121" s="131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55">
        <f>IF(E121="","",E121)</f>
        <v/>
      </c>
      <c r="AJ121" s="117" t="n"/>
      <c r="AK121" s="117" t="n"/>
      <c r="AL121" s="117" t="n"/>
      <c r="AM121" s="117" t="n"/>
      <c r="AN121" s="117" t="n"/>
      <c r="AO121" s="117" t="n"/>
      <c r="AP121" s="117" t="n"/>
      <c r="AQ121" s="117" t="n"/>
      <c r="AR121" s="117" t="n"/>
      <c r="AS121" s="117" t="n"/>
      <c r="AT121" s="117" t="n"/>
      <c r="AU121" s="117" t="n"/>
      <c r="AV121" s="117" t="n"/>
    </row>
    <row r="122">
      <c r="A122" s="9" t="inlineStr">
        <is>
          <t>계산주공</t>
        </is>
      </c>
      <c r="B122" s="10" t="inlineStr">
        <is>
          <t>'90.06.</t>
        </is>
      </c>
      <c r="C122" s="132" t="n">
        <v>1140</v>
      </c>
      <c r="D122" s="130" t="n">
        <v>52.6</v>
      </c>
      <c r="E122" s="131" t="n">
        <v>16</v>
      </c>
      <c r="F122" s="130" t="n">
        <v>36.2</v>
      </c>
      <c r="G122" s="17" t="n">
        <v>11</v>
      </c>
      <c r="H122" s="132" t="n">
        <v>300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2</v>
      </c>
      <c r="R122" s="117" t="n">
        <v>1</v>
      </c>
      <c r="S122" s="117" t="inlineStr">
        <is>
          <t>복</t>
        </is>
      </c>
      <c r="T122" s="5" t="inlineStr">
        <is>
          <t>52A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계산주공</t>
        </is>
      </c>
      <c r="B123" s="10" t="inlineStr">
        <is>
          <t>'90.06.</t>
        </is>
      </c>
      <c r="C123" s="132" t="n">
        <v>1140</v>
      </c>
      <c r="D123" s="130" t="n">
        <v>52.8</v>
      </c>
      <c r="E123" s="131" t="n">
        <v>16</v>
      </c>
      <c r="F123" s="130" t="n">
        <v>36.3</v>
      </c>
      <c r="G123" s="17" t="n">
        <v>11</v>
      </c>
      <c r="H123" s="132" t="n">
        <v>60</v>
      </c>
      <c r="I123" s="133" t="n">
        <v>24200</v>
      </c>
      <c r="J123" s="133" t="inlineStr">
        <is>
          <t>11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inlineStr">
        <is>
          <t>52B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계산주공</t>
        </is>
      </c>
      <c r="B124" s="10" t="inlineStr">
        <is>
          <t>'90.06.</t>
        </is>
      </c>
      <c r="C124" s="132" t="n">
        <v>1140</v>
      </c>
      <c r="D124" s="130" t="n">
        <v>57.2</v>
      </c>
      <c r="E124" s="131" t="n">
        <v>17</v>
      </c>
      <c r="F124" s="130" t="n">
        <v>41.3</v>
      </c>
      <c r="G124" s="17" t="n">
        <v>12</v>
      </c>
      <c r="H124" s="132" t="n">
        <v>180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2</v>
      </c>
      <c r="R124" s="117" t="n">
        <v>1</v>
      </c>
      <c r="S124" s="117" t="inlineStr">
        <is>
          <t>복</t>
        </is>
      </c>
      <c r="T124" s="5" t="inlineStr">
        <is>
          <t>57A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inlineStr">
        <is>
          <t>계산주공</t>
        </is>
      </c>
      <c r="B125" s="10" t="inlineStr">
        <is>
          <t>'90.06.</t>
        </is>
      </c>
      <c r="C125" s="132" t="n">
        <v>1140</v>
      </c>
      <c r="D125" s="130" t="n">
        <v>57.2</v>
      </c>
      <c r="E125" s="131" t="n">
        <v>17</v>
      </c>
      <c r="F125" s="130" t="n">
        <v>41.3</v>
      </c>
      <c r="G125" s="17" t="n">
        <v>12</v>
      </c>
      <c r="H125" s="132" t="n">
        <v>90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2</v>
      </c>
      <c r="R125" s="117" t="n">
        <v>1</v>
      </c>
      <c r="S125" s="117" t="inlineStr">
        <is>
          <t>복</t>
        </is>
      </c>
      <c r="T125" s="5" t="inlineStr">
        <is>
          <t>57B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계산주공</t>
        </is>
      </c>
      <c r="B126" s="10" t="inlineStr">
        <is>
          <t>'90.06.</t>
        </is>
      </c>
      <c r="C126" s="132" t="n">
        <v>1140</v>
      </c>
      <c r="D126" s="130" t="n">
        <v>60.3</v>
      </c>
      <c r="E126" s="131" t="n">
        <v>18</v>
      </c>
      <c r="F126" s="130" t="n">
        <v>41.3</v>
      </c>
      <c r="G126" s="17" t="n">
        <v>12</v>
      </c>
      <c r="H126" s="132" t="n">
        <v>60</v>
      </c>
      <c r="I126" s="133" t="n">
        <v>29000</v>
      </c>
      <c r="J126" s="133" t="inlineStr">
        <is>
          <t>10</t>
        </is>
      </c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60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계산주공</t>
        </is>
      </c>
      <c r="B127" s="10" t="inlineStr">
        <is>
          <t>'90.06.</t>
        </is>
      </c>
      <c r="C127" s="132" t="n">
        <v>1140</v>
      </c>
      <c r="D127" s="130" t="n">
        <v>69.09999999999999</v>
      </c>
      <c r="E127" s="131" t="n">
        <v>21</v>
      </c>
      <c r="F127" s="130" t="n">
        <v>49.9</v>
      </c>
      <c r="G127" s="17" t="n">
        <v>15</v>
      </c>
      <c r="H127" s="132" t="n">
        <v>270</v>
      </c>
      <c r="I127" s="133" t="n">
        <v>33000</v>
      </c>
      <c r="J127" s="133" t="inlineStr">
        <is>
          <t>15</t>
        </is>
      </c>
      <c r="K127" s="133" t="n">
        <v>25000</v>
      </c>
      <c r="L127" s="133" t="inlineStr">
        <is>
          <t>중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2</v>
      </c>
      <c r="R127" s="117" t="n">
        <v>1</v>
      </c>
      <c r="S127" s="117" t="inlineStr">
        <is>
          <t>복</t>
        </is>
      </c>
      <c r="T127" s="5" t="n">
        <v>69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계산주공</t>
        </is>
      </c>
      <c r="B128" s="10" t="inlineStr">
        <is>
          <t>'90.06.</t>
        </is>
      </c>
      <c r="C128" s="132" t="n">
        <v>1140</v>
      </c>
      <c r="D128" s="130" t="n">
        <v>73</v>
      </c>
      <c r="E128" s="131" t="n">
        <v>22</v>
      </c>
      <c r="F128" s="130" t="n">
        <v>49.9</v>
      </c>
      <c r="G128" s="17" t="n">
        <v>15</v>
      </c>
      <c r="H128" s="132" t="n">
        <v>180</v>
      </c>
      <c r="I128" s="133" t="n">
        <v>35500</v>
      </c>
      <c r="J128" s="133" t="inlineStr">
        <is>
          <t>8</t>
        </is>
      </c>
      <c r="K128" s="133" t="n">
        <v>21500</v>
      </c>
      <c r="L128" s="133" t="inlineStr">
        <is>
          <t>11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2</v>
      </c>
      <c r="R128" s="117" t="n">
        <v>1</v>
      </c>
      <c r="S128" s="117" t="inlineStr">
        <is>
          <t>복</t>
        </is>
      </c>
      <c r="T128" s="5" t="n">
        <v>72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n"/>
      <c r="B129" s="117" t="n"/>
      <c r="C129" s="6" t="n"/>
      <c r="D129" s="9" t="n"/>
      <c r="E129" s="14" t="n"/>
      <c r="F129" s="130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5" t="n"/>
      <c r="P129" s="135" t="n"/>
      <c r="Q129" s="131" t="n"/>
      <c r="R129" s="131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55">
        <f>IF(E129="","",E129)</f>
        <v/>
      </c>
      <c r="AJ129" s="117" t="n"/>
      <c r="AK129" s="117" t="n"/>
      <c r="AL129" s="117" t="n"/>
      <c r="AM129" s="117" t="n"/>
      <c r="AN129" s="117" t="n"/>
      <c r="AO129" s="117" t="n"/>
      <c r="AP129" s="117" t="n"/>
      <c r="AQ129" s="117" t="n"/>
      <c r="AR129" s="117" t="n"/>
      <c r="AS129" s="117" t="n"/>
      <c r="AT129" s="117" t="n"/>
      <c r="AU129" s="117" t="n"/>
      <c r="AV129" s="117" t="n"/>
    </row>
    <row r="130">
      <c r="A130" s="9" t="inlineStr">
        <is>
          <t>은행마을강북</t>
        </is>
      </c>
      <c r="B130" s="10" t="inlineStr">
        <is>
          <t>'97.07.</t>
        </is>
      </c>
      <c r="C130" s="132" t="n">
        <v>216</v>
      </c>
      <c r="D130" s="130" t="n">
        <v>117.8</v>
      </c>
      <c r="E130" s="131" t="n">
        <v>36</v>
      </c>
      <c r="F130" s="130" t="n">
        <v>102.5</v>
      </c>
      <c r="G130" s="17" t="n">
        <v>31</v>
      </c>
      <c r="H130" s="132" t="n">
        <v>216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n">
        <v>117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2054" dxfId="23">
      <formula>AV4="X"</formula>
    </cfRule>
    <cfRule type="expression" priority="2055" dxfId="22">
      <formula>AV4="후보"</formula>
    </cfRule>
  </conditionalFormatting>
  <conditionalFormatting sqref="AC1:AC2 AC4:AC6 N4:N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1:N2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">
    <cfRule type="expression" priority="2043" dxfId="3">
      <formula>AND(IF(OR($Q6=1,$Q6=2),1,0),IF($X6&lt;=20,1,0))</formula>
    </cfRule>
    <cfRule type="expression" priority="2044" dxfId="2">
      <formula>AND(IF($Q6=2,1,0),IF($X6&lt;30,1,0))</formula>
    </cfRule>
    <cfRule type="expression" priority="2045" dxfId="1">
      <formula>AND(IF($Q6=3,1,0),IF($X6&lt;30,1,0))</formula>
    </cfRule>
    <cfRule type="expression" priority="2046" dxfId="0">
      <formula>AND(IF($Q6=3,1,IF($Q6=4,1,0)),IF($F6&lt;=85,1,0))</formula>
    </cfRule>
  </conditionalFormatting>
  <conditionalFormatting sqref="X6">
    <cfRule type="expression" priority="2039" dxfId="3">
      <formula>AND(IF(OR($Q6=1,$Q6=2),1,0),IF($X6&lt;=20,1,0))</formula>
    </cfRule>
    <cfRule type="expression" priority="2040" dxfId="2">
      <formula>AND(IF($Q6=2,1,0),IF($X6&lt;30,1,0))</formula>
    </cfRule>
    <cfRule type="expression" priority="2041" dxfId="1">
      <formula>AND(IF($Q6=3,1,0),IF($X6&lt;30,1,0))</formula>
    </cfRule>
    <cfRule type="expression" priority="2042" dxfId="0">
      <formula>AND(IF($Q6=3,1,IF($Q6=4,1,0)),IF($F6&lt;=85,1,0))</formula>
    </cfRule>
  </conditionalFormatting>
  <conditionalFormatting sqref="AI6">
    <cfRule type="expression" priority="2035" dxfId="3">
      <formula>AND(IF(OR($Q6=1,$Q6=2),1,0),IF($X6&lt;=20,1,0))</formula>
    </cfRule>
    <cfRule type="expression" priority="2036" dxfId="2">
      <formula>AND(IF($Q6=2,1,0),IF($X6&lt;30,1,0))</formula>
    </cfRule>
    <cfRule type="expression" priority="2037" dxfId="1">
      <formula>AND(IF($Q6=3,1,0),IF($X6&lt;30,1,0))</formula>
    </cfRule>
    <cfRule type="expression" priority="2038" dxfId="0">
      <formula>AND(IF($Q6=3,1,IF($Q6=4,1,0)),IF($F6&lt;=85,1,0))</formula>
    </cfRule>
  </conditionalFormatting>
  <conditionalFormatting sqref="AV7">
    <cfRule type="expression" priority="2033" dxfId="23">
      <formula>AV7="X"</formula>
    </cfRule>
    <cfRule type="expression" priority="2034" dxfId="22">
      <formula>AV7="후보"</formula>
    </cfRule>
  </conditionalFormatting>
  <conditionalFormatting sqref="AC7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7">
    <cfRule type="expression" priority="2024" dxfId="3">
      <formula>AND(IF(OR($Q7=1,$Q7=2),1,0),IF($X7&lt;=20,1,0))</formula>
    </cfRule>
    <cfRule type="expression" priority="2025" dxfId="2">
      <formula>AND(IF($Q7=2,1,0),IF($X7&lt;30,1,0))</formula>
    </cfRule>
    <cfRule type="expression" priority="2026" dxfId="1">
      <formula>AND(IF($Q7=3,1,0),IF($X7&lt;30,1,0))</formula>
    </cfRule>
    <cfRule type="expression" priority="2027" dxfId="0">
      <formula>AND(IF($Q7=3,1,IF($Q7=4,1,0)),IF($F7&lt;=85,1,0))</formula>
    </cfRule>
  </conditionalFormatting>
  <conditionalFormatting sqref="X7">
    <cfRule type="expression" priority="2020" dxfId="3">
      <formula>AND(IF(OR($Q7=1,$Q7=2),1,0),IF($X7&lt;=20,1,0))</formula>
    </cfRule>
    <cfRule type="expression" priority="2021" dxfId="2">
      <formula>AND(IF($Q7=2,1,0),IF($X7&lt;30,1,0))</formula>
    </cfRule>
    <cfRule type="expression" priority="2022" dxfId="1">
      <formula>AND(IF($Q7=3,1,0),IF($X7&lt;30,1,0))</formula>
    </cfRule>
    <cfRule type="expression" priority="2023" dxfId="0">
      <formula>AND(IF($Q7=3,1,IF($Q7=4,1,0)),IF($F7&lt;=85,1,0))</formula>
    </cfRule>
  </conditionalFormatting>
  <conditionalFormatting sqref="AI7">
    <cfRule type="expression" priority="2016" dxfId="3">
      <formula>AND(IF(OR($Q7=1,$Q7=2),1,0),IF($X7&lt;=20,1,0))</formula>
    </cfRule>
    <cfRule type="expression" priority="2017" dxfId="2">
      <formula>AND(IF($Q7=2,1,0),IF($X7&lt;30,1,0))</formula>
    </cfRule>
    <cfRule type="expression" priority="2018" dxfId="1">
      <formula>AND(IF($Q7=3,1,0),IF($X7&lt;30,1,0))</formula>
    </cfRule>
    <cfRule type="expression" priority="2019" dxfId="0">
      <formula>AND(IF($Q7=3,1,IF($Q7=4,1,0)),IF($F7&lt;=85,1,0))</formula>
    </cfRule>
  </conditionalFormatting>
  <conditionalFormatting sqref="AV8">
    <cfRule type="expression" priority="2014" dxfId="23">
      <formula>AV8="X"</formula>
    </cfRule>
    <cfRule type="expression" priority="2015" dxfId="22">
      <formula>AV8="후보"</formula>
    </cfRule>
  </conditionalFormatting>
  <conditionalFormatting sqref="AC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8">
    <cfRule type="expression" priority="2005" dxfId="3">
      <formula>AND(IF(OR($Q8=1,$Q8=2),1,0),IF($X8&lt;=20,1,0))</formula>
    </cfRule>
    <cfRule type="expression" priority="2006" dxfId="2">
      <formula>AND(IF($Q8=2,1,0),IF($X8&lt;30,1,0))</formula>
    </cfRule>
    <cfRule type="expression" priority="2007" dxfId="1">
      <formula>AND(IF($Q8=3,1,0),IF($X8&lt;30,1,0))</formula>
    </cfRule>
    <cfRule type="expression" priority="2008" dxfId="0">
      <formula>AND(IF($Q8=3,1,IF($Q8=4,1,0)),IF($F8&lt;=85,1,0))</formula>
    </cfRule>
  </conditionalFormatting>
  <conditionalFormatting sqref="X8">
    <cfRule type="expression" priority="2001" dxfId="3">
      <formula>AND(IF(OR($Q8=1,$Q8=2),1,0),IF($X8&lt;=20,1,0))</formula>
    </cfRule>
    <cfRule type="expression" priority="2002" dxfId="2">
      <formula>AND(IF($Q8=2,1,0),IF($X8&lt;30,1,0))</formula>
    </cfRule>
    <cfRule type="expression" priority="2003" dxfId="1">
      <formula>AND(IF($Q8=3,1,0),IF($X8&lt;30,1,0))</formula>
    </cfRule>
    <cfRule type="expression" priority="2004" dxfId="0">
      <formula>AND(IF($Q8=3,1,IF($Q8=4,1,0)),IF($F8&lt;=85,1,0))</formula>
    </cfRule>
  </conditionalFormatting>
  <conditionalFormatting sqref="AI8">
    <cfRule type="expression" priority="1997" dxfId="3">
      <formula>AND(IF(OR($Q8=1,$Q8=2),1,0),IF($X8&lt;=20,1,0))</formula>
    </cfRule>
    <cfRule type="expression" priority="1998" dxfId="2">
      <formula>AND(IF($Q8=2,1,0),IF($X8&lt;30,1,0))</formula>
    </cfRule>
    <cfRule type="expression" priority="1999" dxfId="1">
      <formula>AND(IF($Q8=3,1,0),IF($X8&lt;30,1,0))</formula>
    </cfRule>
    <cfRule type="expression" priority="2000" dxfId="0">
      <formula>AND(IF($Q8=3,1,IF($Q8=4,1,0)),IF($F8&lt;=85,1,0))</formula>
    </cfRule>
  </conditionalFormatting>
  <conditionalFormatting sqref="AV9">
    <cfRule type="expression" priority="1995" dxfId="23">
      <formula>AV9="X"</formula>
    </cfRule>
    <cfRule type="expression" priority="1996" dxfId="22">
      <formula>AV9="후보"</formula>
    </cfRule>
  </conditionalFormatting>
  <conditionalFormatting sqref="AC9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9">
    <cfRule type="expression" priority="1986" dxfId="3">
      <formula>AND(IF(OR($Q9=1,$Q9=2),1,0),IF($X9&lt;=20,1,0))</formula>
    </cfRule>
    <cfRule type="expression" priority="1987" dxfId="2">
      <formula>AND(IF($Q9=2,1,0),IF($X9&lt;30,1,0))</formula>
    </cfRule>
    <cfRule type="expression" priority="1988" dxfId="1">
      <formula>AND(IF($Q9=3,1,0),IF($X9&lt;30,1,0))</formula>
    </cfRule>
    <cfRule type="expression" priority="1989" dxfId="0">
      <formula>AND(IF($Q9=3,1,IF($Q9=4,1,0)),IF($F9&lt;=85,1,0))</formula>
    </cfRule>
  </conditionalFormatting>
  <conditionalFormatting sqref="X9">
    <cfRule type="expression" priority="1982" dxfId="3">
      <formula>AND(IF(OR($Q9=1,$Q9=2),1,0),IF($X9&lt;=20,1,0))</formula>
    </cfRule>
    <cfRule type="expression" priority="1983" dxfId="2">
      <formula>AND(IF($Q9=2,1,0),IF($X9&lt;30,1,0))</formula>
    </cfRule>
    <cfRule type="expression" priority="1984" dxfId="1">
      <formula>AND(IF($Q9=3,1,0),IF($X9&lt;30,1,0))</formula>
    </cfRule>
    <cfRule type="expression" priority="1985" dxfId="0">
      <formula>AND(IF($Q9=3,1,IF($Q9=4,1,0)),IF($F9&lt;=85,1,0))</formula>
    </cfRule>
  </conditionalFormatting>
  <conditionalFormatting sqref="AI9">
    <cfRule type="expression" priority="1978" dxfId="3">
      <formula>AND(IF(OR($Q9=1,$Q9=2),1,0),IF($X9&lt;=20,1,0))</formula>
    </cfRule>
    <cfRule type="expression" priority="1979" dxfId="2">
      <formula>AND(IF($Q9=2,1,0),IF($X9&lt;30,1,0))</formula>
    </cfRule>
    <cfRule type="expression" priority="1980" dxfId="1">
      <formula>AND(IF($Q9=3,1,0),IF($X9&lt;30,1,0))</formula>
    </cfRule>
    <cfRule type="expression" priority="1981" dxfId="0">
      <formula>AND(IF($Q9=3,1,IF($Q9=4,1,0)),IF($F9&lt;=85,1,0))</formula>
    </cfRule>
  </conditionalFormatting>
  <conditionalFormatting sqref="AV10">
    <cfRule type="expression" priority="1976" dxfId="23">
      <formula>AV10="X"</formula>
    </cfRule>
    <cfRule type="expression" priority="1977" dxfId="22">
      <formula>AV10="후보"</formula>
    </cfRule>
  </conditionalFormatting>
  <conditionalFormatting sqref="AC10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0">
    <cfRule type="expression" priority="1967" dxfId="3">
      <formula>AND(IF(OR($Q10=1,$Q10=2),1,0),IF($X10&lt;=20,1,0))</formula>
    </cfRule>
    <cfRule type="expression" priority="1968" dxfId="2">
      <formula>AND(IF($Q10=2,1,0),IF($X10&lt;30,1,0))</formula>
    </cfRule>
    <cfRule type="expression" priority="1969" dxfId="1">
      <formula>AND(IF($Q10=3,1,0),IF($X10&lt;30,1,0))</formula>
    </cfRule>
    <cfRule type="expression" priority="1970" dxfId="0">
      <formula>AND(IF($Q10=3,1,IF($Q10=4,1,0)),IF($F10&lt;=85,1,0))</formula>
    </cfRule>
  </conditionalFormatting>
  <conditionalFormatting sqref="X10">
    <cfRule type="expression" priority="1963" dxfId="3">
      <formula>AND(IF(OR($Q10=1,$Q10=2),1,0),IF($X10&lt;=20,1,0))</formula>
    </cfRule>
    <cfRule type="expression" priority="1964" dxfId="2">
      <formula>AND(IF($Q10=2,1,0),IF($X10&lt;30,1,0))</formula>
    </cfRule>
    <cfRule type="expression" priority="1965" dxfId="1">
      <formula>AND(IF($Q10=3,1,0),IF($X10&lt;30,1,0))</formula>
    </cfRule>
    <cfRule type="expression" priority="1966" dxfId="0">
      <formula>AND(IF($Q10=3,1,IF($Q10=4,1,0)),IF($F10&lt;=85,1,0))</formula>
    </cfRule>
  </conditionalFormatting>
  <conditionalFormatting sqref="AI10">
    <cfRule type="expression" priority="1959" dxfId="3">
      <formula>AND(IF(OR($Q10=1,$Q10=2),1,0),IF($X10&lt;=20,1,0))</formula>
    </cfRule>
    <cfRule type="expression" priority="1960" dxfId="2">
      <formula>AND(IF($Q10=2,1,0),IF($X10&lt;30,1,0))</formula>
    </cfRule>
    <cfRule type="expression" priority="1961" dxfId="1">
      <formula>AND(IF($Q10=3,1,0),IF($X10&lt;30,1,0))</formula>
    </cfRule>
    <cfRule type="expression" priority="1962" dxfId="0">
      <formula>AND(IF($Q10=3,1,IF($Q10=4,1,0)),IF($F10&lt;=85,1,0))</formula>
    </cfRule>
  </conditionalFormatting>
  <conditionalFormatting sqref="AV11">
    <cfRule type="expression" priority="1957" dxfId="23">
      <formula>AV11="X"</formula>
    </cfRule>
    <cfRule type="expression" priority="1958" dxfId="22">
      <formula>AV11="후보"</formula>
    </cfRule>
  </conditionalFormatting>
  <conditionalFormatting sqref="AC11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1">
    <cfRule type="expression" priority="1948" dxfId="3">
      <formula>AND(IF(OR($Q11=1,$Q11=2),1,0),IF($X11&lt;=20,1,0))</formula>
    </cfRule>
    <cfRule type="expression" priority="1949" dxfId="2">
      <formula>AND(IF($Q11=2,1,0),IF($X11&lt;30,1,0))</formula>
    </cfRule>
    <cfRule type="expression" priority="1950" dxfId="1">
      <formula>AND(IF($Q11=3,1,0),IF($X11&lt;30,1,0))</formula>
    </cfRule>
    <cfRule type="expression" priority="1951" dxfId="0">
      <formula>AND(IF($Q11=3,1,IF($Q11=4,1,0)),IF($F11&lt;=85,1,0))</formula>
    </cfRule>
  </conditionalFormatting>
  <conditionalFormatting sqref="X11">
    <cfRule type="expression" priority="1944" dxfId="3">
      <formula>AND(IF(OR($Q11=1,$Q11=2),1,0),IF($X11&lt;=20,1,0))</formula>
    </cfRule>
    <cfRule type="expression" priority="1945" dxfId="2">
      <formula>AND(IF($Q11=2,1,0),IF($X11&lt;30,1,0))</formula>
    </cfRule>
    <cfRule type="expression" priority="1946" dxfId="1">
      <formula>AND(IF($Q11=3,1,0),IF($X11&lt;30,1,0))</formula>
    </cfRule>
    <cfRule type="expression" priority="1947" dxfId="0">
      <formula>AND(IF($Q11=3,1,IF($Q11=4,1,0)),IF($F11&lt;=85,1,0))</formula>
    </cfRule>
  </conditionalFormatting>
  <conditionalFormatting sqref="AI11">
    <cfRule type="expression" priority="1940" dxfId="3">
      <formula>AND(IF(OR($Q11=1,$Q11=2),1,0),IF($X11&lt;=20,1,0))</formula>
    </cfRule>
    <cfRule type="expression" priority="1941" dxfId="2">
      <formula>AND(IF($Q11=2,1,0),IF($X11&lt;30,1,0))</formula>
    </cfRule>
    <cfRule type="expression" priority="1942" dxfId="1">
      <formula>AND(IF($Q11=3,1,0),IF($X11&lt;30,1,0))</formula>
    </cfRule>
    <cfRule type="expression" priority="1943" dxfId="0">
      <formula>AND(IF($Q11=3,1,IF($Q11=4,1,0)),IF($F11&lt;=85,1,0))</formula>
    </cfRule>
  </conditionalFormatting>
  <conditionalFormatting sqref="AV12">
    <cfRule type="expression" priority="1938" dxfId="23">
      <formula>AV12="X"</formula>
    </cfRule>
    <cfRule type="expression" priority="1939" dxfId="22">
      <formula>AV12="후보"</formula>
    </cfRule>
  </conditionalFormatting>
  <conditionalFormatting sqref="AC1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1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12">
    <cfRule type="expression" priority="1929" dxfId="3">
      <formula>AND(IF(OR($Q12=1,$Q12=2),1,0),IF($X12&lt;=20,1,0))</formula>
    </cfRule>
    <cfRule type="expression" priority="1930" dxfId="2">
      <formula>AND(IF($Q12=2,1,0),IF($X12&lt;30,1,0))</formula>
    </cfRule>
    <cfRule type="expression" priority="1931" dxfId="1">
      <formula>AND(IF($Q12=3,1,0),IF($X12&lt;30,1,0))</formula>
    </cfRule>
    <cfRule type="expression" priority="1932" dxfId="0">
      <formula>AND(IF($Q12=3,1,IF($Q12=4,1,0)),IF($F12&lt;=85,1,0))</formula>
    </cfRule>
  </conditionalFormatting>
  <conditionalFormatting sqref="X12">
    <cfRule type="expression" priority="1925" dxfId="3">
      <formula>AND(IF(OR($Q12=1,$Q12=2),1,0),IF($X12&lt;=20,1,0))</formula>
    </cfRule>
    <cfRule type="expression" priority="1926" dxfId="2">
      <formula>AND(IF($Q12=2,1,0),IF($X12&lt;30,1,0))</formula>
    </cfRule>
    <cfRule type="expression" priority="1927" dxfId="1">
      <formula>AND(IF($Q12=3,1,0),IF($X12&lt;30,1,0))</formula>
    </cfRule>
    <cfRule type="expression" priority="1928" dxfId="0">
      <formula>AND(IF($Q12=3,1,IF($Q12=4,1,0)),IF($F12&lt;=85,1,0))</formula>
    </cfRule>
  </conditionalFormatting>
  <conditionalFormatting sqref="AI12">
    <cfRule type="expression" priority="1921" dxfId="3">
      <formula>AND(IF(OR($Q12=1,$Q12=2),1,0),IF($X12&lt;=20,1,0))</formula>
    </cfRule>
    <cfRule type="expression" priority="1922" dxfId="2">
      <formula>AND(IF($Q12=2,1,0),IF($X12&lt;30,1,0))</formula>
    </cfRule>
    <cfRule type="expression" priority="1923" dxfId="1">
      <formula>AND(IF($Q12=3,1,0),IF($X12&lt;30,1,0))</formula>
    </cfRule>
    <cfRule type="expression" priority="1924" dxfId="0">
      <formula>AND(IF($Q12=3,1,IF($Q12=4,1,0)),IF($F12&lt;=85,1,0))</formula>
    </cfRule>
  </conditionalFormatting>
  <conditionalFormatting sqref="AV13">
    <cfRule type="expression" priority="1919" dxfId="23">
      <formula>AV13="X"</formula>
    </cfRule>
    <cfRule type="expression" priority="1920" dxfId="22">
      <formula>AV13="후보"</formula>
    </cfRule>
  </conditionalFormatting>
  <conditionalFormatting sqref="AC13 N13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AV14">
    <cfRule type="expression" priority="1914" dxfId="23">
      <formula>AV14="X"</formula>
    </cfRule>
    <cfRule type="expression" priority="1915" dxfId="22">
      <formula>AV14="후보"</formula>
    </cfRule>
  </conditionalFormatting>
  <conditionalFormatting sqref="AC14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4">
    <cfRule type="expression" priority="1905" dxfId="3">
      <formula>AND(IF(OR($Q14=1,$Q14=2),1,0),IF($X14&lt;=20,1,0))</formula>
    </cfRule>
    <cfRule type="expression" priority="1906" dxfId="2">
      <formula>AND(IF($Q14=2,1,0),IF($X14&lt;30,1,0))</formula>
    </cfRule>
    <cfRule type="expression" priority="1907" dxfId="1">
      <formula>AND(IF($Q14=3,1,0),IF($X14&lt;30,1,0))</formula>
    </cfRule>
    <cfRule type="expression" priority="1908" dxfId="0">
      <formula>AND(IF($Q14=3,1,IF($Q14=4,1,0)),IF($F14&lt;=85,1,0))</formula>
    </cfRule>
  </conditionalFormatting>
  <conditionalFormatting sqref="X14">
    <cfRule type="expression" priority="1901" dxfId="3">
      <formula>AND(IF(OR($Q14=1,$Q14=2),1,0),IF($X14&lt;=20,1,0))</formula>
    </cfRule>
    <cfRule type="expression" priority="1902" dxfId="2">
      <formula>AND(IF($Q14=2,1,0),IF($X14&lt;30,1,0))</formula>
    </cfRule>
    <cfRule type="expression" priority="1903" dxfId="1">
      <formula>AND(IF($Q14=3,1,0),IF($X14&lt;30,1,0))</formula>
    </cfRule>
    <cfRule type="expression" priority="1904" dxfId="0">
      <formula>AND(IF($Q14=3,1,IF($Q14=4,1,0)),IF($F14&lt;=85,1,0))</formula>
    </cfRule>
  </conditionalFormatting>
  <conditionalFormatting sqref="AI14">
    <cfRule type="expression" priority="1897" dxfId="3">
      <formula>AND(IF(OR($Q14=1,$Q14=2),1,0),IF($X14&lt;=20,1,0))</formula>
    </cfRule>
    <cfRule type="expression" priority="1898" dxfId="2">
      <formula>AND(IF($Q14=2,1,0),IF($X14&lt;30,1,0))</formula>
    </cfRule>
    <cfRule type="expression" priority="1899" dxfId="1">
      <formula>AND(IF($Q14=3,1,0),IF($X14&lt;30,1,0))</formula>
    </cfRule>
    <cfRule type="expression" priority="1900" dxfId="0">
      <formula>AND(IF($Q14=3,1,IF($Q14=4,1,0)),IF($F14&lt;=85,1,0))</formula>
    </cfRule>
  </conditionalFormatting>
  <conditionalFormatting sqref="AV15">
    <cfRule type="expression" priority="1895" dxfId="23">
      <formula>AV15="X"</formula>
    </cfRule>
    <cfRule type="expression" priority="1896" dxfId="22">
      <formula>AV15="후보"</formula>
    </cfRule>
  </conditionalFormatting>
  <conditionalFormatting sqref="AC15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1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15">
    <cfRule type="expression" priority="1886" dxfId="3">
      <formula>AND(IF(OR($Q15=1,$Q15=2),1,0),IF($X15&lt;=20,1,0))</formula>
    </cfRule>
    <cfRule type="expression" priority="1887" dxfId="2">
      <formula>AND(IF($Q15=2,1,0),IF($X15&lt;30,1,0))</formula>
    </cfRule>
    <cfRule type="expression" priority="1888" dxfId="1">
      <formula>AND(IF($Q15=3,1,0),IF($X15&lt;30,1,0))</formula>
    </cfRule>
    <cfRule type="expression" priority="1889" dxfId="0">
      <formula>AND(IF($Q15=3,1,IF($Q15=4,1,0)),IF($F15&lt;=85,1,0))</formula>
    </cfRule>
  </conditionalFormatting>
  <conditionalFormatting sqref="X15">
    <cfRule type="expression" priority="1882" dxfId="3">
      <formula>AND(IF(OR($Q15=1,$Q15=2),1,0),IF($X15&lt;=20,1,0))</formula>
    </cfRule>
    <cfRule type="expression" priority="1883" dxfId="2">
      <formula>AND(IF($Q15=2,1,0),IF($X15&lt;30,1,0))</formula>
    </cfRule>
    <cfRule type="expression" priority="1884" dxfId="1">
      <formula>AND(IF($Q15=3,1,0),IF($X15&lt;30,1,0))</formula>
    </cfRule>
    <cfRule type="expression" priority="1885" dxfId="0">
      <formula>AND(IF($Q15=3,1,IF($Q15=4,1,0)),IF($F15&lt;=85,1,0))</formula>
    </cfRule>
  </conditionalFormatting>
  <conditionalFormatting sqref="AI15">
    <cfRule type="expression" priority="1878" dxfId="3">
      <formula>AND(IF(OR($Q15=1,$Q15=2),1,0),IF($X15&lt;=20,1,0))</formula>
    </cfRule>
    <cfRule type="expression" priority="1879" dxfId="2">
      <formula>AND(IF($Q15=2,1,0),IF($X15&lt;30,1,0))</formula>
    </cfRule>
    <cfRule type="expression" priority="1880" dxfId="1">
      <formula>AND(IF($Q15=3,1,0),IF($X15&lt;30,1,0))</formula>
    </cfRule>
    <cfRule type="expression" priority="1881" dxfId="0">
      <formula>AND(IF($Q15=3,1,IF($Q15=4,1,0)),IF($F15&lt;=85,1,0))</formula>
    </cfRule>
  </conditionalFormatting>
  <conditionalFormatting sqref="AV16">
    <cfRule type="expression" priority="1876" dxfId="23">
      <formula>AV16="X"</formula>
    </cfRule>
    <cfRule type="expression" priority="1877" dxfId="22">
      <formula>AV16="후보"</formula>
    </cfRule>
  </conditionalFormatting>
  <conditionalFormatting sqref="AC16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6">
    <cfRule type="expression" priority="1867" dxfId="3">
      <formula>AND(IF(OR($Q16=1,$Q16=2),1,0),IF($X16&lt;=20,1,0))</formula>
    </cfRule>
    <cfRule type="expression" priority="1868" dxfId="2">
      <formula>AND(IF($Q16=2,1,0),IF($X16&lt;30,1,0))</formula>
    </cfRule>
    <cfRule type="expression" priority="1869" dxfId="1">
      <formula>AND(IF($Q16=3,1,0),IF($X16&lt;30,1,0))</formula>
    </cfRule>
    <cfRule type="expression" priority="1870" dxfId="0">
      <formula>AND(IF($Q16=3,1,IF($Q16=4,1,0)),IF($F16&lt;=85,1,0))</formula>
    </cfRule>
  </conditionalFormatting>
  <conditionalFormatting sqref="X16">
    <cfRule type="expression" priority="1863" dxfId="3">
      <formula>AND(IF(OR($Q16=1,$Q16=2),1,0),IF($X16&lt;=20,1,0))</formula>
    </cfRule>
    <cfRule type="expression" priority="1864" dxfId="2">
      <formula>AND(IF($Q16=2,1,0),IF($X16&lt;30,1,0))</formula>
    </cfRule>
    <cfRule type="expression" priority="1865" dxfId="1">
      <formula>AND(IF($Q16=3,1,0),IF($X16&lt;30,1,0))</formula>
    </cfRule>
    <cfRule type="expression" priority="1866" dxfId="0">
      <formula>AND(IF($Q16=3,1,IF($Q16=4,1,0)),IF($F16&lt;=85,1,0))</formula>
    </cfRule>
  </conditionalFormatting>
  <conditionalFormatting sqref="AI16">
    <cfRule type="expression" priority="1859" dxfId="3">
      <formula>AND(IF(OR($Q16=1,$Q16=2),1,0),IF($X16&lt;=20,1,0))</formula>
    </cfRule>
    <cfRule type="expression" priority="1860" dxfId="2">
      <formula>AND(IF($Q16=2,1,0),IF($X16&lt;30,1,0))</formula>
    </cfRule>
    <cfRule type="expression" priority="1861" dxfId="1">
      <formula>AND(IF($Q16=3,1,0),IF($X16&lt;30,1,0))</formula>
    </cfRule>
    <cfRule type="expression" priority="1862" dxfId="0">
      <formula>AND(IF($Q16=3,1,IF($Q16=4,1,0)),IF($F16&lt;=85,1,0))</formula>
    </cfRule>
  </conditionalFormatting>
  <conditionalFormatting sqref="AV17">
    <cfRule type="expression" priority="1857" dxfId="23">
      <formula>AV17="X"</formula>
    </cfRule>
    <cfRule type="expression" priority="1858" dxfId="22">
      <formula>AV17="후보"</formula>
    </cfRule>
  </conditionalFormatting>
  <conditionalFormatting sqref="AC17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7">
    <cfRule type="expression" priority="1848" dxfId="3">
      <formula>AND(IF(OR($Q17=1,$Q17=2),1,0),IF($X17&lt;=20,1,0))</formula>
    </cfRule>
    <cfRule type="expression" priority="1849" dxfId="2">
      <formula>AND(IF($Q17=2,1,0),IF($X17&lt;30,1,0))</formula>
    </cfRule>
    <cfRule type="expression" priority="1850" dxfId="1">
      <formula>AND(IF($Q17=3,1,0),IF($X17&lt;30,1,0))</formula>
    </cfRule>
    <cfRule type="expression" priority="1851" dxfId="0">
      <formula>AND(IF($Q17=3,1,IF($Q17=4,1,0)),IF($F17&lt;=85,1,0))</formula>
    </cfRule>
  </conditionalFormatting>
  <conditionalFormatting sqref="X17">
    <cfRule type="expression" priority="1844" dxfId="3">
      <formula>AND(IF(OR($Q17=1,$Q17=2),1,0),IF($X17&lt;=20,1,0))</formula>
    </cfRule>
    <cfRule type="expression" priority="1845" dxfId="2">
      <formula>AND(IF($Q17=2,1,0),IF($X17&lt;30,1,0))</formula>
    </cfRule>
    <cfRule type="expression" priority="1846" dxfId="1">
      <formula>AND(IF($Q17=3,1,0),IF($X17&lt;30,1,0))</formula>
    </cfRule>
    <cfRule type="expression" priority="1847" dxfId="0">
      <formula>AND(IF($Q17=3,1,IF($Q17=4,1,0)),IF($F17&lt;=85,1,0))</formula>
    </cfRule>
  </conditionalFormatting>
  <conditionalFormatting sqref="AI17">
    <cfRule type="expression" priority="1840" dxfId="3">
      <formula>AND(IF(OR($Q17=1,$Q17=2),1,0),IF($X17&lt;=20,1,0))</formula>
    </cfRule>
    <cfRule type="expression" priority="1841" dxfId="2">
      <formula>AND(IF($Q17=2,1,0),IF($X17&lt;30,1,0))</formula>
    </cfRule>
    <cfRule type="expression" priority="1842" dxfId="1">
      <formula>AND(IF($Q17=3,1,0),IF($X17&lt;30,1,0))</formula>
    </cfRule>
    <cfRule type="expression" priority="1843" dxfId="0">
      <formula>AND(IF($Q17=3,1,IF($Q17=4,1,0)),IF($F17&lt;=85,1,0))</formula>
    </cfRule>
  </conditionalFormatting>
  <conditionalFormatting sqref="AV18">
    <cfRule type="expression" priority="1838" dxfId="23">
      <formula>AV18="X"</formula>
    </cfRule>
    <cfRule type="expression" priority="1839" dxfId="22">
      <formula>AV18="후보"</formula>
    </cfRule>
  </conditionalFormatting>
  <conditionalFormatting sqref="AC18 N18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19">
    <cfRule type="expression" priority="1833" dxfId="23">
      <formula>AV19="X"</formula>
    </cfRule>
    <cfRule type="expression" priority="1834" dxfId="22">
      <formula>AV19="후보"</formula>
    </cfRule>
  </conditionalFormatting>
  <conditionalFormatting sqref="AC19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9">
    <cfRule type="expression" priority="1824" dxfId="3">
      <formula>AND(IF(OR($Q19=1,$Q19=2),1,0),IF($X19&lt;=20,1,0))</formula>
    </cfRule>
    <cfRule type="expression" priority="1825" dxfId="2">
      <formula>AND(IF($Q19=2,1,0),IF($X19&lt;30,1,0))</formula>
    </cfRule>
    <cfRule type="expression" priority="1826" dxfId="1">
      <formula>AND(IF($Q19=3,1,0),IF($X19&lt;30,1,0))</formula>
    </cfRule>
    <cfRule type="expression" priority="1827" dxfId="0">
      <formula>AND(IF($Q19=3,1,IF($Q19=4,1,0)),IF($F19&lt;=85,1,0))</formula>
    </cfRule>
  </conditionalFormatting>
  <conditionalFormatting sqref="X19">
    <cfRule type="expression" priority="1820" dxfId="3">
      <formula>AND(IF(OR($Q19=1,$Q19=2),1,0),IF($X19&lt;=20,1,0))</formula>
    </cfRule>
    <cfRule type="expression" priority="1821" dxfId="2">
      <formula>AND(IF($Q19=2,1,0),IF($X19&lt;30,1,0))</formula>
    </cfRule>
    <cfRule type="expression" priority="1822" dxfId="1">
      <formula>AND(IF($Q19=3,1,0),IF($X19&lt;30,1,0))</formula>
    </cfRule>
    <cfRule type="expression" priority="1823" dxfId="0">
      <formula>AND(IF($Q19=3,1,IF($Q19=4,1,0)),IF($F19&lt;=85,1,0))</formula>
    </cfRule>
  </conditionalFormatting>
  <conditionalFormatting sqref="AI19">
    <cfRule type="expression" priority="1816" dxfId="3">
      <formula>AND(IF(OR($Q19=1,$Q19=2),1,0),IF($X19&lt;=20,1,0))</formula>
    </cfRule>
    <cfRule type="expression" priority="1817" dxfId="2">
      <formula>AND(IF($Q19=2,1,0),IF($X19&lt;30,1,0))</formula>
    </cfRule>
    <cfRule type="expression" priority="1818" dxfId="1">
      <formula>AND(IF($Q19=3,1,0),IF($X19&lt;30,1,0))</formula>
    </cfRule>
    <cfRule type="expression" priority="1819" dxfId="0">
      <formula>AND(IF($Q19=3,1,IF($Q19=4,1,0)),IF($F19&lt;=85,1,0))</formula>
    </cfRule>
  </conditionalFormatting>
  <conditionalFormatting sqref="AV20">
    <cfRule type="expression" priority="1814" dxfId="23">
      <formula>AV20="X"</formula>
    </cfRule>
    <cfRule type="expression" priority="1815" dxfId="22">
      <formula>AV20="후보"</formula>
    </cfRule>
  </conditionalFormatting>
  <conditionalFormatting sqref="AC20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0">
    <cfRule type="expression" priority="1805" dxfId="3">
      <formula>AND(IF(OR($Q20=1,$Q20=2),1,0),IF($X20&lt;=20,1,0))</formula>
    </cfRule>
    <cfRule type="expression" priority="1806" dxfId="2">
      <formula>AND(IF($Q20=2,1,0),IF($X20&lt;30,1,0))</formula>
    </cfRule>
    <cfRule type="expression" priority="1807" dxfId="1">
      <formula>AND(IF($Q20=3,1,0),IF($X20&lt;30,1,0))</formula>
    </cfRule>
    <cfRule type="expression" priority="1808" dxfId="0">
      <formula>AND(IF($Q20=3,1,IF($Q20=4,1,0)),IF($F20&lt;=85,1,0))</formula>
    </cfRule>
  </conditionalFormatting>
  <conditionalFormatting sqref="X20">
    <cfRule type="expression" priority="1801" dxfId="3">
      <formula>AND(IF(OR($Q20=1,$Q20=2),1,0),IF($X20&lt;=20,1,0))</formula>
    </cfRule>
    <cfRule type="expression" priority="1802" dxfId="2">
      <formula>AND(IF($Q20=2,1,0),IF($X20&lt;30,1,0))</formula>
    </cfRule>
    <cfRule type="expression" priority="1803" dxfId="1">
      <formula>AND(IF($Q20=3,1,0),IF($X20&lt;30,1,0))</formula>
    </cfRule>
    <cfRule type="expression" priority="1804" dxfId="0">
      <formula>AND(IF($Q20=3,1,IF($Q20=4,1,0)),IF($F20&lt;=85,1,0))</formula>
    </cfRule>
  </conditionalFormatting>
  <conditionalFormatting sqref="AI20">
    <cfRule type="expression" priority="1797" dxfId="3">
      <formula>AND(IF(OR($Q20=1,$Q20=2),1,0),IF($X20&lt;=20,1,0))</formula>
    </cfRule>
    <cfRule type="expression" priority="1798" dxfId="2">
      <formula>AND(IF($Q20=2,1,0),IF($X20&lt;30,1,0))</formula>
    </cfRule>
    <cfRule type="expression" priority="1799" dxfId="1">
      <formula>AND(IF($Q20=3,1,0),IF($X20&lt;30,1,0))</formula>
    </cfRule>
    <cfRule type="expression" priority="1800" dxfId="0">
      <formula>AND(IF($Q20=3,1,IF($Q20=4,1,0)),IF($F20&lt;=85,1,0))</formula>
    </cfRule>
  </conditionalFormatting>
  <conditionalFormatting sqref="AV21">
    <cfRule type="expression" priority="1795" dxfId="23">
      <formula>AV21="X"</formula>
    </cfRule>
    <cfRule type="expression" priority="1796" dxfId="22">
      <formula>AV21="후보"</formula>
    </cfRule>
  </conditionalFormatting>
  <conditionalFormatting sqref="AC21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1">
    <cfRule type="expression" priority="1786" dxfId="3">
      <formula>AND(IF(OR($Q21=1,$Q21=2),1,0),IF($X21&lt;=20,1,0))</formula>
    </cfRule>
    <cfRule type="expression" priority="1787" dxfId="2">
      <formula>AND(IF($Q21=2,1,0),IF($X21&lt;30,1,0))</formula>
    </cfRule>
    <cfRule type="expression" priority="1788" dxfId="1">
      <formula>AND(IF($Q21=3,1,0),IF($X21&lt;30,1,0))</formula>
    </cfRule>
    <cfRule type="expression" priority="1789" dxfId="0">
      <formula>AND(IF($Q21=3,1,IF($Q21=4,1,0)),IF($F21&lt;=85,1,0))</formula>
    </cfRule>
  </conditionalFormatting>
  <conditionalFormatting sqref="X21">
    <cfRule type="expression" priority="1782" dxfId="3">
      <formula>AND(IF(OR($Q21=1,$Q21=2),1,0),IF($X21&lt;=20,1,0))</formula>
    </cfRule>
    <cfRule type="expression" priority="1783" dxfId="2">
      <formula>AND(IF($Q21=2,1,0),IF($X21&lt;30,1,0))</formula>
    </cfRule>
    <cfRule type="expression" priority="1784" dxfId="1">
      <formula>AND(IF($Q21=3,1,0),IF($X21&lt;30,1,0))</formula>
    </cfRule>
    <cfRule type="expression" priority="1785" dxfId="0">
      <formula>AND(IF($Q21=3,1,IF($Q21=4,1,0)),IF($F21&lt;=85,1,0))</formula>
    </cfRule>
  </conditionalFormatting>
  <conditionalFormatting sqref="AI21">
    <cfRule type="expression" priority="1778" dxfId="3">
      <formula>AND(IF(OR($Q21=1,$Q21=2),1,0),IF($X21&lt;=20,1,0))</formula>
    </cfRule>
    <cfRule type="expression" priority="1779" dxfId="2">
      <formula>AND(IF($Q21=2,1,0),IF($X21&lt;30,1,0))</formula>
    </cfRule>
    <cfRule type="expression" priority="1780" dxfId="1">
      <formula>AND(IF($Q21=3,1,0),IF($X21&lt;30,1,0))</formula>
    </cfRule>
    <cfRule type="expression" priority="1781" dxfId="0">
      <formula>AND(IF($Q21=3,1,IF($Q21=4,1,0)),IF($F21&lt;=85,1,0))</formula>
    </cfRule>
  </conditionalFormatting>
  <conditionalFormatting sqref="AV22">
    <cfRule type="expression" priority="1776" dxfId="23">
      <formula>AV22="X"</formula>
    </cfRule>
    <cfRule type="expression" priority="1777" dxfId="22">
      <formula>AV22="후보"</formula>
    </cfRule>
  </conditionalFormatting>
  <conditionalFormatting sqref="AC22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2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22">
    <cfRule type="expression" priority="1767" dxfId="3">
      <formula>AND(IF(OR($Q22=1,$Q22=2),1,0),IF($X22&lt;=20,1,0))</formula>
    </cfRule>
    <cfRule type="expression" priority="1768" dxfId="2">
      <formula>AND(IF($Q22=2,1,0),IF($X22&lt;30,1,0))</formula>
    </cfRule>
    <cfRule type="expression" priority="1769" dxfId="1">
      <formula>AND(IF($Q22=3,1,0),IF($X22&lt;30,1,0))</formula>
    </cfRule>
    <cfRule type="expression" priority="1770" dxfId="0">
      <formula>AND(IF($Q22=3,1,IF($Q22=4,1,0)),IF($F22&lt;=85,1,0))</formula>
    </cfRule>
  </conditionalFormatting>
  <conditionalFormatting sqref="X22">
    <cfRule type="expression" priority="1763" dxfId="3">
      <formula>AND(IF(OR($Q22=1,$Q22=2),1,0),IF($X22&lt;=20,1,0))</formula>
    </cfRule>
    <cfRule type="expression" priority="1764" dxfId="2">
      <formula>AND(IF($Q22=2,1,0),IF($X22&lt;30,1,0))</formula>
    </cfRule>
    <cfRule type="expression" priority="1765" dxfId="1">
      <formula>AND(IF($Q22=3,1,0),IF($X22&lt;30,1,0))</formula>
    </cfRule>
    <cfRule type="expression" priority="1766" dxfId="0">
      <formula>AND(IF($Q22=3,1,IF($Q22=4,1,0)),IF($F22&lt;=85,1,0))</formula>
    </cfRule>
  </conditionalFormatting>
  <conditionalFormatting sqref="AI22">
    <cfRule type="expression" priority="1759" dxfId="3">
      <formula>AND(IF(OR($Q22=1,$Q22=2),1,0),IF($X22&lt;=20,1,0))</formula>
    </cfRule>
    <cfRule type="expression" priority="1760" dxfId="2">
      <formula>AND(IF($Q22=2,1,0),IF($X22&lt;30,1,0))</formula>
    </cfRule>
    <cfRule type="expression" priority="1761" dxfId="1">
      <formula>AND(IF($Q22=3,1,0),IF($X22&lt;30,1,0))</formula>
    </cfRule>
    <cfRule type="expression" priority="1762" dxfId="0">
      <formula>AND(IF($Q22=3,1,IF($Q22=4,1,0)),IF($F22&lt;=85,1,0))</formula>
    </cfRule>
  </conditionalFormatting>
  <conditionalFormatting sqref="AV23">
    <cfRule type="expression" priority="1757" dxfId="23">
      <formula>AV23="X"</formula>
    </cfRule>
    <cfRule type="expression" priority="1758" dxfId="22">
      <formula>AV23="후보"</formula>
    </cfRule>
  </conditionalFormatting>
  <conditionalFormatting sqref="AC23 N23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4">
    <cfRule type="expression" priority="1752" dxfId="23">
      <formula>AV24="X"</formula>
    </cfRule>
    <cfRule type="expression" priority="1753" dxfId="22">
      <formula>AV24="후보"</formula>
    </cfRule>
  </conditionalFormatting>
  <conditionalFormatting sqref="AC24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4">
    <cfRule type="expression" priority="1743" dxfId="3">
      <formula>AND(IF(OR($Q24=1,$Q24=2),1,0),IF($X24&lt;=20,1,0))</formula>
    </cfRule>
    <cfRule type="expression" priority="1744" dxfId="2">
      <formula>AND(IF($Q24=2,1,0),IF($X24&lt;30,1,0))</formula>
    </cfRule>
    <cfRule type="expression" priority="1745" dxfId="1">
      <formula>AND(IF($Q24=3,1,0),IF($X24&lt;30,1,0))</formula>
    </cfRule>
    <cfRule type="expression" priority="1746" dxfId="0">
      <formula>AND(IF($Q24=3,1,IF($Q24=4,1,0)),IF($F24&lt;=85,1,0))</formula>
    </cfRule>
  </conditionalFormatting>
  <conditionalFormatting sqref="X24">
    <cfRule type="expression" priority="1739" dxfId="3">
      <formula>AND(IF(OR($Q24=1,$Q24=2),1,0),IF($X24&lt;=20,1,0))</formula>
    </cfRule>
    <cfRule type="expression" priority="1740" dxfId="2">
      <formula>AND(IF($Q24=2,1,0),IF($X24&lt;30,1,0))</formula>
    </cfRule>
    <cfRule type="expression" priority="1741" dxfId="1">
      <formula>AND(IF($Q24=3,1,0),IF($X24&lt;30,1,0))</formula>
    </cfRule>
    <cfRule type="expression" priority="1742" dxfId="0">
      <formula>AND(IF($Q24=3,1,IF($Q24=4,1,0)),IF($F24&lt;=85,1,0))</formula>
    </cfRule>
  </conditionalFormatting>
  <conditionalFormatting sqref="AI24">
    <cfRule type="expression" priority="1735" dxfId="3">
      <formula>AND(IF(OR($Q24=1,$Q24=2),1,0),IF($X24&lt;=20,1,0))</formula>
    </cfRule>
    <cfRule type="expression" priority="1736" dxfId="2">
      <formula>AND(IF($Q24=2,1,0),IF($X24&lt;30,1,0))</formula>
    </cfRule>
    <cfRule type="expression" priority="1737" dxfId="1">
      <formula>AND(IF($Q24=3,1,0),IF($X24&lt;30,1,0))</formula>
    </cfRule>
    <cfRule type="expression" priority="1738" dxfId="0">
      <formula>AND(IF($Q24=3,1,IF($Q24=4,1,0)),IF($F24&lt;=85,1,0))</formula>
    </cfRule>
  </conditionalFormatting>
  <conditionalFormatting sqref="AV25">
    <cfRule type="expression" priority="1733" dxfId="23">
      <formula>AV25="X"</formula>
    </cfRule>
    <cfRule type="expression" priority="1734" dxfId="22">
      <formula>AV25="후보"</formula>
    </cfRule>
  </conditionalFormatting>
  <conditionalFormatting sqref="AC25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5">
    <cfRule type="expression" priority="1724" dxfId="3">
      <formula>AND(IF(OR($Q25=1,$Q25=2),1,0),IF($X25&lt;=20,1,0))</formula>
    </cfRule>
    <cfRule type="expression" priority="1725" dxfId="2">
      <formula>AND(IF($Q25=2,1,0),IF($X25&lt;30,1,0))</formula>
    </cfRule>
    <cfRule type="expression" priority="1726" dxfId="1">
      <formula>AND(IF($Q25=3,1,0),IF($X25&lt;30,1,0))</formula>
    </cfRule>
    <cfRule type="expression" priority="1727" dxfId="0">
      <formula>AND(IF($Q25=3,1,IF($Q25=4,1,0)),IF($F25&lt;=85,1,0))</formula>
    </cfRule>
  </conditionalFormatting>
  <conditionalFormatting sqref="X25">
    <cfRule type="expression" priority="1720" dxfId="3">
      <formula>AND(IF(OR($Q25=1,$Q25=2),1,0),IF($X25&lt;=20,1,0))</formula>
    </cfRule>
    <cfRule type="expression" priority="1721" dxfId="2">
      <formula>AND(IF($Q25=2,1,0),IF($X25&lt;30,1,0))</formula>
    </cfRule>
    <cfRule type="expression" priority="1722" dxfId="1">
      <formula>AND(IF($Q25=3,1,0),IF($X25&lt;30,1,0))</formula>
    </cfRule>
    <cfRule type="expression" priority="1723" dxfId="0">
      <formula>AND(IF($Q25=3,1,IF($Q25=4,1,0)),IF($F25&lt;=85,1,0))</formula>
    </cfRule>
  </conditionalFormatting>
  <conditionalFormatting sqref="AI25">
    <cfRule type="expression" priority="1716" dxfId="3">
      <formula>AND(IF(OR($Q25=1,$Q25=2),1,0),IF($X25&lt;=20,1,0))</formula>
    </cfRule>
    <cfRule type="expression" priority="1717" dxfId="2">
      <formula>AND(IF($Q25=2,1,0),IF($X25&lt;30,1,0))</formula>
    </cfRule>
    <cfRule type="expression" priority="1718" dxfId="1">
      <formula>AND(IF($Q25=3,1,0),IF($X25&lt;30,1,0))</formula>
    </cfRule>
    <cfRule type="expression" priority="1719" dxfId="0">
      <formula>AND(IF($Q25=3,1,IF($Q25=4,1,0)),IF($F25&lt;=85,1,0))</formula>
    </cfRule>
  </conditionalFormatting>
  <conditionalFormatting sqref="AV26">
    <cfRule type="expression" priority="1714" dxfId="23">
      <formula>AV26="X"</formula>
    </cfRule>
    <cfRule type="expression" priority="1715" dxfId="22">
      <formula>AV26="후보"</formula>
    </cfRule>
  </conditionalFormatting>
  <conditionalFormatting sqref="AC26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6">
    <cfRule type="expression" priority="1705" dxfId="3">
      <formula>AND(IF(OR($Q26=1,$Q26=2),1,0),IF($X26&lt;=20,1,0))</formula>
    </cfRule>
    <cfRule type="expression" priority="1706" dxfId="2">
      <formula>AND(IF($Q26=2,1,0),IF($X26&lt;30,1,0))</formula>
    </cfRule>
    <cfRule type="expression" priority="1707" dxfId="1">
      <formula>AND(IF($Q26=3,1,0),IF($X26&lt;30,1,0))</formula>
    </cfRule>
    <cfRule type="expression" priority="1708" dxfId="0">
      <formula>AND(IF($Q26=3,1,IF($Q26=4,1,0)),IF($F26&lt;=85,1,0))</formula>
    </cfRule>
  </conditionalFormatting>
  <conditionalFormatting sqref="X26">
    <cfRule type="expression" priority="1701" dxfId="3">
      <formula>AND(IF(OR($Q26=1,$Q26=2),1,0),IF($X26&lt;=20,1,0))</formula>
    </cfRule>
    <cfRule type="expression" priority="1702" dxfId="2">
      <formula>AND(IF($Q26=2,1,0),IF($X26&lt;30,1,0))</formula>
    </cfRule>
    <cfRule type="expression" priority="1703" dxfId="1">
      <formula>AND(IF($Q26=3,1,0),IF($X26&lt;30,1,0))</formula>
    </cfRule>
    <cfRule type="expression" priority="1704" dxfId="0">
      <formula>AND(IF($Q26=3,1,IF($Q26=4,1,0)),IF($F26&lt;=85,1,0))</formula>
    </cfRule>
  </conditionalFormatting>
  <conditionalFormatting sqref="AI26">
    <cfRule type="expression" priority="1697" dxfId="3">
      <formula>AND(IF(OR($Q26=1,$Q26=2),1,0),IF($X26&lt;=20,1,0))</formula>
    </cfRule>
    <cfRule type="expression" priority="1698" dxfId="2">
      <formula>AND(IF($Q26=2,1,0),IF($X26&lt;30,1,0))</formula>
    </cfRule>
    <cfRule type="expression" priority="1699" dxfId="1">
      <formula>AND(IF($Q26=3,1,0),IF($X26&lt;30,1,0))</formula>
    </cfRule>
    <cfRule type="expression" priority="1700" dxfId="0">
      <formula>AND(IF($Q26=3,1,IF($Q26=4,1,0)),IF($F26&lt;=85,1,0))</formula>
    </cfRule>
  </conditionalFormatting>
  <conditionalFormatting sqref="AV27">
    <cfRule type="expression" priority="1695" dxfId="23">
      <formula>AV27="X"</formula>
    </cfRule>
    <cfRule type="expression" priority="1696" dxfId="22">
      <formula>AV27="후보"</formula>
    </cfRule>
  </conditionalFormatting>
  <conditionalFormatting sqref="AC27 N27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8">
    <cfRule type="expression" priority="1690" dxfId="23">
      <formula>AV28="X"</formula>
    </cfRule>
    <cfRule type="expression" priority="1691" dxfId="22">
      <formula>AV28="후보"</formula>
    </cfRule>
  </conditionalFormatting>
  <conditionalFormatting sqref="AC2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8">
    <cfRule type="expression" priority="1681" dxfId="3">
      <formula>AND(IF(OR($Q28=1,$Q28=2),1,0),IF($X28&lt;=20,1,0))</formula>
    </cfRule>
    <cfRule type="expression" priority="1682" dxfId="2">
      <formula>AND(IF($Q28=2,1,0),IF($X28&lt;30,1,0))</formula>
    </cfRule>
    <cfRule type="expression" priority="1683" dxfId="1">
      <formula>AND(IF($Q28=3,1,0),IF($X28&lt;30,1,0))</formula>
    </cfRule>
    <cfRule type="expression" priority="1684" dxfId="0">
      <formula>AND(IF($Q28=3,1,IF($Q28=4,1,0)),IF($F28&lt;=85,1,0))</formula>
    </cfRule>
  </conditionalFormatting>
  <conditionalFormatting sqref="X28">
    <cfRule type="expression" priority="1677" dxfId="3">
      <formula>AND(IF(OR($Q28=1,$Q28=2),1,0),IF($X28&lt;=20,1,0))</formula>
    </cfRule>
    <cfRule type="expression" priority="1678" dxfId="2">
      <formula>AND(IF($Q28=2,1,0),IF($X28&lt;30,1,0))</formula>
    </cfRule>
    <cfRule type="expression" priority="1679" dxfId="1">
      <formula>AND(IF($Q28=3,1,0),IF($X28&lt;30,1,0))</formula>
    </cfRule>
    <cfRule type="expression" priority="1680" dxfId="0">
      <formula>AND(IF($Q28=3,1,IF($Q28=4,1,0)),IF($F28&lt;=85,1,0))</formula>
    </cfRule>
  </conditionalFormatting>
  <conditionalFormatting sqref="AI28">
    <cfRule type="expression" priority="1673" dxfId="3">
      <formula>AND(IF(OR($Q28=1,$Q28=2),1,0),IF($X28&lt;=20,1,0))</formula>
    </cfRule>
    <cfRule type="expression" priority="1674" dxfId="2">
      <formula>AND(IF($Q28=2,1,0),IF($X28&lt;30,1,0))</formula>
    </cfRule>
    <cfRule type="expression" priority="1675" dxfId="1">
      <formula>AND(IF($Q28=3,1,0),IF($X28&lt;30,1,0))</formula>
    </cfRule>
    <cfRule type="expression" priority="1676" dxfId="0">
      <formula>AND(IF($Q28=3,1,IF($Q28=4,1,0)),IF($F28&lt;=85,1,0))</formula>
    </cfRule>
  </conditionalFormatting>
  <conditionalFormatting sqref="AV29">
    <cfRule type="expression" priority="1671" dxfId="23">
      <formula>AV29="X"</formula>
    </cfRule>
    <cfRule type="expression" priority="1672" dxfId="22">
      <formula>AV29="후보"</formula>
    </cfRule>
  </conditionalFormatting>
  <conditionalFormatting sqref="AC29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2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29">
    <cfRule type="expression" priority="1662" dxfId="3">
      <formula>AND(IF(OR($Q29=1,$Q29=2),1,0),IF($X29&lt;=20,1,0))</formula>
    </cfRule>
    <cfRule type="expression" priority="1663" dxfId="2">
      <formula>AND(IF($Q29=2,1,0),IF($X29&lt;30,1,0))</formula>
    </cfRule>
    <cfRule type="expression" priority="1664" dxfId="1">
      <formula>AND(IF($Q29=3,1,0),IF($X29&lt;30,1,0))</formula>
    </cfRule>
    <cfRule type="expression" priority="1665" dxfId="0">
      <formula>AND(IF($Q29=3,1,IF($Q29=4,1,0)),IF($F29&lt;=85,1,0))</formula>
    </cfRule>
  </conditionalFormatting>
  <conditionalFormatting sqref="X29">
    <cfRule type="expression" priority="1658" dxfId="3">
      <formula>AND(IF(OR($Q29=1,$Q29=2),1,0),IF($X29&lt;=20,1,0))</formula>
    </cfRule>
    <cfRule type="expression" priority="1659" dxfId="2">
      <formula>AND(IF($Q29=2,1,0),IF($X29&lt;30,1,0))</formula>
    </cfRule>
    <cfRule type="expression" priority="1660" dxfId="1">
      <formula>AND(IF($Q29=3,1,0),IF($X29&lt;30,1,0))</formula>
    </cfRule>
    <cfRule type="expression" priority="1661" dxfId="0">
      <formula>AND(IF($Q29=3,1,IF($Q29=4,1,0)),IF($F29&lt;=85,1,0))</formula>
    </cfRule>
  </conditionalFormatting>
  <conditionalFormatting sqref="AI29">
    <cfRule type="expression" priority="1654" dxfId="3">
      <formula>AND(IF(OR($Q29=1,$Q29=2),1,0),IF($X29&lt;=20,1,0))</formula>
    </cfRule>
    <cfRule type="expression" priority="1655" dxfId="2">
      <formula>AND(IF($Q29=2,1,0),IF($X29&lt;30,1,0))</formula>
    </cfRule>
    <cfRule type="expression" priority="1656" dxfId="1">
      <formula>AND(IF($Q29=3,1,0),IF($X29&lt;30,1,0))</formula>
    </cfRule>
    <cfRule type="expression" priority="1657" dxfId="0">
      <formula>AND(IF($Q29=3,1,IF($Q29=4,1,0)),IF($F29&lt;=85,1,0))</formula>
    </cfRule>
  </conditionalFormatting>
  <conditionalFormatting sqref="AV30">
    <cfRule type="expression" priority="1652" dxfId="23">
      <formula>AV30="X"</formula>
    </cfRule>
    <cfRule type="expression" priority="1653" dxfId="22">
      <formula>AV30="후보"</formula>
    </cfRule>
  </conditionalFormatting>
  <conditionalFormatting sqref="AC30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30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30">
    <cfRule type="expression" priority="1643" dxfId="3">
      <formula>AND(IF(OR($Q30=1,$Q30=2),1,0),IF($X30&lt;=20,1,0))</formula>
    </cfRule>
    <cfRule type="expression" priority="1644" dxfId="2">
      <formula>AND(IF($Q30=2,1,0),IF($X30&lt;30,1,0))</formula>
    </cfRule>
    <cfRule type="expression" priority="1645" dxfId="1">
      <formula>AND(IF($Q30=3,1,0),IF($X30&lt;30,1,0))</formula>
    </cfRule>
    <cfRule type="expression" priority="1646" dxfId="0">
      <formula>AND(IF($Q30=3,1,IF($Q30=4,1,0)),IF($F30&lt;=85,1,0))</formula>
    </cfRule>
  </conditionalFormatting>
  <conditionalFormatting sqref="X30">
    <cfRule type="expression" priority="1639" dxfId="3">
      <formula>AND(IF(OR($Q30=1,$Q30=2),1,0),IF($X30&lt;=20,1,0))</formula>
    </cfRule>
    <cfRule type="expression" priority="1640" dxfId="2">
      <formula>AND(IF($Q30=2,1,0),IF($X30&lt;30,1,0))</formula>
    </cfRule>
    <cfRule type="expression" priority="1641" dxfId="1">
      <formula>AND(IF($Q30=3,1,0),IF($X30&lt;30,1,0))</formula>
    </cfRule>
    <cfRule type="expression" priority="1642" dxfId="0">
      <formula>AND(IF($Q30=3,1,IF($Q30=4,1,0)),IF($F30&lt;=85,1,0))</formula>
    </cfRule>
  </conditionalFormatting>
  <conditionalFormatting sqref="AI30">
    <cfRule type="expression" priority="1635" dxfId="3">
      <formula>AND(IF(OR($Q30=1,$Q30=2),1,0),IF($X30&lt;=20,1,0))</formula>
    </cfRule>
    <cfRule type="expression" priority="1636" dxfId="2">
      <formula>AND(IF($Q30=2,1,0),IF($X30&lt;30,1,0))</formula>
    </cfRule>
    <cfRule type="expression" priority="1637" dxfId="1">
      <formula>AND(IF($Q30=3,1,0),IF($X30&lt;30,1,0))</formula>
    </cfRule>
    <cfRule type="expression" priority="1638" dxfId="0">
      <formula>AND(IF($Q30=3,1,IF($Q30=4,1,0)),IF($F30&lt;=85,1,0))</formula>
    </cfRule>
  </conditionalFormatting>
  <conditionalFormatting sqref="AV31">
    <cfRule type="expression" priority="1633" dxfId="23">
      <formula>AV31="X"</formula>
    </cfRule>
    <cfRule type="expression" priority="1634" dxfId="22">
      <formula>AV31="후보"</formula>
    </cfRule>
  </conditionalFormatting>
  <conditionalFormatting sqref="AC31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1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1">
    <cfRule type="expression" priority="1624" dxfId="3">
      <formula>AND(IF(OR($Q31=1,$Q31=2),1,0),IF($X31&lt;=20,1,0))</formula>
    </cfRule>
    <cfRule type="expression" priority="1625" dxfId="2">
      <formula>AND(IF($Q31=2,1,0),IF($X31&lt;30,1,0))</formula>
    </cfRule>
    <cfRule type="expression" priority="1626" dxfId="1">
      <formula>AND(IF($Q31=3,1,0),IF($X31&lt;30,1,0))</formula>
    </cfRule>
    <cfRule type="expression" priority="1627" dxfId="0">
      <formula>AND(IF($Q31=3,1,IF($Q31=4,1,0)),IF($F31&lt;=85,1,0))</formula>
    </cfRule>
  </conditionalFormatting>
  <conditionalFormatting sqref="X31">
    <cfRule type="expression" priority="1620" dxfId="3">
      <formula>AND(IF(OR($Q31=1,$Q31=2),1,0),IF($X31&lt;=20,1,0))</formula>
    </cfRule>
    <cfRule type="expression" priority="1621" dxfId="2">
      <formula>AND(IF($Q31=2,1,0),IF($X31&lt;30,1,0))</formula>
    </cfRule>
    <cfRule type="expression" priority="1622" dxfId="1">
      <formula>AND(IF($Q31=3,1,0),IF($X31&lt;30,1,0))</formula>
    </cfRule>
    <cfRule type="expression" priority="1623" dxfId="0">
      <formula>AND(IF($Q31=3,1,IF($Q31=4,1,0)),IF($F31&lt;=85,1,0))</formula>
    </cfRule>
  </conditionalFormatting>
  <conditionalFormatting sqref="AI31">
    <cfRule type="expression" priority="1616" dxfId="3">
      <formula>AND(IF(OR($Q31=1,$Q31=2),1,0),IF($X31&lt;=20,1,0))</formula>
    </cfRule>
    <cfRule type="expression" priority="1617" dxfId="2">
      <formula>AND(IF($Q31=2,1,0),IF($X31&lt;30,1,0))</formula>
    </cfRule>
    <cfRule type="expression" priority="1618" dxfId="1">
      <formula>AND(IF($Q31=3,1,0),IF($X31&lt;30,1,0))</formula>
    </cfRule>
    <cfRule type="expression" priority="1619" dxfId="0">
      <formula>AND(IF($Q31=3,1,IF($Q31=4,1,0)),IF($F31&lt;=85,1,0))</formula>
    </cfRule>
  </conditionalFormatting>
  <conditionalFormatting sqref="AV32">
    <cfRule type="expression" priority="1614" dxfId="23">
      <formula>AV32="X"</formula>
    </cfRule>
    <cfRule type="expression" priority="1615" dxfId="22">
      <formula>AV32="후보"</formula>
    </cfRule>
  </conditionalFormatting>
  <conditionalFormatting sqref="AC32 N32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33">
    <cfRule type="expression" priority="1609" dxfId="23">
      <formula>AV33="X"</formula>
    </cfRule>
    <cfRule type="expression" priority="1610" dxfId="22">
      <formula>AV33="후보"</formula>
    </cfRule>
  </conditionalFormatting>
  <conditionalFormatting sqref="AC33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3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X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I33">
    <cfRule type="expression" priority="1592" dxfId="3">
      <formula>AND(IF(OR($Q33=1,$Q33=2),1,0),IF($X33&lt;=20,1,0))</formula>
    </cfRule>
    <cfRule type="expression" priority="1593" dxfId="2">
      <formula>AND(IF($Q33=2,1,0),IF($X33&lt;30,1,0))</formula>
    </cfRule>
    <cfRule type="expression" priority="1594" dxfId="1">
      <formula>AND(IF($Q33=3,1,0),IF($X33&lt;30,1,0))</formula>
    </cfRule>
    <cfRule type="expression" priority="1595" dxfId="0">
      <formula>AND(IF($Q33=3,1,IF($Q33=4,1,0)),IF($F33&lt;=85,1,0))</formula>
    </cfRule>
  </conditionalFormatting>
  <conditionalFormatting sqref="AV34">
    <cfRule type="expression" priority="1590" dxfId="23">
      <formula>AV34="X"</formula>
    </cfRule>
    <cfRule type="expression" priority="1591" dxfId="22">
      <formula>AV34="후보"</formula>
    </cfRule>
  </conditionalFormatting>
  <conditionalFormatting sqref="AC34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3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34">
    <cfRule type="expression" priority="1581" dxfId="3">
      <formula>AND(IF(OR($Q34=1,$Q34=2),1,0),IF($X34&lt;=20,1,0))</formula>
    </cfRule>
    <cfRule type="expression" priority="1582" dxfId="2">
      <formula>AND(IF($Q34=2,1,0),IF($X34&lt;30,1,0))</formula>
    </cfRule>
    <cfRule type="expression" priority="1583" dxfId="1">
      <formula>AND(IF($Q34=3,1,0),IF($X34&lt;30,1,0))</formula>
    </cfRule>
    <cfRule type="expression" priority="1584" dxfId="0">
      <formula>AND(IF($Q34=3,1,IF($Q34=4,1,0)),IF($F34&lt;=85,1,0))</formula>
    </cfRule>
  </conditionalFormatting>
  <conditionalFormatting sqref="X34">
    <cfRule type="expression" priority="1577" dxfId="3">
      <formula>AND(IF(OR($Q34=1,$Q34=2),1,0),IF($X34&lt;=20,1,0))</formula>
    </cfRule>
    <cfRule type="expression" priority="1578" dxfId="2">
      <formula>AND(IF($Q34=2,1,0),IF($X34&lt;30,1,0))</formula>
    </cfRule>
    <cfRule type="expression" priority="1579" dxfId="1">
      <formula>AND(IF($Q34=3,1,0),IF($X34&lt;30,1,0))</formula>
    </cfRule>
    <cfRule type="expression" priority="1580" dxfId="0">
      <formula>AND(IF($Q34=3,1,IF($Q34=4,1,0)),IF($F34&lt;=85,1,0))</formula>
    </cfRule>
  </conditionalFormatting>
  <conditionalFormatting sqref="AI34">
    <cfRule type="expression" priority="1573" dxfId="3">
      <formula>AND(IF(OR($Q34=1,$Q34=2),1,0),IF($X34&lt;=20,1,0))</formula>
    </cfRule>
    <cfRule type="expression" priority="1574" dxfId="2">
      <formula>AND(IF($Q34=2,1,0),IF($X34&lt;30,1,0))</formula>
    </cfRule>
    <cfRule type="expression" priority="1575" dxfId="1">
      <formula>AND(IF($Q34=3,1,0),IF($X34&lt;30,1,0))</formula>
    </cfRule>
    <cfRule type="expression" priority="1576" dxfId="0">
      <formula>AND(IF($Q34=3,1,IF($Q34=4,1,0)),IF($F34&lt;=85,1,0))</formula>
    </cfRule>
  </conditionalFormatting>
  <conditionalFormatting sqref="AV35">
    <cfRule type="expression" priority="1571" dxfId="23">
      <formula>AV35="X"</formula>
    </cfRule>
    <cfRule type="expression" priority="1572" dxfId="22">
      <formula>AV35="후보"</formula>
    </cfRule>
  </conditionalFormatting>
  <conditionalFormatting sqref="AC35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3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35">
    <cfRule type="expression" priority="1562" dxfId="3">
      <formula>AND(IF(OR($Q35=1,$Q35=2),1,0),IF($X35&lt;=20,1,0))</formula>
    </cfRule>
    <cfRule type="expression" priority="1563" dxfId="2">
      <formula>AND(IF($Q35=2,1,0),IF($X35&lt;30,1,0))</formula>
    </cfRule>
    <cfRule type="expression" priority="1564" dxfId="1">
      <formula>AND(IF($Q35=3,1,0),IF($X35&lt;30,1,0))</formula>
    </cfRule>
    <cfRule type="expression" priority="1565" dxfId="0">
      <formula>AND(IF($Q35=3,1,IF($Q35=4,1,0)),IF($F35&lt;=85,1,0))</formula>
    </cfRule>
  </conditionalFormatting>
  <conditionalFormatting sqref="X35">
    <cfRule type="expression" priority="1558" dxfId="3">
      <formula>AND(IF(OR($Q35=1,$Q35=2),1,0),IF($X35&lt;=20,1,0))</formula>
    </cfRule>
    <cfRule type="expression" priority="1559" dxfId="2">
      <formula>AND(IF($Q35=2,1,0),IF($X35&lt;30,1,0))</formula>
    </cfRule>
    <cfRule type="expression" priority="1560" dxfId="1">
      <formula>AND(IF($Q35=3,1,0),IF($X35&lt;30,1,0))</formula>
    </cfRule>
    <cfRule type="expression" priority="1561" dxfId="0">
      <formula>AND(IF($Q35=3,1,IF($Q35=4,1,0)),IF($F35&lt;=85,1,0))</formula>
    </cfRule>
  </conditionalFormatting>
  <conditionalFormatting sqref="AI35">
    <cfRule type="expression" priority="1554" dxfId="3">
      <formula>AND(IF(OR($Q35=1,$Q35=2),1,0),IF($X35&lt;=20,1,0))</formula>
    </cfRule>
    <cfRule type="expression" priority="1555" dxfId="2">
      <formula>AND(IF($Q35=2,1,0),IF($X35&lt;30,1,0))</formula>
    </cfRule>
    <cfRule type="expression" priority="1556" dxfId="1">
      <formula>AND(IF($Q35=3,1,0),IF($X35&lt;30,1,0))</formula>
    </cfRule>
    <cfRule type="expression" priority="1557" dxfId="0">
      <formula>AND(IF($Q35=3,1,IF($Q35=4,1,0)),IF($F35&lt;=85,1,0))</formula>
    </cfRule>
  </conditionalFormatting>
  <conditionalFormatting sqref="AV36">
    <cfRule type="expression" priority="1552" dxfId="23">
      <formula>AV36="X"</formula>
    </cfRule>
    <cfRule type="expression" priority="1553" dxfId="22">
      <formula>AV36="후보"</formula>
    </cfRule>
  </conditionalFormatting>
  <conditionalFormatting sqref="AC36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6">
    <cfRule type="expression" priority="1543" dxfId="3">
      <formula>AND(IF(OR($Q36=1,$Q36=2),1,0),IF($X36&lt;=20,1,0))</formula>
    </cfRule>
    <cfRule type="expression" priority="1544" dxfId="2">
      <formula>AND(IF($Q36=2,1,0),IF($X36&lt;30,1,0))</formula>
    </cfRule>
    <cfRule type="expression" priority="1545" dxfId="1">
      <formula>AND(IF($Q36=3,1,0),IF($X36&lt;30,1,0))</formula>
    </cfRule>
    <cfRule type="expression" priority="1546" dxfId="0">
      <formula>AND(IF($Q36=3,1,IF($Q36=4,1,0)),IF($F36&lt;=85,1,0))</formula>
    </cfRule>
  </conditionalFormatting>
  <conditionalFormatting sqref="X36">
    <cfRule type="expression" priority="1539" dxfId="3">
      <formula>AND(IF(OR($Q36=1,$Q36=2),1,0),IF($X36&lt;=20,1,0))</formula>
    </cfRule>
    <cfRule type="expression" priority="1540" dxfId="2">
      <formula>AND(IF($Q36=2,1,0),IF($X36&lt;30,1,0))</formula>
    </cfRule>
    <cfRule type="expression" priority="1541" dxfId="1">
      <formula>AND(IF($Q36=3,1,0),IF($X36&lt;30,1,0))</formula>
    </cfRule>
    <cfRule type="expression" priority="1542" dxfId="0">
      <formula>AND(IF($Q36=3,1,IF($Q36=4,1,0)),IF($F36&lt;=85,1,0))</formula>
    </cfRule>
  </conditionalFormatting>
  <conditionalFormatting sqref="AI36">
    <cfRule type="expression" priority="1535" dxfId="3">
      <formula>AND(IF(OR($Q36=1,$Q36=2),1,0),IF($X36&lt;=20,1,0))</formula>
    </cfRule>
    <cfRule type="expression" priority="1536" dxfId="2">
      <formula>AND(IF($Q36=2,1,0),IF($X36&lt;30,1,0))</formula>
    </cfRule>
    <cfRule type="expression" priority="1537" dxfId="1">
      <formula>AND(IF($Q36=3,1,0),IF($X36&lt;30,1,0))</formula>
    </cfRule>
    <cfRule type="expression" priority="1538" dxfId="0">
      <formula>AND(IF($Q36=3,1,IF($Q36=4,1,0)),IF($F36&lt;=85,1,0))</formula>
    </cfRule>
  </conditionalFormatting>
  <conditionalFormatting sqref="AV37">
    <cfRule type="expression" priority="1533" dxfId="23">
      <formula>AV37="X"</formula>
    </cfRule>
    <cfRule type="expression" priority="1534" dxfId="22">
      <formula>AV37="후보"</formula>
    </cfRule>
  </conditionalFormatting>
  <conditionalFormatting sqref="AC37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7">
    <cfRule type="expression" priority="1524" dxfId="3">
      <formula>AND(IF(OR($Q37=1,$Q37=2),1,0),IF($X37&lt;=20,1,0))</formula>
    </cfRule>
    <cfRule type="expression" priority="1525" dxfId="2">
      <formula>AND(IF($Q37=2,1,0),IF($X37&lt;30,1,0))</formula>
    </cfRule>
    <cfRule type="expression" priority="1526" dxfId="1">
      <formula>AND(IF($Q37=3,1,0),IF($X37&lt;30,1,0))</formula>
    </cfRule>
    <cfRule type="expression" priority="1527" dxfId="0">
      <formula>AND(IF($Q37=3,1,IF($Q37=4,1,0)),IF($F37&lt;=85,1,0))</formula>
    </cfRule>
  </conditionalFormatting>
  <conditionalFormatting sqref="X37">
    <cfRule type="expression" priority="1520" dxfId="3">
      <formula>AND(IF(OR($Q37=1,$Q37=2),1,0),IF($X37&lt;=20,1,0))</formula>
    </cfRule>
    <cfRule type="expression" priority="1521" dxfId="2">
      <formula>AND(IF($Q37=2,1,0),IF($X37&lt;30,1,0))</formula>
    </cfRule>
    <cfRule type="expression" priority="1522" dxfId="1">
      <formula>AND(IF($Q37=3,1,0),IF($X37&lt;30,1,0))</formula>
    </cfRule>
    <cfRule type="expression" priority="1523" dxfId="0">
      <formula>AND(IF($Q37=3,1,IF($Q37=4,1,0)),IF($F37&lt;=85,1,0))</formula>
    </cfRule>
  </conditionalFormatting>
  <conditionalFormatting sqref="AI37">
    <cfRule type="expression" priority="1516" dxfId="3">
      <formula>AND(IF(OR($Q37=1,$Q37=2),1,0),IF($X37&lt;=20,1,0))</formula>
    </cfRule>
    <cfRule type="expression" priority="1517" dxfId="2">
      <formula>AND(IF($Q37=2,1,0),IF($X37&lt;30,1,0))</formula>
    </cfRule>
    <cfRule type="expression" priority="1518" dxfId="1">
      <formula>AND(IF($Q37=3,1,0),IF($X37&lt;30,1,0))</formula>
    </cfRule>
    <cfRule type="expression" priority="1519" dxfId="0">
      <formula>AND(IF($Q37=3,1,IF($Q37=4,1,0)),IF($F37&lt;=85,1,0))</formula>
    </cfRule>
  </conditionalFormatting>
  <conditionalFormatting sqref="AV38">
    <cfRule type="expression" priority="1514" dxfId="23">
      <formula>AV38="X"</formula>
    </cfRule>
    <cfRule type="expression" priority="1515" dxfId="22">
      <formula>AV38="후보"</formula>
    </cfRule>
  </conditionalFormatting>
  <conditionalFormatting sqref="AC38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8">
    <cfRule type="expression" priority="1505" dxfId="3">
      <formula>AND(IF(OR($Q38=1,$Q38=2),1,0),IF($X38&lt;=20,1,0))</formula>
    </cfRule>
    <cfRule type="expression" priority="1506" dxfId="2">
      <formula>AND(IF($Q38=2,1,0),IF($X38&lt;30,1,0))</formula>
    </cfRule>
    <cfRule type="expression" priority="1507" dxfId="1">
      <formula>AND(IF($Q38=3,1,0),IF($X38&lt;30,1,0))</formula>
    </cfRule>
    <cfRule type="expression" priority="1508" dxfId="0">
      <formula>AND(IF($Q38=3,1,IF($Q38=4,1,0)),IF($F38&lt;=85,1,0))</formula>
    </cfRule>
  </conditionalFormatting>
  <conditionalFormatting sqref="X38">
    <cfRule type="expression" priority="1501" dxfId="3">
      <formula>AND(IF(OR($Q38=1,$Q38=2),1,0),IF($X38&lt;=20,1,0))</formula>
    </cfRule>
    <cfRule type="expression" priority="1502" dxfId="2">
      <formula>AND(IF($Q38=2,1,0),IF($X38&lt;30,1,0))</formula>
    </cfRule>
    <cfRule type="expression" priority="1503" dxfId="1">
      <formula>AND(IF($Q38=3,1,0),IF($X38&lt;30,1,0))</formula>
    </cfRule>
    <cfRule type="expression" priority="1504" dxfId="0">
      <formula>AND(IF($Q38=3,1,IF($Q38=4,1,0)),IF($F38&lt;=85,1,0))</formula>
    </cfRule>
  </conditionalFormatting>
  <conditionalFormatting sqref="AI38">
    <cfRule type="expression" priority="1497" dxfId="3">
      <formula>AND(IF(OR($Q38=1,$Q38=2),1,0),IF($X38&lt;=20,1,0))</formula>
    </cfRule>
    <cfRule type="expression" priority="1498" dxfId="2">
      <formula>AND(IF($Q38=2,1,0),IF($X38&lt;30,1,0))</formula>
    </cfRule>
    <cfRule type="expression" priority="1499" dxfId="1">
      <formula>AND(IF($Q38=3,1,0),IF($X38&lt;30,1,0))</formula>
    </cfRule>
    <cfRule type="expression" priority="1500" dxfId="0">
      <formula>AND(IF($Q38=3,1,IF($Q38=4,1,0)),IF($F38&lt;=85,1,0))</formula>
    </cfRule>
  </conditionalFormatting>
  <conditionalFormatting sqref="AV39">
    <cfRule type="expression" priority="1495" dxfId="23">
      <formula>AV39="X"</formula>
    </cfRule>
    <cfRule type="expression" priority="1496" dxfId="22">
      <formula>AV39="후보"</formula>
    </cfRule>
  </conditionalFormatting>
  <conditionalFormatting sqref="AC39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9">
    <cfRule type="expression" priority="1486" dxfId="3">
      <formula>AND(IF(OR($Q39=1,$Q39=2),1,0),IF($X39&lt;=20,1,0))</formula>
    </cfRule>
    <cfRule type="expression" priority="1487" dxfId="2">
      <formula>AND(IF($Q39=2,1,0),IF($X39&lt;30,1,0))</formula>
    </cfRule>
    <cfRule type="expression" priority="1488" dxfId="1">
      <formula>AND(IF($Q39=3,1,0),IF($X39&lt;30,1,0))</formula>
    </cfRule>
    <cfRule type="expression" priority="1489" dxfId="0">
      <formula>AND(IF($Q39=3,1,IF($Q39=4,1,0)),IF($F39&lt;=85,1,0))</formula>
    </cfRule>
  </conditionalFormatting>
  <conditionalFormatting sqref="X39">
    <cfRule type="expression" priority="1482" dxfId="3">
      <formula>AND(IF(OR($Q39=1,$Q39=2),1,0),IF($X39&lt;=20,1,0))</formula>
    </cfRule>
    <cfRule type="expression" priority="1483" dxfId="2">
      <formula>AND(IF($Q39=2,1,0),IF($X39&lt;30,1,0))</formula>
    </cfRule>
    <cfRule type="expression" priority="1484" dxfId="1">
      <formula>AND(IF($Q39=3,1,0),IF($X39&lt;30,1,0))</formula>
    </cfRule>
    <cfRule type="expression" priority="1485" dxfId="0">
      <formula>AND(IF($Q39=3,1,IF($Q39=4,1,0)),IF($F39&lt;=85,1,0))</formula>
    </cfRule>
  </conditionalFormatting>
  <conditionalFormatting sqref="AI39">
    <cfRule type="expression" priority="1478" dxfId="3">
      <formula>AND(IF(OR($Q39=1,$Q39=2),1,0),IF($X39&lt;=20,1,0))</formula>
    </cfRule>
    <cfRule type="expression" priority="1479" dxfId="2">
      <formula>AND(IF($Q39=2,1,0),IF($X39&lt;30,1,0))</formula>
    </cfRule>
    <cfRule type="expression" priority="1480" dxfId="1">
      <formula>AND(IF($Q39=3,1,0),IF($X39&lt;30,1,0))</formula>
    </cfRule>
    <cfRule type="expression" priority="1481" dxfId="0">
      <formula>AND(IF($Q39=3,1,IF($Q39=4,1,0)),IF($F39&lt;=85,1,0))</formula>
    </cfRule>
  </conditionalFormatting>
  <conditionalFormatting sqref="AV40">
    <cfRule type="expression" priority="1476" dxfId="23">
      <formula>AV40="X"</formula>
    </cfRule>
    <cfRule type="expression" priority="1477" dxfId="22">
      <formula>AV40="후보"</formula>
    </cfRule>
  </conditionalFormatting>
  <conditionalFormatting sqref="AC40 N4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41">
    <cfRule type="expression" priority="1471" dxfId="23">
      <formula>AV41="X"</formula>
    </cfRule>
    <cfRule type="expression" priority="1472" dxfId="22">
      <formula>AV41="후보"</formula>
    </cfRule>
  </conditionalFormatting>
  <conditionalFormatting sqref="AC41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1">
    <cfRule type="expression" priority="1462" dxfId="3">
      <formula>AND(IF(OR($Q41=1,$Q41=2),1,0),IF($X41&lt;=20,1,0))</formula>
    </cfRule>
    <cfRule type="expression" priority="1463" dxfId="2">
      <formula>AND(IF($Q41=2,1,0),IF($X41&lt;30,1,0))</formula>
    </cfRule>
    <cfRule type="expression" priority="1464" dxfId="1">
      <formula>AND(IF($Q41=3,1,0),IF($X41&lt;30,1,0))</formula>
    </cfRule>
    <cfRule type="expression" priority="1465" dxfId="0">
      <formula>AND(IF($Q41=3,1,IF($Q41=4,1,0)),IF($F41&lt;=85,1,0))</formula>
    </cfRule>
  </conditionalFormatting>
  <conditionalFormatting sqref="X41">
    <cfRule type="expression" priority="1458" dxfId="3">
      <formula>AND(IF(OR($Q41=1,$Q41=2),1,0),IF($X41&lt;=20,1,0))</formula>
    </cfRule>
    <cfRule type="expression" priority="1459" dxfId="2">
      <formula>AND(IF($Q41=2,1,0),IF($X41&lt;30,1,0))</formula>
    </cfRule>
    <cfRule type="expression" priority="1460" dxfId="1">
      <formula>AND(IF($Q41=3,1,0),IF($X41&lt;30,1,0))</formula>
    </cfRule>
    <cfRule type="expression" priority="1461" dxfId="0">
      <formula>AND(IF($Q41=3,1,IF($Q41=4,1,0)),IF($F41&lt;=85,1,0))</formula>
    </cfRule>
  </conditionalFormatting>
  <conditionalFormatting sqref="AI41">
    <cfRule type="expression" priority="1454" dxfId="3">
      <formula>AND(IF(OR($Q41=1,$Q41=2),1,0),IF($X41&lt;=20,1,0))</formula>
    </cfRule>
    <cfRule type="expression" priority="1455" dxfId="2">
      <formula>AND(IF($Q41=2,1,0),IF($X41&lt;30,1,0))</formula>
    </cfRule>
    <cfRule type="expression" priority="1456" dxfId="1">
      <formula>AND(IF($Q41=3,1,0),IF($X41&lt;30,1,0))</formula>
    </cfRule>
    <cfRule type="expression" priority="1457" dxfId="0">
      <formula>AND(IF($Q41=3,1,IF($Q41=4,1,0)),IF($F41&lt;=85,1,0))</formula>
    </cfRule>
  </conditionalFormatting>
  <conditionalFormatting sqref="AV42">
    <cfRule type="expression" priority="1452" dxfId="23">
      <formula>AV42="X"</formula>
    </cfRule>
    <cfRule type="expression" priority="1453" dxfId="22">
      <formula>AV42="후보"</formula>
    </cfRule>
  </conditionalFormatting>
  <conditionalFormatting sqref="AC42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4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42">
    <cfRule type="expression" priority="1443" dxfId="3">
      <formula>AND(IF(OR($Q42=1,$Q42=2),1,0),IF($X42&lt;=20,1,0))</formula>
    </cfRule>
    <cfRule type="expression" priority="1444" dxfId="2">
      <formula>AND(IF($Q42=2,1,0),IF($X42&lt;30,1,0))</formula>
    </cfRule>
    <cfRule type="expression" priority="1445" dxfId="1">
      <formula>AND(IF($Q42=3,1,0),IF($X42&lt;30,1,0))</formula>
    </cfRule>
    <cfRule type="expression" priority="1446" dxfId="0">
      <formula>AND(IF($Q42=3,1,IF($Q42=4,1,0)),IF($F42&lt;=85,1,0))</formula>
    </cfRule>
  </conditionalFormatting>
  <conditionalFormatting sqref="X42">
    <cfRule type="expression" priority="1439" dxfId="3">
      <formula>AND(IF(OR($Q42=1,$Q42=2),1,0),IF($X42&lt;=20,1,0))</formula>
    </cfRule>
    <cfRule type="expression" priority="1440" dxfId="2">
      <formula>AND(IF($Q42=2,1,0),IF($X42&lt;30,1,0))</formula>
    </cfRule>
    <cfRule type="expression" priority="1441" dxfId="1">
      <formula>AND(IF($Q42=3,1,0),IF($X42&lt;30,1,0))</formula>
    </cfRule>
    <cfRule type="expression" priority="1442" dxfId="0">
      <formula>AND(IF($Q42=3,1,IF($Q42=4,1,0)),IF($F42&lt;=85,1,0))</formula>
    </cfRule>
  </conditionalFormatting>
  <conditionalFormatting sqref="AI42">
    <cfRule type="expression" priority="1435" dxfId="3">
      <formula>AND(IF(OR($Q42=1,$Q42=2),1,0),IF($X42&lt;=20,1,0))</formula>
    </cfRule>
    <cfRule type="expression" priority="1436" dxfId="2">
      <formula>AND(IF($Q42=2,1,0),IF($X42&lt;30,1,0))</formula>
    </cfRule>
    <cfRule type="expression" priority="1437" dxfId="1">
      <formula>AND(IF($Q42=3,1,0),IF($X42&lt;30,1,0))</formula>
    </cfRule>
    <cfRule type="expression" priority="1438" dxfId="0">
      <formula>AND(IF($Q42=3,1,IF($Q42=4,1,0)),IF($F42&lt;=85,1,0))</formula>
    </cfRule>
  </conditionalFormatting>
  <conditionalFormatting sqref="AV43">
    <cfRule type="expression" priority="1433" dxfId="23">
      <formula>AV43="X"</formula>
    </cfRule>
    <cfRule type="expression" priority="1434" dxfId="22">
      <formula>AV43="후보"</formula>
    </cfRule>
  </conditionalFormatting>
  <conditionalFormatting sqref="AC43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4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43">
    <cfRule type="expression" priority="1424" dxfId="3">
      <formula>AND(IF(OR($Q43=1,$Q43=2),1,0),IF($X43&lt;=20,1,0))</formula>
    </cfRule>
    <cfRule type="expression" priority="1425" dxfId="2">
      <formula>AND(IF($Q43=2,1,0),IF($X43&lt;30,1,0))</formula>
    </cfRule>
    <cfRule type="expression" priority="1426" dxfId="1">
      <formula>AND(IF($Q43=3,1,0),IF($X43&lt;30,1,0))</formula>
    </cfRule>
    <cfRule type="expression" priority="1427" dxfId="0">
      <formula>AND(IF($Q43=3,1,IF($Q43=4,1,0)),IF($F43&lt;=85,1,0))</formula>
    </cfRule>
  </conditionalFormatting>
  <conditionalFormatting sqref="X43">
    <cfRule type="expression" priority="1420" dxfId="3">
      <formula>AND(IF(OR($Q43=1,$Q43=2),1,0),IF($X43&lt;=20,1,0))</formula>
    </cfRule>
    <cfRule type="expression" priority="1421" dxfId="2">
      <formula>AND(IF($Q43=2,1,0),IF($X43&lt;30,1,0))</formula>
    </cfRule>
    <cfRule type="expression" priority="1422" dxfId="1">
      <formula>AND(IF($Q43=3,1,0),IF($X43&lt;30,1,0))</formula>
    </cfRule>
    <cfRule type="expression" priority="1423" dxfId="0">
      <formula>AND(IF($Q43=3,1,IF($Q43=4,1,0)),IF($F43&lt;=85,1,0))</formula>
    </cfRule>
  </conditionalFormatting>
  <conditionalFormatting sqref="AI43">
    <cfRule type="expression" priority="1416" dxfId="3">
      <formula>AND(IF(OR($Q43=1,$Q43=2),1,0),IF($X43&lt;=20,1,0))</formula>
    </cfRule>
    <cfRule type="expression" priority="1417" dxfId="2">
      <formula>AND(IF($Q43=2,1,0),IF($X43&lt;30,1,0))</formula>
    </cfRule>
    <cfRule type="expression" priority="1418" dxfId="1">
      <formula>AND(IF($Q43=3,1,0),IF($X43&lt;30,1,0))</formula>
    </cfRule>
    <cfRule type="expression" priority="1419" dxfId="0">
      <formula>AND(IF($Q43=3,1,IF($Q43=4,1,0)),IF($F43&lt;=85,1,0))</formula>
    </cfRule>
  </conditionalFormatting>
  <conditionalFormatting sqref="AV44">
    <cfRule type="expression" priority="1414" dxfId="23">
      <formula>AV44="X"</formula>
    </cfRule>
    <cfRule type="expression" priority="1415" dxfId="22">
      <formula>AV44="후보"</formula>
    </cfRule>
  </conditionalFormatting>
  <conditionalFormatting sqref="AC44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4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44">
    <cfRule type="expression" priority="1405" dxfId="3">
      <formula>AND(IF(OR($Q44=1,$Q44=2),1,0),IF($X44&lt;=20,1,0))</formula>
    </cfRule>
    <cfRule type="expression" priority="1406" dxfId="2">
      <formula>AND(IF($Q44=2,1,0),IF($X44&lt;30,1,0))</formula>
    </cfRule>
    <cfRule type="expression" priority="1407" dxfId="1">
      <formula>AND(IF($Q44=3,1,0),IF($X44&lt;30,1,0))</formula>
    </cfRule>
    <cfRule type="expression" priority="1408" dxfId="0">
      <formula>AND(IF($Q44=3,1,IF($Q44=4,1,0)),IF($F44&lt;=85,1,0))</formula>
    </cfRule>
  </conditionalFormatting>
  <conditionalFormatting sqref="X44">
    <cfRule type="expression" priority="1401" dxfId="3">
      <formula>AND(IF(OR($Q44=1,$Q44=2),1,0),IF($X44&lt;=20,1,0))</formula>
    </cfRule>
    <cfRule type="expression" priority="1402" dxfId="2">
      <formula>AND(IF($Q44=2,1,0),IF($X44&lt;30,1,0))</formula>
    </cfRule>
    <cfRule type="expression" priority="1403" dxfId="1">
      <formula>AND(IF($Q44=3,1,0),IF($X44&lt;30,1,0))</formula>
    </cfRule>
    <cfRule type="expression" priority="1404" dxfId="0">
      <formula>AND(IF($Q44=3,1,IF($Q44=4,1,0)),IF($F44&lt;=85,1,0))</formula>
    </cfRule>
  </conditionalFormatting>
  <conditionalFormatting sqref="AI44">
    <cfRule type="expression" priority="1397" dxfId="3">
      <formula>AND(IF(OR($Q44=1,$Q44=2),1,0),IF($X44&lt;=20,1,0))</formula>
    </cfRule>
    <cfRule type="expression" priority="1398" dxfId="2">
      <formula>AND(IF($Q44=2,1,0),IF($X44&lt;30,1,0))</formula>
    </cfRule>
    <cfRule type="expression" priority="1399" dxfId="1">
      <formula>AND(IF($Q44=3,1,0),IF($X44&lt;30,1,0))</formula>
    </cfRule>
    <cfRule type="expression" priority="1400" dxfId="0">
      <formula>AND(IF($Q44=3,1,IF($Q44=4,1,0)),IF($F44&lt;=85,1,0))</formula>
    </cfRule>
  </conditionalFormatting>
  <conditionalFormatting sqref="AV45">
    <cfRule type="expression" priority="1395" dxfId="23">
      <formula>AV45="X"</formula>
    </cfRule>
    <cfRule type="expression" priority="1396" dxfId="22">
      <formula>AV45="후보"</formula>
    </cfRule>
  </conditionalFormatting>
  <conditionalFormatting sqref="AC45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4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45">
    <cfRule type="expression" priority="1386" dxfId="3">
      <formula>AND(IF(OR($Q45=1,$Q45=2),1,0),IF($X45&lt;=20,1,0))</formula>
    </cfRule>
    <cfRule type="expression" priority="1387" dxfId="2">
      <formula>AND(IF($Q45=2,1,0),IF($X45&lt;30,1,0))</formula>
    </cfRule>
    <cfRule type="expression" priority="1388" dxfId="1">
      <formula>AND(IF($Q45=3,1,0),IF($X45&lt;30,1,0))</formula>
    </cfRule>
    <cfRule type="expression" priority="1389" dxfId="0">
      <formula>AND(IF($Q45=3,1,IF($Q45=4,1,0)),IF($F45&lt;=85,1,0))</formula>
    </cfRule>
  </conditionalFormatting>
  <conditionalFormatting sqref="X45">
    <cfRule type="expression" priority="1382" dxfId="3">
      <formula>AND(IF(OR($Q45=1,$Q45=2),1,0),IF($X45&lt;=20,1,0))</formula>
    </cfRule>
    <cfRule type="expression" priority="1383" dxfId="2">
      <formula>AND(IF($Q45=2,1,0),IF($X45&lt;30,1,0))</formula>
    </cfRule>
    <cfRule type="expression" priority="1384" dxfId="1">
      <formula>AND(IF($Q45=3,1,0),IF($X45&lt;30,1,0))</formula>
    </cfRule>
    <cfRule type="expression" priority="1385" dxfId="0">
      <formula>AND(IF($Q45=3,1,IF($Q45=4,1,0)),IF($F45&lt;=85,1,0))</formula>
    </cfRule>
  </conditionalFormatting>
  <conditionalFormatting sqref="AI45">
    <cfRule type="expression" priority="1378" dxfId="3">
      <formula>AND(IF(OR($Q45=1,$Q45=2),1,0),IF($X45&lt;=20,1,0))</formula>
    </cfRule>
    <cfRule type="expression" priority="1379" dxfId="2">
      <formula>AND(IF($Q45=2,1,0),IF($X45&lt;30,1,0))</formula>
    </cfRule>
    <cfRule type="expression" priority="1380" dxfId="1">
      <formula>AND(IF($Q45=3,1,0),IF($X45&lt;30,1,0))</formula>
    </cfRule>
    <cfRule type="expression" priority="1381" dxfId="0">
      <formula>AND(IF($Q45=3,1,IF($Q45=4,1,0)),IF($F45&lt;=85,1,0))</formula>
    </cfRule>
  </conditionalFormatting>
  <conditionalFormatting sqref="AV46">
    <cfRule type="expression" priority="1376" dxfId="23">
      <formula>AV46="X"</formula>
    </cfRule>
    <cfRule type="expression" priority="1377" dxfId="22">
      <formula>AV46="후보"</formula>
    </cfRule>
  </conditionalFormatting>
  <conditionalFormatting sqref="AC46 N46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47">
    <cfRule type="expression" priority="1371" dxfId="23">
      <formula>AV47="X"</formula>
    </cfRule>
    <cfRule type="expression" priority="1372" dxfId="22">
      <formula>AV47="후보"</formula>
    </cfRule>
  </conditionalFormatting>
  <conditionalFormatting sqref="AC47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7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7">
    <cfRule type="expression" priority="1362" dxfId="3">
      <formula>AND(IF(OR($Q47=1,$Q47=2),1,0),IF($X47&lt;=20,1,0))</formula>
    </cfRule>
    <cfRule type="expression" priority="1363" dxfId="2">
      <formula>AND(IF($Q47=2,1,0),IF($X47&lt;30,1,0))</formula>
    </cfRule>
    <cfRule type="expression" priority="1364" dxfId="1">
      <formula>AND(IF($Q47=3,1,0),IF($X47&lt;30,1,0))</formula>
    </cfRule>
    <cfRule type="expression" priority="1365" dxfId="0">
      <formula>AND(IF($Q47=3,1,IF($Q47=4,1,0)),IF($F47&lt;=85,1,0))</formula>
    </cfRule>
  </conditionalFormatting>
  <conditionalFormatting sqref="X47">
    <cfRule type="expression" priority="1358" dxfId="3">
      <formula>AND(IF(OR($Q47=1,$Q47=2),1,0),IF($X47&lt;=20,1,0))</formula>
    </cfRule>
    <cfRule type="expression" priority="1359" dxfId="2">
      <formula>AND(IF($Q47=2,1,0),IF($X47&lt;30,1,0))</formula>
    </cfRule>
    <cfRule type="expression" priority="1360" dxfId="1">
      <formula>AND(IF($Q47=3,1,0),IF($X47&lt;30,1,0))</formula>
    </cfRule>
    <cfRule type="expression" priority="1361" dxfId="0">
      <formula>AND(IF($Q47=3,1,IF($Q47=4,1,0)),IF($F47&lt;=85,1,0))</formula>
    </cfRule>
  </conditionalFormatting>
  <conditionalFormatting sqref="AI47">
    <cfRule type="expression" priority="1354" dxfId="3">
      <formula>AND(IF(OR($Q47=1,$Q47=2),1,0),IF($X47&lt;=20,1,0))</formula>
    </cfRule>
    <cfRule type="expression" priority="1355" dxfId="2">
      <formula>AND(IF($Q47=2,1,0),IF($X47&lt;30,1,0))</formula>
    </cfRule>
    <cfRule type="expression" priority="1356" dxfId="1">
      <formula>AND(IF($Q47=3,1,0),IF($X47&lt;30,1,0))</formula>
    </cfRule>
    <cfRule type="expression" priority="1357" dxfId="0">
      <formula>AND(IF($Q47=3,1,IF($Q47=4,1,0)),IF($F47&lt;=85,1,0))</formula>
    </cfRule>
  </conditionalFormatting>
  <conditionalFormatting sqref="AV48">
    <cfRule type="expression" priority="1352" dxfId="23">
      <formula>AV48="X"</formula>
    </cfRule>
    <cfRule type="expression" priority="1353" dxfId="22">
      <formula>AV48="후보"</formula>
    </cfRule>
  </conditionalFormatting>
  <conditionalFormatting sqref="AC48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8">
    <cfRule type="expression" priority="1343" dxfId="3">
      <formula>AND(IF(OR($Q48=1,$Q48=2),1,0),IF($X48&lt;=20,1,0))</formula>
    </cfRule>
    <cfRule type="expression" priority="1344" dxfId="2">
      <formula>AND(IF($Q48=2,1,0),IF($X48&lt;30,1,0))</formula>
    </cfRule>
    <cfRule type="expression" priority="1345" dxfId="1">
      <formula>AND(IF($Q48=3,1,0),IF($X48&lt;30,1,0))</formula>
    </cfRule>
    <cfRule type="expression" priority="1346" dxfId="0">
      <formula>AND(IF($Q48=3,1,IF($Q48=4,1,0)),IF($F48&lt;=85,1,0))</formula>
    </cfRule>
  </conditionalFormatting>
  <conditionalFormatting sqref="X48">
    <cfRule type="expression" priority="1339" dxfId="3">
      <formula>AND(IF(OR($Q48=1,$Q48=2),1,0),IF($X48&lt;=20,1,0))</formula>
    </cfRule>
    <cfRule type="expression" priority="1340" dxfId="2">
      <formula>AND(IF($Q48=2,1,0),IF($X48&lt;30,1,0))</formula>
    </cfRule>
    <cfRule type="expression" priority="1341" dxfId="1">
      <formula>AND(IF($Q48=3,1,0),IF($X48&lt;30,1,0))</formula>
    </cfRule>
    <cfRule type="expression" priority="1342" dxfId="0">
      <formula>AND(IF($Q48=3,1,IF($Q48=4,1,0)),IF($F48&lt;=85,1,0))</formula>
    </cfRule>
  </conditionalFormatting>
  <conditionalFormatting sqref="AI48">
    <cfRule type="expression" priority="1335" dxfId="3">
      <formula>AND(IF(OR($Q48=1,$Q48=2),1,0),IF($X48&lt;=20,1,0))</formula>
    </cfRule>
    <cfRule type="expression" priority="1336" dxfId="2">
      <formula>AND(IF($Q48=2,1,0),IF($X48&lt;30,1,0))</formula>
    </cfRule>
    <cfRule type="expression" priority="1337" dxfId="1">
      <formula>AND(IF($Q48=3,1,0),IF($X48&lt;30,1,0))</formula>
    </cfRule>
    <cfRule type="expression" priority="1338" dxfId="0">
      <formula>AND(IF($Q48=3,1,IF($Q48=4,1,0)),IF($F48&lt;=85,1,0))</formula>
    </cfRule>
  </conditionalFormatting>
  <conditionalFormatting sqref="AV49">
    <cfRule type="expression" priority="1333" dxfId="23">
      <formula>AV49="X"</formula>
    </cfRule>
    <cfRule type="expression" priority="1334" dxfId="22">
      <formula>AV49="후보"</formula>
    </cfRule>
  </conditionalFormatting>
  <conditionalFormatting sqref="AC49 N49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0">
    <cfRule type="expression" priority="1328" dxfId="23">
      <formula>AV50="X"</formula>
    </cfRule>
    <cfRule type="expression" priority="1329" dxfId="22">
      <formula>AV50="후보"</formula>
    </cfRule>
  </conditionalFormatting>
  <conditionalFormatting sqref="AC50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0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X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I50">
    <cfRule type="expression" priority="1311" dxfId="3">
      <formula>AND(IF(OR($Q50=1,$Q50=2),1,0),IF($X50&lt;=20,1,0))</formula>
    </cfRule>
    <cfRule type="expression" priority="1312" dxfId="2">
      <formula>AND(IF($Q50=2,1,0),IF($X50&lt;30,1,0))</formula>
    </cfRule>
    <cfRule type="expression" priority="1313" dxfId="1">
      <formula>AND(IF($Q50=3,1,0),IF($X50&lt;30,1,0))</formula>
    </cfRule>
    <cfRule type="expression" priority="1314" dxfId="0">
      <formula>AND(IF($Q50=3,1,IF($Q50=4,1,0)),IF($F50&lt;=85,1,0))</formula>
    </cfRule>
  </conditionalFormatting>
  <conditionalFormatting sqref="AV51">
    <cfRule type="expression" priority="1309" dxfId="23">
      <formula>AV51="X"</formula>
    </cfRule>
    <cfRule type="expression" priority="1310" dxfId="22">
      <formula>AV51="후보"</formula>
    </cfRule>
  </conditionalFormatting>
  <conditionalFormatting sqref="AC51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X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I51">
    <cfRule type="expression" priority="1292" dxfId="3">
      <formula>AND(IF(OR($Q51=1,$Q51=2),1,0),IF($X51&lt;=20,1,0))</formula>
    </cfRule>
    <cfRule type="expression" priority="1293" dxfId="2">
      <formula>AND(IF($Q51=2,1,0),IF($X51&lt;30,1,0))</formula>
    </cfRule>
    <cfRule type="expression" priority="1294" dxfId="1">
      <formula>AND(IF($Q51=3,1,0),IF($X51&lt;30,1,0))</formula>
    </cfRule>
    <cfRule type="expression" priority="1295" dxfId="0">
      <formula>AND(IF($Q51=3,1,IF($Q51=4,1,0)),IF($F51&lt;=85,1,0))</formula>
    </cfRule>
  </conditionalFormatting>
  <conditionalFormatting sqref="AV52">
    <cfRule type="expression" priority="1290" dxfId="23">
      <formula>AV52="X"</formula>
    </cfRule>
    <cfRule type="expression" priority="1291" dxfId="22">
      <formula>AV52="후보"</formula>
    </cfRule>
  </conditionalFormatting>
  <conditionalFormatting sqref="AC52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X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I52">
    <cfRule type="expression" priority="1273" dxfId="3">
      <formula>AND(IF(OR($Q52=1,$Q52=2),1,0),IF($X52&lt;=20,1,0))</formula>
    </cfRule>
    <cfRule type="expression" priority="1274" dxfId="2">
      <formula>AND(IF($Q52=2,1,0),IF($X52&lt;30,1,0))</formula>
    </cfRule>
    <cfRule type="expression" priority="1275" dxfId="1">
      <formula>AND(IF($Q52=3,1,0),IF($X52&lt;30,1,0))</formula>
    </cfRule>
    <cfRule type="expression" priority="1276" dxfId="0">
      <formula>AND(IF($Q52=3,1,IF($Q52=4,1,0)),IF($F52&lt;=85,1,0))</formula>
    </cfRule>
  </conditionalFormatting>
  <conditionalFormatting sqref="AV53">
    <cfRule type="expression" priority="1271" dxfId="23">
      <formula>AV53="X"</formula>
    </cfRule>
    <cfRule type="expression" priority="1272" dxfId="22">
      <formula>AV53="후보"</formula>
    </cfRule>
  </conditionalFormatting>
  <conditionalFormatting sqref="AC53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X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I53">
    <cfRule type="expression" priority="1254" dxfId="3">
      <formula>AND(IF(OR($Q53=1,$Q53=2),1,0),IF($X53&lt;=20,1,0))</formula>
    </cfRule>
    <cfRule type="expression" priority="1255" dxfId="2">
      <formula>AND(IF($Q53=2,1,0),IF($X53&lt;30,1,0))</formula>
    </cfRule>
    <cfRule type="expression" priority="1256" dxfId="1">
      <formula>AND(IF($Q53=3,1,0),IF($X53&lt;30,1,0))</formula>
    </cfRule>
    <cfRule type="expression" priority="1257" dxfId="0">
      <formula>AND(IF($Q53=3,1,IF($Q53=4,1,0)),IF($F53&lt;=85,1,0))</formula>
    </cfRule>
  </conditionalFormatting>
  <conditionalFormatting sqref="AV54">
    <cfRule type="expression" priority="1252" dxfId="23">
      <formula>AV54="X"</formula>
    </cfRule>
    <cfRule type="expression" priority="1253" dxfId="22">
      <formula>AV54="후보"</formula>
    </cfRule>
  </conditionalFormatting>
  <conditionalFormatting sqref="AC54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4">
    <cfRule type="expression" priority="1243" dxfId="3">
      <formula>AND(IF(OR($Q54=1,$Q54=2),1,0),IF($X54&lt;=20,1,0))</formula>
    </cfRule>
    <cfRule type="expression" priority="1244" dxfId="2">
      <formula>AND(IF($Q54=2,1,0),IF($X54&lt;30,1,0))</formula>
    </cfRule>
    <cfRule type="expression" priority="1245" dxfId="1">
      <formula>AND(IF($Q54=3,1,0),IF($X54&lt;30,1,0))</formula>
    </cfRule>
    <cfRule type="expression" priority="1246" dxfId="0">
      <formula>AND(IF($Q54=3,1,IF($Q54=4,1,0)),IF($F54&lt;=85,1,0))</formula>
    </cfRule>
  </conditionalFormatting>
  <conditionalFormatting sqref="X54">
    <cfRule type="expression" priority="1239" dxfId="3">
      <formula>AND(IF(OR($Q54=1,$Q54=2),1,0),IF($X54&lt;=20,1,0))</formula>
    </cfRule>
    <cfRule type="expression" priority="1240" dxfId="2">
      <formula>AND(IF($Q54=2,1,0),IF($X54&lt;30,1,0))</formula>
    </cfRule>
    <cfRule type="expression" priority="1241" dxfId="1">
      <formula>AND(IF($Q54=3,1,0),IF($X54&lt;30,1,0))</formula>
    </cfRule>
    <cfRule type="expression" priority="1242" dxfId="0">
      <formula>AND(IF($Q54=3,1,IF($Q54=4,1,0)),IF($F54&lt;=85,1,0))</formula>
    </cfRule>
  </conditionalFormatting>
  <conditionalFormatting sqref="AI54">
    <cfRule type="expression" priority="1235" dxfId="3">
      <formula>AND(IF(OR($Q54=1,$Q54=2),1,0),IF($X54&lt;=20,1,0))</formula>
    </cfRule>
    <cfRule type="expression" priority="1236" dxfId="2">
      <formula>AND(IF($Q54=2,1,0),IF($X54&lt;30,1,0))</formula>
    </cfRule>
    <cfRule type="expression" priority="1237" dxfId="1">
      <formula>AND(IF($Q54=3,1,0),IF($X54&lt;30,1,0))</formula>
    </cfRule>
    <cfRule type="expression" priority="1238" dxfId="0">
      <formula>AND(IF($Q54=3,1,IF($Q54=4,1,0)),IF($F54&lt;=85,1,0))</formula>
    </cfRule>
  </conditionalFormatting>
  <conditionalFormatting sqref="AV55">
    <cfRule type="expression" priority="1233" dxfId="23">
      <formula>AV55="X"</formula>
    </cfRule>
    <cfRule type="expression" priority="1234" dxfId="22">
      <formula>AV55="후보"</formula>
    </cfRule>
  </conditionalFormatting>
  <conditionalFormatting sqref="AC55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5">
    <cfRule type="expression" priority="1224" dxfId="3">
      <formula>AND(IF(OR($Q55=1,$Q55=2),1,0),IF($X55&lt;=20,1,0))</formula>
    </cfRule>
    <cfRule type="expression" priority="1225" dxfId="2">
      <formula>AND(IF($Q55=2,1,0),IF($X55&lt;30,1,0))</formula>
    </cfRule>
    <cfRule type="expression" priority="1226" dxfId="1">
      <formula>AND(IF($Q55=3,1,0),IF($X55&lt;30,1,0))</formula>
    </cfRule>
    <cfRule type="expression" priority="1227" dxfId="0">
      <formula>AND(IF($Q55=3,1,IF($Q55=4,1,0)),IF($F55&lt;=85,1,0))</formula>
    </cfRule>
  </conditionalFormatting>
  <conditionalFormatting sqref="X55">
    <cfRule type="expression" priority="1220" dxfId="3">
      <formula>AND(IF(OR($Q55=1,$Q55=2),1,0),IF($X55&lt;=20,1,0))</formula>
    </cfRule>
    <cfRule type="expression" priority="1221" dxfId="2">
      <formula>AND(IF($Q55=2,1,0),IF($X55&lt;30,1,0))</formula>
    </cfRule>
    <cfRule type="expression" priority="1222" dxfId="1">
      <formula>AND(IF($Q55=3,1,0),IF($X55&lt;30,1,0))</formula>
    </cfRule>
    <cfRule type="expression" priority="1223" dxfId="0">
      <formula>AND(IF($Q55=3,1,IF($Q55=4,1,0)),IF($F55&lt;=85,1,0))</formula>
    </cfRule>
  </conditionalFormatting>
  <conditionalFormatting sqref="AI55">
    <cfRule type="expression" priority="1216" dxfId="3">
      <formula>AND(IF(OR($Q55=1,$Q55=2),1,0),IF($X55&lt;=20,1,0))</formula>
    </cfRule>
    <cfRule type="expression" priority="1217" dxfId="2">
      <formula>AND(IF($Q55=2,1,0),IF($X55&lt;30,1,0))</formula>
    </cfRule>
    <cfRule type="expression" priority="1218" dxfId="1">
      <formula>AND(IF($Q55=3,1,0),IF($X55&lt;30,1,0))</formula>
    </cfRule>
    <cfRule type="expression" priority="1219" dxfId="0">
      <formula>AND(IF($Q55=3,1,IF($Q55=4,1,0)),IF($F55&lt;=85,1,0))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 N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7">
    <cfRule type="expression" priority="1209" dxfId="23">
      <formula>AV57="X"</formula>
    </cfRule>
    <cfRule type="expression" priority="1210" dxfId="22">
      <formula>AV57="후보"</formula>
    </cfRule>
  </conditionalFormatting>
  <conditionalFormatting sqref="AC57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7">
    <cfRule type="expression" priority="1200" dxfId="3">
      <formula>AND(IF(OR($Q57=1,$Q57=2),1,0),IF($X57&lt;=20,1,0))</formula>
    </cfRule>
    <cfRule type="expression" priority="1201" dxfId="2">
      <formula>AND(IF($Q57=2,1,0),IF($X57&lt;30,1,0))</formula>
    </cfRule>
    <cfRule type="expression" priority="1202" dxfId="1">
      <formula>AND(IF($Q57=3,1,0),IF($X57&lt;30,1,0))</formula>
    </cfRule>
    <cfRule type="expression" priority="1203" dxfId="0">
      <formula>AND(IF($Q57=3,1,IF($Q57=4,1,0)),IF($F57&lt;=85,1,0))</formula>
    </cfRule>
  </conditionalFormatting>
  <conditionalFormatting sqref="X57">
    <cfRule type="expression" priority="1196" dxfId="3">
      <formula>AND(IF(OR($Q57=1,$Q57=2),1,0),IF($X57&lt;=20,1,0))</formula>
    </cfRule>
    <cfRule type="expression" priority="1197" dxfId="2">
      <formula>AND(IF($Q57=2,1,0),IF($X57&lt;30,1,0))</formula>
    </cfRule>
    <cfRule type="expression" priority="1198" dxfId="1">
      <formula>AND(IF($Q57=3,1,0),IF($X57&lt;30,1,0))</formula>
    </cfRule>
    <cfRule type="expression" priority="1199" dxfId="0">
      <formula>AND(IF($Q57=3,1,IF($Q57=4,1,0)),IF($F57&lt;=85,1,0))</formula>
    </cfRule>
  </conditionalFormatting>
  <conditionalFormatting sqref="AI57">
    <cfRule type="expression" priority="1192" dxfId="3">
      <formula>AND(IF(OR($Q57=1,$Q57=2),1,0),IF($X57&lt;=20,1,0))</formula>
    </cfRule>
    <cfRule type="expression" priority="1193" dxfId="2">
      <formula>AND(IF($Q57=2,1,0),IF($X57&lt;30,1,0))</formula>
    </cfRule>
    <cfRule type="expression" priority="1194" dxfId="1">
      <formula>AND(IF($Q57=3,1,0),IF($X57&lt;30,1,0))</formula>
    </cfRule>
    <cfRule type="expression" priority="1195" dxfId="0">
      <formula>AND(IF($Q57=3,1,IF($Q57=4,1,0)),IF($F57&lt;=85,1,0))</formula>
    </cfRule>
  </conditionalFormatting>
  <conditionalFormatting sqref="AV58">
    <cfRule type="expression" priority="1190" dxfId="23">
      <formula>AV58="X"</formula>
    </cfRule>
    <cfRule type="expression" priority="1191" dxfId="22">
      <formula>AV58="후보"</formula>
    </cfRule>
  </conditionalFormatting>
  <conditionalFormatting sqref="AC58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8">
    <cfRule type="expression" priority="1181" dxfId="3">
      <formula>AND(IF(OR($Q58=1,$Q58=2),1,0),IF($X58&lt;=20,1,0))</formula>
    </cfRule>
    <cfRule type="expression" priority="1182" dxfId="2">
      <formula>AND(IF($Q58=2,1,0),IF($X58&lt;30,1,0))</formula>
    </cfRule>
    <cfRule type="expression" priority="1183" dxfId="1">
      <formula>AND(IF($Q58=3,1,0),IF($X58&lt;30,1,0))</formula>
    </cfRule>
    <cfRule type="expression" priority="1184" dxfId="0">
      <formula>AND(IF($Q58=3,1,IF($Q58=4,1,0)),IF($F58&lt;=85,1,0))</formula>
    </cfRule>
  </conditionalFormatting>
  <conditionalFormatting sqref="X58">
    <cfRule type="expression" priority="1177" dxfId="3">
      <formula>AND(IF(OR($Q58=1,$Q58=2),1,0),IF($X58&lt;=20,1,0))</formula>
    </cfRule>
    <cfRule type="expression" priority="1178" dxfId="2">
      <formula>AND(IF($Q58=2,1,0),IF($X58&lt;30,1,0))</formula>
    </cfRule>
    <cfRule type="expression" priority="1179" dxfId="1">
      <formula>AND(IF($Q58=3,1,0),IF($X58&lt;30,1,0))</formula>
    </cfRule>
    <cfRule type="expression" priority="1180" dxfId="0">
      <formula>AND(IF($Q58=3,1,IF($Q58=4,1,0)),IF($F58&lt;=85,1,0))</formula>
    </cfRule>
  </conditionalFormatting>
  <conditionalFormatting sqref="AI58">
    <cfRule type="expression" priority="1173" dxfId="3">
      <formula>AND(IF(OR($Q58=1,$Q58=2),1,0),IF($X58&lt;=20,1,0))</formula>
    </cfRule>
    <cfRule type="expression" priority="1174" dxfId="2">
      <formula>AND(IF($Q58=2,1,0),IF($X58&lt;30,1,0))</formula>
    </cfRule>
    <cfRule type="expression" priority="1175" dxfId="1">
      <formula>AND(IF($Q58=3,1,0),IF($X58&lt;30,1,0))</formula>
    </cfRule>
    <cfRule type="expression" priority="1176" dxfId="0">
      <formula>AND(IF($Q58=3,1,IF($Q58=4,1,0)),IF($F58&lt;=85,1,0))</formula>
    </cfRule>
  </conditionalFormatting>
  <conditionalFormatting sqref="AV59">
    <cfRule type="expression" priority="1171" dxfId="23">
      <formula>AV59="X"</formula>
    </cfRule>
    <cfRule type="expression" priority="1172" dxfId="22">
      <formula>AV59="후보"</formula>
    </cfRule>
  </conditionalFormatting>
  <conditionalFormatting sqref="AC59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9">
    <cfRule type="expression" priority="1162" dxfId="3">
      <formula>AND(IF(OR($Q59=1,$Q59=2),1,0),IF($X59&lt;=20,1,0))</formula>
    </cfRule>
    <cfRule type="expression" priority="1163" dxfId="2">
      <formula>AND(IF($Q59=2,1,0),IF($X59&lt;30,1,0))</formula>
    </cfRule>
    <cfRule type="expression" priority="1164" dxfId="1">
      <formula>AND(IF($Q59=3,1,0),IF($X59&lt;30,1,0))</formula>
    </cfRule>
    <cfRule type="expression" priority="1165" dxfId="0">
      <formula>AND(IF($Q59=3,1,IF($Q59=4,1,0)),IF($F59&lt;=85,1,0))</formula>
    </cfRule>
  </conditionalFormatting>
  <conditionalFormatting sqref="X59">
    <cfRule type="expression" priority="1158" dxfId="3">
      <formula>AND(IF(OR($Q59=1,$Q59=2),1,0),IF($X59&lt;=20,1,0))</formula>
    </cfRule>
    <cfRule type="expression" priority="1159" dxfId="2">
      <formula>AND(IF($Q59=2,1,0),IF($X59&lt;30,1,0))</formula>
    </cfRule>
    <cfRule type="expression" priority="1160" dxfId="1">
      <formula>AND(IF($Q59=3,1,0),IF($X59&lt;30,1,0))</formula>
    </cfRule>
    <cfRule type="expression" priority="1161" dxfId="0">
      <formula>AND(IF($Q59=3,1,IF($Q59=4,1,0)),IF($F59&lt;=85,1,0))</formula>
    </cfRule>
  </conditionalFormatting>
  <conditionalFormatting sqref="AI59">
    <cfRule type="expression" priority="1154" dxfId="3">
      <formula>AND(IF(OR($Q59=1,$Q59=2),1,0),IF($X59&lt;=20,1,0))</formula>
    </cfRule>
    <cfRule type="expression" priority="1155" dxfId="2">
      <formula>AND(IF($Q59=2,1,0),IF($X59&lt;30,1,0))</formula>
    </cfRule>
    <cfRule type="expression" priority="1156" dxfId="1">
      <formula>AND(IF($Q59=3,1,0),IF($X59&lt;30,1,0))</formula>
    </cfRule>
    <cfRule type="expression" priority="1157" dxfId="0">
      <formula>AND(IF($Q59=3,1,IF($Q59=4,1,0)),IF($F59&lt;=85,1,0))</formula>
    </cfRule>
  </conditionalFormatting>
  <conditionalFormatting sqref="AV60">
    <cfRule type="expression" priority="1152" dxfId="23">
      <formula>AV60="X"</formula>
    </cfRule>
    <cfRule type="expression" priority="1153" dxfId="22">
      <formula>AV60="후보"</formula>
    </cfRule>
  </conditionalFormatting>
  <conditionalFormatting sqref="AC6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0">
    <cfRule type="expression" priority="1143" dxfId="3">
      <formula>AND(IF(OR($Q60=1,$Q60=2),1,0),IF($X60&lt;=20,1,0))</formula>
    </cfRule>
    <cfRule type="expression" priority="1144" dxfId="2">
      <formula>AND(IF($Q60=2,1,0),IF($X60&lt;30,1,0))</formula>
    </cfRule>
    <cfRule type="expression" priority="1145" dxfId="1">
      <formula>AND(IF($Q60=3,1,0),IF($X60&lt;30,1,0))</formula>
    </cfRule>
    <cfRule type="expression" priority="1146" dxfId="0">
      <formula>AND(IF($Q60=3,1,IF($Q60=4,1,0)),IF($F60&lt;=85,1,0))</formula>
    </cfRule>
  </conditionalFormatting>
  <conditionalFormatting sqref="X60">
    <cfRule type="expression" priority="1139" dxfId="3">
      <formula>AND(IF(OR($Q60=1,$Q60=2),1,0),IF($X60&lt;=20,1,0))</formula>
    </cfRule>
    <cfRule type="expression" priority="1140" dxfId="2">
      <formula>AND(IF($Q60=2,1,0),IF($X60&lt;30,1,0))</formula>
    </cfRule>
    <cfRule type="expression" priority="1141" dxfId="1">
      <formula>AND(IF($Q60=3,1,0),IF($X60&lt;30,1,0))</formula>
    </cfRule>
    <cfRule type="expression" priority="1142" dxfId="0">
      <formula>AND(IF($Q60=3,1,IF($Q60=4,1,0)),IF($F60&lt;=85,1,0))</formula>
    </cfRule>
  </conditionalFormatting>
  <conditionalFormatting sqref="AI60">
    <cfRule type="expression" priority="1135" dxfId="3">
      <formula>AND(IF(OR($Q60=1,$Q60=2),1,0),IF($X60&lt;=20,1,0))</formula>
    </cfRule>
    <cfRule type="expression" priority="1136" dxfId="2">
      <formula>AND(IF($Q60=2,1,0),IF($X60&lt;30,1,0))</formula>
    </cfRule>
    <cfRule type="expression" priority="1137" dxfId="1">
      <formula>AND(IF($Q60=3,1,0),IF($X60&lt;30,1,0))</formula>
    </cfRule>
    <cfRule type="expression" priority="1138" dxfId="0">
      <formula>AND(IF($Q60=3,1,IF($Q60=4,1,0)),IF($F60&lt;=85,1,0))</formula>
    </cfRule>
  </conditionalFormatting>
  <conditionalFormatting sqref="AV61">
    <cfRule type="expression" priority="1133" dxfId="23">
      <formula>AV61="X"</formula>
    </cfRule>
    <cfRule type="expression" priority="1134" dxfId="22">
      <formula>AV61="후보"</formula>
    </cfRule>
  </conditionalFormatting>
  <conditionalFormatting sqref="AC61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1">
    <cfRule type="expression" priority="1124" dxfId="3">
      <formula>AND(IF(OR($Q61=1,$Q61=2),1,0),IF($X61&lt;=20,1,0))</formula>
    </cfRule>
    <cfRule type="expression" priority="1125" dxfId="2">
      <formula>AND(IF($Q61=2,1,0),IF($X61&lt;30,1,0))</formula>
    </cfRule>
    <cfRule type="expression" priority="1126" dxfId="1">
      <formula>AND(IF($Q61=3,1,0),IF($X61&lt;30,1,0))</formula>
    </cfRule>
    <cfRule type="expression" priority="1127" dxfId="0">
      <formula>AND(IF($Q61=3,1,IF($Q61=4,1,0)),IF($F61&lt;=85,1,0))</formula>
    </cfRule>
  </conditionalFormatting>
  <conditionalFormatting sqref="X61">
    <cfRule type="expression" priority="1120" dxfId="3">
      <formula>AND(IF(OR($Q61=1,$Q61=2),1,0),IF($X61&lt;=20,1,0))</formula>
    </cfRule>
    <cfRule type="expression" priority="1121" dxfId="2">
      <formula>AND(IF($Q61=2,1,0),IF($X61&lt;30,1,0))</formula>
    </cfRule>
    <cfRule type="expression" priority="1122" dxfId="1">
      <formula>AND(IF($Q61=3,1,0),IF($X61&lt;30,1,0))</formula>
    </cfRule>
    <cfRule type="expression" priority="1123" dxfId="0">
      <formula>AND(IF($Q61=3,1,IF($Q61=4,1,0)),IF($F61&lt;=85,1,0))</formula>
    </cfRule>
  </conditionalFormatting>
  <conditionalFormatting sqref="AI61">
    <cfRule type="expression" priority="1116" dxfId="3">
      <formula>AND(IF(OR($Q61=1,$Q61=2),1,0),IF($X61&lt;=20,1,0))</formula>
    </cfRule>
    <cfRule type="expression" priority="1117" dxfId="2">
      <formula>AND(IF($Q61=2,1,0),IF($X61&lt;30,1,0))</formula>
    </cfRule>
    <cfRule type="expression" priority="1118" dxfId="1">
      <formula>AND(IF($Q61=3,1,0),IF($X61&lt;30,1,0))</formula>
    </cfRule>
    <cfRule type="expression" priority="1119" dxfId="0">
      <formula>AND(IF($Q61=3,1,IF($Q61=4,1,0)),IF($F61&lt;=85,1,0))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8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8">
    <cfRule type="expression" priority="1005" dxfId="3">
      <formula>AND(IF(OR($Q68=1,$Q68=2),1,0),IF($X68&lt;=20,1,0))</formula>
    </cfRule>
    <cfRule type="expression" priority="1006" dxfId="2">
      <formula>AND(IF($Q68=2,1,0),IF($X68&lt;30,1,0))</formula>
    </cfRule>
    <cfRule type="expression" priority="1007" dxfId="1">
      <formula>AND(IF($Q68=3,1,0),IF($X68&lt;30,1,0))</formula>
    </cfRule>
    <cfRule type="expression" priority="1008" dxfId="0">
      <formula>AND(IF($Q68=3,1,IF($Q68=4,1,0)),IF($F68&lt;=85,1,0))</formula>
    </cfRule>
  </conditionalFormatting>
  <conditionalFormatting sqref="X68">
    <cfRule type="expression" priority="1001" dxfId="3">
      <formula>AND(IF(OR($Q68=1,$Q68=2),1,0),IF($X68&lt;=20,1,0))</formula>
    </cfRule>
    <cfRule type="expression" priority="1002" dxfId="2">
      <formula>AND(IF($Q68=2,1,0),IF($X68&lt;30,1,0))</formula>
    </cfRule>
    <cfRule type="expression" priority="1003" dxfId="1">
      <formula>AND(IF($Q68=3,1,0),IF($X68&lt;30,1,0))</formula>
    </cfRule>
    <cfRule type="expression" priority="1004" dxfId="0">
      <formula>AND(IF($Q68=3,1,IF($Q68=4,1,0)),IF($F68&lt;=85,1,0))</formula>
    </cfRule>
  </conditionalFormatting>
  <conditionalFormatting sqref="AI68">
    <cfRule type="expression" priority="997" dxfId="3">
      <formula>AND(IF(OR($Q68=1,$Q68=2),1,0),IF($X68&lt;=20,1,0))</formula>
    </cfRule>
    <cfRule type="expression" priority="998" dxfId="2">
      <formula>AND(IF($Q68=2,1,0),IF($X68&lt;30,1,0))</formula>
    </cfRule>
    <cfRule type="expression" priority="999" dxfId="1">
      <formula>AND(IF($Q68=3,1,0),IF($X68&lt;30,1,0))</formula>
    </cfRule>
    <cfRule type="expression" priority="1000" dxfId="0">
      <formula>AND(IF($Q68=3,1,IF($Q68=4,1,0)),IF($F68&lt;=85,1,0))</formula>
    </cfRule>
  </conditionalFormatting>
  <conditionalFormatting sqref="AV69">
    <cfRule type="expression" priority="995" dxfId="23">
      <formula>AV69="X"</formula>
    </cfRule>
    <cfRule type="expression" priority="996" dxfId="22">
      <formula>AV69="후보"</formula>
    </cfRule>
  </conditionalFormatting>
  <conditionalFormatting sqref="AC69 N69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3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3">
    <cfRule type="expression" priority="924" dxfId="3">
      <formula>AND(IF(OR($Q73=1,$Q73=2),1,0),IF($X73&lt;=20,1,0))</formula>
    </cfRule>
    <cfRule type="expression" priority="925" dxfId="2">
      <formula>AND(IF($Q73=2,1,0),IF($X73&lt;30,1,0))</formula>
    </cfRule>
    <cfRule type="expression" priority="926" dxfId="1">
      <formula>AND(IF($Q73=3,1,0),IF($X73&lt;30,1,0))</formula>
    </cfRule>
    <cfRule type="expression" priority="927" dxfId="0">
      <formula>AND(IF($Q73=3,1,IF($Q73=4,1,0)),IF($F73&lt;=85,1,0))</formula>
    </cfRule>
  </conditionalFormatting>
  <conditionalFormatting sqref="X73">
    <cfRule type="expression" priority="920" dxfId="3">
      <formula>AND(IF(OR($Q73=1,$Q73=2),1,0),IF($X73&lt;=20,1,0))</formula>
    </cfRule>
    <cfRule type="expression" priority="921" dxfId="2">
      <formula>AND(IF($Q73=2,1,0),IF($X73&lt;30,1,0))</formula>
    </cfRule>
    <cfRule type="expression" priority="922" dxfId="1">
      <formula>AND(IF($Q73=3,1,0),IF($X73&lt;30,1,0))</formula>
    </cfRule>
    <cfRule type="expression" priority="923" dxfId="0">
      <formula>AND(IF($Q73=3,1,IF($Q73=4,1,0)),IF($F73&lt;=85,1,0))</formula>
    </cfRule>
  </conditionalFormatting>
  <conditionalFormatting sqref="AI73">
    <cfRule type="expression" priority="916" dxfId="3">
      <formula>AND(IF(OR($Q73=1,$Q73=2),1,0),IF($X73&lt;=20,1,0))</formula>
    </cfRule>
    <cfRule type="expression" priority="917" dxfId="2">
      <formula>AND(IF($Q73=2,1,0),IF($X73&lt;30,1,0))</formula>
    </cfRule>
    <cfRule type="expression" priority="918" dxfId="1">
      <formula>AND(IF($Q73=3,1,0),IF($X73&lt;30,1,0))</formula>
    </cfRule>
    <cfRule type="expression" priority="919" dxfId="0">
      <formula>AND(IF($Q73=3,1,IF($Q73=4,1,0)),IF($F73&lt;=85,1,0))</formula>
    </cfRule>
  </conditionalFormatting>
  <conditionalFormatting sqref="AV74">
    <cfRule type="expression" priority="914" dxfId="23">
      <formula>AV74="X"</formula>
    </cfRule>
    <cfRule type="expression" priority="915" dxfId="22">
      <formula>AV74="후보"</formula>
    </cfRule>
  </conditionalFormatting>
  <conditionalFormatting sqref="AC74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4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4">
    <cfRule type="expression" priority="905" dxfId="3">
      <formula>AND(IF(OR($Q74=1,$Q74=2),1,0),IF($X74&lt;=20,1,0))</formula>
    </cfRule>
    <cfRule type="expression" priority="906" dxfId="2">
      <formula>AND(IF($Q74=2,1,0),IF($X74&lt;30,1,0))</formula>
    </cfRule>
    <cfRule type="expression" priority="907" dxfId="1">
      <formula>AND(IF($Q74=3,1,0),IF($X74&lt;30,1,0))</formula>
    </cfRule>
    <cfRule type="expression" priority="908" dxfId="0">
      <formula>AND(IF($Q74=3,1,IF($Q74=4,1,0)),IF($F74&lt;=85,1,0))</formula>
    </cfRule>
  </conditionalFormatting>
  <conditionalFormatting sqref="X74">
    <cfRule type="expression" priority="901" dxfId="3">
      <formula>AND(IF(OR($Q74=1,$Q74=2),1,0),IF($X74&lt;=20,1,0))</formula>
    </cfRule>
    <cfRule type="expression" priority="902" dxfId="2">
      <formula>AND(IF($Q74=2,1,0),IF($X74&lt;30,1,0))</formula>
    </cfRule>
    <cfRule type="expression" priority="903" dxfId="1">
      <formula>AND(IF($Q74=3,1,0),IF($X74&lt;30,1,0))</formula>
    </cfRule>
    <cfRule type="expression" priority="904" dxfId="0">
      <formula>AND(IF($Q74=3,1,IF($Q74=4,1,0)),IF($F74&lt;=85,1,0))</formula>
    </cfRule>
  </conditionalFormatting>
  <conditionalFormatting sqref="AI74">
    <cfRule type="expression" priority="897" dxfId="3">
      <formula>AND(IF(OR($Q74=1,$Q74=2),1,0),IF($X74&lt;=20,1,0))</formula>
    </cfRule>
    <cfRule type="expression" priority="898" dxfId="2">
      <formula>AND(IF($Q74=2,1,0),IF($X74&lt;30,1,0))</formula>
    </cfRule>
    <cfRule type="expression" priority="899" dxfId="1">
      <formula>AND(IF($Q74=3,1,0),IF($X74&lt;30,1,0))</formula>
    </cfRule>
    <cfRule type="expression" priority="900" dxfId="0">
      <formula>AND(IF($Q74=3,1,IF($Q74=4,1,0)),IF($F74&lt;=85,1,0))</formula>
    </cfRule>
  </conditionalFormatting>
  <conditionalFormatting sqref="AV75">
    <cfRule type="expression" priority="895" dxfId="23">
      <formula>AV75="X"</formula>
    </cfRule>
    <cfRule type="expression" priority="896" dxfId="22">
      <formula>AV75="후보"</formula>
    </cfRule>
  </conditionalFormatting>
  <conditionalFormatting sqref="AC75 N75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77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77">
    <cfRule type="expression" priority="862" dxfId="3">
      <formula>AND(IF(OR($Q77=1,$Q77=2),1,0),IF($X77&lt;=20,1,0))</formula>
    </cfRule>
    <cfRule type="expression" priority="863" dxfId="2">
      <formula>AND(IF($Q77=2,1,0),IF($X77&lt;30,1,0))</formula>
    </cfRule>
    <cfRule type="expression" priority="864" dxfId="1">
      <formula>AND(IF($Q77=3,1,0),IF($X77&lt;30,1,0))</formula>
    </cfRule>
    <cfRule type="expression" priority="865" dxfId="0">
      <formula>AND(IF($Q77=3,1,IF($Q77=4,1,0)),IF($F77&lt;=85,1,0))</formula>
    </cfRule>
  </conditionalFormatting>
  <conditionalFormatting sqref="X77">
    <cfRule type="expression" priority="858" dxfId="3">
      <formula>AND(IF(OR($Q77=1,$Q77=2),1,0),IF($X77&lt;=20,1,0))</formula>
    </cfRule>
    <cfRule type="expression" priority="859" dxfId="2">
      <formula>AND(IF($Q77=2,1,0),IF($X77&lt;30,1,0))</formula>
    </cfRule>
    <cfRule type="expression" priority="860" dxfId="1">
      <formula>AND(IF($Q77=3,1,0),IF($X77&lt;30,1,0))</formula>
    </cfRule>
    <cfRule type="expression" priority="861" dxfId="0">
      <formula>AND(IF($Q77=3,1,IF($Q77=4,1,0)),IF($F77&lt;=85,1,0))</formula>
    </cfRule>
  </conditionalFormatting>
  <conditionalFormatting sqref="AI77">
    <cfRule type="expression" priority="854" dxfId="3">
      <formula>AND(IF(OR($Q77=1,$Q77=2),1,0),IF($X77&lt;=20,1,0))</formula>
    </cfRule>
    <cfRule type="expression" priority="855" dxfId="2">
      <formula>AND(IF($Q77=2,1,0),IF($X77&lt;30,1,0))</formula>
    </cfRule>
    <cfRule type="expression" priority="856" dxfId="1">
      <formula>AND(IF($Q77=3,1,0),IF($X77&lt;30,1,0))</formula>
    </cfRule>
    <cfRule type="expression" priority="857" dxfId="0">
      <formula>AND(IF($Q77=3,1,IF($Q77=4,1,0)),IF($F77&lt;=85,1,0))</formula>
    </cfRule>
  </conditionalFormatting>
  <conditionalFormatting sqref="AV78">
    <cfRule type="expression" priority="852" dxfId="23">
      <formula>AV78="X"</formula>
    </cfRule>
    <cfRule type="expression" priority="853" dxfId="22">
      <formula>AV78="후보"</formula>
    </cfRule>
  </conditionalFormatting>
  <conditionalFormatting sqref="AC78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78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78">
    <cfRule type="expression" priority="843" dxfId="3">
      <formula>AND(IF(OR($Q78=1,$Q78=2),1,0),IF($X78&lt;=20,1,0))</formula>
    </cfRule>
    <cfRule type="expression" priority="844" dxfId="2">
      <formula>AND(IF($Q78=2,1,0),IF($X78&lt;30,1,0))</formula>
    </cfRule>
    <cfRule type="expression" priority="845" dxfId="1">
      <formula>AND(IF($Q78=3,1,0),IF($X78&lt;30,1,0))</formula>
    </cfRule>
    <cfRule type="expression" priority="846" dxfId="0">
      <formula>AND(IF($Q78=3,1,IF($Q78=4,1,0)),IF($F78&lt;=85,1,0))</formula>
    </cfRule>
  </conditionalFormatting>
  <conditionalFormatting sqref="X78">
    <cfRule type="expression" priority="839" dxfId="3">
      <formula>AND(IF(OR($Q78=1,$Q78=2),1,0),IF($X78&lt;=20,1,0))</formula>
    </cfRule>
    <cfRule type="expression" priority="840" dxfId="2">
      <formula>AND(IF($Q78=2,1,0),IF($X78&lt;30,1,0))</formula>
    </cfRule>
    <cfRule type="expression" priority="841" dxfId="1">
      <formula>AND(IF($Q78=3,1,0),IF($X78&lt;30,1,0))</formula>
    </cfRule>
    <cfRule type="expression" priority="842" dxfId="0">
      <formula>AND(IF($Q78=3,1,IF($Q78=4,1,0)),IF($F78&lt;=85,1,0))</formula>
    </cfRule>
  </conditionalFormatting>
  <conditionalFormatting sqref="AI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AV79">
    <cfRule type="expression" priority="833" dxfId="23">
      <formula>AV79="X"</formula>
    </cfRule>
    <cfRule type="expression" priority="834" dxfId="22">
      <formula>AV79="후보"</formula>
    </cfRule>
  </conditionalFormatting>
  <conditionalFormatting sqref="AC79 N79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1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1">
    <cfRule type="expression" priority="800" dxfId="3">
      <formula>AND(IF(OR($Q81=1,$Q81=2),1,0),IF($X81&lt;=20,1,0))</formula>
    </cfRule>
    <cfRule type="expression" priority="801" dxfId="2">
      <formula>AND(IF($Q81=2,1,0),IF($X81&lt;30,1,0))</formula>
    </cfRule>
    <cfRule type="expression" priority="802" dxfId="1">
      <formula>AND(IF($Q81=3,1,0),IF($X81&lt;30,1,0))</formula>
    </cfRule>
    <cfRule type="expression" priority="803" dxfId="0">
      <formula>AND(IF($Q81=3,1,IF($Q81=4,1,0)),IF($F81&lt;=85,1,0))</formula>
    </cfRule>
  </conditionalFormatting>
  <conditionalFormatting sqref="X81">
    <cfRule type="expression" priority="796" dxfId="3">
      <formula>AND(IF(OR($Q81=1,$Q81=2),1,0),IF($X81&lt;=20,1,0))</formula>
    </cfRule>
    <cfRule type="expression" priority="797" dxfId="2">
      <formula>AND(IF($Q81=2,1,0),IF($X81&lt;30,1,0))</formula>
    </cfRule>
    <cfRule type="expression" priority="798" dxfId="1">
      <formula>AND(IF($Q81=3,1,0),IF($X81&lt;30,1,0))</formula>
    </cfRule>
    <cfRule type="expression" priority="799" dxfId="0">
      <formula>AND(IF($Q81=3,1,IF($Q81=4,1,0)),IF($F81&lt;=85,1,0))</formula>
    </cfRule>
  </conditionalFormatting>
  <conditionalFormatting sqref="AI81">
    <cfRule type="expression" priority="792" dxfId="3">
      <formula>AND(IF(OR($Q81=1,$Q81=2),1,0),IF($X81&lt;=20,1,0))</formula>
    </cfRule>
    <cfRule type="expression" priority="793" dxfId="2">
      <formula>AND(IF($Q81=2,1,0),IF($X81&lt;30,1,0))</formula>
    </cfRule>
    <cfRule type="expression" priority="794" dxfId="1">
      <formula>AND(IF($Q81=3,1,0),IF($X81&lt;30,1,0))</formula>
    </cfRule>
    <cfRule type="expression" priority="795" dxfId="0">
      <formula>AND(IF($Q81=3,1,IF($Q81=4,1,0)),IF($F81&lt;=85,1,0))</formula>
    </cfRule>
  </conditionalFormatting>
  <conditionalFormatting sqref="AV82">
    <cfRule type="expression" priority="790" dxfId="23">
      <formula>AV82="X"</formula>
    </cfRule>
    <cfRule type="expression" priority="791" dxfId="22">
      <formula>AV82="후보"</formula>
    </cfRule>
  </conditionalFormatting>
  <conditionalFormatting sqref="AC8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82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82">
    <cfRule type="expression" priority="781" dxfId="3">
      <formula>AND(IF(OR($Q82=1,$Q82=2),1,0),IF($X82&lt;=20,1,0))</formula>
    </cfRule>
    <cfRule type="expression" priority="782" dxfId="2">
      <formula>AND(IF($Q82=2,1,0),IF($X82&lt;30,1,0))</formula>
    </cfRule>
    <cfRule type="expression" priority="783" dxfId="1">
      <formula>AND(IF($Q82=3,1,0),IF($X82&lt;30,1,0))</formula>
    </cfRule>
    <cfRule type="expression" priority="784" dxfId="0">
      <formula>AND(IF($Q82=3,1,IF($Q82=4,1,0)),IF($F82&lt;=85,1,0))</formula>
    </cfRule>
  </conditionalFormatting>
  <conditionalFormatting sqref="X82">
    <cfRule type="expression" priority="777" dxfId="3">
      <formula>AND(IF(OR($Q82=1,$Q82=2),1,0),IF($X82&lt;=20,1,0))</formula>
    </cfRule>
    <cfRule type="expression" priority="778" dxfId="2">
      <formula>AND(IF($Q82=2,1,0),IF($X82&lt;30,1,0))</formula>
    </cfRule>
    <cfRule type="expression" priority="779" dxfId="1">
      <formula>AND(IF($Q82=3,1,0),IF($X82&lt;30,1,0))</formula>
    </cfRule>
    <cfRule type="expression" priority="780" dxfId="0">
      <formula>AND(IF($Q82=3,1,IF($Q82=4,1,0)),IF($F82&lt;=85,1,0))</formula>
    </cfRule>
  </conditionalFormatting>
  <conditionalFormatting sqref="AI82">
    <cfRule type="expression" priority="773" dxfId="3">
      <formula>AND(IF(OR($Q82=1,$Q82=2),1,0),IF($X82&lt;=20,1,0))</formula>
    </cfRule>
    <cfRule type="expression" priority="774" dxfId="2">
      <formula>AND(IF($Q82=2,1,0),IF($X82&lt;30,1,0))</formula>
    </cfRule>
    <cfRule type="expression" priority="775" dxfId="1">
      <formula>AND(IF($Q82=3,1,0),IF($X82&lt;30,1,0))</formula>
    </cfRule>
    <cfRule type="expression" priority="776" dxfId="0">
      <formula>AND(IF($Q82=3,1,IF($Q82=4,1,0)),IF($F82&lt;=85,1,0))</formula>
    </cfRule>
  </conditionalFormatting>
  <conditionalFormatting sqref="AV83">
    <cfRule type="expression" priority="771" dxfId="23">
      <formula>AV83="X"</formula>
    </cfRule>
    <cfRule type="expression" priority="772" dxfId="22">
      <formula>AV83="후보"</formula>
    </cfRule>
  </conditionalFormatting>
  <conditionalFormatting sqref="AC83 N83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4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4">
    <cfRule type="expression" priority="757" dxfId="3">
      <formula>AND(IF(OR($Q84=1,$Q84=2),1,0),IF($X84&lt;=20,1,0))</formula>
    </cfRule>
    <cfRule type="expression" priority="758" dxfId="2">
      <formula>AND(IF($Q84=2,1,0),IF($X84&lt;30,1,0))</formula>
    </cfRule>
    <cfRule type="expression" priority="759" dxfId="1">
      <formula>AND(IF($Q84=3,1,0),IF($X84&lt;30,1,0))</formula>
    </cfRule>
    <cfRule type="expression" priority="760" dxfId="0">
      <formula>AND(IF($Q84=3,1,IF($Q84=4,1,0)),IF($F84&lt;=85,1,0))</formula>
    </cfRule>
  </conditionalFormatting>
  <conditionalFormatting sqref="X84">
    <cfRule type="expression" priority="753" dxfId="3">
      <formula>AND(IF(OR($Q84=1,$Q84=2),1,0),IF($X84&lt;=20,1,0))</formula>
    </cfRule>
    <cfRule type="expression" priority="754" dxfId="2">
      <formula>AND(IF($Q84=2,1,0),IF($X84&lt;30,1,0))</formula>
    </cfRule>
    <cfRule type="expression" priority="755" dxfId="1">
      <formula>AND(IF($Q84=3,1,0),IF($X84&lt;30,1,0))</formula>
    </cfRule>
    <cfRule type="expression" priority="756" dxfId="0">
      <formula>AND(IF($Q84=3,1,IF($Q84=4,1,0)),IF($F84&lt;=85,1,0))</formula>
    </cfRule>
  </conditionalFormatting>
  <conditionalFormatting sqref="AI84">
    <cfRule type="expression" priority="749" dxfId="3">
      <formula>AND(IF(OR($Q84=1,$Q84=2),1,0),IF($X84&lt;=20,1,0))</formula>
    </cfRule>
    <cfRule type="expression" priority="750" dxfId="2">
      <formula>AND(IF($Q84=2,1,0),IF($X84&lt;30,1,0))</formula>
    </cfRule>
    <cfRule type="expression" priority="751" dxfId="1">
      <formula>AND(IF($Q84=3,1,0),IF($X84&lt;30,1,0))</formula>
    </cfRule>
    <cfRule type="expression" priority="752" dxfId="0">
      <formula>AND(IF($Q84=3,1,IF($Q84=4,1,0)),IF($F84&lt;=85,1,0))</formula>
    </cfRule>
  </conditionalFormatting>
  <conditionalFormatting sqref="AV85">
    <cfRule type="expression" priority="747" dxfId="23">
      <formula>AV85="X"</formula>
    </cfRule>
    <cfRule type="expression" priority="748" dxfId="22">
      <formula>AV85="후보"</formula>
    </cfRule>
  </conditionalFormatting>
  <conditionalFormatting sqref="AC85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5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5">
    <cfRule type="expression" priority="738" dxfId="3">
      <formula>AND(IF(OR($Q85=1,$Q85=2),1,0),IF($X85&lt;=20,1,0))</formula>
    </cfRule>
    <cfRule type="expression" priority="739" dxfId="2">
      <formula>AND(IF($Q85=2,1,0),IF($X85&lt;30,1,0))</formula>
    </cfRule>
    <cfRule type="expression" priority="740" dxfId="1">
      <formula>AND(IF($Q85=3,1,0),IF($X85&lt;30,1,0))</formula>
    </cfRule>
    <cfRule type="expression" priority="741" dxfId="0">
      <formula>AND(IF($Q85=3,1,IF($Q85=4,1,0)),IF($F85&lt;=85,1,0))</formula>
    </cfRule>
  </conditionalFormatting>
  <conditionalFormatting sqref="X85">
    <cfRule type="expression" priority="734" dxfId="3">
      <formula>AND(IF(OR($Q85=1,$Q85=2),1,0),IF($X85&lt;=20,1,0))</formula>
    </cfRule>
    <cfRule type="expression" priority="735" dxfId="2">
      <formula>AND(IF($Q85=2,1,0),IF($X85&lt;30,1,0))</formula>
    </cfRule>
    <cfRule type="expression" priority="736" dxfId="1">
      <formula>AND(IF($Q85=3,1,0),IF($X85&lt;30,1,0))</formula>
    </cfRule>
    <cfRule type="expression" priority="737" dxfId="0">
      <formula>AND(IF($Q85=3,1,IF($Q85=4,1,0)),IF($F85&lt;=85,1,0))</formula>
    </cfRule>
  </conditionalFormatting>
  <conditionalFormatting sqref="AI85">
    <cfRule type="expression" priority="730" dxfId="3">
      <formula>AND(IF(OR($Q85=1,$Q85=2),1,0),IF($X85&lt;=20,1,0))</formula>
    </cfRule>
    <cfRule type="expression" priority="731" dxfId="2">
      <formula>AND(IF($Q85=2,1,0),IF($X85&lt;30,1,0))</formula>
    </cfRule>
    <cfRule type="expression" priority="732" dxfId="1">
      <formula>AND(IF($Q85=3,1,0),IF($X85&lt;30,1,0))</formula>
    </cfRule>
    <cfRule type="expression" priority="733" dxfId="0">
      <formula>AND(IF($Q85=3,1,IF($Q85=4,1,0)),IF($F85&lt;=85,1,0))</formula>
    </cfRule>
  </conditionalFormatting>
  <conditionalFormatting sqref="AV86">
    <cfRule type="expression" priority="728" dxfId="23">
      <formula>AV86="X"</formula>
    </cfRule>
    <cfRule type="expression" priority="729" dxfId="22">
      <formula>AV86="후보"</formula>
    </cfRule>
  </conditionalFormatting>
  <conditionalFormatting sqref="AC86 N86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 N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94">
    <cfRule type="expression" priority="618" dxfId="23">
      <formula>AV94="X"</formula>
    </cfRule>
    <cfRule type="expression" priority="619" dxfId="22">
      <formula>AV94="후보"</formula>
    </cfRule>
  </conditionalFormatting>
  <conditionalFormatting sqref="AC9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9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94">
    <cfRule type="expression" priority="609" dxfId="3">
      <formula>AND(IF(OR($Q94=1,$Q94=2),1,0),IF($X94&lt;=20,1,0))</formula>
    </cfRule>
    <cfRule type="expression" priority="610" dxfId="2">
      <formula>AND(IF($Q94=2,1,0),IF($X94&lt;30,1,0))</formula>
    </cfRule>
    <cfRule type="expression" priority="611" dxfId="1">
      <formula>AND(IF($Q94=3,1,0),IF($X94&lt;30,1,0))</formula>
    </cfRule>
    <cfRule type="expression" priority="612" dxfId="0">
      <formula>AND(IF($Q94=3,1,IF($Q94=4,1,0)),IF($F94&lt;=85,1,0))</formula>
    </cfRule>
  </conditionalFormatting>
  <conditionalFormatting sqref="X94">
    <cfRule type="expression" priority="605" dxfId="3">
      <formula>AND(IF(OR($Q94=1,$Q94=2),1,0),IF($X94&lt;=20,1,0))</formula>
    </cfRule>
    <cfRule type="expression" priority="606" dxfId="2">
      <formula>AND(IF($Q94=2,1,0),IF($X94&lt;30,1,0))</formula>
    </cfRule>
    <cfRule type="expression" priority="607" dxfId="1">
      <formula>AND(IF($Q94=3,1,0),IF($X94&lt;30,1,0))</formula>
    </cfRule>
    <cfRule type="expression" priority="608" dxfId="0">
      <formula>AND(IF($Q94=3,1,IF($Q94=4,1,0)),IF($F94&lt;=85,1,0))</formula>
    </cfRule>
  </conditionalFormatting>
  <conditionalFormatting sqref="AI94">
    <cfRule type="expression" priority="601" dxfId="3">
      <formula>AND(IF(OR($Q94=1,$Q94=2),1,0),IF($X94&lt;=20,1,0))</formula>
    </cfRule>
    <cfRule type="expression" priority="602" dxfId="2">
      <formula>AND(IF($Q94=2,1,0),IF($X94&lt;30,1,0))</formula>
    </cfRule>
    <cfRule type="expression" priority="603" dxfId="1">
      <formula>AND(IF($Q94=3,1,0),IF($X94&lt;30,1,0))</formula>
    </cfRule>
    <cfRule type="expression" priority="604" dxfId="0">
      <formula>AND(IF($Q94=3,1,IF($Q94=4,1,0)),IF($F94&lt;=85,1,0))</formula>
    </cfRule>
  </conditionalFormatting>
  <conditionalFormatting sqref="AV95">
    <cfRule type="expression" priority="599" dxfId="23">
      <formula>AV95="X"</formula>
    </cfRule>
    <cfRule type="expression" priority="600" dxfId="22">
      <formula>AV95="후보"</formula>
    </cfRule>
  </conditionalFormatting>
  <conditionalFormatting sqref="AC9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5">
    <cfRule type="expression" priority="590" dxfId="3">
      <formula>AND(IF(OR($Q95=1,$Q95=2),1,0),IF($X95&lt;=20,1,0))</formula>
    </cfRule>
    <cfRule type="expression" priority="591" dxfId="2">
      <formula>AND(IF($Q95=2,1,0),IF($X95&lt;30,1,0))</formula>
    </cfRule>
    <cfRule type="expression" priority="592" dxfId="1">
      <formula>AND(IF($Q95=3,1,0),IF($X95&lt;30,1,0))</formula>
    </cfRule>
    <cfRule type="expression" priority="593" dxfId="0">
      <formula>AND(IF($Q95=3,1,IF($Q95=4,1,0)),IF($F95&lt;=85,1,0))</formula>
    </cfRule>
  </conditionalFormatting>
  <conditionalFormatting sqref="X95">
    <cfRule type="expression" priority="586" dxfId="3">
      <formula>AND(IF(OR($Q95=1,$Q95=2),1,0),IF($X95&lt;=20,1,0))</formula>
    </cfRule>
    <cfRule type="expression" priority="587" dxfId="2">
      <formula>AND(IF($Q95=2,1,0),IF($X95&lt;30,1,0))</formula>
    </cfRule>
    <cfRule type="expression" priority="588" dxfId="1">
      <formula>AND(IF($Q95=3,1,0),IF($X95&lt;30,1,0))</formula>
    </cfRule>
    <cfRule type="expression" priority="589" dxfId="0">
      <formula>AND(IF($Q95=3,1,IF($Q95=4,1,0)),IF($F95&lt;=85,1,0))</formula>
    </cfRule>
  </conditionalFormatting>
  <conditionalFormatting sqref="AI95">
    <cfRule type="expression" priority="582" dxfId="3">
      <formula>AND(IF(OR($Q95=1,$Q95=2),1,0),IF($X95&lt;=20,1,0))</formula>
    </cfRule>
    <cfRule type="expression" priority="583" dxfId="2">
      <formula>AND(IF($Q95=2,1,0),IF($X95&lt;30,1,0))</formula>
    </cfRule>
    <cfRule type="expression" priority="584" dxfId="1">
      <formula>AND(IF($Q95=3,1,0),IF($X95&lt;30,1,0))</formula>
    </cfRule>
    <cfRule type="expression" priority="585" dxfId="0">
      <formula>AND(IF($Q95=3,1,IF($Q95=4,1,0)),IF($F95&lt;=85,1,0))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 N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98">
    <cfRule type="expression" priority="556" dxfId="23">
      <formula>AV98="X"</formula>
    </cfRule>
    <cfRule type="expression" priority="557" dxfId="22">
      <formula>AV98="후보"</formula>
    </cfRule>
  </conditionalFormatting>
  <conditionalFormatting sqref="AC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9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98">
    <cfRule type="expression" priority="547" dxfId="3">
      <formula>AND(IF(OR($Q98=1,$Q98=2),1,0),IF($X98&lt;=20,1,0))</formula>
    </cfRule>
    <cfRule type="expression" priority="548" dxfId="2">
      <formula>AND(IF($Q98=2,1,0),IF($X98&lt;30,1,0))</formula>
    </cfRule>
    <cfRule type="expression" priority="549" dxfId="1">
      <formula>AND(IF($Q98=3,1,0),IF($X98&lt;30,1,0))</formula>
    </cfRule>
    <cfRule type="expression" priority="550" dxfId="0">
      <formula>AND(IF($Q98=3,1,IF($Q98=4,1,0)),IF($F98&lt;=85,1,0))</formula>
    </cfRule>
  </conditionalFormatting>
  <conditionalFormatting sqref="X98">
    <cfRule type="expression" priority="543" dxfId="3">
      <formula>AND(IF(OR($Q98=1,$Q98=2),1,0),IF($X98&lt;=20,1,0))</formula>
    </cfRule>
    <cfRule type="expression" priority="544" dxfId="2">
      <formula>AND(IF($Q98=2,1,0),IF($X98&lt;30,1,0))</formula>
    </cfRule>
    <cfRule type="expression" priority="545" dxfId="1">
      <formula>AND(IF($Q98=3,1,0),IF($X98&lt;30,1,0))</formula>
    </cfRule>
    <cfRule type="expression" priority="546" dxfId="0">
      <formula>AND(IF($Q98=3,1,IF($Q98=4,1,0)),IF($F98&lt;=85,1,0))</formula>
    </cfRule>
  </conditionalFormatting>
  <conditionalFormatting sqref="AI98">
    <cfRule type="expression" priority="539" dxfId="3">
      <formula>AND(IF(OR($Q98=1,$Q98=2),1,0),IF($X98&lt;=20,1,0))</formula>
    </cfRule>
    <cfRule type="expression" priority="540" dxfId="2">
      <formula>AND(IF($Q98=2,1,0),IF($X98&lt;30,1,0))</formula>
    </cfRule>
    <cfRule type="expression" priority="541" dxfId="1">
      <formula>AND(IF($Q98=3,1,0),IF($X98&lt;30,1,0))</formula>
    </cfRule>
    <cfRule type="expression" priority="542" dxfId="0">
      <formula>AND(IF($Q98=3,1,IF($Q98=4,1,0)),IF($F98&lt;=85,1,0))</formula>
    </cfRule>
  </conditionalFormatting>
  <conditionalFormatting sqref="AV99">
    <cfRule type="expression" priority="537" dxfId="23">
      <formula>AV99="X"</formula>
    </cfRule>
    <cfRule type="expression" priority="538" dxfId="22">
      <formula>AV99="후보"</formula>
    </cfRule>
  </conditionalFormatting>
  <conditionalFormatting sqref="AC9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9">
    <cfRule type="expression" priority="528" dxfId="3">
      <formula>AND(IF(OR($Q99=1,$Q99=2),1,0),IF($X99&lt;=20,1,0))</formula>
    </cfRule>
    <cfRule type="expression" priority="529" dxfId="2">
      <formula>AND(IF($Q99=2,1,0),IF($X99&lt;30,1,0))</formula>
    </cfRule>
    <cfRule type="expression" priority="530" dxfId="1">
      <formula>AND(IF($Q99=3,1,0),IF($X99&lt;30,1,0))</formula>
    </cfRule>
    <cfRule type="expression" priority="531" dxfId="0">
      <formula>AND(IF($Q99=3,1,IF($Q99=4,1,0)),IF($F99&lt;=85,1,0))</formula>
    </cfRule>
  </conditionalFormatting>
  <conditionalFormatting sqref="X99">
    <cfRule type="expression" priority="524" dxfId="3">
      <formula>AND(IF(OR($Q99=1,$Q99=2),1,0),IF($X99&lt;=20,1,0))</formula>
    </cfRule>
    <cfRule type="expression" priority="525" dxfId="2">
      <formula>AND(IF($Q99=2,1,0),IF($X99&lt;30,1,0))</formula>
    </cfRule>
    <cfRule type="expression" priority="526" dxfId="1">
      <formula>AND(IF($Q99=3,1,0),IF($X99&lt;30,1,0))</formula>
    </cfRule>
    <cfRule type="expression" priority="527" dxfId="0">
      <formula>AND(IF($Q99=3,1,IF($Q99=4,1,0)),IF($F99&lt;=85,1,0))</formula>
    </cfRule>
  </conditionalFormatting>
  <conditionalFormatting sqref="AI99">
    <cfRule type="expression" priority="520" dxfId="3">
      <formula>AND(IF(OR($Q99=1,$Q99=2),1,0),IF($X99&lt;=20,1,0))</formula>
    </cfRule>
    <cfRule type="expression" priority="521" dxfId="2">
      <formula>AND(IF($Q99=2,1,0),IF($X99&lt;30,1,0))</formula>
    </cfRule>
    <cfRule type="expression" priority="522" dxfId="1">
      <formula>AND(IF($Q99=3,1,0),IF($X99&lt;30,1,0))</formula>
    </cfRule>
    <cfRule type="expression" priority="523" dxfId="0">
      <formula>AND(IF($Q99=3,1,IF($Q99=4,1,0)),IF($F99&lt;=85,1,0))</formula>
    </cfRule>
  </conditionalFormatting>
  <conditionalFormatting sqref="AV100">
    <cfRule type="expression" priority="518" dxfId="23">
      <formula>AV100="X"</formula>
    </cfRule>
    <cfRule type="expression" priority="519" dxfId="22">
      <formula>AV100="후보"</formula>
    </cfRule>
  </conditionalFormatting>
  <conditionalFormatting sqref="AC10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23">
      <formula>AV101="X"</formula>
    </cfRule>
    <cfRule type="expression" priority="500" dxfId="22">
      <formula>AV101="후보"</formula>
    </cfRule>
  </conditionalFormatting>
  <conditionalFormatting sqref="AC10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1">
    <cfRule type="expression" priority="490" dxfId="3">
      <formula>AND(IF(OR($Q101=1,$Q101=2),1,0),IF($X101&lt;=20,1,0))</formula>
    </cfRule>
    <cfRule type="expression" priority="491" dxfId="2">
      <formula>AND(IF($Q101=2,1,0),IF($X101&lt;30,1,0))</formula>
    </cfRule>
    <cfRule type="expression" priority="492" dxfId="1">
      <formula>AND(IF($Q101=3,1,0),IF($X101&lt;30,1,0))</formula>
    </cfRule>
    <cfRule type="expression" priority="493" dxfId="0">
      <formula>AND(IF($Q101=3,1,IF($Q101=4,1,0)),IF($F101&lt;=85,1,0))</formula>
    </cfRule>
  </conditionalFormatting>
  <conditionalFormatting sqref="X101">
    <cfRule type="expression" priority="486" dxfId="3">
      <formula>AND(IF(OR($Q101=1,$Q101=2),1,0),IF($X101&lt;=20,1,0))</formula>
    </cfRule>
    <cfRule type="expression" priority="487" dxfId="2">
      <formula>AND(IF($Q101=2,1,0),IF($X101&lt;30,1,0))</formula>
    </cfRule>
    <cfRule type="expression" priority="488" dxfId="1">
      <formula>AND(IF($Q101=3,1,0),IF($X101&lt;30,1,0))</formula>
    </cfRule>
    <cfRule type="expression" priority="489" dxfId="0">
      <formula>AND(IF($Q101=3,1,IF($Q101=4,1,0)),IF($F101&lt;=85,1,0))</formula>
    </cfRule>
  </conditionalFormatting>
  <conditionalFormatting sqref="AI101">
    <cfRule type="expression" priority="482" dxfId="3">
      <formula>AND(IF(OR($Q101=1,$Q101=2),1,0),IF($X101&lt;=20,1,0))</formula>
    </cfRule>
    <cfRule type="expression" priority="483" dxfId="2">
      <formula>AND(IF($Q101=2,1,0),IF($X101&lt;30,1,0))</formula>
    </cfRule>
    <cfRule type="expression" priority="484" dxfId="1">
      <formula>AND(IF($Q101=3,1,0),IF($X101&lt;30,1,0))</formula>
    </cfRule>
    <cfRule type="expression" priority="485" dxfId="0">
      <formula>AND(IF($Q101=3,1,IF($Q101=4,1,0)),IF($F101&lt;=85,1,0))</formula>
    </cfRule>
  </conditionalFormatting>
  <conditionalFormatting sqref="AV102">
    <cfRule type="expression" priority="480" dxfId="23">
      <formula>AV102="X"</formula>
    </cfRule>
    <cfRule type="expression" priority="481" dxfId="22">
      <formula>AV102="후보"</formula>
    </cfRule>
  </conditionalFormatting>
  <conditionalFormatting sqref="AC10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2">
    <cfRule type="expression" priority="471" dxfId="3">
      <formula>AND(IF(OR($Q102=1,$Q102=2),1,0),IF($X102&lt;=20,1,0))</formula>
    </cfRule>
    <cfRule type="expression" priority="472" dxfId="2">
      <formula>AND(IF($Q102=2,1,0),IF($X102&lt;30,1,0))</formula>
    </cfRule>
    <cfRule type="expression" priority="473" dxfId="1">
      <formula>AND(IF($Q102=3,1,0),IF($X102&lt;30,1,0))</formula>
    </cfRule>
    <cfRule type="expression" priority="474" dxfId="0">
      <formula>AND(IF($Q102=3,1,IF($Q102=4,1,0)),IF($F102&lt;=85,1,0))</formula>
    </cfRule>
  </conditionalFormatting>
  <conditionalFormatting sqref="X102">
    <cfRule type="expression" priority="467" dxfId="3">
      <formula>AND(IF(OR($Q102=1,$Q102=2),1,0),IF($X102&lt;=20,1,0))</formula>
    </cfRule>
    <cfRule type="expression" priority="468" dxfId="2">
      <formula>AND(IF($Q102=2,1,0),IF($X102&lt;30,1,0))</formula>
    </cfRule>
    <cfRule type="expression" priority="469" dxfId="1">
      <formula>AND(IF($Q102=3,1,0),IF($X102&lt;30,1,0))</formula>
    </cfRule>
    <cfRule type="expression" priority="470" dxfId="0">
      <formula>AND(IF($Q102=3,1,IF($Q102=4,1,0)),IF($F102&lt;=85,1,0))</formula>
    </cfRule>
  </conditionalFormatting>
  <conditionalFormatting sqref="AI102">
    <cfRule type="expression" priority="463" dxfId="3">
      <formula>AND(IF(OR($Q102=1,$Q102=2),1,0),IF($X102&lt;=20,1,0))</formula>
    </cfRule>
    <cfRule type="expression" priority="464" dxfId="2">
      <formula>AND(IF($Q102=2,1,0),IF($X102&lt;30,1,0))</formula>
    </cfRule>
    <cfRule type="expression" priority="465" dxfId="1">
      <formula>AND(IF($Q102=3,1,0),IF($X102&lt;30,1,0))</formula>
    </cfRule>
    <cfRule type="expression" priority="466" dxfId="0">
      <formula>AND(IF($Q102=3,1,IF($Q102=4,1,0)),IF($F102&lt;=85,1,0))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0">
    <cfRule type="expression" priority="333" dxfId="3">
      <formula>AND(IF(OR($Q110=1,$Q110=2),1,0),IF($X110&lt;=20,1,0))</formula>
    </cfRule>
    <cfRule type="expression" priority="334" dxfId="2">
      <formula>AND(IF($Q110=2,1,0),IF($X110&lt;30,1,0))</formula>
    </cfRule>
    <cfRule type="expression" priority="335" dxfId="1">
      <formula>AND(IF($Q110=3,1,0),IF($X110&lt;30,1,0))</formula>
    </cfRule>
    <cfRule type="expression" priority="336" dxfId="0">
      <formula>AND(IF($Q110=3,1,IF($Q110=4,1,0)),IF($F110&lt;=85,1,0))</formula>
    </cfRule>
  </conditionalFormatting>
  <conditionalFormatting sqref="X110">
    <cfRule type="expression" priority="329" dxfId="3">
      <formula>AND(IF(OR($Q110=1,$Q110=2),1,0),IF($X110&lt;=20,1,0))</formula>
    </cfRule>
    <cfRule type="expression" priority="330" dxfId="2">
      <formula>AND(IF($Q110=2,1,0),IF($X110&lt;30,1,0))</formula>
    </cfRule>
    <cfRule type="expression" priority="331" dxfId="1">
      <formula>AND(IF($Q110=3,1,0),IF($X110&lt;30,1,0))</formula>
    </cfRule>
    <cfRule type="expression" priority="332" dxfId="0">
      <formula>AND(IF($Q110=3,1,IF($Q110=4,1,0)),IF($F110&lt;=85,1,0))</formula>
    </cfRule>
  </conditionalFormatting>
  <conditionalFormatting sqref="AI110">
    <cfRule type="expression" priority="325" dxfId="3">
      <formula>AND(IF(OR($Q110=1,$Q110=2),1,0),IF($X110&lt;=20,1,0))</formula>
    </cfRule>
    <cfRule type="expression" priority="326" dxfId="2">
      <formula>AND(IF($Q110=2,1,0),IF($X110&lt;30,1,0))</formula>
    </cfRule>
    <cfRule type="expression" priority="327" dxfId="1">
      <formula>AND(IF($Q110=3,1,0),IF($X110&lt;30,1,0))</formula>
    </cfRule>
    <cfRule type="expression" priority="328" dxfId="0">
      <formula>AND(IF($Q110=3,1,IF($Q110=4,1,0)),IF($F110&lt;=85,1,0))</formula>
    </cfRule>
  </conditionalFormatting>
  <conditionalFormatting sqref="AV111">
    <cfRule type="expression" priority="323" dxfId="23">
      <formula>AV111="X"</formula>
    </cfRule>
    <cfRule type="expression" priority="324" dxfId="22">
      <formula>AV111="후보"</formula>
    </cfRule>
  </conditionalFormatting>
  <conditionalFormatting sqref="AC111 N1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6">
    <cfRule type="expression" priority="233" dxfId="3">
      <formula>AND(IF(OR($Q116=1,$Q116=2),1,0),IF($X116&lt;=20,1,0))</formula>
    </cfRule>
    <cfRule type="expression" priority="234" dxfId="2">
      <formula>AND(IF($Q116=2,1,0),IF($X116&lt;30,1,0))</formula>
    </cfRule>
    <cfRule type="expression" priority="235" dxfId="1">
      <formula>AND(IF($Q116=3,1,0),IF($X116&lt;30,1,0))</formula>
    </cfRule>
    <cfRule type="expression" priority="236" dxfId="0">
      <formula>AND(IF($Q116=3,1,IF($Q116=4,1,0)),IF($F116&lt;=85,1,0))</formula>
    </cfRule>
  </conditionalFormatting>
  <conditionalFormatting sqref="X116">
    <cfRule type="expression" priority="229" dxfId="3">
      <formula>AND(IF(OR($Q116=1,$Q116=2),1,0),IF($X116&lt;=20,1,0))</formula>
    </cfRule>
    <cfRule type="expression" priority="230" dxfId="2">
      <formula>AND(IF($Q116=2,1,0),IF($X116&lt;30,1,0))</formula>
    </cfRule>
    <cfRule type="expression" priority="231" dxfId="1">
      <formula>AND(IF($Q116=3,1,0),IF($X116&lt;30,1,0))</formula>
    </cfRule>
    <cfRule type="expression" priority="232" dxfId="0">
      <formula>AND(IF($Q116=3,1,IF($Q116=4,1,0)),IF($F116&lt;=85,1,0))</formula>
    </cfRule>
  </conditionalFormatting>
  <conditionalFormatting sqref="AI116">
    <cfRule type="expression" priority="225" dxfId="3">
      <formula>AND(IF(OR($Q116=1,$Q116=2),1,0),IF($X116&lt;=20,1,0))</formula>
    </cfRule>
    <cfRule type="expression" priority="226" dxfId="2">
      <formula>AND(IF($Q116=2,1,0),IF($X116&lt;30,1,0))</formula>
    </cfRule>
    <cfRule type="expression" priority="227" dxfId="1">
      <formula>AND(IF($Q116=3,1,0),IF($X116&lt;30,1,0))</formula>
    </cfRule>
    <cfRule type="expression" priority="228" dxfId="0">
      <formula>AND(IF($Q116=3,1,IF($Q116=4,1,0)),IF($F116&lt;=85,1,0))</formula>
    </cfRule>
  </conditionalFormatting>
  <conditionalFormatting sqref="AV117">
    <cfRule type="expression" priority="223" dxfId="23">
      <formula>AV117="X"</formula>
    </cfRule>
    <cfRule type="expression" priority="224" dxfId="22">
      <formula>AV117="후보"</formula>
    </cfRule>
  </conditionalFormatting>
  <conditionalFormatting sqref="AC117 N1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 N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2">
    <cfRule type="expression" priority="156" dxfId="23">
      <formula>AV122="X"</formula>
    </cfRule>
    <cfRule type="expression" priority="157" dxfId="22">
      <formula>AV122="후보"</formula>
    </cfRule>
  </conditionalFormatting>
  <conditionalFormatting sqref="AC1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2">
    <cfRule type="expression" priority="147" dxfId="3">
      <formula>AND(IF(OR($Q122=1,$Q122=2),1,0),IF($X122&lt;=20,1,0))</formula>
    </cfRule>
    <cfRule type="expression" priority="148" dxfId="2">
      <formula>AND(IF($Q122=2,1,0),IF($X122&lt;30,1,0))</formula>
    </cfRule>
    <cfRule type="expression" priority="149" dxfId="1">
      <formula>AND(IF($Q122=3,1,0),IF($X122&lt;30,1,0))</formula>
    </cfRule>
    <cfRule type="expression" priority="150" dxfId="0">
      <formula>AND(IF($Q122=3,1,IF($Q122=4,1,0)),IF($F122&lt;=85,1,0))</formula>
    </cfRule>
  </conditionalFormatting>
  <conditionalFormatting sqref="X122">
    <cfRule type="expression" priority="143" dxfId="3">
      <formula>AND(IF(OR($Q122=1,$Q122=2),1,0),IF($X122&lt;=20,1,0))</formula>
    </cfRule>
    <cfRule type="expression" priority="144" dxfId="2">
      <formula>AND(IF($Q122=2,1,0),IF($X122&lt;30,1,0))</formula>
    </cfRule>
    <cfRule type="expression" priority="145" dxfId="1">
      <formula>AND(IF($Q122=3,1,0),IF($X122&lt;30,1,0))</formula>
    </cfRule>
    <cfRule type="expression" priority="146" dxfId="0">
      <formula>AND(IF($Q122=3,1,IF($Q122=4,1,0)),IF($F122&lt;=85,1,0))</formula>
    </cfRule>
  </conditionalFormatting>
  <conditionalFormatting sqref="AI122">
    <cfRule type="expression" priority="139" dxfId="3">
      <formula>AND(IF(OR($Q122=1,$Q122=2),1,0),IF($X122&lt;=20,1,0))</formula>
    </cfRule>
    <cfRule type="expression" priority="140" dxfId="2">
      <formula>AND(IF($Q122=2,1,0),IF($X122&lt;30,1,0))</formula>
    </cfRule>
    <cfRule type="expression" priority="141" dxfId="1">
      <formula>AND(IF($Q122=3,1,0),IF($X122&lt;30,1,0))</formula>
    </cfRule>
    <cfRule type="expression" priority="142" dxfId="0">
      <formula>AND(IF($Q122=3,1,IF($Q122=4,1,0)),IF($F122&lt;=85,1,0))</formula>
    </cfRule>
  </conditionalFormatting>
  <conditionalFormatting sqref="AV123">
    <cfRule type="expression" priority="137" dxfId="23">
      <formula>AV123="X"</formula>
    </cfRule>
    <cfRule type="expression" priority="138" dxfId="22">
      <formula>AV123="후보"</formula>
    </cfRule>
  </conditionalFormatting>
  <conditionalFormatting sqref="AC1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3">
    <cfRule type="expression" priority="128" dxfId="3">
      <formula>AND(IF(OR($Q123=1,$Q123=2),1,0),IF($X123&lt;=20,1,0))</formula>
    </cfRule>
    <cfRule type="expression" priority="129" dxfId="2">
      <formula>AND(IF($Q123=2,1,0),IF($X123&lt;30,1,0))</formula>
    </cfRule>
    <cfRule type="expression" priority="130" dxfId="1">
      <formula>AND(IF($Q123=3,1,0),IF($X123&lt;30,1,0))</formula>
    </cfRule>
    <cfRule type="expression" priority="131" dxfId="0">
      <formula>AND(IF($Q123=3,1,IF($Q123=4,1,0)),IF($F123&lt;=85,1,0))</formula>
    </cfRule>
  </conditionalFormatting>
  <conditionalFormatting sqref="X123">
    <cfRule type="expression" priority="124" dxfId="3">
      <formula>AND(IF(OR($Q123=1,$Q123=2),1,0),IF($X123&lt;=20,1,0))</formula>
    </cfRule>
    <cfRule type="expression" priority="125" dxfId="2">
      <formula>AND(IF($Q123=2,1,0),IF($X123&lt;30,1,0))</formula>
    </cfRule>
    <cfRule type="expression" priority="126" dxfId="1">
      <formula>AND(IF($Q123=3,1,0),IF($X123&lt;30,1,0))</formula>
    </cfRule>
    <cfRule type="expression" priority="127" dxfId="0">
      <formula>AND(IF($Q123=3,1,IF($Q123=4,1,0)),IF($F123&lt;=85,1,0))</formula>
    </cfRule>
  </conditionalFormatting>
  <conditionalFormatting sqref="AI123">
    <cfRule type="expression" priority="120" dxfId="3">
      <formula>AND(IF(OR($Q123=1,$Q123=2),1,0),IF($X123&lt;=20,1,0))</formula>
    </cfRule>
    <cfRule type="expression" priority="121" dxfId="2">
      <formula>AND(IF($Q123=2,1,0),IF($X123&lt;30,1,0))</formula>
    </cfRule>
    <cfRule type="expression" priority="122" dxfId="1">
      <formula>AND(IF($Q123=3,1,0),IF($X123&lt;30,1,0))</formula>
    </cfRule>
    <cfRule type="expression" priority="123" dxfId="0">
      <formula>AND(IF($Q123=3,1,IF($Q123=4,1,0)),IF($F123&lt;=85,1,0))</formula>
    </cfRule>
  </conditionalFormatting>
  <conditionalFormatting sqref="AV124">
    <cfRule type="expression" priority="118" dxfId="23">
      <formula>AV124="X"</formula>
    </cfRule>
    <cfRule type="expression" priority="119" dxfId="22">
      <formula>AV124="후보"</formula>
    </cfRule>
  </conditionalFormatting>
  <conditionalFormatting sqref="AC1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4">
    <cfRule type="expression" priority="109" dxfId="3">
      <formula>AND(IF(OR($Q124=1,$Q124=2),1,0),IF($X124&lt;=20,1,0))</formula>
    </cfRule>
    <cfRule type="expression" priority="110" dxfId="2">
      <formula>AND(IF($Q124=2,1,0),IF($X124&lt;30,1,0))</formula>
    </cfRule>
    <cfRule type="expression" priority="111" dxfId="1">
      <formula>AND(IF($Q124=3,1,0),IF($X124&lt;30,1,0))</formula>
    </cfRule>
    <cfRule type="expression" priority="112" dxfId="0">
      <formula>AND(IF($Q124=3,1,IF($Q124=4,1,0)),IF($F124&lt;=85,1,0))</formula>
    </cfRule>
  </conditionalFormatting>
  <conditionalFormatting sqref="X124">
    <cfRule type="expression" priority="105" dxfId="3">
      <formula>AND(IF(OR($Q124=1,$Q124=2),1,0),IF($X124&lt;=20,1,0))</formula>
    </cfRule>
    <cfRule type="expression" priority="106" dxfId="2">
      <formula>AND(IF($Q124=2,1,0),IF($X124&lt;30,1,0))</formula>
    </cfRule>
    <cfRule type="expression" priority="107" dxfId="1">
      <formula>AND(IF($Q124=3,1,0),IF($X124&lt;30,1,0))</formula>
    </cfRule>
    <cfRule type="expression" priority="108" dxfId="0">
      <formula>AND(IF($Q124=3,1,IF($Q124=4,1,0)),IF($F124&lt;=85,1,0))</formula>
    </cfRule>
  </conditionalFormatting>
  <conditionalFormatting sqref="AI124">
    <cfRule type="expression" priority="101" dxfId="3">
      <formula>AND(IF(OR($Q124=1,$Q124=2),1,0),IF($X124&lt;=20,1,0))</formula>
    </cfRule>
    <cfRule type="expression" priority="102" dxfId="2">
      <formula>AND(IF($Q124=2,1,0),IF($X124&lt;30,1,0))</formula>
    </cfRule>
    <cfRule type="expression" priority="103" dxfId="1">
      <formula>AND(IF($Q124=3,1,0),IF($X124&lt;30,1,0))</formula>
    </cfRule>
    <cfRule type="expression" priority="104" dxfId="0">
      <formula>AND(IF($Q124=3,1,IF($Q124=4,1,0)),IF($F124&lt;=85,1,0))</formula>
    </cfRule>
  </conditionalFormatting>
  <conditionalFormatting sqref="AV125">
    <cfRule type="expression" priority="99" dxfId="23">
      <formula>AV125="X"</formula>
    </cfRule>
    <cfRule type="expression" priority="100" dxfId="22">
      <formula>AV125="후보"</formula>
    </cfRule>
  </conditionalFormatting>
  <conditionalFormatting sqref="AC1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5">
    <cfRule type="expression" priority="90" dxfId="3">
      <formula>AND(IF(OR($Q125=1,$Q125=2),1,0),IF($X125&lt;=20,1,0))</formula>
    </cfRule>
    <cfRule type="expression" priority="91" dxfId="2">
      <formula>AND(IF($Q125=2,1,0),IF($X125&lt;30,1,0))</formula>
    </cfRule>
    <cfRule type="expression" priority="92" dxfId="1">
      <formula>AND(IF($Q125=3,1,0),IF($X125&lt;30,1,0))</formula>
    </cfRule>
    <cfRule type="expression" priority="93" dxfId="0">
      <formula>AND(IF($Q125=3,1,IF($Q125=4,1,0)),IF($F125&lt;=85,1,0))</formula>
    </cfRule>
  </conditionalFormatting>
  <conditionalFormatting sqref="X125">
    <cfRule type="expression" priority="86" dxfId="3">
      <formula>AND(IF(OR($Q125=1,$Q125=2),1,0),IF($X125&lt;=20,1,0))</formula>
    </cfRule>
    <cfRule type="expression" priority="87" dxfId="2">
      <formula>AND(IF($Q125=2,1,0),IF($X125&lt;30,1,0))</formula>
    </cfRule>
    <cfRule type="expression" priority="88" dxfId="1">
      <formula>AND(IF($Q125=3,1,0),IF($X125&lt;30,1,0))</formula>
    </cfRule>
    <cfRule type="expression" priority="89" dxfId="0">
      <formula>AND(IF($Q125=3,1,IF($Q125=4,1,0)),IF($F125&lt;=85,1,0))</formula>
    </cfRule>
  </conditionalFormatting>
  <conditionalFormatting sqref="AI125">
    <cfRule type="expression" priority="82" dxfId="3">
      <formula>AND(IF(OR($Q125=1,$Q125=2),1,0),IF($X125&lt;=20,1,0))</formula>
    </cfRule>
    <cfRule type="expression" priority="83" dxfId="2">
      <formula>AND(IF($Q125=2,1,0),IF($X125&lt;30,1,0))</formula>
    </cfRule>
    <cfRule type="expression" priority="84" dxfId="1">
      <formula>AND(IF($Q125=3,1,0),IF($X125&lt;30,1,0))</formula>
    </cfRule>
    <cfRule type="expression" priority="85" dxfId="0">
      <formula>AND(IF($Q125=3,1,IF($Q125=4,1,0)),IF($F125&lt;=85,1,0))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2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28">
    <cfRule type="expression" priority="33" dxfId="3">
      <formula>AND(IF(OR($Q128=1,$Q128=2),1,0),IF($X128&lt;=20,1,0))</formula>
    </cfRule>
    <cfRule type="expression" priority="34" dxfId="2">
      <formula>AND(IF($Q128=2,1,0),IF($X128&lt;30,1,0))</formula>
    </cfRule>
    <cfRule type="expression" priority="35" dxfId="1">
      <formula>AND(IF($Q128=3,1,0),IF($X128&lt;30,1,0))</formula>
    </cfRule>
    <cfRule type="expression" priority="36" dxfId="0">
      <formula>AND(IF($Q128=3,1,IF($Q128=4,1,0)),IF($F128&lt;=85,1,0))</formula>
    </cfRule>
  </conditionalFormatting>
  <conditionalFormatting sqref="X128">
    <cfRule type="expression" priority="29" dxfId="3">
      <formula>AND(IF(OR($Q128=1,$Q128=2),1,0),IF($X128&lt;=20,1,0))</formula>
    </cfRule>
    <cfRule type="expression" priority="30" dxfId="2">
      <formula>AND(IF($Q128=2,1,0),IF($X128&lt;30,1,0))</formula>
    </cfRule>
    <cfRule type="expression" priority="31" dxfId="1">
      <formula>AND(IF($Q128=3,1,0),IF($X128&lt;30,1,0))</formula>
    </cfRule>
    <cfRule type="expression" priority="32" dxfId="0">
      <formula>AND(IF($Q128=3,1,IF($Q128=4,1,0)),IF($F128&lt;=85,1,0))</formula>
    </cfRule>
  </conditionalFormatting>
  <conditionalFormatting sqref="AI128">
    <cfRule type="expression" priority="25" dxfId="3">
      <formula>AND(IF(OR($Q128=1,$Q128=2),1,0),IF($X128&lt;=20,1,0))</formula>
    </cfRule>
    <cfRule type="expression" priority="26" dxfId="2">
      <formula>AND(IF($Q128=2,1,0),IF($X128&lt;30,1,0))</formula>
    </cfRule>
    <cfRule type="expression" priority="27" dxfId="1">
      <formula>AND(IF($Q128=3,1,0),IF($X128&lt;30,1,0))</formula>
    </cfRule>
    <cfRule type="expression" priority="28" dxfId="0">
      <formula>AND(IF($Q128=3,1,IF($Q128=4,1,0)),IF($F128&lt;=85,1,0))</formula>
    </cfRule>
  </conditionalFormatting>
  <conditionalFormatting sqref="AV129">
    <cfRule type="expression" priority="23" dxfId="23">
      <formula>AV129="X"</formula>
    </cfRule>
    <cfRule type="expression" priority="24" dxfId="22">
      <formula>AV129="후보"</formula>
    </cfRule>
  </conditionalFormatting>
  <conditionalFormatting sqref="AC129 N12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귤현동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계양센트레빌3단지</t>
        </is>
      </c>
      <c r="B6" s="10" t="inlineStr">
        <is>
          <t>'13.06.</t>
        </is>
      </c>
      <c r="C6" s="132" t="n">
        <v>454</v>
      </c>
      <c r="D6" s="130" t="n">
        <v>112.1</v>
      </c>
      <c r="E6" s="131" t="n">
        <v>34</v>
      </c>
      <c r="F6" s="130" t="n">
        <v>85</v>
      </c>
      <c r="G6" s="17" t="n">
        <v>26</v>
      </c>
      <c r="H6" s="132" t="n">
        <v>79</v>
      </c>
      <c r="I6" s="133" t="n">
        <v>67000</v>
      </c>
      <c r="J6" s="133" t="inlineStr">
        <is>
          <t>고</t>
        </is>
      </c>
      <c r="K6" s="133" t="n">
        <v>38000</v>
      </c>
      <c r="L6" s="133" t="inlineStr">
        <is>
          <t>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계양센트레빌3단지</t>
        </is>
      </c>
      <c r="B7" s="10" t="inlineStr">
        <is>
          <t>'13.06.</t>
        </is>
      </c>
      <c r="C7" s="132" t="n">
        <v>454</v>
      </c>
      <c r="D7" s="130" t="n">
        <v>112.3</v>
      </c>
      <c r="E7" s="131" t="n">
        <v>34</v>
      </c>
      <c r="F7" s="130" t="n">
        <v>84.90000000000001</v>
      </c>
      <c r="G7" s="17" t="n">
        <v>26</v>
      </c>
      <c r="H7" s="132" t="n">
        <v>66</v>
      </c>
      <c r="I7" s="133" t="n">
        <v>60000</v>
      </c>
      <c r="J7" s="133" t="inlineStr">
        <is>
          <t>8</t>
        </is>
      </c>
      <c r="K7" s="133" t="n">
        <v>38000</v>
      </c>
      <c r="L7" s="133" t="inlineStr">
        <is>
          <t>13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계양센트레빌3단지</t>
        </is>
      </c>
      <c r="B8" s="10" t="inlineStr">
        <is>
          <t>'13.06.</t>
        </is>
      </c>
      <c r="C8" s="132" t="n">
        <v>454</v>
      </c>
      <c r="D8" s="130" t="n">
        <v>112.5</v>
      </c>
      <c r="E8" s="131" t="n">
        <v>34</v>
      </c>
      <c r="F8" s="130" t="n">
        <v>85</v>
      </c>
      <c r="G8" s="17" t="n">
        <v>26</v>
      </c>
      <c r="H8" s="132" t="n">
        <v>50</v>
      </c>
      <c r="I8" s="133" t="n">
        <v>60000</v>
      </c>
      <c r="J8" s="133" t="inlineStr">
        <is>
          <t>6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계양센트레빌3단지</t>
        </is>
      </c>
      <c r="B9" s="10" t="inlineStr">
        <is>
          <t>'13.06.</t>
        </is>
      </c>
      <c r="C9" s="132" t="n">
        <v>454</v>
      </c>
      <c r="D9" s="130" t="n">
        <v>132.1</v>
      </c>
      <c r="E9" s="131" t="n">
        <v>40</v>
      </c>
      <c r="F9" s="130" t="n">
        <v>101.9</v>
      </c>
      <c r="G9" s="17" t="n">
        <v>31</v>
      </c>
      <c r="H9" s="132" t="n">
        <v>109</v>
      </c>
      <c r="I9" s="133" t="n">
        <v>66000</v>
      </c>
      <c r="J9" s="133" t="inlineStr">
        <is>
          <t>15</t>
        </is>
      </c>
      <c r="K9" s="133" t="n">
        <v>43000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132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계양센트레빌3단지</t>
        </is>
      </c>
      <c r="B10" s="10" t="inlineStr">
        <is>
          <t>'13.06.</t>
        </is>
      </c>
      <c r="C10" s="132" t="n">
        <v>454</v>
      </c>
      <c r="D10" s="130" t="n">
        <v>153.1</v>
      </c>
      <c r="E10" s="131" t="n">
        <v>46</v>
      </c>
      <c r="F10" s="130" t="n">
        <v>121.7</v>
      </c>
      <c r="G10" s="17" t="n">
        <v>37</v>
      </c>
      <c r="H10" s="132" t="n">
        <v>62</v>
      </c>
      <c r="I10" s="133" t="n">
        <v>82000</v>
      </c>
      <c r="J10" s="133" t="inlineStr">
        <is>
          <t>7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계양센트레빌3단지</t>
        </is>
      </c>
      <c r="B11" s="10" t="inlineStr">
        <is>
          <t>'13.06.</t>
        </is>
      </c>
      <c r="C11" s="132" t="n">
        <v>454</v>
      </c>
      <c r="D11" s="130" t="n">
        <v>153</v>
      </c>
      <c r="E11" s="131" t="n">
        <v>46</v>
      </c>
      <c r="F11" s="130" t="n">
        <v>121.2</v>
      </c>
      <c r="G11" s="17" t="n">
        <v>37</v>
      </c>
      <c r="H11" s="132" t="n">
        <v>12</v>
      </c>
      <c r="I11" s="133" t="n"/>
      <c r="J11" s="133" t="n"/>
      <c r="K11" s="133" t="n">
        <v>45000</v>
      </c>
      <c r="L11" s="133" t="inlineStr">
        <is>
          <t>12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153B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계양센트레빌3단지</t>
        </is>
      </c>
      <c r="B12" s="10" t="inlineStr">
        <is>
          <t>'13.06.</t>
        </is>
      </c>
      <c r="C12" s="132" t="n">
        <v>454</v>
      </c>
      <c r="D12" s="130" t="n">
        <v>177.3</v>
      </c>
      <c r="E12" s="131" t="n">
        <v>54</v>
      </c>
      <c r="F12" s="130" t="n">
        <v>145.9</v>
      </c>
      <c r="G12" s="17" t="n">
        <v>44</v>
      </c>
      <c r="H12" s="132" t="n">
        <v>50</v>
      </c>
      <c r="I12" s="133" t="n">
        <v>80000</v>
      </c>
      <c r="J12" s="133" t="inlineStr">
        <is>
          <t>5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계양센트레빌3단지</t>
        </is>
      </c>
      <c r="B13" s="10" t="inlineStr">
        <is>
          <t>'13.06.</t>
        </is>
      </c>
      <c r="C13" s="132" t="n">
        <v>454</v>
      </c>
      <c r="D13" s="130" t="n">
        <v>177.3</v>
      </c>
      <c r="E13" s="131" t="n">
        <v>54</v>
      </c>
      <c r="F13" s="130" t="n">
        <v>145.8</v>
      </c>
      <c r="G13" s="17" t="n">
        <v>44</v>
      </c>
      <c r="H13" s="132" t="n">
        <v>26</v>
      </c>
      <c r="I13" s="133" t="n">
        <v>85000</v>
      </c>
      <c r="J13" s="133" t="inlineStr">
        <is>
          <t>중</t>
        </is>
      </c>
      <c r="K13" s="133" t="n">
        <v>45000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177B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귤현IPARK</t>
        </is>
      </c>
      <c r="B15" s="10" t="inlineStr">
        <is>
          <t>'04.10.</t>
        </is>
      </c>
      <c r="C15" s="132" t="n">
        <v>394</v>
      </c>
      <c r="D15" s="130" t="n">
        <v>105.8</v>
      </c>
      <c r="E15" s="131" t="n">
        <v>32</v>
      </c>
      <c r="F15" s="130" t="n">
        <v>85</v>
      </c>
      <c r="G15" s="17" t="n">
        <v>26</v>
      </c>
      <c r="H15" s="132" t="n">
        <v>394</v>
      </c>
      <c r="I15" s="133" t="n">
        <v>50000</v>
      </c>
      <c r="J15" s="133" t="inlineStr">
        <is>
          <t>7</t>
        </is>
      </c>
      <c r="K15" s="133" t="n">
        <v>32000</v>
      </c>
      <c r="L15" s="133" t="inlineStr">
        <is>
          <t>12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계양센트레빌2단지</t>
        </is>
      </c>
      <c r="B17" s="10" t="inlineStr">
        <is>
          <t>'13.06.</t>
        </is>
      </c>
      <c r="C17" s="132" t="n">
        <v>256</v>
      </c>
      <c r="D17" s="130" t="n">
        <v>110.8</v>
      </c>
      <c r="E17" s="131" t="n">
        <v>34</v>
      </c>
      <c r="F17" s="130" t="n">
        <v>85</v>
      </c>
      <c r="G17" s="17" t="n">
        <v>26</v>
      </c>
      <c r="H17" s="132" t="n">
        <v>79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계양센트레빌2단지</t>
        </is>
      </c>
      <c r="B18" s="10" t="inlineStr">
        <is>
          <t>'13.06.</t>
        </is>
      </c>
      <c r="C18" s="132" t="n">
        <v>256</v>
      </c>
      <c r="D18" s="130" t="n">
        <v>111</v>
      </c>
      <c r="E18" s="131" t="n">
        <v>34</v>
      </c>
      <c r="F18" s="130" t="n">
        <v>84.90000000000001</v>
      </c>
      <c r="G18" s="17" t="n">
        <v>26</v>
      </c>
      <c r="H18" s="132" t="n">
        <v>53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계양센트레빌2단지</t>
        </is>
      </c>
      <c r="B19" s="10" t="inlineStr">
        <is>
          <t>'13.06.</t>
        </is>
      </c>
      <c r="C19" s="132" t="n">
        <v>256</v>
      </c>
      <c r="D19" s="130" t="n">
        <v>111.2</v>
      </c>
      <c r="E19" s="131" t="n">
        <v>34</v>
      </c>
      <c r="F19" s="130" t="n">
        <v>85</v>
      </c>
      <c r="G19" s="17" t="n">
        <v>26</v>
      </c>
      <c r="H19" s="132" t="n">
        <v>26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계양센트레빌2단지</t>
        </is>
      </c>
      <c r="B20" s="10" t="inlineStr">
        <is>
          <t>'13.06.</t>
        </is>
      </c>
      <c r="C20" s="132" t="n">
        <v>256</v>
      </c>
      <c r="D20" s="130" t="n">
        <v>132.3</v>
      </c>
      <c r="E20" s="131" t="n">
        <v>40</v>
      </c>
      <c r="F20" s="130" t="n">
        <v>101.9</v>
      </c>
      <c r="G20" s="17" t="n">
        <v>31</v>
      </c>
      <c r="H20" s="132" t="n">
        <v>54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계양센트레빌2단지</t>
        </is>
      </c>
      <c r="B21" s="10" t="inlineStr">
        <is>
          <t>'13.06.</t>
        </is>
      </c>
      <c r="C21" s="132" t="n">
        <v>256</v>
      </c>
      <c r="D21" s="130" t="n">
        <v>150.4</v>
      </c>
      <c r="E21" s="131" t="n">
        <v>45</v>
      </c>
      <c r="F21" s="130" t="n">
        <v>121.7</v>
      </c>
      <c r="G21" s="17" t="n">
        <v>37</v>
      </c>
      <c r="H21" s="132" t="n">
        <v>30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inlineStr">
        <is>
          <t>150A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계양센트레빌2단지</t>
        </is>
      </c>
      <c r="B22" s="10" t="inlineStr">
        <is>
          <t>'13.06.</t>
        </is>
      </c>
      <c r="C22" s="132" t="n">
        <v>256</v>
      </c>
      <c r="D22" s="130" t="n">
        <v>150.4</v>
      </c>
      <c r="E22" s="131" t="n">
        <v>45</v>
      </c>
      <c r="F22" s="130" t="n">
        <v>121.2</v>
      </c>
      <c r="G22" s="17" t="n">
        <v>37</v>
      </c>
      <c r="H22" s="132" t="n">
        <v>14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150B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계양센트레빌1단지</t>
        </is>
      </c>
      <c r="B24" s="10" t="inlineStr">
        <is>
          <t>'13.02.</t>
        </is>
      </c>
      <c r="C24" s="132" t="n">
        <v>715</v>
      </c>
      <c r="D24" s="130" t="n">
        <v>111.4</v>
      </c>
      <c r="E24" s="131" t="n">
        <v>34</v>
      </c>
      <c r="F24" s="130" t="n">
        <v>84.90000000000001</v>
      </c>
      <c r="G24" s="17" t="n">
        <v>26</v>
      </c>
      <c r="H24" s="132" t="n">
        <v>221</v>
      </c>
      <c r="I24" s="133" t="n">
        <v>58000</v>
      </c>
      <c r="J24" s="133" t="inlineStr">
        <is>
          <t>중</t>
        </is>
      </c>
      <c r="K24" s="133" t="n">
        <v>38000</v>
      </c>
      <c r="L24" s="133" t="inlineStr">
        <is>
          <t>10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111A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계양센트레빌1단지</t>
        </is>
      </c>
      <c r="B25" s="10" t="inlineStr">
        <is>
          <t>'13.02.</t>
        </is>
      </c>
      <c r="C25" s="132" t="n">
        <v>715</v>
      </c>
      <c r="D25" s="130" t="n">
        <v>111.7</v>
      </c>
      <c r="E25" s="131" t="n">
        <v>34</v>
      </c>
      <c r="F25" s="130" t="n">
        <v>85</v>
      </c>
      <c r="G25" s="17" t="n">
        <v>26</v>
      </c>
      <c r="H25" s="132" t="n">
        <v>174</v>
      </c>
      <c r="I25" s="133" t="n">
        <v>58000</v>
      </c>
      <c r="J25" s="133" t="inlineStr">
        <is>
          <t>고</t>
        </is>
      </c>
      <c r="K25" s="133" t="n">
        <v>33000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111C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계양센트레빌1단지</t>
        </is>
      </c>
      <c r="B26" s="10" t="inlineStr">
        <is>
          <t>'13.02.</t>
        </is>
      </c>
      <c r="C26" s="132" t="n">
        <v>715</v>
      </c>
      <c r="D26" s="130" t="n">
        <v>111.3</v>
      </c>
      <c r="E26" s="131" t="n">
        <v>34</v>
      </c>
      <c r="F26" s="130" t="n">
        <v>85</v>
      </c>
      <c r="G26" s="17" t="n">
        <v>26</v>
      </c>
      <c r="H26" s="132" t="n">
        <v>145</v>
      </c>
      <c r="I26" s="133" t="n">
        <v>55000</v>
      </c>
      <c r="J26" s="133" t="inlineStr">
        <is>
          <t>7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111B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계양센트레빌1단지</t>
        </is>
      </c>
      <c r="B27" s="10" t="inlineStr">
        <is>
          <t>'13.02.</t>
        </is>
      </c>
      <c r="C27" s="132" t="n">
        <v>715</v>
      </c>
      <c r="D27" s="130" t="n">
        <v>131.6</v>
      </c>
      <c r="E27" s="131" t="n">
        <v>40</v>
      </c>
      <c r="F27" s="130" t="n">
        <v>101.9</v>
      </c>
      <c r="G27" s="17" t="n">
        <v>31</v>
      </c>
      <c r="H27" s="132" t="n">
        <v>87</v>
      </c>
      <c r="I27" s="133" t="n">
        <v>69500</v>
      </c>
      <c r="J27" s="133" t="inlineStr">
        <is>
          <t>고</t>
        </is>
      </c>
      <c r="K27" s="133" t="n">
        <v>38000</v>
      </c>
      <c r="L27" s="133" t="inlineStr">
        <is>
          <t>12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131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계양센트레빌1단지</t>
        </is>
      </c>
      <c r="B28" s="10" t="inlineStr">
        <is>
          <t>'13.02.</t>
        </is>
      </c>
      <c r="C28" s="132" t="n">
        <v>715</v>
      </c>
      <c r="D28" s="130" t="n">
        <v>150.4</v>
      </c>
      <c r="E28" s="131" t="n">
        <v>45</v>
      </c>
      <c r="F28" s="130" t="n">
        <v>121.7</v>
      </c>
      <c r="G28" s="17" t="n">
        <v>37</v>
      </c>
      <c r="H28" s="132" t="n">
        <v>58</v>
      </c>
      <c r="I28" s="133" t="n">
        <v>95000</v>
      </c>
      <c r="J28" s="133" t="inlineStr">
        <is>
          <t>중</t>
        </is>
      </c>
      <c r="K28" s="133" t="n">
        <v>60000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150A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계양센트레빌1단지</t>
        </is>
      </c>
      <c r="B29" s="10" t="inlineStr">
        <is>
          <t>'13.02.</t>
        </is>
      </c>
      <c r="C29" s="132" t="n">
        <v>715</v>
      </c>
      <c r="D29" s="130" t="n">
        <v>150.4</v>
      </c>
      <c r="E29" s="131" t="n">
        <v>45</v>
      </c>
      <c r="F29" s="130" t="n">
        <v>121.2</v>
      </c>
      <c r="G29" s="17" t="n">
        <v>37</v>
      </c>
      <c r="H29" s="132" t="n">
        <v>30</v>
      </c>
      <c r="I29" s="133" t="n">
        <v>85000</v>
      </c>
      <c r="J29" s="133" t="inlineStr">
        <is>
          <t>중</t>
        </is>
      </c>
      <c r="K29" s="133" t="n">
        <v>48000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150B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15" dxfId="23">
      <formula>AV4="X"</formula>
    </cfRule>
    <cfRule type="expression" priority="416" dxfId="22">
      <formula>AV4="후보"</formula>
    </cfRule>
  </conditionalFormatting>
  <conditionalFormatting sqref="AC1:AC2 AC4:AC6 N4:N5">
    <cfRule type="cellIs" priority="412" operator="greaterThan" dxfId="17">
      <formula>0.9</formula>
    </cfRule>
    <cfRule type="cellIs" priority="413" operator="greaterThan" dxfId="16">
      <formula>0.85</formula>
    </cfRule>
  </conditionalFormatting>
  <conditionalFormatting sqref="N1:N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">
    <cfRule type="expression" priority="404" dxfId="3">
      <formula>AND(IF(OR($Q6=1,$Q6=2),1,0),IF($X6&lt;=20,1,0))</formula>
    </cfRule>
    <cfRule type="expression" priority="405" dxfId="2">
      <formula>AND(IF($Q6=2,1,0),IF($X6&lt;30,1,0))</formula>
    </cfRule>
    <cfRule type="expression" priority="406" dxfId="1">
      <formula>AND(IF($Q6=3,1,0),IF($X6&lt;30,1,0))</formula>
    </cfRule>
    <cfRule type="expression" priority="407" dxfId="0">
      <formula>AND(IF($Q6=3,1,IF($Q6=4,1,0)),IF($F6&lt;=85,1,0))</formula>
    </cfRule>
  </conditionalFormatting>
  <conditionalFormatting sqref="X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AI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V7">
    <cfRule type="expression" priority="394" dxfId="23">
      <formula>AV7="X"</formula>
    </cfRule>
    <cfRule type="expression" priority="395" dxfId="22">
      <formula>AV7="후보"</formula>
    </cfRule>
  </conditionalFormatting>
  <conditionalFormatting sqref="AC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">
    <cfRule type="expression" priority="385" dxfId="3">
      <formula>AND(IF(OR($Q7=1,$Q7=2),1,0),IF($X7&lt;=20,1,0))</formula>
    </cfRule>
    <cfRule type="expression" priority="386" dxfId="2">
      <formula>AND(IF($Q7=2,1,0),IF($X7&lt;30,1,0))</formula>
    </cfRule>
    <cfRule type="expression" priority="387" dxfId="1">
      <formula>AND(IF($Q7=3,1,0),IF($X7&lt;30,1,0))</formula>
    </cfRule>
    <cfRule type="expression" priority="388" dxfId="0">
      <formula>AND(IF($Q7=3,1,IF($Q7=4,1,0)),IF($F7&lt;=85,1,0))</formula>
    </cfRule>
  </conditionalFormatting>
  <conditionalFormatting sqref="X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AI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V8">
    <cfRule type="expression" priority="375" dxfId="23">
      <formula>AV8="X"</formula>
    </cfRule>
    <cfRule type="expression" priority="376" dxfId="22">
      <formula>AV8="후보"</formula>
    </cfRule>
  </conditionalFormatting>
  <conditionalFormatting sqref="AC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">
    <cfRule type="expression" priority="366" dxfId="3">
      <formula>AND(IF(OR($Q8=1,$Q8=2),1,0),IF($X8&lt;=20,1,0))</formula>
    </cfRule>
    <cfRule type="expression" priority="367" dxfId="2">
      <formula>AND(IF($Q8=2,1,0),IF($X8&lt;30,1,0))</formula>
    </cfRule>
    <cfRule type="expression" priority="368" dxfId="1">
      <formula>AND(IF($Q8=3,1,0),IF($X8&lt;30,1,0))</formula>
    </cfRule>
    <cfRule type="expression" priority="369" dxfId="0">
      <formula>AND(IF($Q8=3,1,IF($Q8=4,1,0)),IF($F8&lt;=85,1,0))</formula>
    </cfRule>
  </conditionalFormatting>
  <conditionalFormatting sqref="X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AI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V9">
    <cfRule type="expression" priority="356" dxfId="23">
      <formula>AV9="X"</formula>
    </cfRule>
    <cfRule type="expression" priority="357" dxfId="22">
      <formula>AV9="후보"</formula>
    </cfRule>
  </conditionalFormatting>
  <conditionalFormatting sqref="AC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">
    <cfRule type="expression" priority="347" dxfId="3">
      <formula>AND(IF(OR($Q9=1,$Q9=2),1,0),IF($X9&lt;=20,1,0))</formula>
    </cfRule>
    <cfRule type="expression" priority="348" dxfId="2">
      <formula>AND(IF($Q9=2,1,0),IF($X9&lt;30,1,0))</formula>
    </cfRule>
    <cfRule type="expression" priority="349" dxfId="1">
      <formula>AND(IF($Q9=3,1,0),IF($X9&lt;30,1,0))</formula>
    </cfRule>
    <cfRule type="expression" priority="350" dxfId="0">
      <formula>AND(IF($Q9=3,1,IF($Q9=4,1,0)),IF($F9&lt;=85,1,0))</formula>
    </cfRule>
  </conditionalFormatting>
  <conditionalFormatting sqref="X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AI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V10">
    <cfRule type="expression" priority="337" dxfId="23">
      <formula>AV10="X"</formula>
    </cfRule>
    <cfRule type="expression" priority="338" dxfId="22">
      <formula>AV10="후보"</formula>
    </cfRule>
  </conditionalFormatting>
  <conditionalFormatting sqref="AC1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 N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23">
      <formula>AV16="X"</formula>
    </cfRule>
    <cfRule type="expression" priority="238" dxfId="22">
      <formula>AV16="후보"</formula>
    </cfRule>
  </conditionalFormatting>
  <conditionalFormatting sqref="AC16 N1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 N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동양휴먼빌</t>
        </is>
      </c>
      <c r="B6" s="10" t="inlineStr">
        <is>
          <t>'07.10.</t>
        </is>
      </c>
      <c r="C6" s="132" t="n">
        <v>466</v>
      </c>
      <c r="D6" s="130" t="n">
        <v>110.6</v>
      </c>
      <c r="E6" s="131" t="n">
        <v>33</v>
      </c>
      <c r="F6" s="130" t="n">
        <v>84.8</v>
      </c>
      <c r="G6" s="17" t="n">
        <v>26</v>
      </c>
      <c r="H6" s="132" t="n">
        <v>317</v>
      </c>
      <c r="I6" s="133" t="n">
        <v>50000</v>
      </c>
      <c r="J6" s="133" t="inlineStr">
        <is>
          <t>11</t>
        </is>
      </c>
      <c r="K6" s="133" t="n">
        <v>37000</v>
      </c>
      <c r="L6" s="133" t="inlineStr">
        <is>
          <t>고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동양휴먼빌</t>
        </is>
      </c>
      <c r="B7" s="10" t="inlineStr">
        <is>
          <t>'07.10.</t>
        </is>
      </c>
      <c r="C7" s="132" t="n">
        <v>466</v>
      </c>
      <c r="D7" s="130" t="n">
        <v>142.9</v>
      </c>
      <c r="E7" s="131" t="n">
        <v>43</v>
      </c>
      <c r="F7" s="130" t="n">
        <v>114.8</v>
      </c>
      <c r="G7" s="17" t="n">
        <v>35</v>
      </c>
      <c r="H7" s="132" t="n">
        <v>149</v>
      </c>
      <c r="I7" s="133" t="n">
        <v>60000</v>
      </c>
      <c r="J7" s="133" t="inlineStr">
        <is>
          <t>11</t>
        </is>
      </c>
      <c r="K7" s="133" t="n">
        <v>43000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142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한진해모로</t>
        </is>
      </c>
      <c r="B9" s="10" t="inlineStr">
        <is>
          <t>'06.06.</t>
        </is>
      </c>
      <c r="C9" s="132" t="n">
        <v>478</v>
      </c>
      <c r="D9" s="130" t="n">
        <v>79</v>
      </c>
      <c r="E9" s="131" t="n">
        <v>24</v>
      </c>
      <c r="F9" s="130" t="n">
        <v>59.6</v>
      </c>
      <c r="G9" s="17" t="n">
        <v>18</v>
      </c>
      <c r="H9" s="132" t="n">
        <v>478</v>
      </c>
      <c r="I9" s="133" t="n">
        <v>37000</v>
      </c>
      <c r="J9" s="133" t="inlineStr">
        <is>
          <t>고</t>
        </is>
      </c>
      <c r="K9" s="133" t="n">
        <v>30000</v>
      </c>
      <c r="L9" s="133" t="inlineStr">
        <is>
          <t>9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박촌동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계양하우스토리1차</t>
        </is>
      </c>
      <c r="B6" s="10" t="inlineStr">
        <is>
          <t>'09.11.</t>
        </is>
      </c>
      <c r="C6" s="132" t="n">
        <v>257</v>
      </c>
      <c r="D6" s="130" t="n">
        <v>109.6</v>
      </c>
      <c r="E6" s="131" t="n">
        <v>33</v>
      </c>
      <c r="F6" s="130" t="n">
        <v>85</v>
      </c>
      <c r="G6" s="17" t="n">
        <v>26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계양하우스토리1차</t>
        </is>
      </c>
      <c r="B7" s="10" t="inlineStr">
        <is>
          <t>'09.11.</t>
        </is>
      </c>
      <c r="C7" s="132" t="n">
        <v>257</v>
      </c>
      <c r="D7" s="130" t="n">
        <v>109.9</v>
      </c>
      <c r="E7" s="131" t="n">
        <v>33</v>
      </c>
      <c r="F7" s="130" t="n">
        <v>85</v>
      </c>
      <c r="G7" s="17" t="n">
        <v>26</v>
      </c>
      <c r="H7" s="132" t="n">
        <v>60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계양하우스토리1차</t>
        </is>
      </c>
      <c r="B8" s="10" t="inlineStr">
        <is>
          <t>'09.11.</t>
        </is>
      </c>
      <c r="C8" s="132" t="n">
        <v>257</v>
      </c>
      <c r="D8" s="130" t="n">
        <v>109.8</v>
      </c>
      <c r="E8" s="131" t="n">
        <v>33</v>
      </c>
      <c r="F8" s="130" t="n">
        <v>85</v>
      </c>
      <c r="G8" s="17" t="n">
        <v>26</v>
      </c>
      <c r="H8" s="132" t="n">
        <v>15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계양하우스토리1차</t>
        </is>
      </c>
      <c r="B9" s="10" t="inlineStr">
        <is>
          <t>'09.11.</t>
        </is>
      </c>
      <c r="C9" s="132" t="n">
        <v>257</v>
      </c>
      <c r="D9" s="130" t="n">
        <v>128.2</v>
      </c>
      <c r="E9" s="131" t="n">
        <v>39</v>
      </c>
      <c r="F9" s="130" t="n">
        <v>101.4</v>
      </c>
      <c r="G9" s="17" t="n">
        <v>31</v>
      </c>
      <c r="H9" s="132" t="n">
        <v>70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128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계양하우스토리1차</t>
        </is>
      </c>
      <c r="B10" s="10" t="inlineStr">
        <is>
          <t>'09.11.</t>
        </is>
      </c>
      <c r="C10" s="132" t="n">
        <v>257</v>
      </c>
      <c r="D10" s="130" t="n">
        <v>160.7</v>
      </c>
      <c r="E10" s="131" t="n">
        <v>49</v>
      </c>
      <c r="F10" s="130" t="n">
        <v>138.2</v>
      </c>
      <c r="G10" s="17" t="n">
        <v>42</v>
      </c>
      <c r="H10" s="132" t="n">
        <v>13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160A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계양하우스토리1차</t>
        </is>
      </c>
      <c r="B11" s="10" t="inlineStr">
        <is>
          <t>'09.11.</t>
        </is>
      </c>
      <c r="C11" s="132" t="n">
        <v>257</v>
      </c>
      <c r="D11" s="130" t="n">
        <v>161.9</v>
      </c>
      <c r="E11" s="131" t="n">
        <v>49</v>
      </c>
      <c r="F11" s="130" t="n">
        <v>138.6</v>
      </c>
      <c r="G11" s="17" t="n">
        <v>42</v>
      </c>
      <c r="H11" s="132" t="n">
        <v>13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161B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박촌풍림아이원</t>
        </is>
      </c>
      <c r="B13" s="10" t="inlineStr">
        <is>
          <t>'05.11.</t>
        </is>
      </c>
      <c r="C13" s="132" t="n">
        <v>207</v>
      </c>
      <c r="D13" s="130" t="n">
        <v>82.3</v>
      </c>
      <c r="E13" s="131" t="n">
        <v>25</v>
      </c>
      <c r="F13" s="130" t="n">
        <v>59.9</v>
      </c>
      <c r="G13" s="17" t="n">
        <v>18</v>
      </c>
      <c r="H13" s="132" t="n">
        <v>16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박촌풍림아이원</t>
        </is>
      </c>
      <c r="B14" s="10" t="inlineStr">
        <is>
          <t>'05.11.</t>
        </is>
      </c>
      <c r="C14" s="132" t="n">
        <v>207</v>
      </c>
      <c r="D14" s="130" t="n">
        <v>106.4</v>
      </c>
      <c r="E14" s="131" t="n">
        <v>32</v>
      </c>
      <c r="F14" s="130" t="n">
        <v>85</v>
      </c>
      <c r="G14" s="17" t="n">
        <v>26</v>
      </c>
      <c r="H14" s="132" t="n">
        <v>191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한화꿈에그린</t>
        </is>
      </c>
      <c r="B16" s="10" t="inlineStr">
        <is>
          <t>'05.11.</t>
        </is>
      </c>
      <c r="C16" s="132" t="n">
        <v>670</v>
      </c>
      <c r="D16" s="130" t="n">
        <v>81.90000000000001</v>
      </c>
      <c r="E16" s="131" t="n">
        <v>25</v>
      </c>
      <c r="F16" s="130" t="n">
        <v>60</v>
      </c>
      <c r="G16" s="17" t="n">
        <v>18</v>
      </c>
      <c r="H16" s="132" t="n">
        <v>140</v>
      </c>
      <c r="I16" s="133" t="n">
        <v>42500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81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한화꿈에그린</t>
        </is>
      </c>
      <c r="B17" s="10" t="inlineStr">
        <is>
          <t>'05.11.</t>
        </is>
      </c>
      <c r="C17" s="132" t="n">
        <v>670</v>
      </c>
      <c r="D17" s="130" t="n">
        <v>106.1</v>
      </c>
      <c r="E17" s="131" t="n">
        <v>32</v>
      </c>
      <c r="F17" s="130" t="n">
        <v>85</v>
      </c>
      <c r="G17" s="17" t="n">
        <v>26</v>
      </c>
      <c r="H17" s="132" t="n">
        <v>530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계양한양수자인</t>
        </is>
      </c>
      <c r="B19" s="10" t="inlineStr">
        <is>
          <t>'11.12.</t>
        </is>
      </c>
      <c r="C19" s="132" t="n">
        <v>376</v>
      </c>
      <c r="D19" s="130" t="n">
        <v>80.09999999999999</v>
      </c>
      <c r="E19" s="131" t="n">
        <v>24</v>
      </c>
      <c r="F19" s="130" t="n">
        <v>60</v>
      </c>
      <c r="G19" s="17" t="n">
        <v>18</v>
      </c>
      <c r="H19" s="132" t="n">
        <v>85</v>
      </c>
      <c r="I19" s="133" t="n">
        <v>55000</v>
      </c>
      <c r="J19" s="133" t="inlineStr">
        <is>
          <t>14</t>
        </is>
      </c>
      <c r="K19" s="133" t="n">
        <v>35000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80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계양한양수자인</t>
        </is>
      </c>
      <c r="B20" s="10" t="inlineStr">
        <is>
          <t>'11.12.</t>
        </is>
      </c>
      <c r="C20" s="132" t="n">
        <v>376</v>
      </c>
      <c r="D20" s="130" t="n">
        <v>113.7</v>
      </c>
      <c r="E20" s="131" t="n">
        <v>34</v>
      </c>
      <c r="F20" s="130" t="n">
        <v>85</v>
      </c>
      <c r="G20" s="17" t="n">
        <v>26</v>
      </c>
      <c r="H20" s="132" t="n">
        <v>133</v>
      </c>
      <c r="I20" s="133" t="n">
        <v>80000</v>
      </c>
      <c r="J20" s="133" t="inlineStr">
        <is>
          <t>중</t>
        </is>
      </c>
      <c r="K20" s="133" t="n">
        <v>50000</v>
      </c>
      <c r="L20" s="133" t="inlineStr">
        <is>
          <t>고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113A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계양한양수자인</t>
        </is>
      </c>
      <c r="B21" s="10" t="inlineStr">
        <is>
          <t>'11.12.</t>
        </is>
      </c>
      <c r="C21" s="132" t="n">
        <v>376</v>
      </c>
      <c r="D21" s="130" t="n">
        <v>114</v>
      </c>
      <c r="E21" s="131" t="n">
        <v>34</v>
      </c>
      <c r="F21" s="130" t="n">
        <v>85</v>
      </c>
      <c r="G21" s="17" t="n">
        <v>26</v>
      </c>
      <c r="H21" s="132" t="n">
        <v>103</v>
      </c>
      <c r="I21" s="133" t="n">
        <v>70000</v>
      </c>
      <c r="J21" s="133" t="inlineStr">
        <is>
          <t>12</t>
        </is>
      </c>
      <c r="K21" s="133" t="n">
        <v>45000</v>
      </c>
      <c r="L21" s="133" t="inlineStr">
        <is>
          <t>7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114B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계양한양수자인</t>
        </is>
      </c>
      <c r="B22" s="10" t="inlineStr">
        <is>
          <t>'11.12.</t>
        </is>
      </c>
      <c r="C22" s="132" t="n">
        <v>376</v>
      </c>
      <c r="D22" s="130" t="n">
        <v>160</v>
      </c>
      <c r="E22" s="131" t="n">
        <v>48</v>
      </c>
      <c r="F22" s="130" t="n">
        <v>120.9</v>
      </c>
      <c r="G22" s="17" t="n">
        <v>37</v>
      </c>
      <c r="H22" s="132" t="n">
        <v>55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X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I11">
    <cfRule type="expression" priority="168" dxfId="3">
      <formula>AND(IF(OR($Q11=1,$Q11=2),1,0),IF($X11&lt;=20,1,0))</formula>
    </cfRule>
    <cfRule type="expression" priority="169" dxfId="2">
      <formula>AND(IF($Q11=2,1,0),IF($X11&lt;30,1,0))</formula>
    </cfRule>
    <cfRule type="expression" priority="170" dxfId="1">
      <formula>AND(IF($Q11=3,1,0),IF($X11&lt;30,1,0))</formula>
    </cfRule>
    <cfRule type="expression" priority="171" dxfId="0">
      <formula>AND(IF($Q11=3,1,IF($Q11=4,1,0)),IF($F11&lt;=85,1,0))</formula>
    </cfRule>
  </conditionalFormatting>
  <conditionalFormatting sqref="AV12">
    <cfRule type="expression" priority="166" dxfId="23">
      <formula>AV12="X"</formula>
    </cfRule>
    <cfRule type="expression" priority="167" dxfId="22">
      <formula>AV12="후보"</formula>
    </cfRule>
  </conditionalFormatting>
  <conditionalFormatting sqref="AC12 N1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 N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계양하늘채파크포레</t>
        </is>
      </c>
      <c r="B6" s="10" t="inlineStr">
        <is>
          <t>'23.04.</t>
        </is>
      </c>
      <c r="C6" s="132" t="n">
        <v>546</v>
      </c>
      <c r="D6" s="130" t="n">
        <v>80.8</v>
      </c>
      <c r="E6" s="131" t="n">
        <v>24</v>
      </c>
      <c r="F6" s="130" t="n">
        <v>59.9</v>
      </c>
      <c r="G6" s="17" t="n">
        <v>18</v>
      </c>
      <c r="H6" s="132" t="n">
        <v>211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계양하늘채파크포레</t>
        </is>
      </c>
      <c r="B7" s="10" t="inlineStr">
        <is>
          <t>'23.04.</t>
        </is>
      </c>
      <c r="C7" s="132" t="n">
        <v>546</v>
      </c>
      <c r="D7" s="130" t="n">
        <v>80.3</v>
      </c>
      <c r="E7" s="131" t="n">
        <v>24</v>
      </c>
      <c r="F7" s="130" t="n">
        <v>60</v>
      </c>
      <c r="G7" s="17" t="n">
        <v>18</v>
      </c>
      <c r="H7" s="132" t="n">
        <v>74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계양하늘채파크포레</t>
        </is>
      </c>
      <c r="B8" s="10" t="inlineStr">
        <is>
          <t>'23.04.</t>
        </is>
      </c>
      <c r="C8" s="132" t="n">
        <v>546</v>
      </c>
      <c r="D8" s="130" t="n">
        <v>81.40000000000001</v>
      </c>
      <c r="E8" s="131" t="n">
        <v>25</v>
      </c>
      <c r="F8" s="130" t="n">
        <v>59.9</v>
      </c>
      <c r="G8" s="17" t="n">
        <v>18</v>
      </c>
      <c r="H8" s="132" t="n">
        <v>76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81C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계양하늘채파크포레</t>
        </is>
      </c>
      <c r="B9" s="10" t="inlineStr">
        <is>
          <t>'23.04.</t>
        </is>
      </c>
      <c r="C9" s="132" t="n">
        <v>546</v>
      </c>
      <c r="D9" s="130" t="n">
        <v>106.6</v>
      </c>
      <c r="E9" s="131" t="n">
        <v>32</v>
      </c>
      <c r="F9" s="130" t="n">
        <v>84.90000000000001</v>
      </c>
      <c r="G9" s="17" t="n">
        <v>26</v>
      </c>
      <c r="H9" s="132" t="n">
        <v>28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106C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계양하늘채파크포레</t>
        </is>
      </c>
      <c r="B10" s="10" t="inlineStr">
        <is>
          <t>'23.04.</t>
        </is>
      </c>
      <c r="C10" s="132" t="n">
        <v>546</v>
      </c>
      <c r="D10" s="130" t="n">
        <v>107.4</v>
      </c>
      <c r="E10" s="131" t="n">
        <v>32</v>
      </c>
      <c r="F10" s="130" t="n">
        <v>85</v>
      </c>
      <c r="G10" s="17" t="n">
        <v>26</v>
      </c>
      <c r="H10" s="132" t="n">
        <v>116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107B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계양하늘채파크포레</t>
        </is>
      </c>
      <c r="B11" s="10" t="inlineStr">
        <is>
          <t>'23.04.</t>
        </is>
      </c>
      <c r="C11" s="132" t="n">
        <v>546</v>
      </c>
      <c r="D11" s="130" t="n">
        <v>107.8</v>
      </c>
      <c r="E11" s="131" t="n">
        <v>33</v>
      </c>
      <c r="F11" s="130" t="n">
        <v>84.90000000000001</v>
      </c>
      <c r="G11" s="17" t="n">
        <v>26</v>
      </c>
      <c r="H11" s="132" t="n">
        <v>41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107A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한성</t>
        </is>
      </c>
      <c r="B13" s="10" t="inlineStr">
        <is>
          <t>'90.07.</t>
        </is>
      </c>
      <c r="C13" s="132" t="n">
        <v>200</v>
      </c>
      <c r="D13" s="130" t="n">
        <v>62.9</v>
      </c>
      <c r="E13" s="131" t="n">
        <v>19</v>
      </c>
      <c r="F13" s="130" t="n">
        <v>48</v>
      </c>
      <c r="G13" s="17" t="n">
        <v>15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'90.07.</t>
        </is>
      </c>
      <c r="C14" s="132" t="n">
        <v>200</v>
      </c>
      <c r="D14" s="130" t="n">
        <v>62.4</v>
      </c>
      <c r="E14" s="131" t="n">
        <v>19</v>
      </c>
      <c r="F14" s="130" t="n">
        <v>47.7</v>
      </c>
      <c r="G14" s="17" t="n">
        <v>14</v>
      </c>
      <c r="H14" s="132" t="n">
        <v>80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62A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아주</t>
        </is>
      </c>
      <c r="B16" s="10" t="inlineStr">
        <is>
          <t>'91.04.</t>
        </is>
      </c>
      <c r="C16" s="132" t="n">
        <v>480</v>
      </c>
      <c r="D16" s="130" t="n">
        <v>75.90000000000001</v>
      </c>
      <c r="E16" s="131" t="n">
        <v>23</v>
      </c>
      <c r="F16" s="130" t="n">
        <v>60</v>
      </c>
      <c r="G16" s="17" t="n">
        <v>18</v>
      </c>
      <c r="H16" s="132" t="n">
        <v>204</v>
      </c>
      <c r="I16" s="133" t="n">
        <v>24000</v>
      </c>
      <c r="J16" s="133" t="inlineStr">
        <is>
          <t>6</t>
        </is>
      </c>
      <c r="K16" s="133" t="n">
        <v>14000</v>
      </c>
      <c r="L16" s="133" t="inlineStr">
        <is>
          <t>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아주</t>
        </is>
      </c>
      <c r="B17" s="10" t="inlineStr">
        <is>
          <t>'91.04.</t>
        </is>
      </c>
      <c r="C17" s="132" t="n">
        <v>480</v>
      </c>
      <c r="D17" s="130" t="n">
        <v>79.90000000000001</v>
      </c>
      <c r="E17" s="131" t="n">
        <v>24</v>
      </c>
      <c r="F17" s="130" t="n">
        <v>63.4</v>
      </c>
      <c r="G17" s="17" t="n">
        <v>19</v>
      </c>
      <c r="H17" s="132" t="n">
        <v>240</v>
      </c>
      <c r="I17" s="133" t="n">
        <v>24000</v>
      </c>
      <c r="J17" s="133" t="inlineStr">
        <is>
          <t>5</t>
        </is>
      </c>
      <c r="K17" s="133" t="n">
        <v>14000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아주</t>
        </is>
      </c>
      <c r="B18" s="10" t="inlineStr">
        <is>
          <t>'91.04.</t>
        </is>
      </c>
      <c r="C18" s="132" t="n">
        <v>480</v>
      </c>
      <c r="D18" s="130" t="n">
        <v>83.8</v>
      </c>
      <c r="E18" s="131" t="n">
        <v>25</v>
      </c>
      <c r="F18" s="130" t="n">
        <v>66.8</v>
      </c>
      <c r="G18" s="17" t="n">
        <v>20</v>
      </c>
      <c r="H18" s="132" t="n">
        <v>36</v>
      </c>
      <c r="I18" s="133" t="n">
        <v>30000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83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23">
      <formula>AV10="X"</formula>
    </cfRule>
    <cfRule type="expression" priority="143" dxfId="22">
      <formula>AV10="후보"</formula>
    </cfRule>
  </conditionalFormatting>
  <conditionalFormatting sqref="AC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병방동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학마을서해</t>
        </is>
      </c>
      <c r="B6" s="10" t="inlineStr">
        <is>
          <t>'97.10.</t>
        </is>
      </c>
      <c r="C6" s="132" t="n">
        <v>1261</v>
      </c>
      <c r="D6" s="130" t="n">
        <v>39.8</v>
      </c>
      <c r="E6" s="131" t="n">
        <v>12</v>
      </c>
      <c r="F6" s="130" t="n">
        <v>26</v>
      </c>
      <c r="G6" s="17" t="n">
        <v>8</v>
      </c>
      <c r="H6" s="132" t="n">
        <v>519</v>
      </c>
      <c r="I6" s="133" t="n">
        <v>12000</v>
      </c>
      <c r="J6" s="133" t="inlineStr">
        <is>
          <t>16</t>
        </is>
      </c>
      <c r="K6" s="133" t="n">
        <v>9500</v>
      </c>
      <c r="L6" s="133" t="inlineStr">
        <is>
          <t>16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계</t>
        </is>
      </c>
      <c r="T6" s="5" t="n">
        <v>39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학마을서해</t>
        </is>
      </c>
      <c r="B7" s="10" t="inlineStr">
        <is>
          <t>'97.10.</t>
        </is>
      </c>
      <c r="C7" s="132" t="n">
        <v>1261</v>
      </c>
      <c r="D7" s="130" t="n">
        <v>81.2</v>
      </c>
      <c r="E7" s="131" t="n">
        <v>25</v>
      </c>
      <c r="F7" s="130" t="n">
        <v>59.8</v>
      </c>
      <c r="G7" s="17" t="n">
        <v>18</v>
      </c>
      <c r="H7" s="132" t="n">
        <v>742</v>
      </c>
      <c r="I7" s="133" t="n">
        <v>37000</v>
      </c>
      <c r="J7" s="133" t="inlineStr">
        <is>
          <t>8</t>
        </is>
      </c>
      <c r="K7" s="133" t="n">
        <v>25000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2</v>
      </c>
      <c r="R7" s="117" t="n">
        <v>2</v>
      </c>
      <c r="S7" s="117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진달래2차</t>
        </is>
      </c>
      <c r="B9" s="10" t="inlineStr">
        <is>
          <t>'89.08.</t>
        </is>
      </c>
      <c r="C9" s="132" t="n">
        <v>204</v>
      </c>
      <c r="D9" s="130" t="n">
        <v>52.6</v>
      </c>
      <c r="E9" s="131" t="n">
        <v>16</v>
      </c>
      <c r="F9" s="130" t="n">
        <v>39.9</v>
      </c>
      <c r="G9" s="17" t="n">
        <v>12</v>
      </c>
      <c r="H9" s="132" t="n">
        <v>132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진달래2차</t>
        </is>
      </c>
      <c r="B10" s="10" t="inlineStr">
        <is>
          <t>'89.08.</t>
        </is>
      </c>
      <c r="C10" s="132" t="n">
        <v>204</v>
      </c>
      <c r="D10" s="130" t="n">
        <v>62</v>
      </c>
      <c r="E10" s="131" t="n">
        <v>19</v>
      </c>
      <c r="F10" s="130" t="n">
        <v>47.8</v>
      </c>
      <c r="G10" s="17" t="n">
        <v>14</v>
      </c>
      <c r="H10" s="132" t="n">
        <v>72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61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학마을영남</t>
        </is>
      </c>
      <c r="B12" s="10" t="inlineStr">
        <is>
          <t>'97.10.</t>
        </is>
      </c>
      <c r="C12" s="132" t="n">
        <v>1047</v>
      </c>
      <c r="D12" s="130" t="n">
        <v>39.8</v>
      </c>
      <c r="E12" s="131" t="n">
        <v>12</v>
      </c>
      <c r="F12" s="130" t="n">
        <v>26</v>
      </c>
      <c r="G12" s="17" t="n">
        <v>8</v>
      </c>
      <c r="H12" s="132" t="n">
        <v>347</v>
      </c>
      <c r="I12" s="133" t="n">
        <v>12700</v>
      </c>
      <c r="J12" s="133" t="inlineStr">
        <is>
          <t>중</t>
        </is>
      </c>
      <c r="K12" s="133" t="n">
        <v>10000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1</v>
      </c>
      <c r="R12" s="117" t="n">
        <v>1</v>
      </c>
      <c r="S12" s="117" t="inlineStr">
        <is>
          <t>복</t>
        </is>
      </c>
      <c r="T12" s="5" t="n">
        <v>39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학마을영남</t>
        </is>
      </c>
      <c r="B13" s="10" t="inlineStr">
        <is>
          <t>'97.10.</t>
        </is>
      </c>
      <c r="C13" s="132" t="n">
        <v>1047</v>
      </c>
      <c r="D13" s="130" t="n">
        <v>81.40000000000001</v>
      </c>
      <c r="E13" s="131" t="n">
        <v>25</v>
      </c>
      <c r="F13" s="130" t="n">
        <v>59.9</v>
      </c>
      <c r="G13" s="17" t="n">
        <v>18</v>
      </c>
      <c r="H13" s="132" t="n">
        <v>700</v>
      </c>
      <c r="I13" s="133" t="n">
        <v>39000</v>
      </c>
      <c r="J13" s="133" t="inlineStr">
        <is>
          <t>15</t>
        </is>
      </c>
      <c r="K13" s="133" t="n">
        <v>27000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학마을서원</t>
        </is>
      </c>
      <c r="B15" s="10" t="inlineStr">
        <is>
          <t>'97.05.</t>
        </is>
      </c>
      <c r="C15" s="132" t="n">
        <v>688</v>
      </c>
      <c r="D15" s="130" t="n">
        <v>49.3</v>
      </c>
      <c r="E15" s="131" t="n">
        <v>15</v>
      </c>
      <c r="F15" s="130" t="n">
        <v>34.4</v>
      </c>
      <c r="G15" s="17" t="n">
        <v>10</v>
      </c>
      <c r="H15" s="132" t="n">
        <v>176</v>
      </c>
      <c r="I15" s="133" t="n">
        <v>19000</v>
      </c>
      <c r="J15" s="133" t="inlineStr">
        <is>
          <t>8</t>
        </is>
      </c>
      <c r="K15" s="133" t="n">
        <v>17000</v>
      </c>
      <c r="L15" s="133" t="inlineStr">
        <is>
          <t>9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복</t>
        </is>
      </c>
      <c r="T15" s="5" t="inlineStr">
        <is>
          <t>49A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학마을서원</t>
        </is>
      </c>
      <c r="B16" s="10" t="inlineStr">
        <is>
          <t>'97.05.</t>
        </is>
      </c>
      <c r="C16" s="132" t="n">
        <v>688</v>
      </c>
      <c r="D16" s="130" t="n">
        <v>49.3</v>
      </c>
      <c r="E16" s="131" t="n">
        <v>15</v>
      </c>
      <c r="F16" s="130" t="n">
        <v>34.4</v>
      </c>
      <c r="G16" s="17" t="n">
        <v>10</v>
      </c>
      <c r="H16" s="132" t="n">
        <v>64</v>
      </c>
      <c r="I16" s="133" t="n">
        <v>19000</v>
      </c>
      <c r="J16" s="133" t="inlineStr">
        <is>
          <t>8</t>
        </is>
      </c>
      <c r="K16" s="133" t="n">
        <v>17000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inlineStr">
        <is>
          <t>49B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학마을서원</t>
        </is>
      </c>
      <c r="B17" s="10" t="inlineStr">
        <is>
          <t>'97.05.</t>
        </is>
      </c>
      <c r="C17" s="132" t="n">
        <v>688</v>
      </c>
      <c r="D17" s="130" t="n">
        <v>81.09999999999999</v>
      </c>
      <c r="E17" s="131" t="n">
        <v>25</v>
      </c>
      <c r="F17" s="130" t="n">
        <v>59.9</v>
      </c>
      <c r="G17" s="17" t="n">
        <v>18</v>
      </c>
      <c r="H17" s="132" t="n">
        <v>448</v>
      </c>
      <c r="I17" s="133" t="n">
        <v>33000</v>
      </c>
      <c r="J17" s="133" t="inlineStr">
        <is>
          <t>8</t>
        </is>
      </c>
      <c r="K17" s="133" t="n">
        <v>27000</v>
      </c>
      <c r="L17" s="133" t="inlineStr">
        <is>
          <t>12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신명진달래1차</t>
        </is>
      </c>
      <c r="B19" s="10" t="inlineStr">
        <is>
          <t>'88.12.</t>
        </is>
      </c>
      <c r="C19" s="132" t="n">
        <v>258</v>
      </c>
      <c r="D19" s="130" t="n">
        <v>49.8</v>
      </c>
      <c r="E19" s="131" t="n">
        <v>15</v>
      </c>
      <c r="F19" s="130" t="n">
        <v>41.6</v>
      </c>
      <c r="G19" s="17" t="n">
        <v>13</v>
      </c>
      <c r="H19" s="132" t="n">
        <v>96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49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신명진달래1차</t>
        </is>
      </c>
      <c r="B20" s="10" t="inlineStr">
        <is>
          <t>'88.12.</t>
        </is>
      </c>
      <c r="C20" s="132" t="n">
        <v>258</v>
      </c>
      <c r="D20" s="130" t="n">
        <v>62</v>
      </c>
      <c r="E20" s="131" t="n">
        <v>19</v>
      </c>
      <c r="F20" s="130" t="n">
        <v>48.2</v>
      </c>
      <c r="G20" s="17" t="n">
        <v>15</v>
      </c>
      <c r="H20" s="132" t="n">
        <v>156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61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신명진달래1차</t>
        </is>
      </c>
      <c r="B21" s="10" t="inlineStr">
        <is>
          <t>'88.12.</t>
        </is>
      </c>
      <c r="C21" s="132" t="n">
        <v>258</v>
      </c>
      <c r="D21" s="130" t="n">
        <v>85</v>
      </c>
      <c r="E21" s="131" t="n">
        <v>26</v>
      </c>
      <c r="F21" s="130" t="n">
        <v>63.2</v>
      </c>
      <c r="G21" s="17" t="n">
        <v>19</v>
      </c>
      <c r="H21" s="132" t="n">
        <v>6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아주</t>
        </is>
      </c>
      <c r="B23" s="10" t="inlineStr">
        <is>
          <t>'89.09.</t>
        </is>
      </c>
      <c r="C23" s="132" t="n">
        <v>468</v>
      </c>
      <c r="D23" s="130" t="n">
        <v>52.3</v>
      </c>
      <c r="E23" s="131" t="n">
        <v>16</v>
      </c>
      <c r="F23" s="130" t="n">
        <v>41.6</v>
      </c>
      <c r="G23" s="17" t="n">
        <v>13</v>
      </c>
      <c r="H23" s="132" t="n">
        <v>204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2</v>
      </c>
      <c r="R23" s="117" t="n">
        <v>1</v>
      </c>
      <c r="S23" s="117" t="inlineStr">
        <is>
          <t>계</t>
        </is>
      </c>
      <c r="T23" s="5" t="n">
        <v>52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'89.09.</t>
        </is>
      </c>
      <c r="C24" s="132" t="n">
        <v>468</v>
      </c>
      <c r="D24" s="130" t="n">
        <v>59.8</v>
      </c>
      <c r="E24" s="131" t="n">
        <v>18</v>
      </c>
      <c r="F24" s="130" t="n">
        <v>48.2</v>
      </c>
      <c r="G24" s="17" t="n">
        <v>15</v>
      </c>
      <c r="H24" s="132" t="n">
        <v>144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59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'89.09.</t>
        </is>
      </c>
      <c r="C25" s="132" t="n">
        <v>468</v>
      </c>
      <c r="D25" s="130" t="n">
        <v>63.6</v>
      </c>
      <c r="E25" s="131" t="n">
        <v>19</v>
      </c>
      <c r="F25" s="130" t="n">
        <v>51.6</v>
      </c>
      <c r="G25" s="17" t="n">
        <v>16</v>
      </c>
      <c r="H25" s="132" t="n">
        <v>36</v>
      </c>
      <c r="I25" s="133" t="n">
        <v>20000</v>
      </c>
      <c r="J25" s="133" t="inlineStr">
        <is>
          <t>5</t>
        </is>
      </c>
      <c r="K25" s="133" t="n">
        <v>14000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63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아주</t>
        </is>
      </c>
      <c r="B26" s="10" t="inlineStr">
        <is>
          <t>'89.09.</t>
        </is>
      </c>
      <c r="C26" s="132" t="n">
        <v>468</v>
      </c>
      <c r="D26" s="130" t="n">
        <v>67.5</v>
      </c>
      <c r="E26" s="131" t="n">
        <v>20</v>
      </c>
      <c r="F26" s="130" t="n">
        <v>55</v>
      </c>
      <c r="G26" s="17" t="n">
        <v>17</v>
      </c>
      <c r="H26" s="132" t="n">
        <v>84</v>
      </c>
      <c r="I26" s="133" t="n">
        <v>20000</v>
      </c>
      <c r="J26" s="133" t="inlineStr">
        <is>
          <t>6</t>
        </is>
      </c>
      <c r="K26" s="133" t="n">
        <v>16000</v>
      </c>
      <c r="L26" s="133" t="inlineStr">
        <is>
          <t>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67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학마을한진</t>
        </is>
      </c>
      <c r="B28" s="10" t="inlineStr">
        <is>
          <t>'98.11.</t>
        </is>
      </c>
      <c r="C28" s="132" t="n">
        <v>1500</v>
      </c>
      <c r="D28" s="130" t="n">
        <v>54.5</v>
      </c>
      <c r="E28" s="131" t="n">
        <v>16</v>
      </c>
      <c r="F28" s="130" t="n">
        <v>39.8</v>
      </c>
      <c r="G28" s="17" t="n">
        <v>12</v>
      </c>
      <c r="H28" s="132" t="n">
        <v>200</v>
      </c>
      <c r="I28" s="133" t="n">
        <v>20000</v>
      </c>
      <c r="J28" s="133" t="inlineStr">
        <is>
          <t>11</t>
        </is>
      </c>
      <c r="K28" s="133" t="n">
        <v>15000</v>
      </c>
      <c r="L28" s="133" t="inlineStr">
        <is>
          <t>14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복</t>
        </is>
      </c>
      <c r="T28" s="5" t="n">
        <v>54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학마을한진</t>
        </is>
      </c>
      <c r="B29" s="10" t="inlineStr">
        <is>
          <t>'98.11.</t>
        </is>
      </c>
      <c r="C29" s="132" t="n">
        <v>1500</v>
      </c>
      <c r="D29" s="130" t="n">
        <v>68.5</v>
      </c>
      <c r="E29" s="131" t="n">
        <v>21</v>
      </c>
      <c r="F29" s="130" t="n">
        <v>49.8</v>
      </c>
      <c r="G29" s="17" t="n">
        <v>15</v>
      </c>
      <c r="H29" s="132" t="n">
        <v>900</v>
      </c>
      <c r="I29" s="133" t="n">
        <v>27000</v>
      </c>
      <c r="J29" s="133" t="inlineStr">
        <is>
          <t>15</t>
        </is>
      </c>
      <c r="K29" s="133" t="n">
        <v>22000</v>
      </c>
      <c r="L29" s="133" t="inlineStr">
        <is>
          <t>10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68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학마을한진</t>
        </is>
      </c>
      <c r="B30" s="10" t="inlineStr">
        <is>
          <t>'98.11.</t>
        </is>
      </c>
      <c r="C30" s="132" t="n">
        <v>1500</v>
      </c>
      <c r="D30" s="130" t="n">
        <v>79.5</v>
      </c>
      <c r="E30" s="131" t="n">
        <v>24</v>
      </c>
      <c r="F30" s="130" t="n">
        <v>59.7</v>
      </c>
      <c r="G30" s="17" t="n">
        <v>18</v>
      </c>
      <c r="H30" s="132" t="n">
        <v>400</v>
      </c>
      <c r="I30" s="133" t="n">
        <v>32000</v>
      </c>
      <c r="J30" s="133" t="inlineStr">
        <is>
          <t>9</t>
        </is>
      </c>
      <c r="K30" s="133" t="n">
        <v>25000</v>
      </c>
      <c r="L30" s="133" t="inlineStr">
        <is>
          <t>15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복</t>
        </is>
      </c>
      <c r="T30" s="5" t="n">
        <v>79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392" dxfId="23">
      <formula>AV4="X"</formula>
    </cfRule>
    <cfRule type="expression" priority="393" dxfId="22">
      <formula>AV4="후보"</formula>
    </cfRule>
  </conditionalFormatting>
  <conditionalFormatting sqref="AC1:AC2 AC4:AC6 N4:N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N1:N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X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I6">
    <cfRule type="expression" priority="373" dxfId="3">
      <formula>AND(IF(OR($Q6=1,$Q6=2),1,0),IF($X6&lt;=20,1,0))</formula>
    </cfRule>
    <cfRule type="expression" priority="374" dxfId="2">
      <formula>AND(IF($Q6=2,1,0),IF($X6&lt;30,1,0))</formula>
    </cfRule>
    <cfRule type="expression" priority="375" dxfId="1">
      <formula>AND(IF($Q6=3,1,0),IF($X6&lt;30,1,0))</formula>
    </cfRule>
    <cfRule type="expression" priority="376" dxfId="0">
      <formula>AND(IF($Q6=3,1,IF($Q6=4,1,0)),IF($F6&lt;=85,1,0))</formula>
    </cfRule>
  </conditionalFormatting>
  <conditionalFormatting sqref="AV7">
    <cfRule type="expression" priority="371" dxfId="23">
      <formula>AV7="X"</formula>
    </cfRule>
    <cfRule type="expression" priority="372" dxfId="22">
      <formula>AV7="후보"</formula>
    </cfRule>
  </conditionalFormatting>
  <conditionalFormatting sqref="AC7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7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X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I7">
    <cfRule type="expression" priority="354" dxfId="3">
      <formula>AND(IF(OR($Q7=1,$Q7=2),1,0),IF($X7&lt;=20,1,0))</formula>
    </cfRule>
    <cfRule type="expression" priority="355" dxfId="2">
      <formula>AND(IF($Q7=2,1,0),IF($X7&lt;30,1,0))</formula>
    </cfRule>
    <cfRule type="expression" priority="356" dxfId="1">
      <formula>AND(IF($Q7=3,1,0),IF($X7&lt;30,1,0))</formula>
    </cfRule>
    <cfRule type="expression" priority="357" dxfId="0">
      <formula>AND(IF($Q7=3,1,IF($Q7=4,1,0)),IF($F7&lt;=85,1,0))</formula>
    </cfRule>
  </conditionalFormatting>
  <conditionalFormatting sqref="AV8">
    <cfRule type="expression" priority="352" dxfId="23">
      <formula>AV8="X"</formula>
    </cfRule>
    <cfRule type="expression" priority="353" dxfId="22">
      <formula>AV8="후보"</formula>
    </cfRule>
  </conditionalFormatting>
  <conditionalFormatting sqref="AC8 N8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 N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6">
    <cfRule type="expression" priority="233" dxfId="3">
      <formula>AND(IF(OR($Q16=1,$Q16=2),1,0),IF($X16&lt;=20,1,0))</formula>
    </cfRule>
    <cfRule type="expression" priority="234" dxfId="2">
      <formula>AND(IF($Q16=2,1,0),IF($X16&lt;30,1,0))</formula>
    </cfRule>
    <cfRule type="expression" priority="235" dxfId="1">
      <formula>AND(IF($Q16=3,1,0),IF($X16&lt;30,1,0))</formula>
    </cfRule>
    <cfRule type="expression" priority="236" dxfId="0">
      <formula>AND(IF($Q16=3,1,IF($Q16=4,1,0)),IF($F16&lt;=85,1,0))</formula>
    </cfRule>
  </conditionalFormatting>
  <conditionalFormatting sqref="X16">
    <cfRule type="expression" priority="229" dxfId="3">
      <formula>AND(IF(OR($Q16=1,$Q16=2),1,0),IF($X16&lt;=20,1,0))</formula>
    </cfRule>
    <cfRule type="expression" priority="230" dxfId="2">
      <formula>AND(IF($Q16=2,1,0),IF($X16&lt;30,1,0))</formula>
    </cfRule>
    <cfRule type="expression" priority="231" dxfId="1">
      <formula>AND(IF($Q16=3,1,0),IF($X16&lt;30,1,0))</formula>
    </cfRule>
    <cfRule type="expression" priority="232" dxfId="0">
      <formula>AND(IF($Q16=3,1,IF($Q16=4,1,0)),IF($F16&lt;=85,1,0))</formula>
    </cfRule>
  </conditionalFormatting>
  <conditionalFormatting sqref="AI16">
    <cfRule type="expression" priority="225" dxfId="3">
      <formula>AND(IF(OR($Q16=1,$Q16=2),1,0),IF($X16&lt;=20,1,0))</formula>
    </cfRule>
    <cfRule type="expression" priority="226" dxfId="2">
      <formula>AND(IF($Q16=2,1,0),IF($X16&lt;30,1,0))</formula>
    </cfRule>
    <cfRule type="expression" priority="227" dxfId="1">
      <formula>AND(IF($Q16=3,1,0),IF($X16&lt;30,1,0))</formula>
    </cfRule>
    <cfRule type="expression" priority="228" dxfId="0">
      <formula>AND(IF($Q16=3,1,IF($Q16=4,1,0)),IF($F16&lt;=85,1,0))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 N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9">
    <cfRule type="expression" priority="190" dxfId="3">
      <formula>AND(IF(OR($Q19=1,$Q19=2),1,0),IF($X19&lt;=20,1,0))</formula>
    </cfRule>
    <cfRule type="expression" priority="191" dxfId="2">
      <formula>AND(IF($Q19=2,1,0),IF($X19&lt;30,1,0))</formula>
    </cfRule>
    <cfRule type="expression" priority="192" dxfId="1">
      <formula>AND(IF($Q19=3,1,0),IF($X19&lt;30,1,0))</formula>
    </cfRule>
    <cfRule type="expression" priority="193" dxfId="0">
      <formula>AND(IF($Q19=3,1,IF($Q19=4,1,0)),IF($F19&lt;=85,1,0))</formula>
    </cfRule>
  </conditionalFormatting>
  <conditionalFormatting sqref="X19">
    <cfRule type="expression" priority="186" dxfId="3">
      <formula>AND(IF(OR($Q19=1,$Q19=2),1,0),IF($X19&lt;=20,1,0))</formula>
    </cfRule>
    <cfRule type="expression" priority="187" dxfId="2">
      <formula>AND(IF($Q19=2,1,0),IF($X19&lt;30,1,0))</formula>
    </cfRule>
    <cfRule type="expression" priority="188" dxfId="1">
      <formula>AND(IF($Q19=3,1,0),IF($X19&lt;30,1,0))</formula>
    </cfRule>
    <cfRule type="expression" priority="189" dxfId="0">
      <formula>AND(IF($Q19=3,1,IF($Q19=4,1,0)),IF($F19&lt;=85,1,0))</formula>
    </cfRule>
  </conditionalFormatting>
  <conditionalFormatting sqref="AI19">
    <cfRule type="expression" priority="182" dxfId="3">
      <formula>AND(IF(OR($Q19=1,$Q19=2),1,0),IF($X19&lt;=20,1,0))</formula>
    </cfRule>
    <cfRule type="expression" priority="183" dxfId="2">
      <formula>AND(IF($Q19=2,1,0),IF($X19&lt;30,1,0))</formula>
    </cfRule>
    <cfRule type="expression" priority="184" dxfId="1">
      <formula>AND(IF($Q19=3,1,0),IF($X19&lt;30,1,0))</formula>
    </cfRule>
    <cfRule type="expression" priority="185" dxfId="0">
      <formula>AND(IF($Q19=3,1,IF($Q19=4,1,0)),IF($F19&lt;=85,1,0))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 N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서운동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계양임광그대가</t>
        </is>
      </c>
      <c r="B6" s="10" t="inlineStr">
        <is>
          <t>'09.10.</t>
        </is>
      </c>
      <c r="C6" s="132" t="n">
        <v>373</v>
      </c>
      <c r="D6" s="130" t="n">
        <v>112.6</v>
      </c>
      <c r="E6" s="131" t="n">
        <v>34</v>
      </c>
      <c r="F6" s="130" t="n">
        <v>84.90000000000001</v>
      </c>
      <c r="G6" s="17" t="n">
        <v>26</v>
      </c>
      <c r="H6" s="132" t="n">
        <v>93</v>
      </c>
      <c r="I6" s="133" t="n">
        <v>59000</v>
      </c>
      <c r="J6" s="133" t="inlineStr">
        <is>
          <t>6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계양임광그대가</t>
        </is>
      </c>
      <c r="B7" s="10" t="inlineStr">
        <is>
          <t>'09.10.</t>
        </is>
      </c>
      <c r="C7" s="132" t="n">
        <v>373</v>
      </c>
      <c r="D7" s="130" t="n">
        <v>112.8</v>
      </c>
      <c r="E7" s="131" t="n">
        <v>34</v>
      </c>
      <c r="F7" s="130" t="n">
        <v>84.90000000000001</v>
      </c>
      <c r="G7" s="17" t="n">
        <v>26</v>
      </c>
      <c r="H7" s="132" t="n">
        <v>62</v>
      </c>
      <c r="I7" s="133" t="n">
        <v>55000</v>
      </c>
      <c r="J7" s="133" t="inlineStr">
        <is>
          <t>12</t>
        </is>
      </c>
      <c r="K7" s="133" t="n">
        <v>42000</v>
      </c>
      <c r="L7" s="133" t="inlineStr">
        <is>
          <t>24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계양임광그대가</t>
        </is>
      </c>
      <c r="B8" s="10" t="inlineStr">
        <is>
          <t>'09.10.</t>
        </is>
      </c>
      <c r="C8" s="132" t="n">
        <v>373</v>
      </c>
      <c r="D8" s="130" t="n">
        <v>112.8</v>
      </c>
      <c r="E8" s="131" t="n">
        <v>34</v>
      </c>
      <c r="F8" s="130" t="n">
        <v>84.90000000000001</v>
      </c>
      <c r="G8" s="17" t="n">
        <v>26</v>
      </c>
      <c r="H8" s="132" t="n">
        <v>26</v>
      </c>
      <c r="I8" s="133" t="n">
        <v>55000</v>
      </c>
      <c r="J8" s="133" t="inlineStr">
        <is>
          <t>12</t>
        </is>
      </c>
      <c r="K8" s="133" t="n">
        <v>42000</v>
      </c>
      <c r="L8" s="133" t="inlineStr">
        <is>
          <t>24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계양임광그대가</t>
        </is>
      </c>
      <c r="B9" s="10" t="inlineStr">
        <is>
          <t>'09.10.</t>
        </is>
      </c>
      <c r="C9" s="132" t="n">
        <v>373</v>
      </c>
      <c r="D9" s="130" t="n">
        <v>144.8</v>
      </c>
      <c r="E9" s="131" t="n">
        <v>44</v>
      </c>
      <c r="F9" s="130" t="n">
        <v>116.5</v>
      </c>
      <c r="G9" s="17" t="n">
        <v>35</v>
      </c>
      <c r="H9" s="132" t="n">
        <v>97</v>
      </c>
      <c r="I9" s="133" t="n">
        <v>60000</v>
      </c>
      <c r="J9" s="133" t="inlineStr">
        <is>
          <t>7</t>
        </is>
      </c>
      <c r="K9" s="133" t="n">
        <v>42000</v>
      </c>
      <c r="L9" s="133" t="inlineStr">
        <is>
          <t>11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144A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계양임광그대가</t>
        </is>
      </c>
      <c r="B10" s="10" t="inlineStr">
        <is>
          <t>'09.10.</t>
        </is>
      </c>
      <c r="C10" s="132" t="n">
        <v>373</v>
      </c>
      <c r="D10" s="130" t="n">
        <v>144.9</v>
      </c>
      <c r="E10" s="131" t="n">
        <v>44</v>
      </c>
      <c r="F10" s="130" t="n">
        <v>116.5</v>
      </c>
      <c r="G10" s="17" t="n">
        <v>35</v>
      </c>
      <c r="H10" s="132" t="n">
        <v>95</v>
      </c>
      <c r="I10" s="133" t="n">
        <v>68000</v>
      </c>
      <c r="J10" s="133" t="inlineStr">
        <is>
          <t>13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144B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계양효성해링턴플레이스</t>
        </is>
      </c>
      <c r="B12" s="10" t="inlineStr">
        <is>
          <t>'21.02.</t>
        </is>
      </c>
      <c r="C12" s="132" t="n">
        <v>1669</v>
      </c>
      <c r="D12" s="130" t="n">
        <v>55.3</v>
      </c>
      <c r="E12" s="131" t="n">
        <v>17</v>
      </c>
      <c r="F12" s="130" t="n">
        <v>39.9</v>
      </c>
      <c r="G12" s="17" t="n">
        <v>12</v>
      </c>
      <c r="H12" s="132" t="n">
        <v>19</v>
      </c>
      <c r="I12" s="133" t="n"/>
      <c r="J12" s="133" t="n"/>
      <c r="K12" s="133" t="n">
        <v>21000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55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계양효성해링턴플레이스</t>
        </is>
      </c>
      <c r="B13" s="10" t="inlineStr">
        <is>
          <t>'21.02.</t>
        </is>
      </c>
      <c r="C13" s="132" t="n">
        <v>1669</v>
      </c>
      <c r="D13" s="130" t="n">
        <v>82.3</v>
      </c>
      <c r="E13" s="131" t="n">
        <v>25</v>
      </c>
      <c r="F13" s="130" t="n">
        <v>60</v>
      </c>
      <c r="G13" s="17" t="n">
        <v>18</v>
      </c>
      <c r="H13" s="132" t="n">
        <v>405</v>
      </c>
      <c r="I13" s="133" t="n">
        <v>65000</v>
      </c>
      <c r="J13" s="133" t="inlineStr">
        <is>
          <t>10</t>
        </is>
      </c>
      <c r="K13" s="133" t="n">
        <v>40000</v>
      </c>
      <c r="L13" s="133" t="inlineStr">
        <is>
          <t>20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82A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계양효성해링턴플레이스</t>
        </is>
      </c>
      <c r="B14" s="10" t="inlineStr">
        <is>
          <t>'21.02.</t>
        </is>
      </c>
      <c r="C14" s="132" t="n">
        <v>1669</v>
      </c>
      <c r="D14" s="130" t="n">
        <v>82.8</v>
      </c>
      <c r="E14" s="131" t="n">
        <v>25</v>
      </c>
      <c r="F14" s="130" t="n">
        <v>60</v>
      </c>
      <c r="G14" s="17" t="n">
        <v>18</v>
      </c>
      <c r="H14" s="132" t="n">
        <v>96</v>
      </c>
      <c r="I14" s="133" t="n"/>
      <c r="J14" s="133" t="n"/>
      <c r="K14" s="133" t="n">
        <v>37000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82B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계양효성해링턴플레이스</t>
        </is>
      </c>
      <c r="B15" s="10" t="inlineStr">
        <is>
          <t>'21.02.</t>
        </is>
      </c>
      <c r="C15" s="132" t="n">
        <v>1669</v>
      </c>
      <c r="D15" s="130" t="n">
        <v>99.90000000000001</v>
      </c>
      <c r="E15" s="131" t="n">
        <v>30</v>
      </c>
      <c r="F15" s="130" t="n">
        <v>73</v>
      </c>
      <c r="G15" s="17" t="n">
        <v>22</v>
      </c>
      <c r="H15" s="132" t="n">
        <v>230</v>
      </c>
      <c r="I15" s="133" t="n">
        <v>115000</v>
      </c>
      <c r="J15" s="133" t="inlineStr">
        <is>
          <t>중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계양효성해링턴플레이스</t>
        </is>
      </c>
      <c r="B16" s="10" t="inlineStr">
        <is>
          <t>'21.02.</t>
        </is>
      </c>
      <c r="C16" s="132" t="n">
        <v>1669</v>
      </c>
      <c r="D16" s="130" t="n">
        <v>99.90000000000001</v>
      </c>
      <c r="E16" s="131" t="n">
        <v>30</v>
      </c>
      <c r="F16" s="130" t="n">
        <v>73</v>
      </c>
      <c r="G16" s="17" t="n">
        <v>22</v>
      </c>
      <c r="H16" s="132" t="n">
        <v>194</v>
      </c>
      <c r="I16" s="133" t="n">
        <v>115000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계양효성해링턴플레이스</t>
        </is>
      </c>
      <c r="B17" s="10" t="inlineStr">
        <is>
          <t>'21.02.</t>
        </is>
      </c>
      <c r="C17" s="132" t="n">
        <v>1669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497</v>
      </c>
      <c r="I17" s="133" t="n">
        <v>69000</v>
      </c>
      <c r="J17" s="133" t="inlineStr">
        <is>
          <t>중</t>
        </is>
      </c>
      <c r="K17" s="133" t="n">
        <v>50000</v>
      </c>
      <c r="L17" s="133" t="inlineStr">
        <is>
          <t>고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115A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계양효성해링턴플레이스</t>
        </is>
      </c>
      <c r="B18" s="10" t="inlineStr">
        <is>
          <t>'21.02.</t>
        </is>
      </c>
      <c r="C18" s="132" t="n">
        <v>1669</v>
      </c>
      <c r="D18" s="130" t="n">
        <v>116.3</v>
      </c>
      <c r="E18" s="131" t="n">
        <v>35</v>
      </c>
      <c r="F18" s="130" t="n">
        <v>85</v>
      </c>
      <c r="G18" s="17" t="n">
        <v>26</v>
      </c>
      <c r="H18" s="132" t="n">
        <v>85</v>
      </c>
      <c r="I18" s="133" t="n">
        <v>85000</v>
      </c>
      <c r="J18" s="133" t="inlineStr">
        <is>
          <t>고</t>
        </is>
      </c>
      <c r="K18" s="133" t="n">
        <v>50000</v>
      </c>
      <c r="L18" s="133" t="inlineStr">
        <is>
          <t>23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116B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계양효성해링턴플레이스</t>
        </is>
      </c>
      <c r="B19" s="10" t="inlineStr">
        <is>
          <t>'21.02.</t>
        </is>
      </c>
      <c r="C19" s="132" t="n">
        <v>1669</v>
      </c>
      <c r="D19" s="130" t="n">
        <v>135.5</v>
      </c>
      <c r="E19" s="131" t="n">
        <v>41</v>
      </c>
      <c r="F19" s="130" t="n">
        <v>99.90000000000001</v>
      </c>
      <c r="G19" s="17" t="n">
        <v>30</v>
      </c>
      <c r="H19" s="132" t="n">
        <v>59</v>
      </c>
      <c r="I19" s="133" t="n">
        <v>150000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135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5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서운경남아너스빌</t>
        </is>
      </c>
      <c r="B21" s="10" t="inlineStr">
        <is>
          <t>'07.09.</t>
        </is>
      </c>
      <c r="C21" s="132" t="n">
        <v>255</v>
      </c>
      <c r="D21" s="130" t="n">
        <v>130.9</v>
      </c>
      <c r="E21" s="131" t="n">
        <v>40</v>
      </c>
      <c r="F21" s="130" t="n">
        <v>101.8</v>
      </c>
      <c r="G21" s="17" t="n">
        <v>31</v>
      </c>
      <c r="H21" s="132" t="n">
        <v>180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서운경남아너스빌</t>
        </is>
      </c>
      <c r="B22" s="10" t="inlineStr">
        <is>
          <t>'07.09.</t>
        </is>
      </c>
      <c r="C22" s="132" t="n">
        <v>255</v>
      </c>
      <c r="D22" s="130" t="n">
        <v>162.9</v>
      </c>
      <c r="E22" s="131" t="n">
        <v>49</v>
      </c>
      <c r="F22" s="130" t="n">
        <v>133.3</v>
      </c>
      <c r="G22" s="17" t="n">
        <v>40</v>
      </c>
      <c r="H22" s="132" t="n">
        <v>75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9">
    <cfRule type="expression" priority="52" dxfId="3">
      <formula>AND(IF(OR($Q19=1,$Q19=2),1,0),IF($X19&lt;=20,1,0))</formula>
    </cfRule>
    <cfRule type="expression" priority="53" dxfId="2">
      <formula>AND(IF($Q19=2,1,0),IF($X19&lt;30,1,0))</formula>
    </cfRule>
    <cfRule type="expression" priority="54" dxfId="1">
      <formula>AND(IF($Q19=3,1,0),IF($X19&lt;30,1,0))</formula>
    </cfRule>
    <cfRule type="expression" priority="55" dxfId="0">
      <formula>AND(IF($Q19=3,1,IF($Q19=4,1,0)),IF($F19&lt;=85,1,0))</formula>
    </cfRule>
  </conditionalFormatting>
  <conditionalFormatting sqref="X19">
    <cfRule type="expression" priority="48" dxfId="3">
      <formula>AND(IF(OR($Q19=1,$Q19=2),1,0),IF($X19&lt;=20,1,0))</formula>
    </cfRule>
    <cfRule type="expression" priority="49" dxfId="2">
      <formula>AND(IF($Q19=2,1,0),IF($X19&lt;30,1,0))</formula>
    </cfRule>
    <cfRule type="expression" priority="50" dxfId="1">
      <formula>AND(IF($Q19=3,1,0),IF($X19&lt;30,1,0))</formula>
    </cfRule>
    <cfRule type="expression" priority="51" dxfId="0">
      <formula>AND(IF($Q19=3,1,IF($Q19=4,1,0)),IF($F19&lt;=85,1,0))</formula>
    </cfRule>
  </conditionalFormatting>
  <conditionalFormatting sqref="AI19">
    <cfRule type="expression" priority="44" dxfId="3">
      <formula>AND(IF(OR($Q19=1,$Q19=2),1,0),IF($X19&lt;=20,1,0))</formula>
    </cfRule>
    <cfRule type="expression" priority="45" dxfId="2">
      <formula>AND(IF($Q19=2,1,0),IF($X19&lt;30,1,0))</formula>
    </cfRule>
    <cfRule type="expression" priority="46" dxfId="1">
      <formula>AND(IF($Q19=3,1,0),IF($X19&lt;30,1,0))</formula>
    </cfRule>
    <cfRule type="expression" priority="47" dxfId="0">
      <formula>AND(IF($Q19=3,1,IF($Q19=4,1,0)),IF($F19&lt;=85,1,0))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 N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오류동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</t>
        </is>
      </c>
      <c r="B6" s="10" t="inlineStr">
        <is>
          <t>'97.03.</t>
        </is>
      </c>
      <c r="C6" s="132" t="n">
        <v>1192</v>
      </c>
      <c r="D6" s="130" t="n">
        <v>78</v>
      </c>
      <c r="E6" s="131" t="n">
        <v>24</v>
      </c>
      <c r="F6" s="130" t="n">
        <v>60</v>
      </c>
      <c r="G6" s="17" t="n">
        <v>18</v>
      </c>
      <c r="H6" s="132" t="n">
        <v>536</v>
      </c>
      <c r="I6" s="133" t="n">
        <v>28500</v>
      </c>
      <c r="J6" s="133" t="inlineStr">
        <is>
          <t>12</t>
        </is>
      </c>
      <c r="K6" s="133" t="n">
        <v>19000</v>
      </c>
      <c r="L6" s="133" t="inlineStr">
        <is>
          <t>8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</t>
        </is>
      </c>
      <c r="B7" s="10" t="inlineStr">
        <is>
          <t>'97.03.</t>
        </is>
      </c>
      <c r="C7" s="132" t="n">
        <v>1192</v>
      </c>
      <c r="D7" s="130" t="n">
        <v>105.3</v>
      </c>
      <c r="E7" s="131" t="n">
        <v>32</v>
      </c>
      <c r="F7" s="130" t="n">
        <v>85</v>
      </c>
      <c r="G7" s="17" t="n">
        <v>26</v>
      </c>
      <c r="H7" s="132" t="n">
        <v>560</v>
      </c>
      <c r="I7" s="133" t="n">
        <v>34000</v>
      </c>
      <c r="J7" s="133" t="inlineStr">
        <is>
          <t>10</t>
        </is>
      </c>
      <c r="K7" s="133" t="n">
        <v>23000</v>
      </c>
      <c r="L7" s="133" t="inlineStr">
        <is>
          <t>10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</t>
        </is>
      </c>
      <c r="B8" s="10" t="inlineStr">
        <is>
          <t>'97.03.</t>
        </is>
      </c>
      <c r="C8" s="132" t="n">
        <v>1192</v>
      </c>
      <c r="D8" s="130" t="n">
        <v>138</v>
      </c>
      <c r="E8" s="131" t="n">
        <v>42</v>
      </c>
      <c r="F8" s="130" t="n">
        <v>115</v>
      </c>
      <c r="G8" s="17" t="n">
        <v>35</v>
      </c>
      <c r="H8" s="132" t="n">
        <v>96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137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용종동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초정마을하나</t>
        </is>
      </c>
      <c r="B6" s="10" t="inlineStr">
        <is>
          <t>'97.08.</t>
        </is>
      </c>
      <c r="C6" s="132" t="n">
        <v>972</v>
      </c>
      <c r="D6" s="130" t="n">
        <v>35.9</v>
      </c>
      <c r="E6" s="131" t="n">
        <v>11</v>
      </c>
      <c r="F6" s="130" t="n">
        <v>26.4</v>
      </c>
      <c r="G6" s="17" t="n">
        <v>8</v>
      </c>
      <c r="H6" s="132" t="n">
        <v>168</v>
      </c>
      <c r="I6" s="133" t="n">
        <v>12500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35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초정마을하나</t>
        </is>
      </c>
      <c r="B7" s="10" t="inlineStr">
        <is>
          <t>'97.08.</t>
        </is>
      </c>
      <c r="C7" s="132" t="n">
        <v>972</v>
      </c>
      <c r="D7" s="130" t="n">
        <v>107.5</v>
      </c>
      <c r="E7" s="131" t="n">
        <v>33</v>
      </c>
      <c r="F7" s="130" t="n">
        <v>85</v>
      </c>
      <c r="G7" s="17" t="n">
        <v>26</v>
      </c>
      <c r="H7" s="132" t="n">
        <v>804</v>
      </c>
      <c r="I7" s="133" t="n">
        <v>43500</v>
      </c>
      <c r="J7" s="133" t="inlineStr">
        <is>
          <t>5</t>
        </is>
      </c>
      <c r="K7" s="133" t="n">
        <v>33000</v>
      </c>
      <c r="L7" s="133" t="inlineStr">
        <is>
          <t>19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초정마을두산쌍용</t>
        </is>
      </c>
      <c r="B9" s="10" t="inlineStr">
        <is>
          <t>'97.10.</t>
        </is>
      </c>
      <c r="C9" s="132" t="n">
        <v>798</v>
      </c>
      <c r="D9" s="130" t="n">
        <v>120.5</v>
      </c>
      <c r="E9" s="131" t="n">
        <v>36</v>
      </c>
      <c r="F9" s="130" t="n">
        <v>96.2</v>
      </c>
      <c r="G9" s="17" t="n">
        <v>29</v>
      </c>
      <c r="H9" s="132" t="n">
        <v>288</v>
      </c>
      <c r="I9" s="133" t="n">
        <v>55500</v>
      </c>
      <c r="J9" s="133" t="inlineStr">
        <is>
          <t>19</t>
        </is>
      </c>
      <c r="K9" s="133" t="n">
        <v>42000</v>
      </c>
      <c r="L9" s="133" t="inlineStr">
        <is>
          <t>12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120(두산)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초정마을두산쌍용</t>
        </is>
      </c>
      <c r="B10" s="10" t="inlineStr">
        <is>
          <t>'97.10.</t>
        </is>
      </c>
      <c r="C10" s="132" t="n">
        <v>798</v>
      </c>
      <c r="D10" s="130" t="n">
        <v>120.5</v>
      </c>
      <c r="E10" s="131" t="n">
        <v>36</v>
      </c>
      <c r="F10" s="130" t="n">
        <v>96.2</v>
      </c>
      <c r="G10" s="17" t="n">
        <v>29</v>
      </c>
      <c r="H10" s="132" t="n">
        <v>228</v>
      </c>
      <c r="I10" s="133" t="n">
        <v>55500</v>
      </c>
      <c r="J10" s="133" t="inlineStr">
        <is>
          <t>19</t>
        </is>
      </c>
      <c r="K10" s="133" t="n">
        <v>42000</v>
      </c>
      <c r="L10" s="133" t="inlineStr">
        <is>
          <t>12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120(쌍용)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초정마을두산쌍용</t>
        </is>
      </c>
      <c r="B11" s="10" t="inlineStr">
        <is>
          <t>'97.10.</t>
        </is>
      </c>
      <c r="C11" s="132" t="n">
        <v>798</v>
      </c>
      <c r="D11" s="130" t="n">
        <v>149.8</v>
      </c>
      <c r="E11" s="131" t="n">
        <v>45</v>
      </c>
      <c r="F11" s="130" t="n">
        <v>122</v>
      </c>
      <c r="G11" s="17" t="n">
        <v>37</v>
      </c>
      <c r="H11" s="132" t="n">
        <v>156</v>
      </c>
      <c r="I11" s="133" t="n">
        <v>66000</v>
      </c>
      <c r="J11" s="133" t="inlineStr">
        <is>
          <t>20</t>
        </is>
      </c>
      <c r="K11" s="133" t="n">
        <v>50000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149(쌍용)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초정마을두산쌍용</t>
        </is>
      </c>
      <c r="B12" s="10" t="inlineStr">
        <is>
          <t>'97.10.</t>
        </is>
      </c>
      <c r="C12" s="132" t="n">
        <v>798</v>
      </c>
      <c r="D12" s="130" t="n">
        <v>149.8</v>
      </c>
      <c r="E12" s="131" t="n">
        <v>45</v>
      </c>
      <c r="F12" s="130" t="n">
        <v>122</v>
      </c>
      <c r="G12" s="17" t="n">
        <v>37</v>
      </c>
      <c r="H12" s="132" t="n">
        <v>126</v>
      </c>
      <c r="I12" s="133" t="n">
        <v>66000</v>
      </c>
      <c r="J12" s="133" t="inlineStr">
        <is>
          <t>20</t>
        </is>
      </c>
      <c r="K12" s="133" t="n">
        <v>50000</v>
      </c>
      <c r="L12" s="133" t="inlineStr">
        <is>
          <t>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149(두산)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용종마을신대진</t>
        </is>
      </c>
      <c r="B14" s="10" t="inlineStr">
        <is>
          <t>'97.08.</t>
        </is>
      </c>
      <c r="C14" s="132" t="n">
        <v>562</v>
      </c>
      <c r="D14" s="130" t="n">
        <v>51.4</v>
      </c>
      <c r="E14" s="131" t="n">
        <v>16</v>
      </c>
      <c r="F14" s="130" t="n">
        <v>37.2</v>
      </c>
      <c r="G14" s="17" t="n">
        <v>11</v>
      </c>
      <c r="H14" s="132" t="n">
        <v>160</v>
      </c>
      <c r="I14" s="133" t="n">
        <v>19500</v>
      </c>
      <c r="J14" s="133" t="inlineStr">
        <is>
          <t>10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용종마을신대진</t>
        </is>
      </c>
      <c r="B15" s="10" t="inlineStr">
        <is>
          <t>'97.08.</t>
        </is>
      </c>
      <c r="C15" s="132" t="n">
        <v>562</v>
      </c>
      <c r="D15" s="130" t="n">
        <v>105.5</v>
      </c>
      <c r="E15" s="131" t="n">
        <v>32</v>
      </c>
      <c r="F15" s="130" t="n">
        <v>85</v>
      </c>
      <c r="G15" s="17" t="n">
        <v>26</v>
      </c>
      <c r="H15" s="132" t="n">
        <v>402</v>
      </c>
      <c r="I15" s="133" t="n">
        <v>45500</v>
      </c>
      <c r="J15" s="133" t="inlineStr">
        <is>
          <t>6</t>
        </is>
      </c>
      <c r="K15" s="133" t="n">
        <v>35000</v>
      </c>
      <c r="L15" s="133" t="inlineStr">
        <is>
          <t>14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초정마을동아</t>
        </is>
      </c>
      <c r="B17" s="10" t="inlineStr">
        <is>
          <t>'98.01.</t>
        </is>
      </c>
      <c r="C17" s="132" t="n">
        <v>616</v>
      </c>
      <c r="D17" s="130" t="n">
        <v>120.4</v>
      </c>
      <c r="E17" s="131" t="n">
        <v>36</v>
      </c>
      <c r="F17" s="130" t="n">
        <v>95.5</v>
      </c>
      <c r="G17" s="17" t="n">
        <v>29</v>
      </c>
      <c r="H17" s="132" t="n">
        <v>440</v>
      </c>
      <c r="I17" s="133" t="n">
        <v>55500</v>
      </c>
      <c r="J17" s="133" t="inlineStr">
        <is>
          <t>16</t>
        </is>
      </c>
      <c r="K17" s="133" t="n">
        <v>38000</v>
      </c>
      <c r="L17" s="133" t="inlineStr">
        <is>
          <t>19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120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초정마을동아</t>
        </is>
      </c>
      <c r="B18" s="10" t="inlineStr">
        <is>
          <t>'98.01.</t>
        </is>
      </c>
      <c r="C18" s="132" t="n">
        <v>616</v>
      </c>
      <c r="D18" s="130" t="n">
        <v>155.1</v>
      </c>
      <c r="E18" s="131" t="n">
        <v>47</v>
      </c>
      <c r="F18" s="130" t="n">
        <v>127.1</v>
      </c>
      <c r="G18" s="17" t="n">
        <v>38</v>
      </c>
      <c r="H18" s="132" t="n">
        <v>176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5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인천계양코아루센트럴파크</t>
        </is>
      </c>
      <c r="B20" s="10" t="inlineStr">
        <is>
          <t>'17.06.</t>
        </is>
      </c>
      <c r="C20" s="132" t="n">
        <v>724</v>
      </c>
      <c r="D20" s="130" t="n">
        <v>83.5</v>
      </c>
      <c r="E20" s="131" t="n">
        <v>25</v>
      </c>
      <c r="F20" s="130" t="n">
        <v>60</v>
      </c>
      <c r="G20" s="17" t="n">
        <v>18</v>
      </c>
      <c r="H20" s="132" t="n">
        <v>56</v>
      </c>
      <c r="I20" s="133" t="n">
        <v>50000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83B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인천계양코아루센트럴파크</t>
        </is>
      </c>
      <c r="B21" s="10" t="inlineStr">
        <is>
          <t>'17.06.</t>
        </is>
      </c>
      <c r="C21" s="132" t="n">
        <v>724</v>
      </c>
      <c r="D21" s="130" t="n">
        <v>84.2</v>
      </c>
      <c r="E21" s="131" t="n">
        <v>25</v>
      </c>
      <c r="F21" s="130" t="n">
        <v>60</v>
      </c>
      <c r="G21" s="17" t="n">
        <v>18</v>
      </c>
      <c r="H21" s="132" t="n">
        <v>57</v>
      </c>
      <c r="I21" s="133" t="n">
        <v>54000</v>
      </c>
      <c r="J21" s="133" t="inlineStr">
        <is>
          <t>6</t>
        </is>
      </c>
      <c r="K21" s="133" t="n">
        <v>40000</v>
      </c>
      <c r="L21" s="133" t="inlineStr">
        <is>
          <t>11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84A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인천계양코아루센트럴파크</t>
        </is>
      </c>
      <c r="B22" s="10" t="inlineStr">
        <is>
          <t>'17.06.</t>
        </is>
      </c>
      <c r="C22" s="132" t="n">
        <v>724</v>
      </c>
      <c r="D22" s="130" t="n">
        <v>84.09999999999999</v>
      </c>
      <c r="E22" s="131" t="n">
        <v>25</v>
      </c>
      <c r="F22" s="130" t="n">
        <v>59.9</v>
      </c>
      <c r="G22" s="17" t="n">
        <v>18</v>
      </c>
      <c r="H22" s="132" t="n">
        <v>37</v>
      </c>
      <c r="I22" s="133" t="n">
        <v>57000</v>
      </c>
      <c r="J22" s="133" t="inlineStr">
        <is>
          <t>17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84C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인천계양코아루센트럴파크</t>
        </is>
      </c>
      <c r="B23" s="10" t="inlineStr">
        <is>
          <t>'17.06.</t>
        </is>
      </c>
      <c r="C23" s="132" t="n">
        <v>724</v>
      </c>
      <c r="D23" s="130" t="n">
        <v>103.5</v>
      </c>
      <c r="E23" s="131" t="n">
        <v>31</v>
      </c>
      <c r="F23" s="130" t="n">
        <v>74.59999999999999</v>
      </c>
      <c r="G23" s="17" t="n">
        <v>23</v>
      </c>
      <c r="H23" s="132" t="n">
        <v>82</v>
      </c>
      <c r="I23" s="133" t="n">
        <v>63000</v>
      </c>
      <c r="J23" s="133" t="inlineStr">
        <is>
          <t>6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인천계양코아루센트럴파크</t>
        </is>
      </c>
      <c r="B24" s="10" t="inlineStr">
        <is>
          <t>'17.06.</t>
        </is>
      </c>
      <c r="C24" s="132" t="n">
        <v>724</v>
      </c>
      <c r="D24" s="130" t="n">
        <v>116.7</v>
      </c>
      <c r="E24" s="131" t="n">
        <v>35</v>
      </c>
      <c r="F24" s="130" t="n">
        <v>84.5</v>
      </c>
      <c r="G24" s="17" t="n">
        <v>26</v>
      </c>
      <c r="H24" s="132" t="n">
        <v>99</v>
      </c>
      <c r="I24" s="133" t="n">
        <v>70000</v>
      </c>
      <c r="J24" s="133" t="inlineStr">
        <is>
          <t>14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116C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인천계양코아루센트럴파크</t>
        </is>
      </c>
      <c r="B25" s="10" t="inlineStr">
        <is>
          <t>'17.06.</t>
        </is>
      </c>
      <c r="C25" s="132" t="n">
        <v>724</v>
      </c>
      <c r="D25" s="130" t="n">
        <v>117.5</v>
      </c>
      <c r="E25" s="131" t="n">
        <v>36</v>
      </c>
      <c r="F25" s="130" t="n">
        <v>84.8</v>
      </c>
      <c r="G25" s="17" t="n">
        <v>26</v>
      </c>
      <c r="H25" s="132" t="n">
        <v>198</v>
      </c>
      <c r="I25" s="133" t="n">
        <v>67000</v>
      </c>
      <c r="J25" s="133" t="inlineStr">
        <is>
          <t>7</t>
        </is>
      </c>
      <c r="K25" s="133" t="n">
        <v>40000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인천계양코아루센트럴파크</t>
        </is>
      </c>
      <c r="B26" s="10" t="inlineStr">
        <is>
          <t>'17.06.</t>
        </is>
      </c>
      <c r="C26" s="132" t="n">
        <v>724</v>
      </c>
      <c r="D26" s="130" t="n">
        <v>117.5</v>
      </c>
      <c r="E26" s="131" t="n">
        <v>36</v>
      </c>
      <c r="F26" s="130" t="n">
        <v>85</v>
      </c>
      <c r="G26" s="17" t="n">
        <v>26</v>
      </c>
      <c r="H26" s="132" t="n">
        <v>99</v>
      </c>
      <c r="I26" s="133" t="n">
        <v>80000</v>
      </c>
      <c r="J26" s="133" t="inlineStr">
        <is>
          <t>18</t>
        </is>
      </c>
      <c r="K26" s="133" t="n">
        <v>45000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117D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인천계양코아루센트럴파크</t>
        </is>
      </c>
      <c r="B27" s="10" t="inlineStr">
        <is>
          <t>'17.06.</t>
        </is>
      </c>
      <c r="C27" s="132" t="n">
        <v>724</v>
      </c>
      <c r="D27" s="130" t="n">
        <v>118.1</v>
      </c>
      <c r="E27" s="131" t="n">
        <v>36</v>
      </c>
      <c r="F27" s="130" t="n">
        <v>85</v>
      </c>
      <c r="G27" s="17" t="n">
        <v>26</v>
      </c>
      <c r="H27" s="132" t="n">
        <v>96</v>
      </c>
      <c r="I27" s="133" t="n">
        <v>66000</v>
      </c>
      <c r="J27" s="133" t="inlineStr">
        <is>
          <t>6</t>
        </is>
      </c>
      <c r="K27" s="133" t="n">
        <v>49000</v>
      </c>
      <c r="L27" s="133" t="inlineStr">
        <is>
          <t>19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118A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5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용종마을중앙</t>
        </is>
      </c>
      <c r="B29" s="10" t="inlineStr">
        <is>
          <t>'97.10.</t>
        </is>
      </c>
      <c r="C29" s="132" t="n">
        <v>428</v>
      </c>
      <c r="D29" s="130" t="n">
        <v>56.2</v>
      </c>
      <c r="E29" s="131" t="n">
        <v>17</v>
      </c>
      <c r="F29" s="130" t="n">
        <v>39.8</v>
      </c>
      <c r="G29" s="17" t="n">
        <v>12</v>
      </c>
      <c r="H29" s="132" t="n">
        <v>128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2</v>
      </c>
      <c r="R29" s="117" t="n">
        <v>1</v>
      </c>
      <c r="S29" s="117" t="inlineStr">
        <is>
          <t>복</t>
        </is>
      </c>
      <c r="T29" s="5" t="n">
        <v>56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용종마을중앙</t>
        </is>
      </c>
      <c r="B30" s="10" t="inlineStr">
        <is>
          <t>'97.10.</t>
        </is>
      </c>
      <c r="C30" s="132" t="n">
        <v>428</v>
      </c>
      <c r="D30" s="130" t="n">
        <v>105.7</v>
      </c>
      <c r="E30" s="131" t="n">
        <v>32</v>
      </c>
      <c r="F30" s="130" t="n">
        <v>84.8</v>
      </c>
      <c r="G30" s="17" t="n">
        <v>26</v>
      </c>
      <c r="H30" s="132" t="n">
        <v>300</v>
      </c>
      <c r="I30" s="133" t="n">
        <v>48000</v>
      </c>
      <c r="J30" s="133" t="inlineStr">
        <is>
          <t>14</t>
        </is>
      </c>
      <c r="K30" s="133" t="n">
        <v>31000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 N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9">
    <cfRule type="expression" priority="361" dxfId="23">
      <formula>AV9="X"</formula>
    </cfRule>
    <cfRule type="expression" priority="362" dxfId="22">
      <formula>AV9="후보"</formula>
    </cfRule>
  </conditionalFormatting>
  <conditionalFormatting sqref="AC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">
    <cfRule type="expression" priority="352" dxfId="3">
      <formula>AND(IF(OR($Q9=1,$Q9=2),1,0),IF($X9&lt;=20,1,0))</formula>
    </cfRule>
    <cfRule type="expression" priority="353" dxfId="2">
      <formula>AND(IF($Q9=2,1,0),IF($X9&lt;30,1,0))</formula>
    </cfRule>
    <cfRule type="expression" priority="354" dxfId="1">
      <formula>AND(IF($Q9=3,1,0),IF($X9&lt;30,1,0))</formula>
    </cfRule>
    <cfRule type="expression" priority="355" dxfId="0">
      <formula>AND(IF($Q9=3,1,IF($Q9=4,1,0)),IF($F9&lt;=85,1,0))</formula>
    </cfRule>
  </conditionalFormatting>
  <conditionalFormatting sqref="X9">
    <cfRule type="expression" priority="348" dxfId="3">
      <formula>AND(IF(OR($Q9=1,$Q9=2),1,0),IF($X9&lt;=20,1,0))</formula>
    </cfRule>
    <cfRule type="expression" priority="349" dxfId="2">
      <formula>AND(IF($Q9=2,1,0),IF($X9&lt;30,1,0))</formula>
    </cfRule>
    <cfRule type="expression" priority="350" dxfId="1">
      <formula>AND(IF($Q9=3,1,0),IF($X9&lt;30,1,0))</formula>
    </cfRule>
    <cfRule type="expression" priority="351" dxfId="0">
      <formula>AND(IF($Q9=3,1,IF($Q9=4,1,0)),IF($F9&lt;=85,1,0))</formula>
    </cfRule>
  </conditionalFormatting>
  <conditionalFormatting sqref="AI9">
    <cfRule type="expression" priority="344" dxfId="3">
      <formula>AND(IF(OR($Q9=1,$Q9=2),1,0),IF($X9&lt;=20,1,0))</formula>
    </cfRule>
    <cfRule type="expression" priority="345" dxfId="2">
      <formula>AND(IF($Q9=2,1,0),IF($X9&lt;30,1,0))</formula>
    </cfRule>
    <cfRule type="expression" priority="346" dxfId="1">
      <formula>AND(IF($Q9=3,1,0),IF($X9&lt;30,1,0))</formula>
    </cfRule>
    <cfRule type="expression" priority="347" dxfId="0">
      <formula>AND(IF($Q9=3,1,IF($Q9=4,1,0)),IF($F9&lt;=85,1,0))</formula>
    </cfRule>
  </conditionalFormatting>
  <conditionalFormatting sqref="AV10">
    <cfRule type="expression" priority="342" dxfId="23">
      <formula>AV10="X"</formula>
    </cfRule>
    <cfRule type="expression" priority="343" dxfId="22">
      <formula>AV10="후보"</formula>
    </cfRule>
  </conditionalFormatting>
  <conditionalFormatting sqref="AC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">
    <cfRule type="expression" priority="333" dxfId="3">
      <formula>AND(IF(OR($Q10=1,$Q10=2),1,0),IF($X10&lt;=20,1,0))</formula>
    </cfRule>
    <cfRule type="expression" priority="334" dxfId="2">
      <formula>AND(IF($Q10=2,1,0),IF($X10&lt;30,1,0))</formula>
    </cfRule>
    <cfRule type="expression" priority="335" dxfId="1">
      <formula>AND(IF($Q10=3,1,0),IF($X10&lt;30,1,0))</formula>
    </cfRule>
    <cfRule type="expression" priority="336" dxfId="0">
      <formula>AND(IF($Q10=3,1,IF($Q10=4,1,0)),IF($F10&lt;=85,1,0))</formula>
    </cfRule>
  </conditionalFormatting>
  <conditionalFormatting sqref="X10">
    <cfRule type="expression" priority="329" dxfId="3">
      <formula>AND(IF(OR($Q10=1,$Q10=2),1,0),IF($X10&lt;=20,1,0))</formula>
    </cfRule>
    <cfRule type="expression" priority="330" dxfId="2">
      <formula>AND(IF($Q10=2,1,0),IF($X10&lt;30,1,0))</formula>
    </cfRule>
    <cfRule type="expression" priority="331" dxfId="1">
      <formula>AND(IF($Q10=3,1,0),IF($X10&lt;30,1,0))</formula>
    </cfRule>
    <cfRule type="expression" priority="332" dxfId="0">
      <formula>AND(IF($Q10=3,1,IF($Q10=4,1,0)),IF($F10&lt;=85,1,0))</formula>
    </cfRule>
  </conditionalFormatting>
  <conditionalFormatting sqref="AI10">
    <cfRule type="expression" priority="325" dxfId="3">
      <formula>AND(IF(OR($Q10=1,$Q10=2),1,0),IF($X10&lt;=20,1,0))</formula>
    </cfRule>
    <cfRule type="expression" priority="326" dxfId="2">
      <formula>AND(IF($Q10=2,1,0),IF($X10&lt;30,1,0))</formula>
    </cfRule>
    <cfRule type="expression" priority="327" dxfId="1">
      <formula>AND(IF($Q10=3,1,0),IF($X10&lt;30,1,0))</formula>
    </cfRule>
    <cfRule type="expression" priority="328" dxfId="0">
      <formula>AND(IF($Q10=3,1,IF($Q10=4,1,0)),IF($F10&lt;=85,1,0))</formula>
    </cfRule>
  </conditionalFormatting>
  <conditionalFormatting sqref="AV11">
    <cfRule type="expression" priority="323" dxfId="23">
      <formula>AV11="X"</formula>
    </cfRule>
    <cfRule type="expression" priority="324" dxfId="22">
      <formula>AV11="후보"</formula>
    </cfRule>
  </conditionalFormatting>
  <conditionalFormatting sqref="AC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">
    <cfRule type="expression" priority="314" dxfId="3">
      <formula>AND(IF(OR($Q11=1,$Q11=2),1,0),IF($X11&lt;=20,1,0))</formula>
    </cfRule>
    <cfRule type="expression" priority="315" dxfId="2">
      <formula>AND(IF($Q11=2,1,0),IF($X11&lt;30,1,0))</formula>
    </cfRule>
    <cfRule type="expression" priority="316" dxfId="1">
      <formula>AND(IF($Q11=3,1,0),IF($X11&lt;30,1,0))</formula>
    </cfRule>
    <cfRule type="expression" priority="317" dxfId="0">
      <formula>AND(IF($Q11=3,1,IF($Q11=4,1,0)),IF($F11&lt;=85,1,0))</formula>
    </cfRule>
  </conditionalFormatting>
  <conditionalFormatting sqref="X11">
    <cfRule type="expression" priority="310" dxfId="3">
      <formula>AND(IF(OR($Q11=1,$Q11=2),1,0),IF($X11&lt;=20,1,0))</formula>
    </cfRule>
    <cfRule type="expression" priority="311" dxfId="2">
      <formula>AND(IF($Q11=2,1,0),IF($X11&lt;30,1,0))</formula>
    </cfRule>
    <cfRule type="expression" priority="312" dxfId="1">
      <formula>AND(IF($Q11=3,1,0),IF($X11&lt;30,1,0))</formula>
    </cfRule>
    <cfRule type="expression" priority="313" dxfId="0">
      <formula>AND(IF($Q11=3,1,IF($Q11=4,1,0)),IF($F11&lt;=85,1,0))</formula>
    </cfRule>
  </conditionalFormatting>
  <conditionalFormatting sqref="AI11">
    <cfRule type="expression" priority="306" dxfId="3">
      <formula>AND(IF(OR($Q11=1,$Q11=2),1,0),IF($X11&lt;=20,1,0))</formula>
    </cfRule>
    <cfRule type="expression" priority="307" dxfId="2">
      <formula>AND(IF($Q11=2,1,0),IF($X11&lt;30,1,0))</formula>
    </cfRule>
    <cfRule type="expression" priority="308" dxfId="1">
      <formula>AND(IF($Q11=3,1,0),IF($X11&lt;30,1,0))</formula>
    </cfRule>
    <cfRule type="expression" priority="309" dxfId="0">
      <formula>AND(IF($Q11=3,1,IF($Q11=4,1,0)),IF($F11&lt;=85,1,0))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 N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14">
    <cfRule type="expression" priority="280" dxfId="23">
      <formula>AV14="X"</formula>
    </cfRule>
    <cfRule type="expression" priority="281" dxfId="22">
      <formula>AV14="후보"</formula>
    </cfRule>
  </conditionalFormatting>
  <conditionalFormatting sqref="AC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4">
    <cfRule type="expression" priority="271" dxfId="3">
      <formula>AND(IF(OR($Q14=1,$Q14=2),1,0),IF($X14&lt;=20,1,0))</formula>
    </cfRule>
    <cfRule type="expression" priority="272" dxfId="2">
      <formula>AND(IF($Q14=2,1,0),IF($X14&lt;30,1,0))</formula>
    </cfRule>
    <cfRule type="expression" priority="273" dxfId="1">
      <formula>AND(IF($Q14=3,1,0),IF($X14&lt;30,1,0))</formula>
    </cfRule>
    <cfRule type="expression" priority="274" dxfId="0">
      <formula>AND(IF($Q14=3,1,IF($Q14=4,1,0)),IF($F14&lt;=85,1,0))</formula>
    </cfRule>
  </conditionalFormatting>
  <conditionalFormatting sqref="X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AI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 N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7">
    <cfRule type="expression" priority="237" dxfId="23">
      <formula>AV17="X"</formula>
    </cfRule>
    <cfRule type="expression" priority="238" dxfId="22">
      <formula>AV17="후보"</formula>
    </cfRule>
  </conditionalFormatting>
  <conditionalFormatting sqref="AC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7">
    <cfRule type="expression" priority="228" dxfId="3">
      <formula>AND(IF(OR($Q17=1,$Q17=2),1,0),IF($X17&lt;=20,1,0))</formula>
    </cfRule>
    <cfRule type="expression" priority="229" dxfId="2">
      <formula>AND(IF($Q17=2,1,0),IF($X17&lt;30,1,0))</formula>
    </cfRule>
    <cfRule type="expression" priority="230" dxfId="1">
      <formula>AND(IF($Q17=3,1,0),IF($X17&lt;30,1,0))</formula>
    </cfRule>
    <cfRule type="expression" priority="231" dxfId="0">
      <formula>AND(IF($Q17=3,1,IF($Q17=4,1,0)),IF($F17&lt;=85,1,0))</formula>
    </cfRule>
  </conditionalFormatting>
  <conditionalFormatting sqref="X17">
    <cfRule type="expression" priority="224" dxfId="3">
      <formula>AND(IF(OR($Q17=1,$Q17=2),1,0),IF($X17&lt;=20,1,0))</formula>
    </cfRule>
    <cfRule type="expression" priority="225" dxfId="2">
      <formula>AND(IF($Q17=2,1,0),IF($X17&lt;30,1,0))</formula>
    </cfRule>
    <cfRule type="expression" priority="226" dxfId="1">
      <formula>AND(IF($Q17=3,1,0),IF($X17&lt;30,1,0))</formula>
    </cfRule>
    <cfRule type="expression" priority="227" dxfId="0">
      <formula>AND(IF($Q17=3,1,IF($Q17=4,1,0)),IF($F17&lt;=85,1,0))</formula>
    </cfRule>
  </conditionalFormatting>
  <conditionalFormatting sqref="AI17">
    <cfRule type="expression" priority="220" dxfId="3">
      <formula>AND(IF(OR($Q17=1,$Q17=2),1,0),IF($X17&lt;=20,1,0))</formula>
    </cfRule>
    <cfRule type="expression" priority="221" dxfId="2">
      <formula>AND(IF($Q17=2,1,0),IF($X17&lt;30,1,0))</formula>
    </cfRule>
    <cfRule type="expression" priority="222" dxfId="1">
      <formula>AND(IF($Q17=3,1,0),IF($X17&lt;30,1,0))</formula>
    </cfRule>
    <cfRule type="expression" priority="223" dxfId="0">
      <formula>AND(IF($Q17=3,1,IF($Q17=4,1,0)),IF($F17&lt;=85,1,0))</formula>
    </cfRule>
  </conditionalFormatting>
  <conditionalFormatting sqref="AV18">
    <cfRule type="expression" priority="218" dxfId="23">
      <formula>AV18="X"</formula>
    </cfRule>
    <cfRule type="expression" priority="219" dxfId="22">
      <formula>AV18="후보"</formula>
    </cfRule>
  </conditionalFormatting>
  <conditionalFormatting sqref="AC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8">
    <cfRule type="expression" priority="209" dxfId="3">
      <formula>AND(IF(OR($Q18=1,$Q18=2),1,0),IF($X18&lt;=20,1,0))</formula>
    </cfRule>
    <cfRule type="expression" priority="210" dxfId="2">
      <formula>AND(IF($Q18=2,1,0),IF($X18&lt;30,1,0))</formula>
    </cfRule>
    <cfRule type="expression" priority="211" dxfId="1">
      <formula>AND(IF($Q18=3,1,0),IF($X18&lt;30,1,0))</formula>
    </cfRule>
    <cfRule type="expression" priority="212" dxfId="0">
      <formula>AND(IF($Q18=3,1,IF($Q18=4,1,0)),IF($F18&lt;=85,1,0))</formula>
    </cfRule>
  </conditionalFormatting>
  <conditionalFormatting sqref="X18">
    <cfRule type="expression" priority="205" dxfId="3">
      <formula>AND(IF(OR($Q18=1,$Q18=2),1,0),IF($X18&lt;=20,1,0))</formula>
    </cfRule>
    <cfRule type="expression" priority="206" dxfId="2">
      <formula>AND(IF($Q18=2,1,0),IF($X18&lt;30,1,0))</formula>
    </cfRule>
    <cfRule type="expression" priority="207" dxfId="1">
      <formula>AND(IF($Q18=3,1,0),IF($X18&lt;30,1,0))</formula>
    </cfRule>
    <cfRule type="expression" priority="208" dxfId="0">
      <formula>AND(IF($Q18=3,1,IF($Q18=4,1,0)),IF($F18&lt;=85,1,0))</formula>
    </cfRule>
  </conditionalFormatting>
  <conditionalFormatting sqref="AI18">
    <cfRule type="expression" priority="201" dxfId="3">
      <formula>AND(IF(OR($Q18=1,$Q18=2),1,0),IF($X18&lt;=20,1,0))</formula>
    </cfRule>
    <cfRule type="expression" priority="202" dxfId="2">
      <formula>AND(IF($Q18=2,1,0),IF($X18&lt;30,1,0))</formula>
    </cfRule>
    <cfRule type="expression" priority="203" dxfId="1">
      <formula>AND(IF($Q18=3,1,0),IF($X18&lt;30,1,0))</formula>
    </cfRule>
    <cfRule type="expression" priority="204" dxfId="0">
      <formula>AND(IF($Q18=3,1,IF($Q18=4,1,0)),IF($F18&lt;=85,1,0))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 N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20">
    <cfRule type="expression" priority="194" dxfId="23">
      <formula>AV20="X"</formula>
    </cfRule>
    <cfRule type="expression" priority="195" dxfId="22">
      <formula>AV20="후보"</formula>
    </cfRule>
  </conditionalFormatting>
  <conditionalFormatting sqref="AC2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23">
      <formula>AV21="X"</formula>
    </cfRule>
    <cfRule type="expression" priority="176" dxfId="22">
      <formula>AV21="후보"</formula>
    </cfRule>
  </conditionalFormatting>
  <conditionalFormatting sqref="AC2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7">
    <cfRule type="expression" priority="52" dxfId="3">
      <formula>AND(IF(OR($Q27=1,$Q27=2),1,0),IF($X27&lt;=20,1,0))</formula>
    </cfRule>
    <cfRule type="expression" priority="53" dxfId="2">
      <formula>AND(IF($Q27=2,1,0),IF($X27&lt;30,1,0))</formula>
    </cfRule>
    <cfRule type="expression" priority="54" dxfId="1">
      <formula>AND(IF($Q27=3,1,0),IF($X27&lt;30,1,0))</formula>
    </cfRule>
    <cfRule type="expression" priority="55" dxfId="0">
      <formula>AND(IF($Q27=3,1,IF($Q27=4,1,0)),IF($F27&lt;=85,1,0))</formula>
    </cfRule>
  </conditionalFormatting>
  <conditionalFormatting sqref="X27">
    <cfRule type="expression" priority="48" dxfId="3">
      <formula>AND(IF(OR($Q27=1,$Q27=2),1,0),IF($X27&lt;=20,1,0))</formula>
    </cfRule>
    <cfRule type="expression" priority="49" dxfId="2">
      <formula>AND(IF($Q27=2,1,0),IF($X27&lt;30,1,0))</formula>
    </cfRule>
    <cfRule type="expression" priority="50" dxfId="1">
      <formula>AND(IF($Q27=3,1,0),IF($X27&lt;30,1,0))</formula>
    </cfRule>
    <cfRule type="expression" priority="51" dxfId="0">
      <formula>AND(IF($Q27=3,1,IF($Q27=4,1,0)),IF($F27&lt;=85,1,0))</formula>
    </cfRule>
  </conditionalFormatting>
  <conditionalFormatting sqref="AI27">
    <cfRule type="expression" priority="44" dxfId="3">
      <formula>AND(IF(OR($Q27=1,$Q27=2),1,0),IF($X27&lt;=20,1,0))</formula>
    </cfRule>
    <cfRule type="expression" priority="45" dxfId="2">
      <formula>AND(IF($Q27=2,1,0),IF($X27&lt;30,1,0))</formula>
    </cfRule>
    <cfRule type="expression" priority="46" dxfId="1">
      <formula>AND(IF($Q27=3,1,0),IF($X27&lt;30,1,0))</formula>
    </cfRule>
    <cfRule type="expression" priority="47" dxfId="0">
      <formula>AND(IF($Q27=3,1,IF($Q27=4,1,0)),IF($F27&lt;=85,1,0))</formula>
    </cfRule>
  </conditionalFormatting>
  <conditionalFormatting sqref="AV28">
    <cfRule type="expression" priority="42" dxfId="23">
      <formula>AV28="X"</formula>
    </cfRule>
    <cfRule type="expression" priority="43" dxfId="22">
      <formula>AV28="후보"</formula>
    </cfRule>
  </conditionalFormatting>
  <conditionalFormatting sqref="AC28 N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이화동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이화신동아파밀리에</t>
        </is>
      </c>
      <c r="B6" s="10" t="inlineStr">
        <is>
          <t>'07.07.</t>
        </is>
      </c>
      <c r="C6" s="132" t="n">
        <v>399</v>
      </c>
      <c r="D6" s="130" t="n">
        <v>112.5</v>
      </c>
      <c r="E6" s="131" t="n">
        <v>34</v>
      </c>
      <c r="F6" s="130" t="n">
        <v>84.90000000000001</v>
      </c>
      <c r="G6" s="17" t="n">
        <v>26</v>
      </c>
      <c r="H6" s="132" t="n">
        <v>146</v>
      </c>
      <c r="I6" s="133" t="n">
        <v>45000</v>
      </c>
      <c r="J6" s="133" t="inlineStr">
        <is>
          <t>6</t>
        </is>
      </c>
      <c r="K6" s="133" t="n">
        <v>27000</v>
      </c>
      <c r="L6" s="133" t="inlineStr">
        <is>
          <t>7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이화신동아파밀리에</t>
        </is>
      </c>
      <c r="B7" s="10" t="inlineStr">
        <is>
          <t>'07.07.</t>
        </is>
      </c>
      <c r="C7" s="132" t="n">
        <v>399</v>
      </c>
      <c r="D7" s="130" t="n">
        <v>112.9</v>
      </c>
      <c r="E7" s="131" t="n">
        <v>34</v>
      </c>
      <c r="F7" s="130" t="n">
        <v>84.90000000000001</v>
      </c>
      <c r="G7" s="17" t="n">
        <v>26</v>
      </c>
      <c r="H7" s="132" t="n">
        <v>127</v>
      </c>
      <c r="I7" s="133" t="n">
        <v>42000</v>
      </c>
      <c r="J7" s="133" t="inlineStr">
        <is>
          <t>8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112C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이화신동아파밀리에</t>
        </is>
      </c>
      <c r="B8" s="10" t="inlineStr">
        <is>
          <t>'07.07.</t>
        </is>
      </c>
      <c r="C8" s="132" t="n">
        <v>399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61</v>
      </c>
      <c r="I8" s="133" t="n">
        <v>45000</v>
      </c>
      <c r="J8" s="133" t="inlineStr">
        <is>
          <t>6</t>
        </is>
      </c>
      <c r="K8" s="133" t="n">
        <v>27000</v>
      </c>
      <c r="L8" s="133" t="inlineStr">
        <is>
          <t>7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이화신동아파밀리에</t>
        </is>
      </c>
      <c r="B9" s="10" t="inlineStr">
        <is>
          <t>'07.07.</t>
        </is>
      </c>
      <c r="C9" s="132" t="n">
        <v>399</v>
      </c>
      <c r="D9" s="130" t="n">
        <v>135.9</v>
      </c>
      <c r="E9" s="131" t="n">
        <v>41</v>
      </c>
      <c r="F9" s="130" t="n">
        <v>108.2</v>
      </c>
      <c r="G9" s="17" t="n">
        <v>33</v>
      </c>
      <c r="H9" s="132" t="n">
        <v>13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135B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이화신동아파밀리에</t>
        </is>
      </c>
      <c r="B10" s="10" t="inlineStr">
        <is>
          <t>'07.07.</t>
        </is>
      </c>
      <c r="C10" s="132" t="n">
        <v>399</v>
      </c>
      <c r="D10" s="130" t="n">
        <v>136.1</v>
      </c>
      <c r="E10" s="131" t="n">
        <v>41</v>
      </c>
      <c r="F10" s="130" t="n">
        <v>108.4</v>
      </c>
      <c r="G10" s="17" t="n">
        <v>33</v>
      </c>
      <c r="H10" s="132" t="n">
        <v>52</v>
      </c>
      <c r="I10" s="133" t="n">
        <v>53000</v>
      </c>
      <c r="J10" s="133" t="inlineStr">
        <is>
          <t>13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136A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작전동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도두리마을동남,롯데</t>
        </is>
      </c>
      <c r="B6" s="10" t="inlineStr">
        <is>
          <t>'97.10.</t>
        </is>
      </c>
      <c r="C6" s="132" t="n">
        <v>1282</v>
      </c>
      <c r="D6" s="130" t="n">
        <v>55.8</v>
      </c>
      <c r="E6" s="131" t="n">
        <v>17</v>
      </c>
      <c r="F6" s="130" t="n">
        <v>40.3</v>
      </c>
      <c r="G6" s="17" t="n">
        <v>12</v>
      </c>
      <c r="H6" s="132" t="n">
        <v>658</v>
      </c>
      <c r="I6" s="133" t="n">
        <v>18500</v>
      </c>
      <c r="J6" s="133" t="inlineStr">
        <is>
          <t>5</t>
        </is>
      </c>
      <c r="K6" s="133" t="n">
        <v>15000</v>
      </c>
      <c r="L6" s="133" t="inlineStr">
        <is>
          <t>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55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도두리마을동남,롯데</t>
        </is>
      </c>
      <c r="B7" s="10" t="inlineStr">
        <is>
          <t>'97.10.</t>
        </is>
      </c>
      <c r="C7" s="132" t="n">
        <v>1282</v>
      </c>
      <c r="D7" s="130" t="n">
        <v>78.3</v>
      </c>
      <c r="E7" s="131" t="n">
        <v>24</v>
      </c>
      <c r="F7" s="130" t="n">
        <v>59.5</v>
      </c>
      <c r="G7" s="17" t="n">
        <v>18</v>
      </c>
      <c r="H7" s="132" t="n">
        <v>624</v>
      </c>
      <c r="I7" s="133" t="n">
        <v>32500</v>
      </c>
      <c r="J7" s="133" t="inlineStr">
        <is>
          <t>12</t>
        </is>
      </c>
      <c r="K7" s="133" t="n">
        <v>26000</v>
      </c>
      <c r="L7" s="133" t="inlineStr">
        <is>
          <t>15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78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삼천리</t>
        </is>
      </c>
      <c r="B9" s="10" t="inlineStr">
        <is>
          <t>'88.12.</t>
        </is>
      </c>
      <c r="C9" s="132" t="n">
        <v>540</v>
      </c>
      <c r="D9" s="130" t="n">
        <v>48.3</v>
      </c>
      <c r="E9" s="131" t="n">
        <v>15</v>
      </c>
      <c r="F9" s="130" t="n">
        <v>35.7</v>
      </c>
      <c r="G9" s="17" t="n">
        <v>11</v>
      </c>
      <c r="H9" s="132" t="n">
        <v>72</v>
      </c>
      <c r="I9" s="133" t="n">
        <v>20000</v>
      </c>
      <c r="J9" s="133" t="inlineStr">
        <is>
          <t>5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48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삼천리</t>
        </is>
      </c>
      <c r="B10" s="10" t="inlineStr">
        <is>
          <t>'88.12.</t>
        </is>
      </c>
      <c r="C10" s="132" t="n">
        <v>540</v>
      </c>
      <c r="D10" s="130" t="n">
        <v>54.8</v>
      </c>
      <c r="E10" s="131" t="n">
        <v>17</v>
      </c>
      <c r="F10" s="130" t="n">
        <v>41.9</v>
      </c>
      <c r="G10" s="17" t="n">
        <v>13</v>
      </c>
      <c r="H10" s="132" t="n">
        <v>324</v>
      </c>
      <c r="I10" s="133" t="n">
        <v>19500</v>
      </c>
      <c r="J10" s="133" t="inlineStr">
        <is>
          <t>6</t>
        </is>
      </c>
      <c r="K10" s="133" t="n">
        <v>14000</v>
      </c>
      <c r="L10" s="133" t="inlineStr">
        <is>
          <t>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2</v>
      </c>
      <c r="R10" s="117" t="n">
        <v>1</v>
      </c>
      <c r="S10" s="117" t="inlineStr">
        <is>
          <t>계</t>
        </is>
      </c>
      <c r="T10" s="5" t="n">
        <v>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삼천리</t>
        </is>
      </c>
      <c r="B11" s="10" t="inlineStr">
        <is>
          <t>'88.12.</t>
        </is>
      </c>
      <c r="C11" s="132" t="n">
        <v>540</v>
      </c>
      <c r="D11" s="130" t="n">
        <v>58.6</v>
      </c>
      <c r="E11" s="131" t="n">
        <v>18</v>
      </c>
      <c r="F11" s="130" t="n">
        <v>44.7</v>
      </c>
      <c r="G11" s="17" t="n">
        <v>14</v>
      </c>
      <c r="H11" s="132" t="n">
        <v>108</v>
      </c>
      <c r="I11" s="133" t="n">
        <v>22000</v>
      </c>
      <c r="J11" s="133" t="inlineStr">
        <is>
          <t>6</t>
        </is>
      </c>
      <c r="K11" s="133" t="n">
        <v>15000</v>
      </c>
      <c r="L11" s="133" t="inlineStr">
        <is>
          <t>6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삼천리</t>
        </is>
      </c>
      <c r="B12" s="10" t="inlineStr">
        <is>
          <t>'88.12.</t>
        </is>
      </c>
      <c r="C12" s="132" t="n">
        <v>540</v>
      </c>
      <c r="D12" s="130" t="n">
        <v>65</v>
      </c>
      <c r="E12" s="131" t="n">
        <v>20</v>
      </c>
      <c r="F12" s="130" t="n">
        <v>50.6</v>
      </c>
      <c r="G12" s="17" t="n">
        <v>15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광명</t>
        </is>
      </c>
      <c r="B14" s="10" t="inlineStr">
        <is>
          <t>'89.12.</t>
        </is>
      </c>
      <c r="C14" s="132" t="n">
        <v>288</v>
      </c>
      <c r="D14" s="130" t="n">
        <v>61.1</v>
      </c>
      <c r="E14" s="131" t="n">
        <v>18</v>
      </c>
      <c r="F14" s="130" t="n">
        <v>47.3</v>
      </c>
      <c r="G14" s="17" t="n">
        <v>14</v>
      </c>
      <c r="H14" s="132" t="n">
        <v>108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61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광명</t>
        </is>
      </c>
      <c r="B15" s="10" t="inlineStr">
        <is>
          <t>'89.12.</t>
        </is>
      </c>
      <c r="C15" s="132" t="n">
        <v>288</v>
      </c>
      <c r="D15" s="130" t="n">
        <v>74.3</v>
      </c>
      <c r="E15" s="131" t="n">
        <v>22</v>
      </c>
      <c r="F15" s="130" t="n">
        <v>58.6</v>
      </c>
      <c r="G15" s="17" t="n">
        <v>18</v>
      </c>
      <c r="H15" s="132" t="n">
        <v>84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74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광명</t>
        </is>
      </c>
      <c r="B16" s="10" t="inlineStr">
        <is>
          <t>'89.12.</t>
        </is>
      </c>
      <c r="C16" s="132" t="n">
        <v>288</v>
      </c>
      <c r="D16" s="130" t="n">
        <v>77.5</v>
      </c>
      <c r="E16" s="131" t="n">
        <v>23</v>
      </c>
      <c r="F16" s="130" t="n">
        <v>61.3</v>
      </c>
      <c r="G16" s="17" t="n">
        <v>19</v>
      </c>
      <c r="H16" s="132" t="n">
        <v>72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77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광명</t>
        </is>
      </c>
      <c r="B17" s="10" t="inlineStr">
        <is>
          <t>'89.12.</t>
        </is>
      </c>
      <c r="C17" s="132" t="n">
        <v>288</v>
      </c>
      <c r="D17" s="130" t="n">
        <v>81.09999999999999</v>
      </c>
      <c r="E17" s="131" t="n">
        <v>25</v>
      </c>
      <c r="F17" s="130" t="n">
        <v>64.40000000000001</v>
      </c>
      <c r="G17" s="17" t="n">
        <v>19</v>
      </c>
      <c r="H17" s="132" t="n">
        <v>24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현대1차</t>
        </is>
      </c>
      <c r="B19" s="10" t="inlineStr">
        <is>
          <t>'90.09.</t>
        </is>
      </c>
      <c r="C19" s="132" t="n">
        <v>570</v>
      </c>
      <c r="D19" s="130" t="n">
        <v>86.40000000000001</v>
      </c>
      <c r="E19" s="131" t="n">
        <v>26</v>
      </c>
      <c r="F19" s="130" t="n">
        <v>71.2</v>
      </c>
      <c r="G19" s="17" t="n">
        <v>22</v>
      </c>
      <c r="H19" s="132" t="n">
        <v>150</v>
      </c>
      <c r="I19" s="133" t="n">
        <v>40000</v>
      </c>
      <c r="J19" s="133" t="inlineStr">
        <is>
          <t>5</t>
        </is>
      </c>
      <c r="K19" s="133" t="n">
        <v>29000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'90.09.</t>
        </is>
      </c>
      <c r="C20" s="132" t="n">
        <v>570</v>
      </c>
      <c r="D20" s="130" t="n">
        <v>103.1</v>
      </c>
      <c r="E20" s="131" t="n">
        <v>31</v>
      </c>
      <c r="F20" s="130" t="n">
        <v>84.90000000000001</v>
      </c>
      <c r="G20" s="17" t="n">
        <v>26</v>
      </c>
      <c r="H20" s="132" t="n">
        <v>420</v>
      </c>
      <c r="I20" s="133" t="n">
        <v>41000</v>
      </c>
      <c r="J20" s="133" t="inlineStr">
        <is>
          <t>11</t>
        </is>
      </c>
      <c r="K20" s="133" t="n">
        <v>28000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5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현대3차</t>
        </is>
      </c>
      <c r="B22" s="10" t="inlineStr">
        <is>
          <t>'92.11.</t>
        </is>
      </c>
      <c r="C22" s="132" t="n">
        <v>390</v>
      </c>
      <c r="D22" s="130" t="n">
        <v>74.8</v>
      </c>
      <c r="E22" s="131" t="n">
        <v>23</v>
      </c>
      <c r="F22" s="130" t="n">
        <v>59.4</v>
      </c>
      <c r="G22" s="17" t="n">
        <v>18</v>
      </c>
      <c r="H22" s="132" t="n">
        <v>153</v>
      </c>
      <c r="I22" s="133" t="n">
        <v>30000</v>
      </c>
      <c r="J22" s="133" t="inlineStr">
        <is>
          <t>9</t>
        </is>
      </c>
      <c r="K22" s="133" t="n">
        <v>23000</v>
      </c>
      <c r="L22" s="133" t="inlineStr">
        <is>
          <t>12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복</t>
        </is>
      </c>
      <c r="T22" s="5" t="n">
        <v>74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'92.11.</t>
        </is>
      </c>
      <c r="C23" s="132" t="n">
        <v>390</v>
      </c>
      <c r="D23" s="130" t="n">
        <v>95.90000000000001</v>
      </c>
      <c r="E23" s="131" t="n">
        <v>29</v>
      </c>
      <c r="F23" s="130" t="n">
        <v>76.09999999999999</v>
      </c>
      <c r="G23" s="17" t="n">
        <v>23</v>
      </c>
      <c r="H23" s="132" t="n">
        <v>54</v>
      </c>
      <c r="I23" s="133" t="n">
        <v>39000</v>
      </c>
      <c r="J23" s="133" t="inlineStr">
        <is>
          <t>9</t>
        </is>
      </c>
      <c r="K23" s="133" t="n">
        <v>28000</v>
      </c>
      <c r="L23" s="133" t="inlineStr">
        <is>
          <t>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95A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현대3차</t>
        </is>
      </c>
      <c r="B24" s="10" t="inlineStr">
        <is>
          <t>'92.11.</t>
        </is>
      </c>
      <c r="C24" s="132" t="n">
        <v>390</v>
      </c>
      <c r="D24" s="130" t="n">
        <v>97.5</v>
      </c>
      <c r="E24" s="131" t="n">
        <v>29</v>
      </c>
      <c r="F24" s="130" t="n">
        <v>77.40000000000001</v>
      </c>
      <c r="G24" s="17" t="n">
        <v>23</v>
      </c>
      <c r="H24" s="132" t="n">
        <v>17</v>
      </c>
      <c r="I24" s="133" t="n">
        <v>40500</v>
      </c>
      <c r="J24" s="133" t="inlineStr">
        <is>
          <t>5</t>
        </is>
      </c>
      <c r="K24" s="133" t="n">
        <v>28000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97B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현대3차</t>
        </is>
      </c>
      <c r="B25" s="10" t="inlineStr">
        <is>
          <t>'92.11.</t>
        </is>
      </c>
      <c r="C25" s="132" t="n">
        <v>390</v>
      </c>
      <c r="D25" s="130" t="n">
        <v>106.8</v>
      </c>
      <c r="E25" s="131" t="n">
        <v>32</v>
      </c>
      <c r="F25" s="130" t="n">
        <v>84.8</v>
      </c>
      <c r="G25" s="17" t="n">
        <v>26</v>
      </c>
      <c r="H25" s="132" t="n">
        <v>166</v>
      </c>
      <c r="I25" s="133" t="n">
        <v>45000</v>
      </c>
      <c r="J25" s="133" t="inlineStr">
        <is>
          <t>10</t>
        </is>
      </c>
      <c r="K25" s="133" t="n">
        <v>26500</v>
      </c>
      <c r="L25" s="133" t="inlineStr">
        <is>
          <t>7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5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선우</t>
        </is>
      </c>
      <c r="B27" s="10" t="inlineStr">
        <is>
          <t>'86.02.</t>
        </is>
      </c>
      <c r="C27" s="132" t="n">
        <v>210</v>
      </c>
      <c r="D27" s="130" t="n">
        <v>64.59999999999999</v>
      </c>
      <c r="E27" s="131" t="n">
        <v>20</v>
      </c>
      <c r="F27" s="130" t="n">
        <v>49</v>
      </c>
      <c r="G27" s="17" t="n">
        <v>15</v>
      </c>
      <c r="H27" s="132" t="n">
        <v>60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64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선우</t>
        </is>
      </c>
      <c r="B28" s="10" t="inlineStr">
        <is>
          <t>'86.02.</t>
        </is>
      </c>
      <c r="C28" s="132" t="n">
        <v>210</v>
      </c>
      <c r="D28" s="130" t="n">
        <v>76.09999999999999</v>
      </c>
      <c r="E28" s="131" t="n">
        <v>23</v>
      </c>
      <c r="F28" s="130" t="n">
        <v>58.6</v>
      </c>
      <c r="G28" s="17" t="n">
        <v>18</v>
      </c>
      <c r="H28" s="132" t="n">
        <v>150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도두리마을동보</t>
        </is>
      </c>
      <c r="B30" s="10" t="inlineStr">
        <is>
          <t>'96.12.</t>
        </is>
      </c>
      <c r="C30" s="132" t="n">
        <v>1276</v>
      </c>
      <c r="D30" s="130" t="n">
        <v>35.6</v>
      </c>
      <c r="E30" s="131" t="n">
        <v>11</v>
      </c>
      <c r="F30" s="130" t="n">
        <v>23.9</v>
      </c>
      <c r="G30" s="17" t="n">
        <v>7</v>
      </c>
      <c r="H30" s="132" t="n">
        <v>208</v>
      </c>
      <c r="I30" s="133" t="n">
        <v>12000</v>
      </c>
      <c r="J30" s="133" t="inlineStr">
        <is>
          <t>13</t>
        </is>
      </c>
      <c r="K30" s="133" t="n">
        <v>7560</v>
      </c>
      <c r="L30" s="133" t="inlineStr">
        <is>
          <t>16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1</v>
      </c>
      <c r="R30" s="117" t="n">
        <v>1</v>
      </c>
      <c r="S30" s="117" t="inlineStr">
        <is>
          <t>복</t>
        </is>
      </c>
      <c r="T30" s="5" t="n">
        <v>35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도두리마을동보</t>
        </is>
      </c>
      <c r="B31" s="10" t="inlineStr">
        <is>
          <t>'96.12.</t>
        </is>
      </c>
      <c r="C31" s="132" t="n">
        <v>1276</v>
      </c>
      <c r="D31" s="130" t="n">
        <v>79.7</v>
      </c>
      <c r="E31" s="131" t="n">
        <v>24</v>
      </c>
      <c r="F31" s="130" t="n">
        <v>59.9</v>
      </c>
      <c r="G31" s="17" t="n">
        <v>18</v>
      </c>
      <c r="H31" s="132" t="n">
        <v>1068</v>
      </c>
      <c r="I31" s="133" t="n">
        <v>35000</v>
      </c>
      <c r="J31" s="133" t="inlineStr">
        <is>
          <t>16</t>
        </is>
      </c>
      <c r="K31" s="133" t="n">
        <v>25000</v>
      </c>
      <c r="L31" s="133" t="inlineStr">
        <is>
          <t>14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유호</t>
        </is>
      </c>
      <c r="B33" s="10" t="inlineStr">
        <is>
          <t>'95.03.</t>
        </is>
      </c>
      <c r="C33" s="132" t="n">
        <v>299</v>
      </c>
      <c r="D33" s="130" t="n">
        <v>80.09999999999999</v>
      </c>
      <c r="E33" s="131" t="n">
        <v>24</v>
      </c>
      <c r="F33" s="130" t="n">
        <v>59.6</v>
      </c>
      <c r="G33" s="17" t="n">
        <v>18</v>
      </c>
      <c r="H33" s="132" t="n">
        <v>125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1</v>
      </c>
      <c r="S33" s="117" t="inlineStr">
        <is>
          <t>복</t>
        </is>
      </c>
      <c r="T33" s="5" t="n">
        <v>80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유호</t>
        </is>
      </c>
      <c r="B34" s="10" t="inlineStr">
        <is>
          <t>'95.03.</t>
        </is>
      </c>
      <c r="C34" s="132" t="n">
        <v>299</v>
      </c>
      <c r="D34" s="130" t="n">
        <v>105.6</v>
      </c>
      <c r="E34" s="131" t="n">
        <v>32</v>
      </c>
      <c r="F34" s="130" t="n">
        <v>84.90000000000001</v>
      </c>
      <c r="G34" s="17" t="n">
        <v>26</v>
      </c>
      <c r="H34" s="132" t="n">
        <v>174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도두리마을대동</t>
        </is>
      </c>
      <c r="B36" s="10" t="inlineStr">
        <is>
          <t>'97.09.</t>
        </is>
      </c>
      <c r="C36" s="132" t="n">
        <v>1299</v>
      </c>
      <c r="D36" s="130" t="n">
        <v>56.3</v>
      </c>
      <c r="E36" s="131" t="n">
        <v>17</v>
      </c>
      <c r="F36" s="130" t="n">
        <v>40.1</v>
      </c>
      <c r="G36" s="17" t="n">
        <v>12</v>
      </c>
      <c r="H36" s="132" t="n">
        <v>597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56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도두리마을대동</t>
        </is>
      </c>
      <c r="B37" s="10" t="inlineStr">
        <is>
          <t>'97.09.</t>
        </is>
      </c>
      <c r="C37" s="132" t="n">
        <v>1299</v>
      </c>
      <c r="D37" s="130" t="n">
        <v>80.90000000000001</v>
      </c>
      <c r="E37" s="131" t="n">
        <v>24</v>
      </c>
      <c r="F37" s="130" t="n">
        <v>59.8</v>
      </c>
      <c r="G37" s="17" t="n">
        <v>18</v>
      </c>
      <c r="H37" s="132" t="n">
        <v>702</v>
      </c>
      <c r="I37" s="133" t="n">
        <v>33000</v>
      </c>
      <c r="J37" s="133" t="inlineStr">
        <is>
          <t>13</t>
        </is>
      </c>
      <c r="K37" s="133" t="n">
        <v>26000</v>
      </c>
      <c r="L37" s="133" t="inlineStr">
        <is>
          <t>22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80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작전동보2차</t>
        </is>
      </c>
      <c r="B39" s="10" t="inlineStr">
        <is>
          <t>'00.05.</t>
        </is>
      </c>
      <c r="C39" s="132" t="n">
        <v>502</v>
      </c>
      <c r="D39" s="130" t="n">
        <v>112.3</v>
      </c>
      <c r="E39" s="131" t="n">
        <v>34</v>
      </c>
      <c r="F39" s="130" t="n">
        <v>84.90000000000001</v>
      </c>
      <c r="G39" s="17" t="n">
        <v>26</v>
      </c>
      <c r="H39" s="132" t="n">
        <v>468</v>
      </c>
      <c r="I39" s="133" t="n">
        <v>41000</v>
      </c>
      <c r="J39" s="133" t="inlineStr">
        <is>
          <t>11</t>
        </is>
      </c>
      <c r="K39" s="133" t="n">
        <v>30000</v>
      </c>
      <c r="L39" s="133" t="inlineStr">
        <is>
          <t>18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112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작전동보2차</t>
        </is>
      </c>
      <c r="B40" s="10" t="inlineStr">
        <is>
          <t>'00.05.</t>
        </is>
      </c>
      <c r="C40" s="132" t="n">
        <v>502</v>
      </c>
      <c r="D40" s="130" t="n">
        <v>275.7</v>
      </c>
      <c r="E40" s="131" t="n">
        <v>83</v>
      </c>
      <c r="F40" s="130" t="n">
        <v>234</v>
      </c>
      <c r="G40" s="17" t="n">
        <v>71</v>
      </c>
      <c r="H40" s="132" t="n">
        <v>34</v>
      </c>
      <c r="I40" s="133" t="n">
        <v>85000</v>
      </c>
      <c r="J40" s="133" t="inlineStr">
        <is>
          <t>16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5</v>
      </c>
      <c r="R40" s="117" t="n">
        <v>2</v>
      </c>
      <c r="S40" s="117" t="inlineStr">
        <is>
          <t>계</t>
        </is>
      </c>
      <c r="T40" s="5" t="n">
        <v>275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5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동보1차</t>
        </is>
      </c>
      <c r="B42" s="10" t="inlineStr">
        <is>
          <t>'95.04.</t>
        </is>
      </c>
      <c r="C42" s="132" t="n">
        <v>1187</v>
      </c>
      <c r="D42" s="130" t="n">
        <v>82.2</v>
      </c>
      <c r="E42" s="131" t="n">
        <v>25</v>
      </c>
      <c r="F42" s="130" t="n">
        <v>60</v>
      </c>
      <c r="G42" s="17" t="n">
        <v>18</v>
      </c>
      <c r="H42" s="132" t="n">
        <v>475</v>
      </c>
      <c r="I42" s="133" t="n">
        <v>27000</v>
      </c>
      <c r="J42" s="133" t="inlineStr">
        <is>
          <t>11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1</v>
      </c>
      <c r="S42" s="117" t="inlineStr">
        <is>
          <t>복</t>
        </is>
      </c>
      <c r="T42" s="5" t="n">
        <v>82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동보1차</t>
        </is>
      </c>
      <c r="B43" s="10" t="inlineStr">
        <is>
          <t>'95.04.</t>
        </is>
      </c>
      <c r="C43" s="132" t="n">
        <v>1187</v>
      </c>
      <c r="D43" s="130" t="n">
        <v>102.3</v>
      </c>
      <c r="E43" s="131" t="n">
        <v>31</v>
      </c>
      <c r="F43" s="130" t="n">
        <v>84.59999999999999</v>
      </c>
      <c r="G43" s="17" t="n">
        <v>26</v>
      </c>
      <c r="H43" s="132" t="n">
        <v>632</v>
      </c>
      <c r="I43" s="133" t="n">
        <v>36500</v>
      </c>
      <c r="J43" s="133" t="inlineStr">
        <is>
          <t>20</t>
        </is>
      </c>
      <c r="K43" s="133" t="n">
        <v>31000</v>
      </c>
      <c r="L43" s="133" t="inlineStr">
        <is>
          <t>6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동보1차</t>
        </is>
      </c>
      <c r="B44" s="10" t="inlineStr">
        <is>
          <t>'95.04.</t>
        </is>
      </c>
      <c r="C44" s="132" t="n">
        <v>1187</v>
      </c>
      <c r="D44" s="130" t="n">
        <v>137.7</v>
      </c>
      <c r="E44" s="131" t="n">
        <v>42</v>
      </c>
      <c r="F44" s="130" t="n">
        <v>118.4</v>
      </c>
      <c r="G44" s="17" t="n">
        <v>36</v>
      </c>
      <c r="H44" s="132" t="n">
        <v>80</v>
      </c>
      <c r="I44" s="133" t="n">
        <v>55000</v>
      </c>
      <c r="J44" s="133" t="inlineStr">
        <is>
          <t>20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137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5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신진</t>
        </is>
      </c>
      <c r="B46" s="10" t="inlineStr">
        <is>
          <t>'87.12.</t>
        </is>
      </c>
      <c r="C46" s="132" t="n">
        <v>410</v>
      </c>
      <c r="D46" s="130" t="n">
        <v>52.4</v>
      </c>
      <c r="E46" s="131" t="n">
        <v>16</v>
      </c>
      <c r="F46" s="130" t="n">
        <v>40.7</v>
      </c>
      <c r="G46" s="17" t="n">
        <v>12</v>
      </c>
      <c r="H46" s="132" t="n">
        <v>220</v>
      </c>
      <c r="I46" s="133" t="n">
        <v>18500</v>
      </c>
      <c r="J46" s="133" t="inlineStr">
        <is>
          <t>5</t>
        </is>
      </c>
      <c r="K46" s="133" t="n">
        <v>10000</v>
      </c>
      <c r="L46" s="133" t="inlineStr">
        <is>
          <t>5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52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신진</t>
        </is>
      </c>
      <c r="B47" s="10" t="inlineStr">
        <is>
          <t>'87.12.</t>
        </is>
      </c>
      <c r="C47" s="132" t="n">
        <v>410</v>
      </c>
      <c r="D47" s="130" t="n">
        <v>55.6</v>
      </c>
      <c r="E47" s="131" t="n">
        <v>17</v>
      </c>
      <c r="F47" s="130" t="n">
        <v>43.2</v>
      </c>
      <c r="G47" s="17" t="n">
        <v>13</v>
      </c>
      <c r="H47" s="132" t="n">
        <v>100</v>
      </c>
      <c r="I47" s="133" t="n">
        <v>17800</v>
      </c>
      <c r="J47" s="133" t="inlineStr">
        <is>
          <t>5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inlineStr">
        <is>
          <t>55A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신진</t>
        </is>
      </c>
      <c r="B48" s="10" t="inlineStr">
        <is>
          <t>'87.12.</t>
        </is>
      </c>
      <c r="C48" s="132" t="n">
        <v>410</v>
      </c>
      <c r="D48" s="130" t="n">
        <v>55.2</v>
      </c>
      <c r="E48" s="131" t="n">
        <v>17</v>
      </c>
      <c r="F48" s="130" t="n">
        <v>43.4</v>
      </c>
      <c r="G48" s="17" t="n">
        <v>13</v>
      </c>
      <c r="H48" s="132" t="n">
        <v>90</v>
      </c>
      <c r="I48" s="133" t="n">
        <v>20000</v>
      </c>
      <c r="J48" s="133" t="inlineStr">
        <is>
          <t>5</t>
        </is>
      </c>
      <c r="K48" s="133" t="n">
        <v>10000</v>
      </c>
      <c r="L48" s="133" t="inlineStr">
        <is>
          <t>5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inlineStr">
        <is>
          <t>55B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작전풍림아이원</t>
        </is>
      </c>
      <c r="B50" s="10" t="inlineStr">
        <is>
          <t>'03.01.</t>
        </is>
      </c>
      <c r="C50" s="132" t="n">
        <v>468</v>
      </c>
      <c r="D50" s="130" t="n">
        <v>89.59999999999999</v>
      </c>
      <c r="E50" s="131" t="n">
        <v>27</v>
      </c>
      <c r="F50" s="130" t="n">
        <v>68.3</v>
      </c>
      <c r="G50" s="17" t="n">
        <v>21</v>
      </c>
      <c r="H50" s="132" t="n">
        <v>164</v>
      </c>
      <c r="I50" s="133" t="n">
        <v>40500</v>
      </c>
      <c r="J50" s="133" t="inlineStr">
        <is>
          <t>14</t>
        </is>
      </c>
      <c r="K50" s="133" t="n">
        <v>38000</v>
      </c>
      <c r="L50" s="133" t="inlineStr">
        <is>
          <t>15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89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작전풍림아이원</t>
        </is>
      </c>
      <c r="B51" s="10" t="inlineStr">
        <is>
          <t>'03.01.</t>
        </is>
      </c>
      <c r="C51" s="132" t="n">
        <v>468</v>
      </c>
      <c r="D51" s="130" t="n">
        <v>109.6</v>
      </c>
      <c r="E51" s="131" t="n">
        <v>33</v>
      </c>
      <c r="F51" s="130" t="n">
        <v>84.90000000000001</v>
      </c>
      <c r="G51" s="17" t="n">
        <v>26</v>
      </c>
      <c r="H51" s="132" t="n">
        <v>304</v>
      </c>
      <c r="I51" s="133" t="n">
        <v>47000</v>
      </c>
      <c r="J51" s="133" t="inlineStr">
        <is>
          <t>12</t>
        </is>
      </c>
      <c r="K51" s="133" t="n">
        <v>36000</v>
      </c>
      <c r="L51" s="133" t="inlineStr">
        <is>
          <t>12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109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5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한국</t>
        </is>
      </c>
      <c r="B53" s="10" t="inlineStr">
        <is>
          <t>'98.03.</t>
        </is>
      </c>
      <c r="C53" s="132" t="n">
        <v>250</v>
      </c>
      <c r="D53" s="130" t="n">
        <v>85.40000000000001</v>
      </c>
      <c r="E53" s="131" t="n">
        <v>26</v>
      </c>
      <c r="F53" s="130" t="n">
        <v>60</v>
      </c>
      <c r="G53" s="17" t="n">
        <v>18</v>
      </c>
      <c r="H53" s="132" t="n">
        <v>152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복</t>
        </is>
      </c>
      <c r="T53" s="5" t="n">
        <v>85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한국</t>
        </is>
      </c>
      <c r="B54" s="10" t="inlineStr">
        <is>
          <t>'98.03.</t>
        </is>
      </c>
      <c r="C54" s="132" t="n">
        <v>250</v>
      </c>
      <c r="D54" s="130" t="n">
        <v>108.7</v>
      </c>
      <c r="E54" s="131" t="n">
        <v>33</v>
      </c>
      <c r="F54" s="130" t="n">
        <v>84.90000000000001</v>
      </c>
      <c r="G54" s="17" t="n">
        <v>26</v>
      </c>
      <c r="H54" s="132" t="n">
        <v>98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30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5" t="n"/>
      <c r="P55" s="135" t="n"/>
      <c r="Q55" s="131" t="n"/>
      <c r="R55" s="131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5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미도</t>
        </is>
      </c>
      <c r="B56" s="10" t="inlineStr">
        <is>
          <t>'90.11.</t>
        </is>
      </c>
      <c r="C56" s="132" t="n">
        <v>480</v>
      </c>
      <c r="D56" s="130" t="n">
        <v>80.3</v>
      </c>
      <c r="E56" s="131" t="n">
        <v>24</v>
      </c>
      <c r="F56" s="130" t="n">
        <v>59.9</v>
      </c>
      <c r="G56" s="17" t="n">
        <v>18</v>
      </c>
      <c r="H56" s="132" t="n">
        <v>90</v>
      </c>
      <c r="I56" s="133" t="n">
        <v>25500</v>
      </c>
      <c r="J56" s="133" t="inlineStr">
        <is>
          <t>10</t>
        </is>
      </c>
      <c r="K56" s="133" t="n">
        <v>22500</v>
      </c>
      <c r="L56" s="133" t="inlineStr">
        <is>
          <t>14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복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미도</t>
        </is>
      </c>
      <c r="B57" s="10" t="inlineStr">
        <is>
          <t>'90.11.</t>
        </is>
      </c>
      <c r="C57" s="132" t="n">
        <v>480</v>
      </c>
      <c r="D57" s="130" t="n">
        <v>91.3</v>
      </c>
      <c r="E57" s="131" t="n">
        <v>28</v>
      </c>
      <c r="F57" s="130" t="n">
        <v>72.09999999999999</v>
      </c>
      <c r="G57" s="17" t="n">
        <v>22</v>
      </c>
      <c r="H57" s="132" t="n">
        <v>30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1</v>
      </c>
      <c r="S57" s="117" t="inlineStr">
        <is>
          <t>복</t>
        </is>
      </c>
      <c r="T57" s="5" t="n">
        <v>91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미도</t>
        </is>
      </c>
      <c r="B58" s="10" t="inlineStr">
        <is>
          <t>'90.11.</t>
        </is>
      </c>
      <c r="C58" s="132" t="n">
        <v>480</v>
      </c>
      <c r="D58" s="130" t="n">
        <v>97.90000000000001</v>
      </c>
      <c r="E58" s="131" t="n">
        <v>30</v>
      </c>
      <c r="F58" s="130" t="n">
        <v>81.5</v>
      </c>
      <c r="G58" s="17" t="n">
        <v>25</v>
      </c>
      <c r="H58" s="132" t="n">
        <v>180</v>
      </c>
      <c r="I58" s="133" t="n">
        <v>35000</v>
      </c>
      <c r="J58" s="133" t="inlineStr">
        <is>
          <t>12</t>
        </is>
      </c>
      <c r="K58" s="133" t="n">
        <v>29000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97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미도</t>
        </is>
      </c>
      <c r="B59" s="10" t="inlineStr">
        <is>
          <t>'90.11.</t>
        </is>
      </c>
      <c r="C59" s="132" t="n">
        <v>480</v>
      </c>
      <c r="D59" s="130" t="n">
        <v>101.2</v>
      </c>
      <c r="E59" s="131" t="n">
        <v>31</v>
      </c>
      <c r="F59" s="130" t="n">
        <v>85</v>
      </c>
      <c r="G59" s="17" t="n">
        <v>26</v>
      </c>
      <c r="H59" s="132" t="n">
        <v>150</v>
      </c>
      <c r="I59" s="133" t="n">
        <v>38500</v>
      </c>
      <c r="J59" s="133" t="inlineStr">
        <is>
          <t>11</t>
        </is>
      </c>
      <c r="K59" s="133" t="n">
        <v>30000</v>
      </c>
      <c r="L59" s="133" t="inlineStr">
        <is>
          <t>10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inlineStr">
        <is>
          <t>101A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미도</t>
        </is>
      </c>
      <c r="B60" s="10" t="inlineStr">
        <is>
          <t>'90.11.</t>
        </is>
      </c>
      <c r="C60" s="132" t="n">
        <v>480</v>
      </c>
      <c r="D60" s="130" t="n">
        <v>102.3</v>
      </c>
      <c r="E60" s="131" t="n">
        <v>31</v>
      </c>
      <c r="F60" s="130" t="n">
        <v>80.8</v>
      </c>
      <c r="G60" s="17" t="n">
        <v>24</v>
      </c>
      <c r="H60" s="132" t="n">
        <v>30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inlineStr">
        <is>
          <t>102B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5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작전뉴서울2차</t>
        </is>
      </c>
      <c r="B62" s="10" t="inlineStr">
        <is>
          <t>'92.11.</t>
        </is>
      </c>
      <c r="C62" s="132" t="n">
        <v>400</v>
      </c>
      <c r="D62" s="130" t="n">
        <v>90.3</v>
      </c>
      <c r="E62" s="131" t="n">
        <v>27</v>
      </c>
      <c r="F62" s="130" t="n">
        <v>74.3</v>
      </c>
      <c r="G62" s="17" t="n">
        <v>22</v>
      </c>
      <c r="H62" s="132" t="n">
        <v>80</v>
      </c>
      <c r="I62" s="133" t="n">
        <v>32000</v>
      </c>
      <c r="J62" s="133" t="inlineStr">
        <is>
          <t>19</t>
        </is>
      </c>
      <c r="K62" s="133" t="n">
        <v>23000</v>
      </c>
      <c r="L62" s="133" t="inlineStr">
        <is>
          <t>6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90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작전뉴서울2차</t>
        </is>
      </c>
      <c r="B63" s="10" t="inlineStr">
        <is>
          <t>'92.11.</t>
        </is>
      </c>
      <c r="C63" s="132" t="n">
        <v>400</v>
      </c>
      <c r="D63" s="130" t="n">
        <v>100.2</v>
      </c>
      <c r="E63" s="131" t="n">
        <v>30</v>
      </c>
      <c r="F63" s="130" t="n">
        <v>84.3</v>
      </c>
      <c r="G63" s="17" t="n">
        <v>25</v>
      </c>
      <c r="H63" s="132" t="n">
        <v>320</v>
      </c>
      <c r="I63" s="133" t="n">
        <v>35000</v>
      </c>
      <c r="J63" s="133" t="inlineStr">
        <is>
          <t>13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현대2-1차</t>
        </is>
      </c>
      <c r="B65" s="10" t="inlineStr">
        <is>
          <t>'91.10.</t>
        </is>
      </c>
      <c r="C65" s="132" t="n">
        <v>840</v>
      </c>
      <c r="D65" s="130" t="n">
        <v>94.3</v>
      </c>
      <c r="E65" s="131" t="n">
        <v>29</v>
      </c>
      <c r="F65" s="130" t="n">
        <v>78</v>
      </c>
      <c r="G65" s="17" t="n">
        <v>24</v>
      </c>
      <c r="H65" s="132" t="n">
        <v>240</v>
      </c>
      <c r="I65" s="133" t="n">
        <v>31000</v>
      </c>
      <c r="J65" s="133" t="inlineStr">
        <is>
          <t>12</t>
        </is>
      </c>
      <c r="K65" s="133" t="n">
        <v>30000</v>
      </c>
      <c r="L65" s="133" t="inlineStr">
        <is>
          <t>7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94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현대2-1차</t>
        </is>
      </c>
      <c r="B66" s="10" t="inlineStr">
        <is>
          <t>'91.10.</t>
        </is>
      </c>
      <c r="C66" s="132" t="n">
        <v>840</v>
      </c>
      <c r="D66" s="130" t="n">
        <v>101.7</v>
      </c>
      <c r="E66" s="131" t="n">
        <v>31</v>
      </c>
      <c r="F66" s="130" t="n">
        <v>84.90000000000001</v>
      </c>
      <c r="G66" s="17" t="n">
        <v>26</v>
      </c>
      <c r="H66" s="132" t="n">
        <v>120</v>
      </c>
      <c r="I66" s="133" t="n">
        <v>43000</v>
      </c>
      <c r="J66" s="133" t="inlineStr">
        <is>
          <t>13</t>
        </is>
      </c>
      <c r="K66" s="133" t="n">
        <v>32000</v>
      </c>
      <c r="L66" s="133" t="inlineStr">
        <is>
          <t>10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101A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현대2-1차</t>
        </is>
      </c>
      <c r="B67" s="10" t="inlineStr">
        <is>
          <t>'91.10.</t>
        </is>
      </c>
      <c r="C67" s="132" t="n">
        <v>840</v>
      </c>
      <c r="D67" s="130" t="n">
        <v>102.2</v>
      </c>
      <c r="E67" s="131" t="n">
        <v>31</v>
      </c>
      <c r="F67" s="130" t="n">
        <v>85</v>
      </c>
      <c r="G67" s="17" t="n">
        <v>26</v>
      </c>
      <c r="H67" s="132" t="n">
        <v>480</v>
      </c>
      <c r="I67" s="133" t="n">
        <v>35000</v>
      </c>
      <c r="J67" s="133" t="inlineStr">
        <is>
          <t>고</t>
        </is>
      </c>
      <c r="K67" s="133" t="n">
        <v>31000</v>
      </c>
      <c r="L67" s="133" t="inlineStr">
        <is>
          <t>7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102B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5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삼보</t>
        </is>
      </c>
      <c r="B69" s="10" t="inlineStr">
        <is>
          <t>'94.02.</t>
        </is>
      </c>
      <c r="C69" s="132" t="n">
        <v>454</v>
      </c>
      <c r="D69" s="130" t="n">
        <v>84.09999999999999</v>
      </c>
      <c r="E69" s="131" t="n">
        <v>25</v>
      </c>
      <c r="F69" s="130" t="n">
        <v>59.9</v>
      </c>
      <c r="G69" s="17" t="n">
        <v>18</v>
      </c>
      <c r="H69" s="132" t="n">
        <v>216</v>
      </c>
      <c r="I69" s="133" t="n">
        <v>24000</v>
      </c>
      <c r="J69" s="133" t="inlineStr">
        <is>
          <t>5</t>
        </is>
      </c>
      <c r="K69" s="133" t="n">
        <v>21000</v>
      </c>
      <c r="L69" s="133" t="inlineStr">
        <is>
          <t>6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1</v>
      </c>
      <c r="S69" s="117" t="inlineStr">
        <is>
          <t>복</t>
        </is>
      </c>
      <c r="T69" s="5" t="n">
        <v>84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삼보</t>
        </is>
      </c>
      <c r="B70" s="10" t="inlineStr">
        <is>
          <t>'94.02.</t>
        </is>
      </c>
      <c r="C70" s="132" t="n">
        <v>454</v>
      </c>
      <c r="D70" s="130" t="n">
        <v>102.4</v>
      </c>
      <c r="E70" s="131" t="n">
        <v>31</v>
      </c>
      <c r="F70" s="130" t="n">
        <v>84.8</v>
      </c>
      <c r="G70" s="17" t="n">
        <v>26</v>
      </c>
      <c r="H70" s="132" t="n">
        <v>30</v>
      </c>
      <c r="I70" s="133" t="n">
        <v>40000</v>
      </c>
      <c r="J70" s="133" t="inlineStr">
        <is>
          <t>15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102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삼보</t>
        </is>
      </c>
      <c r="B71" s="10" t="inlineStr">
        <is>
          <t>'94.02.</t>
        </is>
      </c>
      <c r="C71" s="132" t="n">
        <v>454</v>
      </c>
      <c r="D71" s="130" t="n">
        <v>105</v>
      </c>
      <c r="E71" s="131" t="n">
        <v>32</v>
      </c>
      <c r="F71" s="130" t="n">
        <v>84.8</v>
      </c>
      <c r="G71" s="17" t="n">
        <v>26</v>
      </c>
      <c r="H71" s="132" t="n">
        <v>182</v>
      </c>
      <c r="I71" s="133" t="n">
        <v>35800</v>
      </c>
      <c r="J71" s="133" t="inlineStr">
        <is>
          <t>14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105A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삼보</t>
        </is>
      </c>
      <c r="B72" s="10" t="inlineStr">
        <is>
          <t>'94.02.</t>
        </is>
      </c>
      <c r="C72" s="132" t="n">
        <v>454</v>
      </c>
      <c r="D72" s="130" t="n">
        <v>105.3</v>
      </c>
      <c r="E72" s="131" t="n">
        <v>32</v>
      </c>
      <c r="F72" s="130" t="n">
        <v>85</v>
      </c>
      <c r="G72" s="17" t="n">
        <v>26</v>
      </c>
      <c r="H72" s="132" t="n">
        <v>26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105B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30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5" t="n"/>
      <c r="P73" s="135" t="n"/>
      <c r="Q73" s="131" t="n"/>
      <c r="R73" s="131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55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무지개</t>
        </is>
      </c>
      <c r="B74" s="10" t="inlineStr">
        <is>
          <t>'89.06.</t>
        </is>
      </c>
      <c r="C74" s="132" t="n">
        <v>240</v>
      </c>
      <c r="D74" s="130" t="n">
        <v>52</v>
      </c>
      <c r="E74" s="131" t="n">
        <v>16</v>
      </c>
      <c r="F74" s="130" t="n">
        <v>39.2</v>
      </c>
      <c r="G74" s="17" t="n">
        <v>12</v>
      </c>
      <c r="H74" s="132" t="n">
        <v>60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2</v>
      </c>
      <c r="R74" s="117" t="n">
        <v>1</v>
      </c>
      <c r="S74" s="117" t="inlineStr">
        <is>
          <t>복</t>
        </is>
      </c>
      <c r="T74" s="5" t="n">
        <v>51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무지개</t>
        </is>
      </c>
      <c r="B75" s="10" t="inlineStr">
        <is>
          <t>'89.06.</t>
        </is>
      </c>
      <c r="C75" s="132" t="n">
        <v>240</v>
      </c>
      <c r="D75" s="130" t="n">
        <v>56.5</v>
      </c>
      <c r="E75" s="131" t="n">
        <v>17</v>
      </c>
      <c r="F75" s="130" t="n">
        <v>43.2</v>
      </c>
      <c r="G75" s="17" t="n">
        <v>13</v>
      </c>
      <c r="H75" s="132" t="n">
        <v>135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56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무지개</t>
        </is>
      </c>
      <c r="B76" s="10" t="inlineStr">
        <is>
          <t>'89.06.</t>
        </is>
      </c>
      <c r="C76" s="132" t="n">
        <v>240</v>
      </c>
      <c r="D76" s="130" t="n">
        <v>78.59999999999999</v>
      </c>
      <c r="E76" s="131" t="n">
        <v>24</v>
      </c>
      <c r="F76" s="130" t="n">
        <v>59.6</v>
      </c>
      <c r="G76" s="17" t="n">
        <v>18</v>
      </c>
      <c r="H76" s="132" t="n">
        <v>45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복</t>
        </is>
      </c>
      <c r="T76" s="5" t="n">
        <v>78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55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삼우</t>
        </is>
      </c>
      <c r="B78" s="10" t="inlineStr">
        <is>
          <t>'89.04.</t>
        </is>
      </c>
      <c r="C78" s="132" t="n">
        <v>264</v>
      </c>
      <c r="D78" s="130" t="n">
        <v>51.2</v>
      </c>
      <c r="E78" s="131" t="n">
        <v>15</v>
      </c>
      <c r="F78" s="130" t="n">
        <v>38.9</v>
      </c>
      <c r="G78" s="17" t="n">
        <v>12</v>
      </c>
      <c r="H78" s="132" t="n">
        <v>156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51A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삼우</t>
        </is>
      </c>
      <c r="B79" s="10" t="inlineStr">
        <is>
          <t>'89.04.</t>
        </is>
      </c>
      <c r="C79" s="132" t="n">
        <v>264</v>
      </c>
      <c r="D79" s="130" t="n">
        <v>52.3</v>
      </c>
      <c r="E79" s="131" t="n">
        <v>16</v>
      </c>
      <c r="F79" s="130" t="n">
        <v>39.8</v>
      </c>
      <c r="G79" s="17" t="n">
        <v>12</v>
      </c>
      <c r="H79" s="132" t="n">
        <v>12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52B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삼우</t>
        </is>
      </c>
      <c r="B80" s="10" t="inlineStr">
        <is>
          <t>'89.04.</t>
        </is>
      </c>
      <c r="C80" s="132" t="n">
        <v>264</v>
      </c>
      <c r="D80" s="130" t="n">
        <v>58.3</v>
      </c>
      <c r="E80" s="131" t="n">
        <v>18</v>
      </c>
      <c r="F80" s="130" t="n">
        <v>45</v>
      </c>
      <c r="G80" s="17" t="n">
        <v>14</v>
      </c>
      <c r="H80" s="132" t="n">
        <v>96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58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55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뉴서울1차</t>
        </is>
      </c>
      <c r="B82" s="10" t="inlineStr">
        <is>
          <t>'88.05.</t>
        </is>
      </c>
      <c r="C82" s="132" t="n">
        <v>791</v>
      </c>
      <c r="D82" s="130" t="n">
        <v>52.5</v>
      </c>
      <c r="E82" s="131" t="n">
        <v>16</v>
      </c>
      <c r="F82" s="130" t="n">
        <v>39.6</v>
      </c>
      <c r="G82" s="17" t="n">
        <v>12</v>
      </c>
      <c r="H82" s="132" t="n">
        <v>288</v>
      </c>
      <c r="I82" s="133" t="n">
        <v>15500</v>
      </c>
      <c r="J82" s="133" t="inlineStr">
        <is>
          <t>6</t>
        </is>
      </c>
      <c r="K82" s="133" t="n">
        <v>8000</v>
      </c>
      <c r="L82" s="133" t="inlineStr">
        <is>
          <t>6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2</v>
      </c>
      <c r="R82" s="117" t="n">
        <v>1</v>
      </c>
      <c r="S82" s="117" t="inlineStr">
        <is>
          <t>복</t>
        </is>
      </c>
      <c r="T82" s="5" t="inlineStr">
        <is>
          <t>52B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뉴서울1차</t>
        </is>
      </c>
      <c r="B83" s="10" t="inlineStr">
        <is>
          <t>'88.05.</t>
        </is>
      </c>
      <c r="C83" s="132" t="n">
        <v>791</v>
      </c>
      <c r="D83" s="130" t="n">
        <v>57.1</v>
      </c>
      <c r="E83" s="131" t="n">
        <v>17</v>
      </c>
      <c r="F83" s="130" t="n">
        <v>39.2</v>
      </c>
      <c r="G83" s="17" t="n">
        <v>12</v>
      </c>
      <c r="H83" s="132" t="n">
        <v>503</v>
      </c>
      <c r="I83" s="133" t="n">
        <v>18000</v>
      </c>
      <c r="J83" s="133" t="inlineStr">
        <is>
          <t>10</t>
        </is>
      </c>
      <c r="K83" s="133" t="n">
        <v>11000</v>
      </c>
      <c r="L83" s="133" t="inlineStr">
        <is>
          <t>14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2</v>
      </c>
      <c r="R83" s="117" t="n">
        <v>1</v>
      </c>
      <c r="S83" s="117" t="inlineStr">
        <is>
          <t>복</t>
        </is>
      </c>
      <c r="T83" s="5" t="inlineStr">
        <is>
          <t>57A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55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작전현대2-2차</t>
        </is>
      </c>
      <c r="B85" s="10" t="inlineStr">
        <is>
          <t>'93.12.</t>
        </is>
      </c>
      <c r="C85" s="132" t="n">
        <v>904</v>
      </c>
      <c r="D85" s="130" t="n">
        <v>104.5</v>
      </c>
      <c r="E85" s="131" t="n">
        <v>32</v>
      </c>
      <c r="F85" s="130" t="n">
        <v>84.90000000000001</v>
      </c>
      <c r="G85" s="17" t="n">
        <v>26</v>
      </c>
      <c r="H85" s="132" t="n">
        <v>648</v>
      </c>
      <c r="I85" s="133" t="n">
        <v>43000</v>
      </c>
      <c r="J85" s="133" t="inlineStr">
        <is>
          <t>13</t>
        </is>
      </c>
      <c r="K85" s="133" t="n">
        <v>34000</v>
      </c>
      <c r="L85" s="133" t="inlineStr">
        <is>
          <t>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104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작전현대2-2차</t>
        </is>
      </c>
      <c r="B86" s="10" t="inlineStr">
        <is>
          <t>'93.12.</t>
        </is>
      </c>
      <c r="C86" s="132" t="n">
        <v>904</v>
      </c>
      <c r="D86" s="130" t="n">
        <v>168.2</v>
      </c>
      <c r="E86" s="131" t="n">
        <v>51</v>
      </c>
      <c r="F86" s="130" t="n">
        <v>136.8</v>
      </c>
      <c r="G86" s="17" t="n">
        <v>41</v>
      </c>
      <c r="H86" s="132" t="n">
        <v>128</v>
      </c>
      <c r="I86" s="133" t="n">
        <v>65000</v>
      </c>
      <c r="J86" s="133" t="inlineStr">
        <is>
          <t>11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n">
        <v>168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작전현대2-2차</t>
        </is>
      </c>
      <c r="B87" s="10" t="inlineStr">
        <is>
          <t>'93.12.</t>
        </is>
      </c>
      <c r="C87" s="132" t="n">
        <v>904</v>
      </c>
      <c r="D87" s="130" t="n">
        <v>183.3</v>
      </c>
      <c r="E87" s="131" t="n">
        <v>55</v>
      </c>
      <c r="F87" s="130" t="n">
        <v>149</v>
      </c>
      <c r="G87" s="17" t="n">
        <v>45</v>
      </c>
      <c r="H87" s="132" t="n">
        <v>128</v>
      </c>
      <c r="I87" s="133" t="n">
        <v>66000</v>
      </c>
      <c r="J87" s="133" t="inlineStr">
        <is>
          <t>10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183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작전역서해그랑블</t>
        </is>
      </c>
      <c r="B89" s="10" t="inlineStr">
        <is>
          <t>'20.09.</t>
        </is>
      </c>
      <c r="C89" s="132" t="n">
        <v>280</v>
      </c>
      <c r="D89" s="130" t="n">
        <v>66</v>
      </c>
      <c r="E89" s="131" t="n">
        <v>20</v>
      </c>
      <c r="F89" s="130" t="n">
        <v>49.6</v>
      </c>
      <c r="G89" s="17" t="n">
        <v>15</v>
      </c>
      <c r="H89" s="132" t="n">
        <v>32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65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작전역서해그랑블</t>
        </is>
      </c>
      <c r="B90" s="10" t="inlineStr">
        <is>
          <t>'20.09.</t>
        </is>
      </c>
      <c r="C90" s="132" t="n">
        <v>280</v>
      </c>
      <c r="D90" s="130" t="n">
        <v>80.09999999999999</v>
      </c>
      <c r="E90" s="131" t="n">
        <v>24</v>
      </c>
      <c r="F90" s="130" t="n">
        <v>60</v>
      </c>
      <c r="G90" s="17" t="n">
        <v>18</v>
      </c>
      <c r="H90" s="132" t="n">
        <v>180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inlineStr">
        <is>
          <t>80A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작전역서해그랑블</t>
        </is>
      </c>
      <c r="B91" s="10" t="inlineStr">
        <is>
          <t>'20.09.</t>
        </is>
      </c>
      <c r="C91" s="132" t="n">
        <v>280</v>
      </c>
      <c r="D91" s="130" t="n">
        <v>80.09999999999999</v>
      </c>
      <c r="E91" s="131" t="n">
        <v>24</v>
      </c>
      <c r="F91" s="130" t="n">
        <v>60</v>
      </c>
      <c r="G91" s="17" t="n">
        <v>18</v>
      </c>
      <c r="H91" s="132" t="n">
        <v>33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80B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작전역서해그랑블</t>
        </is>
      </c>
      <c r="B92" s="10" t="inlineStr">
        <is>
          <t>'20.09.</t>
        </is>
      </c>
      <c r="C92" s="132" t="n">
        <v>280</v>
      </c>
      <c r="D92" s="130" t="n">
        <v>99.09999999999999</v>
      </c>
      <c r="E92" s="131" t="n">
        <v>30</v>
      </c>
      <c r="F92" s="130" t="n">
        <v>75</v>
      </c>
      <c r="G92" s="17" t="n">
        <v>23</v>
      </c>
      <c r="H92" s="132" t="n">
        <v>31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99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작전역서해그랑블</t>
        </is>
      </c>
      <c r="B93" s="10" t="inlineStr">
        <is>
          <t>'20.09.</t>
        </is>
      </c>
      <c r="C93" s="132" t="n">
        <v>280</v>
      </c>
      <c r="D93" s="130" t="n">
        <v>115.9</v>
      </c>
      <c r="E93" s="131" t="n">
        <v>35</v>
      </c>
      <c r="F93" s="130" t="n">
        <v>85</v>
      </c>
      <c r="G93" s="17" t="n">
        <v>26</v>
      </c>
      <c r="H93" s="132" t="n">
        <v>3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inlineStr">
        <is>
          <t>115A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작전역서해그랑블</t>
        </is>
      </c>
      <c r="B94" s="10" t="inlineStr">
        <is>
          <t>'20.09.</t>
        </is>
      </c>
      <c r="C94" s="132" t="n">
        <v>280</v>
      </c>
      <c r="D94" s="130" t="n">
        <v>115.2</v>
      </c>
      <c r="E94" s="131" t="n">
        <v>35</v>
      </c>
      <c r="F94" s="130" t="n">
        <v>85</v>
      </c>
      <c r="G94" s="17" t="n">
        <v>26</v>
      </c>
      <c r="H94" s="132" t="n">
        <v>1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4</v>
      </c>
      <c r="R94" s="117" t="n">
        <v>2</v>
      </c>
      <c r="S94" s="117" t="inlineStr">
        <is>
          <t>계</t>
        </is>
      </c>
      <c r="T94" s="5" t="inlineStr">
        <is>
          <t>115B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n"/>
      <c r="B95" s="117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55">
        <f>IF(E95="","",E95)</f>
        <v/>
      </c>
      <c r="AJ95" s="117" t="n"/>
      <c r="AK95" s="117" t="n"/>
      <c r="AL95" s="117" t="n"/>
      <c r="AM95" s="117" t="n"/>
      <c r="AN95" s="117" t="n"/>
      <c r="AO95" s="117" t="n"/>
      <c r="AP95" s="117" t="n"/>
      <c r="AQ95" s="117" t="n"/>
      <c r="AR95" s="117" t="n"/>
      <c r="AS95" s="117" t="n"/>
      <c r="AT95" s="117" t="n"/>
      <c r="AU95" s="117" t="n"/>
      <c r="AV95" s="117" t="n"/>
    </row>
    <row r="96">
      <c r="A96" s="9" t="inlineStr">
        <is>
          <t>브라운스톤계양스카이</t>
        </is>
      </c>
      <c r="B96" s="10" t="inlineStr">
        <is>
          <t>'20.10.</t>
        </is>
      </c>
      <c r="C96" s="132" t="n">
        <v>282</v>
      </c>
      <c r="D96" s="130" t="n">
        <v>85.8</v>
      </c>
      <c r="E96" s="131" t="n">
        <v>26</v>
      </c>
      <c r="F96" s="130" t="n">
        <v>59.9</v>
      </c>
      <c r="G96" s="17" t="n">
        <v>18</v>
      </c>
      <c r="H96" s="132" t="n">
        <v>61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85B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브라운스톤계양스카이</t>
        </is>
      </c>
      <c r="B97" s="10" t="inlineStr">
        <is>
          <t>'20.10.</t>
        </is>
      </c>
      <c r="C97" s="132" t="n">
        <v>282</v>
      </c>
      <c r="D97" s="130" t="n">
        <v>85.3</v>
      </c>
      <c r="E97" s="131" t="n">
        <v>26</v>
      </c>
      <c r="F97" s="130" t="n">
        <v>59.9</v>
      </c>
      <c r="G97" s="17" t="n">
        <v>18</v>
      </c>
      <c r="H97" s="132" t="n">
        <v>36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85A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브라운스톤계양스카이</t>
        </is>
      </c>
      <c r="B98" s="10" t="inlineStr">
        <is>
          <t>'20.10.</t>
        </is>
      </c>
      <c r="C98" s="132" t="n">
        <v>282</v>
      </c>
      <c r="D98" s="130" t="n">
        <v>85.5</v>
      </c>
      <c r="E98" s="131" t="n">
        <v>26</v>
      </c>
      <c r="F98" s="130" t="n">
        <v>59.9</v>
      </c>
      <c r="G98" s="17" t="n">
        <v>18</v>
      </c>
      <c r="H98" s="132" t="n">
        <v>10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85C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브라운스톤계양스카이</t>
        </is>
      </c>
      <c r="B99" s="10" t="inlineStr">
        <is>
          <t>'20.10.</t>
        </is>
      </c>
      <c r="C99" s="132" t="n">
        <v>282</v>
      </c>
      <c r="D99" s="130" t="n">
        <v>100.5</v>
      </c>
      <c r="E99" s="131" t="n">
        <v>30</v>
      </c>
      <c r="F99" s="130" t="n">
        <v>75.7</v>
      </c>
      <c r="G99" s="17" t="n">
        <v>23</v>
      </c>
      <c r="H99" s="132" t="n">
        <v>54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inlineStr">
        <is>
          <t>100A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브라운스톤계양스카이</t>
        </is>
      </c>
      <c r="B100" s="10" t="inlineStr">
        <is>
          <t>'20.10.</t>
        </is>
      </c>
      <c r="C100" s="132" t="n">
        <v>282</v>
      </c>
      <c r="D100" s="130" t="n">
        <v>101.3</v>
      </c>
      <c r="E100" s="131" t="n">
        <v>31</v>
      </c>
      <c r="F100" s="130" t="n">
        <v>75.5</v>
      </c>
      <c r="G100" s="17" t="n">
        <v>23</v>
      </c>
      <c r="H100" s="132" t="n">
        <v>57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101B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브라운스톤계양스카이</t>
        </is>
      </c>
      <c r="B101" s="10" t="inlineStr">
        <is>
          <t>'20.10.</t>
        </is>
      </c>
      <c r="C101" s="132" t="n">
        <v>282</v>
      </c>
      <c r="D101" s="130" t="n">
        <v>113.7</v>
      </c>
      <c r="E101" s="131" t="n">
        <v>34</v>
      </c>
      <c r="F101" s="130" t="n">
        <v>85</v>
      </c>
      <c r="G101" s="17" t="n">
        <v>26</v>
      </c>
      <c r="H101" s="132" t="n">
        <v>64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113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55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현광</t>
        </is>
      </c>
      <c r="B103" s="10" t="inlineStr">
        <is>
          <t>'92.08.</t>
        </is>
      </c>
      <c r="C103" s="132" t="n">
        <v>392</v>
      </c>
      <c r="D103" s="130" t="n">
        <v>73.90000000000001</v>
      </c>
      <c r="E103" s="131" t="n">
        <v>22</v>
      </c>
      <c r="F103" s="130" t="n">
        <v>56.9</v>
      </c>
      <c r="G103" s="17" t="n">
        <v>17</v>
      </c>
      <c r="H103" s="132" t="n">
        <v>140</v>
      </c>
      <c r="I103" s="133" t="n">
        <v>18500</v>
      </c>
      <c r="J103" s="133" t="inlineStr">
        <is>
          <t>중</t>
        </is>
      </c>
      <c r="K103" s="133" t="n">
        <v>16000</v>
      </c>
      <c r="L103" s="133" t="inlineStr">
        <is>
          <t>19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복</t>
        </is>
      </c>
      <c r="T103" s="5" t="n">
        <v>73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현광</t>
        </is>
      </c>
      <c r="B104" s="10" t="inlineStr">
        <is>
          <t>'92.08.</t>
        </is>
      </c>
      <c r="C104" s="132" t="n">
        <v>392</v>
      </c>
      <c r="D104" s="130" t="n">
        <v>77.8</v>
      </c>
      <c r="E104" s="131" t="n">
        <v>24</v>
      </c>
      <c r="F104" s="130" t="n">
        <v>59.7</v>
      </c>
      <c r="G104" s="17" t="n">
        <v>18</v>
      </c>
      <c r="H104" s="132" t="n">
        <v>203</v>
      </c>
      <c r="I104" s="133" t="n">
        <v>22000</v>
      </c>
      <c r="J104" s="133" t="inlineStr">
        <is>
          <t>5</t>
        </is>
      </c>
      <c r="K104" s="133" t="n">
        <v>16000</v>
      </c>
      <c r="L104" s="133" t="inlineStr">
        <is>
          <t>중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복</t>
        </is>
      </c>
      <c r="T104" s="5" t="n">
        <v>77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현광</t>
        </is>
      </c>
      <c r="B105" s="10" t="inlineStr">
        <is>
          <t>'92.08.</t>
        </is>
      </c>
      <c r="C105" s="132" t="n">
        <v>392</v>
      </c>
      <c r="D105" s="130" t="n">
        <v>85.8</v>
      </c>
      <c r="E105" s="131" t="n">
        <v>26</v>
      </c>
      <c r="F105" s="130" t="n">
        <v>65.3</v>
      </c>
      <c r="G105" s="17" t="n">
        <v>20</v>
      </c>
      <c r="H105" s="132" t="n">
        <v>49</v>
      </c>
      <c r="I105" s="133" t="n">
        <v>22000</v>
      </c>
      <c r="J105" s="133" t="inlineStr">
        <is>
          <t>고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85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까치마을태화,한진</t>
        </is>
      </c>
      <c r="B107" s="10" t="inlineStr">
        <is>
          <t>'97.11.</t>
        </is>
      </c>
      <c r="C107" s="132" t="n">
        <v>1674</v>
      </c>
      <c r="D107" s="130" t="n">
        <v>54.3</v>
      </c>
      <c r="E107" s="131" t="n">
        <v>16</v>
      </c>
      <c r="F107" s="130" t="n">
        <v>37.4</v>
      </c>
      <c r="G107" s="17" t="n">
        <v>11</v>
      </c>
      <c r="H107" s="132" t="n">
        <v>712</v>
      </c>
      <c r="I107" s="133" t="n">
        <v>18000</v>
      </c>
      <c r="J107" s="133" t="inlineStr">
        <is>
          <t>8</t>
        </is>
      </c>
      <c r="K107" s="133" t="n">
        <v>14000</v>
      </c>
      <c r="L107" s="133" t="inlineStr">
        <is>
          <t>14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복</t>
        </is>
      </c>
      <c r="T107" s="5" t="n">
        <v>54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까치마을태화,한진</t>
        </is>
      </c>
      <c r="B108" s="10" t="inlineStr">
        <is>
          <t>'97.11.</t>
        </is>
      </c>
      <c r="C108" s="132" t="n">
        <v>1674</v>
      </c>
      <c r="D108" s="130" t="n">
        <v>54.7</v>
      </c>
      <c r="E108" s="131" t="n">
        <v>17</v>
      </c>
      <c r="F108" s="130" t="n">
        <v>37.8</v>
      </c>
      <c r="G108" s="17" t="n">
        <v>11</v>
      </c>
      <c r="H108" s="132" t="n">
        <v>2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복</t>
        </is>
      </c>
      <c r="T108" s="5" t="n">
        <v>54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까치마을태화,한진</t>
        </is>
      </c>
      <c r="B109" s="10" t="inlineStr">
        <is>
          <t>'97.11.</t>
        </is>
      </c>
      <c r="C109" s="132" t="n">
        <v>1674</v>
      </c>
      <c r="D109" s="130" t="n">
        <v>81.2</v>
      </c>
      <c r="E109" s="131" t="n">
        <v>25</v>
      </c>
      <c r="F109" s="130" t="n">
        <v>59.9</v>
      </c>
      <c r="G109" s="17" t="n">
        <v>18</v>
      </c>
      <c r="H109" s="132" t="n">
        <v>960</v>
      </c>
      <c r="I109" s="133" t="n">
        <v>30000</v>
      </c>
      <c r="J109" s="133" t="inlineStr">
        <is>
          <t>21</t>
        </is>
      </c>
      <c r="K109" s="133" t="n">
        <v>25000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81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n"/>
      <c r="B110" s="117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55">
        <f>IF(E110="","",E110)</f>
        <v/>
      </c>
      <c r="AJ110" s="117" t="n"/>
      <c r="AK110" s="117" t="n"/>
      <c r="AL110" s="117" t="n"/>
      <c r="AM110" s="117" t="n"/>
      <c r="AN110" s="117" t="n"/>
      <c r="AO110" s="117" t="n"/>
      <c r="AP110" s="117" t="n"/>
      <c r="AQ110" s="117" t="n"/>
      <c r="AR110" s="117" t="n"/>
      <c r="AS110" s="117" t="n"/>
      <c r="AT110" s="117" t="n"/>
      <c r="AU110" s="117" t="n"/>
      <c r="AV110" s="117" t="n"/>
    </row>
    <row r="111">
      <c r="A111" s="9" t="inlineStr">
        <is>
          <t>코오롱</t>
        </is>
      </c>
      <c r="B111" s="10" t="inlineStr">
        <is>
          <t>'89.10.</t>
        </is>
      </c>
      <c r="C111" s="132" t="n">
        <v>480</v>
      </c>
      <c r="D111" s="130" t="n">
        <v>64.90000000000001</v>
      </c>
      <c r="E111" s="131" t="n">
        <v>20</v>
      </c>
      <c r="F111" s="130" t="n">
        <v>53.1</v>
      </c>
      <c r="G111" s="17" t="n">
        <v>16</v>
      </c>
      <c r="H111" s="132" t="n">
        <v>180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2</v>
      </c>
      <c r="R111" s="117" t="n">
        <v>1</v>
      </c>
      <c r="S111" s="117" t="inlineStr">
        <is>
          <t>계</t>
        </is>
      </c>
      <c r="T111" s="5" t="n">
        <v>64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inlineStr">
        <is>
          <t>코오롱</t>
        </is>
      </c>
      <c r="B112" s="10" t="inlineStr">
        <is>
          <t>'89.10.</t>
        </is>
      </c>
      <c r="C112" s="132" t="n">
        <v>480</v>
      </c>
      <c r="D112" s="130" t="n">
        <v>75.40000000000001</v>
      </c>
      <c r="E112" s="131" t="n">
        <v>23</v>
      </c>
      <c r="F112" s="130" t="n">
        <v>61.6</v>
      </c>
      <c r="G112" s="17" t="n">
        <v>19</v>
      </c>
      <c r="H112" s="132" t="n">
        <v>90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2</v>
      </c>
      <c r="R112" s="117" t="n">
        <v>1</v>
      </c>
      <c r="S112" s="117" t="inlineStr">
        <is>
          <t>계</t>
        </is>
      </c>
      <c r="T112" s="5" t="n">
        <v>75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코오롱</t>
        </is>
      </c>
      <c r="B113" s="10" t="inlineStr">
        <is>
          <t>'89.10.</t>
        </is>
      </c>
      <c r="C113" s="132" t="n">
        <v>480</v>
      </c>
      <c r="D113" s="130" t="n">
        <v>80.90000000000001</v>
      </c>
      <c r="E113" s="131" t="n">
        <v>24</v>
      </c>
      <c r="F113" s="130" t="n">
        <v>66.90000000000001</v>
      </c>
      <c r="G113" s="17" t="n">
        <v>20</v>
      </c>
      <c r="H113" s="132" t="n">
        <v>60</v>
      </c>
      <c r="I113" s="133" t="n">
        <v>32000</v>
      </c>
      <c r="J113" s="133" t="inlineStr">
        <is>
          <t>8</t>
        </is>
      </c>
      <c r="K113" s="133" t="n">
        <v>28000</v>
      </c>
      <c r="L113" s="133" t="inlineStr">
        <is>
          <t>15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80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코오롱</t>
        </is>
      </c>
      <c r="B114" s="10" t="inlineStr">
        <is>
          <t>'89.10.</t>
        </is>
      </c>
      <c r="C114" s="132" t="n">
        <v>480</v>
      </c>
      <c r="D114" s="130" t="n">
        <v>83.09999999999999</v>
      </c>
      <c r="E114" s="131" t="n">
        <v>25</v>
      </c>
      <c r="F114" s="130" t="n">
        <v>68.7</v>
      </c>
      <c r="G114" s="17" t="n">
        <v>21</v>
      </c>
      <c r="H114" s="132" t="n">
        <v>90</v>
      </c>
      <c r="I114" s="133" t="n">
        <v>36000</v>
      </c>
      <c r="J114" s="133" t="inlineStr">
        <is>
          <t>13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83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코오롱</t>
        </is>
      </c>
      <c r="B115" s="10" t="inlineStr">
        <is>
          <t>'89.10.</t>
        </is>
      </c>
      <c r="C115" s="132" t="n">
        <v>480</v>
      </c>
      <c r="D115" s="130" t="n">
        <v>90.59999999999999</v>
      </c>
      <c r="E115" s="131" t="n">
        <v>27</v>
      </c>
      <c r="F115" s="130" t="n">
        <v>74.90000000000001</v>
      </c>
      <c r="G115" s="17" t="n">
        <v>23</v>
      </c>
      <c r="H115" s="132" t="n">
        <v>60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90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n"/>
      <c r="B116" s="117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55">
        <f>IF(E116="","",E116)</f>
        <v/>
      </c>
      <c r="AJ116" s="117" t="n"/>
      <c r="AK116" s="117" t="n"/>
      <c r="AL116" s="117" t="n"/>
      <c r="AM116" s="117" t="n"/>
      <c r="AN116" s="117" t="n"/>
      <c r="AO116" s="117" t="n"/>
      <c r="AP116" s="117" t="n"/>
      <c r="AQ116" s="117" t="n"/>
      <c r="AR116" s="117" t="n"/>
      <c r="AS116" s="117" t="n"/>
      <c r="AT116" s="117" t="n"/>
      <c r="AU116" s="117" t="n"/>
      <c r="AV116" s="117" t="n"/>
    </row>
    <row r="117">
      <c r="A117" s="9" t="inlineStr">
        <is>
          <t>힐스테이트자이계양</t>
        </is>
      </c>
      <c r="B117" s="10" t="inlineStr">
        <is>
          <t>'24.03.</t>
        </is>
      </c>
      <c r="C117" s="132" t="n">
        <v>2371</v>
      </c>
      <c r="D117" s="130" t="n">
        <v>76.3</v>
      </c>
      <c r="E117" s="131" t="n">
        <v>23</v>
      </c>
      <c r="F117" s="130" t="n">
        <v>53.9</v>
      </c>
      <c r="G117" s="17" t="n">
        <v>16</v>
      </c>
      <c r="H117" s="132" t="n">
        <v>256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2</v>
      </c>
      <c r="R117" s="117" t="n">
        <v>1</v>
      </c>
      <c r="S117" s="117" t="inlineStr">
        <is>
          <t>계</t>
        </is>
      </c>
      <c r="T117" s="5" t="inlineStr">
        <is>
          <t>76A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힐스테이트자이계양</t>
        </is>
      </c>
      <c r="B118" s="10" t="inlineStr">
        <is>
          <t>'24.03.</t>
        </is>
      </c>
      <c r="C118" s="132" t="n">
        <v>2371</v>
      </c>
      <c r="D118" s="130" t="n">
        <v>77</v>
      </c>
      <c r="E118" s="131" t="n">
        <v>23</v>
      </c>
      <c r="F118" s="130" t="n">
        <v>53.8</v>
      </c>
      <c r="G118" s="17" t="n">
        <v>16</v>
      </c>
      <c r="H118" s="132" t="n">
        <v>99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76B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힐스테이트자이계양</t>
        </is>
      </c>
      <c r="B119" s="10" t="inlineStr">
        <is>
          <t>'24.03.</t>
        </is>
      </c>
      <c r="C119" s="132" t="n">
        <v>2371</v>
      </c>
      <c r="D119" s="130" t="n">
        <v>77.09999999999999</v>
      </c>
      <c r="E119" s="131" t="n">
        <v>23</v>
      </c>
      <c r="F119" s="130" t="n">
        <v>53.8</v>
      </c>
      <c r="G119" s="17" t="n">
        <v>16</v>
      </c>
      <c r="H119" s="132" t="n">
        <v>95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2</v>
      </c>
      <c r="R119" s="117" t="n">
        <v>1</v>
      </c>
      <c r="S119" s="117" t="inlineStr">
        <is>
          <t>계</t>
        </is>
      </c>
      <c r="T119" s="5" t="inlineStr">
        <is>
          <t>77C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힐스테이트자이계양</t>
        </is>
      </c>
      <c r="B120" s="10" t="inlineStr">
        <is>
          <t>'24.03.</t>
        </is>
      </c>
      <c r="C120" s="132" t="n">
        <v>2371</v>
      </c>
      <c r="D120" s="130" t="n">
        <v>86.40000000000001</v>
      </c>
      <c r="E120" s="131" t="n">
        <v>26</v>
      </c>
      <c r="F120" s="130" t="n">
        <v>59.8</v>
      </c>
      <c r="G120" s="17" t="n">
        <v>18</v>
      </c>
      <c r="H120" s="132" t="n">
        <v>625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86A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힐스테이트자이계양</t>
        </is>
      </c>
      <c r="B121" s="10" t="inlineStr">
        <is>
          <t>'24.03.</t>
        </is>
      </c>
      <c r="C121" s="132" t="n">
        <v>2371</v>
      </c>
      <c r="D121" s="130" t="n">
        <v>88.09999999999999</v>
      </c>
      <c r="E121" s="131" t="n">
        <v>27</v>
      </c>
      <c r="F121" s="130" t="n">
        <v>59.9</v>
      </c>
      <c r="G121" s="17" t="n">
        <v>18</v>
      </c>
      <c r="H121" s="132" t="n">
        <v>276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88B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inlineStr">
        <is>
          <t>힐스테이트자이계양</t>
        </is>
      </c>
      <c r="B122" s="10" t="inlineStr">
        <is>
          <t>'24.03.</t>
        </is>
      </c>
      <c r="C122" s="132" t="n">
        <v>2371</v>
      </c>
      <c r="D122" s="130" t="n">
        <v>114.2</v>
      </c>
      <c r="E122" s="131" t="n">
        <v>35</v>
      </c>
      <c r="F122" s="130" t="n">
        <v>84.5</v>
      </c>
      <c r="G122" s="17" t="n">
        <v>26</v>
      </c>
      <c r="H122" s="132" t="n">
        <v>366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114A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힐스테이트자이계양</t>
        </is>
      </c>
      <c r="B123" s="10" t="inlineStr">
        <is>
          <t>'24.03.</t>
        </is>
      </c>
      <c r="C123" s="132" t="n">
        <v>2371</v>
      </c>
      <c r="D123" s="130" t="n">
        <v>114.2</v>
      </c>
      <c r="E123" s="131" t="n">
        <v>35</v>
      </c>
      <c r="F123" s="130" t="n">
        <v>84.5</v>
      </c>
      <c r="G123" s="17" t="n">
        <v>26</v>
      </c>
      <c r="H123" s="132" t="n">
        <v>128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114B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힐스테이트자이계양</t>
        </is>
      </c>
      <c r="B124" s="10" t="inlineStr">
        <is>
          <t>'24.03.</t>
        </is>
      </c>
      <c r="C124" s="132" t="n">
        <v>2371</v>
      </c>
      <c r="D124" s="130" t="n">
        <v>115.5</v>
      </c>
      <c r="E124" s="131" t="n">
        <v>35</v>
      </c>
      <c r="F124" s="130" t="n">
        <v>84.8</v>
      </c>
      <c r="G124" s="17" t="n">
        <v>26</v>
      </c>
      <c r="H124" s="132" t="n">
        <v>393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115C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n"/>
      <c r="B125" s="117" t="n"/>
      <c r="C125" s="6" t="n"/>
      <c r="D125" s="9" t="n"/>
      <c r="E125" s="14" t="n"/>
      <c r="F125" s="130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5" t="n"/>
      <c r="P125" s="135" t="n"/>
      <c r="Q125" s="131" t="n"/>
      <c r="R125" s="131" t="n"/>
      <c r="S125" s="9" t="n"/>
      <c r="T125" s="48" t="n"/>
      <c r="U125" s="9" t="n"/>
      <c r="W125" s="69">
        <f>$A$4&amp;" "&amp;A126&amp;"("&amp;B126&amp;","&amp;C126&amp;"^)"</f>
        <v/>
      </c>
      <c r="X125" s="70" t="n"/>
      <c r="Y125" s="70" t="n"/>
      <c r="Z125" s="70" t="n"/>
      <c r="AA125" s="70" t="n"/>
      <c r="AB125" s="70" t="n"/>
      <c r="AC125" s="70" t="n"/>
      <c r="AD125" s="70" t="n"/>
      <c r="AE125" s="70" t="n"/>
      <c r="AF125" s="71" t="n"/>
      <c r="AH125" s="20">
        <f>IF(A125="","",A125)</f>
        <v/>
      </c>
      <c r="AI125" s="155">
        <f>IF(E125="","",E125)</f>
        <v/>
      </c>
      <c r="AJ125" s="117" t="n"/>
      <c r="AK125" s="117" t="n"/>
      <c r="AL125" s="117" t="n"/>
      <c r="AM125" s="117" t="n"/>
      <c r="AN125" s="117" t="n"/>
      <c r="AO125" s="117" t="n"/>
      <c r="AP125" s="117" t="n"/>
      <c r="AQ125" s="117" t="n"/>
      <c r="AR125" s="117" t="n"/>
      <c r="AS125" s="117" t="n"/>
      <c r="AT125" s="117" t="n"/>
      <c r="AU125" s="117" t="n"/>
      <c r="AV125" s="117" t="n"/>
    </row>
    <row r="126">
      <c r="A126" s="9" t="inlineStr">
        <is>
          <t>한양</t>
        </is>
      </c>
      <c r="B126" s="10" t="inlineStr">
        <is>
          <t>'85.10.</t>
        </is>
      </c>
      <c r="C126" s="132" t="n">
        <v>280</v>
      </c>
      <c r="D126" s="130" t="n">
        <v>78.40000000000001</v>
      </c>
      <c r="E126" s="131" t="n">
        <v>24</v>
      </c>
      <c r="F126" s="130" t="n">
        <v>58.5</v>
      </c>
      <c r="G126" s="17" t="n">
        <v>18</v>
      </c>
      <c r="H126" s="132" t="n">
        <v>196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78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한양</t>
        </is>
      </c>
      <c r="B127" s="10" t="inlineStr">
        <is>
          <t>'85.10.</t>
        </is>
      </c>
      <c r="C127" s="132" t="n">
        <v>280</v>
      </c>
      <c r="D127" s="130" t="n">
        <v>106.9</v>
      </c>
      <c r="E127" s="131" t="n">
        <v>32</v>
      </c>
      <c r="F127" s="130" t="n">
        <v>76.7</v>
      </c>
      <c r="G127" s="17" t="n">
        <v>23</v>
      </c>
      <c r="H127" s="132" t="n">
        <v>84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복</t>
        </is>
      </c>
      <c r="T127" s="5" t="n">
        <v>106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n"/>
      <c r="B128" s="117" t="n"/>
      <c r="C128" s="6" t="n"/>
      <c r="D128" s="9" t="n"/>
      <c r="E128" s="14" t="n"/>
      <c r="F128" s="130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5" t="n"/>
      <c r="P128" s="135" t="n"/>
      <c r="Q128" s="131" t="n"/>
      <c r="R128" s="131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55">
        <f>IF(E128="","",E128)</f>
        <v/>
      </c>
      <c r="AJ128" s="117" t="n"/>
      <c r="AK128" s="117" t="n"/>
      <c r="AL128" s="117" t="n"/>
      <c r="AM128" s="117" t="n"/>
      <c r="AN128" s="117" t="n"/>
      <c r="AO128" s="117" t="n"/>
      <c r="AP128" s="117" t="n"/>
      <c r="AQ128" s="117" t="n"/>
      <c r="AR128" s="117" t="n"/>
      <c r="AS128" s="117" t="n"/>
      <c r="AT128" s="117" t="n"/>
      <c r="AU128" s="117" t="n"/>
      <c r="AV128" s="117" t="n"/>
    </row>
    <row r="129">
      <c r="A129" s="9" t="inlineStr">
        <is>
          <t>한신</t>
        </is>
      </c>
      <c r="B129" s="10" t="inlineStr">
        <is>
          <t>'91.10.</t>
        </is>
      </c>
      <c r="C129" s="132" t="n">
        <v>259</v>
      </c>
      <c r="D129" s="130" t="n">
        <v>82.7</v>
      </c>
      <c r="E129" s="131" t="n">
        <v>25</v>
      </c>
      <c r="F129" s="130" t="n">
        <v>60.5</v>
      </c>
      <c r="G129" s="17" t="n">
        <v>18</v>
      </c>
      <c r="H129" s="132" t="n">
        <v>88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복</t>
        </is>
      </c>
      <c r="T129" s="5" t="n">
        <v>82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한신</t>
        </is>
      </c>
      <c r="B130" s="10" t="inlineStr">
        <is>
          <t>'91.10.</t>
        </is>
      </c>
      <c r="C130" s="132" t="n">
        <v>259</v>
      </c>
      <c r="D130" s="130" t="n">
        <v>103.2</v>
      </c>
      <c r="E130" s="131" t="n">
        <v>31</v>
      </c>
      <c r="F130" s="130" t="n">
        <v>85</v>
      </c>
      <c r="G130" s="17" t="n">
        <v>26</v>
      </c>
      <c r="H130" s="132" t="n">
        <v>171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복</t>
        </is>
      </c>
      <c r="T130" s="5" t="n">
        <v>103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1970" dxfId="23">
      <formula>AV4="X"</formula>
    </cfRule>
    <cfRule type="expression" priority="1971" dxfId="22">
      <formula>AV4="후보"</formula>
    </cfRule>
  </conditionalFormatting>
  <conditionalFormatting sqref="AC1:AC2 AC4:AC6 N4:N5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N1:N2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6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6">
    <cfRule type="expression" priority="1959" dxfId="3">
      <formula>AND(IF(OR($Q6=1,$Q6=2),1,0),IF($X6&lt;=20,1,0))</formula>
    </cfRule>
    <cfRule type="expression" priority="1960" dxfId="2">
      <formula>AND(IF($Q6=2,1,0),IF($X6&lt;30,1,0))</formula>
    </cfRule>
    <cfRule type="expression" priority="1961" dxfId="1">
      <formula>AND(IF($Q6=3,1,0),IF($X6&lt;30,1,0))</formula>
    </cfRule>
    <cfRule type="expression" priority="1962" dxfId="0">
      <formula>AND(IF($Q6=3,1,IF($Q6=4,1,0)),IF($F6&lt;=85,1,0))</formula>
    </cfRule>
  </conditionalFormatting>
  <conditionalFormatting sqref="X6">
    <cfRule type="expression" priority="1955" dxfId="3">
      <formula>AND(IF(OR($Q6=1,$Q6=2),1,0),IF($X6&lt;=20,1,0))</formula>
    </cfRule>
    <cfRule type="expression" priority="1956" dxfId="2">
      <formula>AND(IF($Q6=2,1,0),IF($X6&lt;30,1,0))</formula>
    </cfRule>
    <cfRule type="expression" priority="1957" dxfId="1">
      <formula>AND(IF($Q6=3,1,0),IF($X6&lt;30,1,0))</formula>
    </cfRule>
    <cfRule type="expression" priority="1958" dxfId="0">
      <formula>AND(IF($Q6=3,1,IF($Q6=4,1,0)),IF($F6&lt;=85,1,0))</formula>
    </cfRule>
  </conditionalFormatting>
  <conditionalFormatting sqref="AI6">
    <cfRule type="expression" priority="1951" dxfId="3">
      <formula>AND(IF(OR($Q6=1,$Q6=2),1,0),IF($X6&lt;=20,1,0))</formula>
    </cfRule>
    <cfRule type="expression" priority="1952" dxfId="2">
      <formula>AND(IF($Q6=2,1,0),IF($X6&lt;30,1,0))</formula>
    </cfRule>
    <cfRule type="expression" priority="1953" dxfId="1">
      <formula>AND(IF($Q6=3,1,0),IF($X6&lt;30,1,0))</formula>
    </cfRule>
    <cfRule type="expression" priority="1954" dxfId="0">
      <formula>AND(IF($Q6=3,1,IF($Q6=4,1,0)),IF($F6&lt;=85,1,0))</formula>
    </cfRule>
  </conditionalFormatting>
  <conditionalFormatting sqref="AV7">
    <cfRule type="expression" priority="1949" dxfId="23">
      <formula>AV7="X"</formula>
    </cfRule>
    <cfRule type="expression" priority="1950" dxfId="22">
      <formula>AV7="후보"</formula>
    </cfRule>
  </conditionalFormatting>
  <conditionalFormatting sqref="AC7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7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7">
    <cfRule type="expression" priority="1940" dxfId="3">
      <formula>AND(IF(OR($Q7=1,$Q7=2),1,0),IF($X7&lt;=20,1,0))</formula>
    </cfRule>
    <cfRule type="expression" priority="1941" dxfId="2">
      <formula>AND(IF($Q7=2,1,0),IF($X7&lt;30,1,0))</formula>
    </cfRule>
    <cfRule type="expression" priority="1942" dxfId="1">
      <formula>AND(IF($Q7=3,1,0),IF($X7&lt;30,1,0))</formula>
    </cfRule>
    <cfRule type="expression" priority="1943" dxfId="0">
      <formula>AND(IF($Q7=3,1,IF($Q7=4,1,0)),IF($F7&lt;=85,1,0))</formula>
    </cfRule>
  </conditionalFormatting>
  <conditionalFormatting sqref="X7">
    <cfRule type="expression" priority="1936" dxfId="3">
      <formula>AND(IF(OR($Q7=1,$Q7=2),1,0),IF($X7&lt;=20,1,0))</formula>
    </cfRule>
    <cfRule type="expression" priority="1937" dxfId="2">
      <formula>AND(IF($Q7=2,1,0),IF($X7&lt;30,1,0))</formula>
    </cfRule>
    <cfRule type="expression" priority="1938" dxfId="1">
      <formula>AND(IF($Q7=3,1,0),IF($X7&lt;30,1,0))</formula>
    </cfRule>
    <cfRule type="expression" priority="1939" dxfId="0">
      <formula>AND(IF($Q7=3,1,IF($Q7=4,1,0)),IF($F7&lt;=85,1,0))</formula>
    </cfRule>
  </conditionalFormatting>
  <conditionalFormatting sqref="AI7">
    <cfRule type="expression" priority="1932" dxfId="3">
      <formula>AND(IF(OR($Q7=1,$Q7=2),1,0),IF($X7&lt;=20,1,0))</formula>
    </cfRule>
    <cfRule type="expression" priority="1933" dxfId="2">
      <formula>AND(IF($Q7=2,1,0),IF($X7&lt;30,1,0))</formula>
    </cfRule>
    <cfRule type="expression" priority="1934" dxfId="1">
      <formula>AND(IF($Q7=3,1,0),IF($X7&lt;30,1,0))</formula>
    </cfRule>
    <cfRule type="expression" priority="1935" dxfId="0">
      <formula>AND(IF($Q7=3,1,IF($Q7=4,1,0)),IF($F7&lt;=85,1,0))</formula>
    </cfRule>
  </conditionalFormatting>
  <conditionalFormatting sqref="AV8">
    <cfRule type="expression" priority="1930" dxfId="23">
      <formula>AV8="X"</formula>
    </cfRule>
    <cfRule type="expression" priority="1931" dxfId="22">
      <formula>AV8="후보"</formula>
    </cfRule>
  </conditionalFormatting>
  <conditionalFormatting sqref="AC8 N8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9">
    <cfRule type="expression" priority="1925" dxfId="23">
      <formula>AV9="X"</formula>
    </cfRule>
    <cfRule type="expression" priority="1926" dxfId="22">
      <formula>AV9="후보"</formula>
    </cfRule>
  </conditionalFormatting>
  <conditionalFormatting sqref="AC9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9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9">
    <cfRule type="expression" priority="1916" dxfId="3">
      <formula>AND(IF(OR($Q9=1,$Q9=2),1,0),IF($X9&lt;=20,1,0))</formula>
    </cfRule>
    <cfRule type="expression" priority="1917" dxfId="2">
      <formula>AND(IF($Q9=2,1,0),IF($X9&lt;30,1,0))</formula>
    </cfRule>
    <cfRule type="expression" priority="1918" dxfId="1">
      <formula>AND(IF($Q9=3,1,0),IF($X9&lt;30,1,0))</formula>
    </cfRule>
    <cfRule type="expression" priority="1919" dxfId="0">
      <formula>AND(IF($Q9=3,1,IF($Q9=4,1,0)),IF($F9&lt;=85,1,0))</formula>
    </cfRule>
  </conditionalFormatting>
  <conditionalFormatting sqref="X9">
    <cfRule type="expression" priority="1912" dxfId="3">
      <formula>AND(IF(OR($Q9=1,$Q9=2),1,0),IF($X9&lt;=20,1,0))</formula>
    </cfRule>
    <cfRule type="expression" priority="1913" dxfId="2">
      <formula>AND(IF($Q9=2,1,0),IF($X9&lt;30,1,0))</formula>
    </cfRule>
    <cfRule type="expression" priority="1914" dxfId="1">
      <formula>AND(IF($Q9=3,1,0),IF($X9&lt;30,1,0))</formula>
    </cfRule>
    <cfRule type="expression" priority="1915" dxfId="0">
      <formula>AND(IF($Q9=3,1,IF($Q9=4,1,0)),IF($F9&lt;=85,1,0))</formula>
    </cfRule>
  </conditionalFormatting>
  <conditionalFormatting sqref="AI9">
    <cfRule type="expression" priority="1908" dxfId="3">
      <formula>AND(IF(OR($Q9=1,$Q9=2),1,0),IF($X9&lt;=20,1,0))</formula>
    </cfRule>
    <cfRule type="expression" priority="1909" dxfId="2">
      <formula>AND(IF($Q9=2,1,0),IF($X9&lt;30,1,0))</formula>
    </cfRule>
    <cfRule type="expression" priority="1910" dxfId="1">
      <formula>AND(IF($Q9=3,1,0),IF($X9&lt;30,1,0))</formula>
    </cfRule>
    <cfRule type="expression" priority="1911" dxfId="0">
      <formula>AND(IF($Q9=3,1,IF($Q9=4,1,0)),IF($F9&lt;=85,1,0))</formula>
    </cfRule>
  </conditionalFormatting>
  <conditionalFormatting sqref="AV10">
    <cfRule type="expression" priority="1906" dxfId="23">
      <formula>AV10="X"</formula>
    </cfRule>
    <cfRule type="expression" priority="1907" dxfId="22">
      <formula>AV10="후보"</formula>
    </cfRule>
  </conditionalFormatting>
  <conditionalFormatting sqref="AC1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0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0">
    <cfRule type="expression" priority="1897" dxfId="3">
      <formula>AND(IF(OR($Q10=1,$Q10=2),1,0),IF($X10&lt;=20,1,0))</formula>
    </cfRule>
    <cfRule type="expression" priority="1898" dxfId="2">
      <formula>AND(IF($Q10=2,1,0),IF($X10&lt;30,1,0))</formula>
    </cfRule>
    <cfRule type="expression" priority="1899" dxfId="1">
      <formula>AND(IF($Q10=3,1,0),IF($X10&lt;30,1,0))</formula>
    </cfRule>
    <cfRule type="expression" priority="1900" dxfId="0">
      <formula>AND(IF($Q10=3,1,IF($Q10=4,1,0)),IF($F10&lt;=85,1,0))</formula>
    </cfRule>
  </conditionalFormatting>
  <conditionalFormatting sqref="X10">
    <cfRule type="expression" priority="1893" dxfId="3">
      <formula>AND(IF(OR($Q10=1,$Q10=2),1,0),IF($X10&lt;=20,1,0))</formula>
    </cfRule>
    <cfRule type="expression" priority="1894" dxfId="2">
      <formula>AND(IF($Q10=2,1,0),IF($X10&lt;30,1,0))</formula>
    </cfRule>
    <cfRule type="expression" priority="1895" dxfId="1">
      <formula>AND(IF($Q10=3,1,0),IF($X10&lt;30,1,0))</formula>
    </cfRule>
    <cfRule type="expression" priority="1896" dxfId="0">
      <formula>AND(IF($Q10=3,1,IF($Q10=4,1,0)),IF($F10&lt;=85,1,0))</formula>
    </cfRule>
  </conditionalFormatting>
  <conditionalFormatting sqref="AI10">
    <cfRule type="expression" priority="1889" dxfId="3">
      <formula>AND(IF(OR($Q10=1,$Q10=2),1,0),IF($X10&lt;=20,1,0))</formula>
    </cfRule>
    <cfRule type="expression" priority="1890" dxfId="2">
      <formula>AND(IF($Q10=2,1,0),IF($X10&lt;30,1,0))</formula>
    </cfRule>
    <cfRule type="expression" priority="1891" dxfId="1">
      <formula>AND(IF($Q10=3,1,0),IF($X10&lt;30,1,0))</formula>
    </cfRule>
    <cfRule type="expression" priority="1892" dxfId="0">
      <formula>AND(IF($Q10=3,1,IF($Q10=4,1,0)),IF($F10&lt;=85,1,0))</formula>
    </cfRule>
  </conditionalFormatting>
  <conditionalFormatting sqref="AV11">
    <cfRule type="expression" priority="1887" dxfId="23">
      <formula>AV11="X"</formula>
    </cfRule>
    <cfRule type="expression" priority="1888" dxfId="22">
      <formula>AV11="후보"</formula>
    </cfRule>
  </conditionalFormatting>
  <conditionalFormatting sqref="AC11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1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1">
    <cfRule type="expression" priority="1878" dxfId="3">
      <formula>AND(IF(OR($Q11=1,$Q11=2),1,0),IF($X11&lt;=20,1,0))</formula>
    </cfRule>
    <cfRule type="expression" priority="1879" dxfId="2">
      <formula>AND(IF($Q11=2,1,0),IF($X11&lt;30,1,0))</formula>
    </cfRule>
    <cfRule type="expression" priority="1880" dxfId="1">
      <formula>AND(IF($Q11=3,1,0),IF($X11&lt;30,1,0))</formula>
    </cfRule>
    <cfRule type="expression" priority="1881" dxfId="0">
      <formula>AND(IF($Q11=3,1,IF($Q11=4,1,0)),IF($F11&lt;=85,1,0))</formula>
    </cfRule>
  </conditionalFormatting>
  <conditionalFormatting sqref="X11">
    <cfRule type="expression" priority="1874" dxfId="3">
      <formula>AND(IF(OR($Q11=1,$Q11=2),1,0),IF($X11&lt;=20,1,0))</formula>
    </cfRule>
    <cfRule type="expression" priority="1875" dxfId="2">
      <formula>AND(IF($Q11=2,1,0),IF($X11&lt;30,1,0))</formula>
    </cfRule>
    <cfRule type="expression" priority="1876" dxfId="1">
      <formula>AND(IF($Q11=3,1,0),IF($X11&lt;30,1,0))</formula>
    </cfRule>
    <cfRule type="expression" priority="1877" dxfId="0">
      <formula>AND(IF($Q11=3,1,IF($Q11=4,1,0)),IF($F11&lt;=85,1,0))</formula>
    </cfRule>
  </conditionalFormatting>
  <conditionalFormatting sqref="AI11">
    <cfRule type="expression" priority="1870" dxfId="3">
      <formula>AND(IF(OR($Q11=1,$Q11=2),1,0),IF($X11&lt;=20,1,0))</formula>
    </cfRule>
    <cfRule type="expression" priority="1871" dxfId="2">
      <formula>AND(IF($Q11=2,1,0),IF($X11&lt;30,1,0))</formula>
    </cfRule>
    <cfRule type="expression" priority="1872" dxfId="1">
      <formula>AND(IF($Q11=3,1,0),IF($X11&lt;30,1,0))</formula>
    </cfRule>
    <cfRule type="expression" priority="1873" dxfId="0">
      <formula>AND(IF($Q11=3,1,IF($Q11=4,1,0)),IF($F11&lt;=85,1,0))</formula>
    </cfRule>
  </conditionalFormatting>
  <conditionalFormatting sqref="AV12">
    <cfRule type="expression" priority="1868" dxfId="23">
      <formula>AV12="X"</formula>
    </cfRule>
    <cfRule type="expression" priority="1869" dxfId="22">
      <formula>AV12="후보"</formula>
    </cfRule>
  </conditionalFormatting>
  <conditionalFormatting sqref="AC12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2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2">
    <cfRule type="expression" priority="1859" dxfId="3">
      <formula>AND(IF(OR($Q12=1,$Q12=2),1,0),IF($X12&lt;=20,1,0))</formula>
    </cfRule>
    <cfRule type="expression" priority="1860" dxfId="2">
      <formula>AND(IF($Q12=2,1,0),IF($X12&lt;30,1,0))</formula>
    </cfRule>
    <cfRule type="expression" priority="1861" dxfId="1">
      <formula>AND(IF($Q12=3,1,0),IF($X12&lt;30,1,0))</formula>
    </cfRule>
    <cfRule type="expression" priority="1862" dxfId="0">
      <formula>AND(IF($Q12=3,1,IF($Q12=4,1,0)),IF($F12&lt;=85,1,0))</formula>
    </cfRule>
  </conditionalFormatting>
  <conditionalFormatting sqref="X12">
    <cfRule type="expression" priority="1855" dxfId="3">
      <formula>AND(IF(OR($Q12=1,$Q12=2),1,0),IF($X12&lt;=20,1,0))</formula>
    </cfRule>
    <cfRule type="expression" priority="1856" dxfId="2">
      <formula>AND(IF($Q12=2,1,0),IF($X12&lt;30,1,0))</formula>
    </cfRule>
    <cfRule type="expression" priority="1857" dxfId="1">
      <formula>AND(IF($Q12=3,1,0),IF($X12&lt;30,1,0))</formula>
    </cfRule>
    <cfRule type="expression" priority="1858" dxfId="0">
      <formula>AND(IF($Q12=3,1,IF($Q12=4,1,0)),IF($F12&lt;=85,1,0))</formula>
    </cfRule>
  </conditionalFormatting>
  <conditionalFormatting sqref="AI12">
    <cfRule type="expression" priority="1851" dxfId="3">
      <formula>AND(IF(OR($Q12=1,$Q12=2),1,0),IF($X12&lt;=20,1,0))</formula>
    </cfRule>
    <cfRule type="expression" priority="1852" dxfId="2">
      <formula>AND(IF($Q12=2,1,0),IF($X12&lt;30,1,0))</formula>
    </cfRule>
    <cfRule type="expression" priority="1853" dxfId="1">
      <formula>AND(IF($Q12=3,1,0),IF($X12&lt;30,1,0))</formula>
    </cfRule>
    <cfRule type="expression" priority="1854" dxfId="0">
      <formula>AND(IF($Q12=3,1,IF($Q12=4,1,0)),IF($F12&lt;=85,1,0))</formula>
    </cfRule>
  </conditionalFormatting>
  <conditionalFormatting sqref="AV13">
    <cfRule type="expression" priority="1849" dxfId="23">
      <formula>AV13="X"</formula>
    </cfRule>
    <cfRule type="expression" priority="1850" dxfId="22">
      <formula>AV13="후보"</formula>
    </cfRule>
  </conditionalFormatting>
  <conditionalFormatting sqref="AC13 N13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14">
    <cfRule type="expression" priority="1844" dxfId="23">
      <formula>AV14="X"</formula>
    </cfRule>
    <cfRule type="expression" priority="1845" dxfId="22">
      <formula>AV14="후보"</formula>
    </cfRule>
  </conditionalFormatting>
  <conditionalFormatting sqref="AC14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14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14">
    <cfRule type="expression" priority="1835" dxfId="3">
      <formula>AND(IF(OR($Q14=1,$Q14=2),1,0),IF($X14&lt;=20,1,0))</formula>
    </cfRule>
    <cfRule type="expression" priority="1836" dxfId="2">
      <formula>AND(IF($Q14=2,1,0),IF($X14&lt;30,1,0))</formula>
    </cfRule>
    <cfRule type="expression" priority="1837" dxfId="1">
      <formula>AND(IF($Q14=3,1,0),IF($X14&lt;30,1,0))</formula>
    </cfRule>
    <cfRule type="expression" priority="1838" dxfId="0">
      <formula>AND(IF($Q14=3,1,IF($Q14=4,1,0)),IF($F14&lt;=85,1,0))</formula>
    </cfRule>
  </conditionalFormatting>
  <conditionalFormatting sqref="X14">
    <cfRule type="expression" priority="1831" dxfId="3">
      <formula>AND(IF(OR($Q14=1,$Q14=2),1,0),IF($X14&lt;=20,1,0))</formula>
    </cfRule>
    <cfRule type="expression" priority="1832" dxfId="2">
      <formula>AND(IF($Q14=2,1,0),IF($X14&lt;30,1,0))</formula>
    </cfRule>
    <cfRule type="expression" priority="1833" dxfId="1">
      <formula>AND(IF($Q14=3,1,0),IF($X14&lt;30,1,0))</formula>
    </cfRule>
    <cfRule type="expression" priority="1834" dxfId="0">
      <formula>AND(IF($Q14=3,1,IF($Q14=4,1,0)),IF($F14&lt;=85,1,0))</formula>
    </cfRule>
  </conditionalFormatting>
  <conditionalFormatting sqref="AI14">
    <cfRule type="expression" priority="1827" dxfId="3">
      <formula>AND(IF(OR($Q14=1,$Q14=2),1,0),IF($X14&lt;=20,1,0))</formula>
    </cfRule>
    <cfRule type="expression" priority="1828" dxfId="2">
      <formula>AND(IF($Q14=2,1,0),IF($X14&lt;30,1,0))</formula>
    </cfRule>
    <cfRule type="expression" priority="1829" dxfId="1">
      <formula>AND(IF($Q14=3,1,0),IF($X14&lt;30,1,0))</formula>
    </cfRule>
    <cfRule type="expression" priority="1830" dxfId="0">
      <formula>AND(IF($Q14=3,1,IF($Q14=4,1,0)),IF($F14&lt;=85,1,0))</formula>
    </cfRule>
  </conditionalFormatting>
  <conditionalFormatting sqref="AV15">
    <cfRule type="expression" priority="1825" dxfId="23">
      <formula>AV15="X"</formula>
    </cfRule>
    <cfRule type="expression" priority="1826" dxfId="22">
      <formula>AV15="후보"</formula>
    </cfRule>
  </conditionalFormatting>
  <conditionalFormatting sqref="AC15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5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5">
    <cfRule type="expression" priority="1816" dxfId="3">
      <formula>AND(IF(OR($Q15=1,$Q15=2),1,0),IF($X15&lt;=20,1,0))</formula>
    </cfRule>
    <cfRule type="expression" priority="1817" dxfId="2">
      <formula>AND(IF($Q15=2,1,0),IF($X15&lt;30,1,0))</formula>
    </cfRule>
    <cfRule type="expression" priority="1818" dxfId="1">
      <formula>AND(IF($Q15=3,1,0),IF($X15&lt;30,1,0))</formula>
    </cfRule>
    <cfRule type="expression" priority="1819" dxfId="0">
      <formula>AND(IF($Q15=3,1,IF($Q15=4,1,0)),IF($F15&lt;=85,1,0))</formula>
    </cfRule>
  </conditionalFormatting>
  <conditionalFormatting sqref="X15">
    <cfRule type="expression" priority="1812" dxfId="3">
      <formula>AND(IF(OR($Q15=1,$Q15=2),1,0),IF($X15&lt;=20,1,0))</formula>
    </cfRule>
    <cfRule type="expression" priority="1813" dxfId="2">
      <formula>AND(IF($Q15=2,1,0),IF($X15&lt;30,1,0))</formula>
    </cfRule>
    <cfRule type="expression" priority="1814" dxfId="1">
      <formula>AND(IF($Q15=3,1,0),IF($X15&lt;30,1,0))</formula>
    </cfRule>
    <cfRule type="expression" priority="1815" dxfId="0">
      <formula>AND(IF($Q15=3,1,IF($Q15=4,1,0)),IF($F15&lt;=85,1,0))</formula>
    </cfRule>
  </conditionalFormatting>
  <conditionalFormatting sqref="AI15">
    <cfRule type="expression" priority="1808" dxfId="3">
      <formula>AND(IF(OR($Q15=1,$Q15=2),1,0),IF($X15&lt;=20,1,0))</formula>
    </cfRule>
    <cfRule type="expression" priority="1809" dxfId="2">
      <formula>AND(IF($Q15=2,1,0),IF($X15&lt;30,1,0))</formula>
    </cfRule>
    <cfRule type="expression" priority="1810" dxfId="1">
      <formula>AND(IF($Q15=3,1,0),IF($X15&lt;30,1,0))</formula>
    </cfRule>
    <cfRule type="expression" priority="1811" dxfId="0">
      <formula>AND(IF($Q15=3,1,IF($Q15=4,1,0)),IF($F15&lt;=85,1,0))</formula>
    </cfRule>
  </conditionalFormatting>
  <conditionalFormatting sqref="AV16">
    <cfRule type="expression" priority="1806" dxfId="23">
      <formula>AV16="X"</formula>
    </cfRule>
    <cfRule type="expression" priority="1807" dxfId="22">
      <formula>AV16="후보"</formula>
    </cfRule>
  </conditionalFormatting>
  <conditionalFormatting sqref="AC16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6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6">
    <cfRule type="expression" priority="1797" dxfId="3">
      <formula>AND(IF(OR($Q16=1,$Q16=2),1,0),IF($X16&lt;=20,1,0))</formula>
    </cfRule>
    <cfRule type="expression" priority="1798" dxfId="2">
      <formula>AND(IF($Q16=2,1,0),IF($X16&lt;30,1,0))</formula>
    </cfRule>
    <cfRule type="expression" priority="1799" dxfId="1">
      <formula>AND(IF($Q16=3,1,0),IF($X16&lt;30,1,0))</formula>
    </cfRule>
    <cfRule type="expression" priority="1800" dxfId="0">
      <formula>AND(IF($Q16=3,1,IF($Q16=4,1,0)),IF($F16&lt;=85,1,0))</formula>
    </cfRule>
  </conditionalFormatting>
  <conditionalFormatting sqref="X16">
    <cfRule type="expression" priority="1793" dxfId="3">
      <formula>AND(IF(OR($Q16=1,$Q16=2),1,0),IF($X16&lt;=20,1,0))</formula>
    </cfRule>
    <cfRule type="expression" priority="1794" dxfId="2">
      <formula>AND(IF($Q16=2,1,0),IF($X16&lt;30,1,0))</formula>
    </cfRule>
    <cfRule type="expression" priority="1795" dxfId="1">
      <formula>AND(IF($Q16=3,1,0),IF($X16&lt;30,1,0))</formula>
    </cfRule>
    <cfRule type="expression" priority="1796" dxfId="0">
      <formula>AND(IF($Q16=3,1,IF($Q16=4,1,0)),IF($F16&lt;=85,1,0))</formula>
    </cfRule>
  </conditionalFormatting>
  <conditionalFormatting sqref="AI16">
    <cfRule type="expression" priority="1789" dxfId="3">
      <formula>AND(IF(OR($Q16=1,$Q16=2),1,0),IF($X16&lt;=20,1,0))</formula>
    </cfRule>
    <cfRule type="expression" priority="1790" dxfId="2">
      <formula>AND(IF($Q16=2,1,0),IF($X16&lt;30,1,0))</formula>
    </cfRule>
    <cfRule type="expression" priority="1791" dxfId="1">
      <formula>AND(IF($Q16=3,1,0),IF($X16&lt;30,1,0))</formula>
    </cfRule>
    <cfRule type="expression" priority="1792" dxfId="0">
      <formula>AND(IF($Q16=3,1,IF($Q16=4,1,0)),IF($F16&lt;=85,1,0))</formula>
    </cfRule>
  </conditionalFormatting>
  <conditionalFormatting sqref="AV17">
    <cfRule type="expression" priority="1787" dxfId="23">
      <formula>AV17="X"</formula>
    </cfRule>
    <cfRule type="expression" priority="1788" dxfId="22">
      <formula>AV17="후보"</formula>
    </cfRule>
  </conditionalFormatting>
  <conditionalFormatting sqref="AC17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7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7">
    <cfRule type="expression" priority="1778" dxfId="3">
      <formula>AND(IF(OR($Q17=1,$Q17=2),1,0),IF($X17&lt;=20,1,0))</formula>
    </cfRule>
    <cfRule type="expression" priority="1779" dxfId="2">
      <formula>AND(IF($Q17=2,1,0),IF($X17&lt;30,1,0))</formula>
    </cfRule>
    <cfRule type="expression" priority="1780" dxfId="1">
      <formula>AND(IF($Q17=3,1,0),IF($X17&lt;30,1,0))</formula>
    </cfRule>
    <cfRule type="expression" priority="1781" dxfId="0">
      <formula>AND(IF($Q17=3,1,IF($Q17=4,1,0)),IF($F17&lt;=85,1,0))</formula>
    </cfRule>
  </conditionalFormatting>
  <conditionalFormatting sqref="X17">
    <cfRule type="expression" priority="1774" dxfId="3">
      <formula>AND(IF(OR($Q17=1,$Q17=2),1,0),IF($X17&lt;=20,1,0))</formula>
    </cfRule>
    <cfRule type="expression" priority="1775" dxfId="2">
      <formula>AND(IF($Q17=2,1,0),IF($X17&lt;30,1,0))</formula>
    </cfRule>
    <cfRule type="expression" priority="1776" dxfId="1">
      <formula>AND(IF($Q17=3,1,0),IF($X17&lt;30,1,0))</formula>
    </cfRule>
    <cfRule type="expression" priority="1777" dxfId="0">
      <formula>AND(IF($Q17=3,1,IF($Q17=4,1,0)),IF($F17&lt;=85,1,0))</formula>
    </cfRule>
  </conditionalFormatting>
  <conditionalFormatting sqref="AI17">
    <cfRule type="expression" priority="1770" dxfId="3">
      <formula>AND(IF(OR($Q17=1,$Q17=2),1,0),IF($X17&lt;=20,1,0))</formula>
    </cfRule>
    <cfRule type="expression" priority="1771" dxfId="2">
      <formula>AND(IF($Q17=2,1,0),IF($X17&lt;30,1,0))</formula>
    </cfRule>
    <cfRule type="expression" priority="1772" dxfId="1">
      <formula>AND(IF($Q17=3,1,0),IF($X17&lt;30,1,0))</formula>
    </cfRule>
    <cfRule type="expression" priority="1773" dxfId="0">
      <formula>AND(IF($Q17=3,1,IF($Q17=4,1,0)),IF($F17&lt;=85,1,0))</formula>
    </cfRule>
  </conditionalFormatting>
  <conditionalFormatting sqref="AV18">
    <cfRule type="expression" priority="1768" dxfId="23">
      <formula>AV18="X"</formula>
    </cfRule>
    <cfRule type="expression" priority="1769" dxfId="22">
      <formula>AV18="후보"</formula>
    </cfRule>
  </conditionalFormatting>
  <conditionalFormatting sqref="AC18 N18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AV19">
    <cfRule type="expression" priority="1763" dxfId="23">
      <formula>AV19="X"</formula>
    </cfRule>
    <cfRule type="expression" priority="1764" dxfId="22">
      <formula>AV19="후보"</formula>
    </cfRule>
  </conditionalFormatting>
  <conditionalFormatting sqref="AC19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9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9">
    <cfRule type="expression" priority="1754" dxfId="3">
      <formula>AND(IF(OR($Q19=1,$Q19=2),1,0),IF($X19&lt;=20,1,0))</formula>
    </cfRule>
    <cfRule type="expression" priority="1755" dxfId="2">
      <formula>AND(IF($Q19=2,1,0),IF($X19&lt;30,1,0))</formula>
    </cfRule>
    <cfRule type="expression" priority="1756" dxfId="1">
      <formula>AND(IF($Q19=3,1,0),IF($X19&lt;30,1,0))</formula>
    </cfRule>
    <cfRule type="expression" priority="1757" dxfId="0">
      <formula>AND(IF($Q19=3,1,IF($Q19=4,1,0)),IF($F19&lt;=85,1,0))</formula>
    </cfRule>
  </conditionalFormatting>
  <conditionalFormatting sqref="X19">
    <cfRule type="expression" priority="1750" dxfId="3">
      <formula>AND(IF(OR($Q19=1,$Q19=2),1,0),IF($X19&lt;=20,1,0))</formula>
    </cfRule>
    <cfRule type="expression" priority="1751" dxfId="2">
      <formula>AND(IF($Q19=2,1,0),IF($X19&lt;30,1,0))</formula>
    </cfRule>
    <cfRule type="expression" priority="1752" dxfId="1">
      <formula>AND(IF($Q19=3,1,0),IF($X19&lt;30,1,0))</formula>
    </cfRule>
    <cfRule type="expression" priority="1753" dxfId="0">
      <formula>AND(IF($Q19=3,1,IF($Q19=4,1,0)),IF($F19&lt;=85,1,0))</formula>
    </cfRule>
  </conditionalFormatting>
  <conditionalFormatting sqref="AI19">
    <cfRule type="expression" priority="1746" dxfId="3">
      <formula>AND(IF(OR($Q19=1,$Q19=2),1,0),IF($X19&lt;=20,1,0))</formula>
    </cfRule>
    <cfRule type="expression" priority="1747" dxfId="2">
      <formula>AND(IF($Q19=2,1,0),IF($X19&lt;30,1,0))</formula>
    </cfRule>
    <cfRule type="expression" priority="1748" dxfId="1">
      <formula>AND(IF($Q19=3,1,0),IF($X19&lt;30,1,0))</formula>
    </cfRule>
    <cfRule type="expression" priority="1749" dxfId="0">
      <formula>AND(IF($Q19=3,1,IF($Q19=4,1,0)),IF($F19&lt;=85,1,0))</formula>
    </cfRule>
  </conditionalFormatting>
  <conditionalFormatting sqref="AV20">
    <cfRule type="expression" priority="1744" dxfId="23">
      <formula>AV20="X"</formula>
    </cfRule>
    <cfRule type="expression" priority="1745" dxfId="22">
      <formula>AV20="후보"</formula>
    </cfRule>
  </conditionalFormatting>
  <conditionalFormatting sqref="AC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0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20">
    <cfRule type="expression" priority="1735" dxfId="3">
      <formula>AND(IF(OR($Q20=1,$Q20=2),1,0),IF($X20&lt;=20,1,0))</formula>
    </cfRule>
    <cfRule type="expression" priority="1736" dxfId="2">
      <formula>AND(IF($Q20=2,1,0),IF($X20&lt;30,1,0))</formula>
    </cfRule>
    <cfRule type="expression" priority="1737" dxfId="1">
      <formula>AND(IF($Q20=3,1,0),IF($X20&lt;30,1,0))</formula>
    </cfRule>
    <cfRule type="expression" priority="1738" dxfId="0">
      <formula>AND(IF($Q20=3,1,IF($Q20=4,1,0)),IF($F20&lt;=85,1,0))</formula>
    </cfRule>
  </conditionalFormatting>
  <conditionalFormatting sqref="X20">
    <cfRule type="expression" priority="1731" dxfId="3">
      <formula>AND(IF(OR($Q20=1,$Q20=2),1,0),IF($X20&lt;=20,1,0))</formula>
    </cfRule>
    <cfRule type="expression" priority="1732" dxfId="2">
      <formula>AND(IF($Q20=2,1,0),IF($X20&lt;30,1,0))</formula>
    </cfRule>
    <cfRule type="expression" priority="1733" dxfId="1">
      <formula>AND(IF($Q20=3,1,0),IF($X20&lt;30,1,0))</formula>
    </cfRule>
    <cfRule type="expression" priority="1734" dxfId="0">
      <formula>AND(IF($Q20=3,1,IF($Q20=4,1,0)),IF($F20&lt;=85,1,0))</formula>
    </cfRule>
  </conditionalFormatting>
  <conditionalFormatting sqref="AI20">
    <cfRule type="expression" priority="1727" dxfId="3">
      <formula>AND(IF(OR($Q20=1,$Q20=2),1,0),IF($X20&lt;=20,1,0))</formula>
    </cfRule>
    <cfRule type="expression" priority="1728" dxfId="2">
      <formula>AND(IF($Q20=2,1,0),IF($X20&lt;30,1,0))</formula>
    </cfRule>
    <cfRule type="expression" priority="1729" dxfId="1">
      <formula>AND(IF($Q20=3,1,0),IF($X20&lt;30,1,0))</formula>
    </cfRule>
    <cfRule type="expression" priority="1730" dxfId="0">
      <formula>AND(IF($Q20=3,1,IF($Q20=4,1,0)),IF($F20&lt;=85,1,0))</formula>
    </cfRule>
  </conditionalFormatting>
  <conditionalFormatting sqref="AV21">
    <cfRule type="expression" priority="1725" dxfId="23">
      <formula>AV21="X"</formula>
    </cfRule>
    <cfRule type="expression" priority="1726" dxfId="22">
      <formula>AV21="후보"</formula>
    </cfRule>
  </conditionalFormatting>
  <conditionalFormatting sqref="AC21 N21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AV22">
    <cfRule type="expression" priority="1720" dxfId="23">
      <formula>AV22="X"</formula>
    </cfRule>
    <cfRule type="expression" priority="1721" dxfId="22">
      <formula>AV22="후보"</formula>
    </cfRule>
  </conditionalFormatting>
  <conditionalFormatting sqref="AC22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22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22">
    <cfRule type="expression" priority="1711" dxfId="3">
      <formula>AND(IF(OR($Q22=1,$Q22=2),1,0),IF($X22&lt;=20,1,0))</formula>
    </cfRule>
    <cfRule type="expression" priority="1712" dxfId="2">
      <formula>AND(IF($Q22=2,1,0),IF($X22&lt;30,1,0))</formula>
    </cfRule>
    <cfRule type="expression" priority="1713" dxfId="1">
      <formula>AND(IF($Q22=3,1,0),IF($X22&lt;30,1,0))</formula>
    </cfRule>
    <cfRule type="expression" priority="1714" dxfId="0">
      <formula>AND(IF($Q22=3,1,IF($Q22=4,1,0)),IF($F22&lt;=85,1,0))</formula>
    </cfRule>
  </conditionalFormatting>
  <conditionalFormatting sqref="X22">
    <cfRule type="expression" priority="1707" dxfId="3">
      <formula>AND(IF(OR($Q22=1,$Q22=2),1,0),IF($X22&lt;=20,1,0))</formula>
    </cfRule>
    <cfRule type="expression" priority="1708" dxfId="2">
      <formula>AND(IF($Q22=2,1,0),IF($X22&lt;30,1,0))</formula>
    </cfRule>
    <cfRule type="expression" priority="1709" dxfId="1">
      <formula>AND(IF($Q22=3,1,0),IF($X22&lt;30,1,0))</formula>
    </cfRule>
    <cfRule type="expression" priority="1710" dxfId="0">
      <formula>AND(IF($Q22=3,1,IF($Q22=4,1,0)),IF($F22&lt;=85,1,0))</formula>
    </cfRule>
  </conditionalFormatting>
  <conditionalFormatting sqref="AI22">
    <cfRule type="expression" priority="1703" dxfId="3">
      <formula>AND(IF(OR($Q22=1,$Q22=2),1,0),IF($X22&lt;=20,1,0))</formula>
    </cfRule>
    <cfRule type="expression" priority="1704" dxfId="2">
      <formula>AND(IF($Q22=2,1,0),IF($X22&lt;30,1,0))</formula>
    </cfRule>
    <cfRule type="expression" priority="1705" dxfId="1">
      <formula>AND(IF($Q22=3,1,0),IF($X22&lt;30,1,0))</formula>
    </cfRule>
    <cfRule type="expression" priority="1706" dxfId="0">
      <formula>AND(IF($Q22=3,1,IF($Q22=4,1,0)),IF($F22&lt;=85,1,0))</formula>
    </cfRule>
  </conditionalFormatting>
  <conditionalFormatting sqref="AV23">
    <cfRule type="expression" priority="1701" dxfId="23">
      <formula>AV23="X"</formula>
    </cfRule>
    <cfRule type="expression" priority="1702" dxfId="22">
      <formula>AV23="후보"</formula>
    </cfRule>
  </conditionalFormatting>
  <conditionalFormatting sqref="AC23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23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23">
    <cfRule type="expression" priority="1692" dxfId="3">
      <formula>AND(IF(OR($Q23=1,$Q23=2),1,0),IF($X23&lt;=20,1,0))</formula>
    </cfRule>
    <cfRule type="expression" priority="1693" dxfId="2">
      <formula>AND(IF($Q23=2,1,0),IF($X23&lt;30,1,0))</formula>
    </cfRule>
    <cfRule type="expression" priority="1694" dxfId="1">
      <formula>AND(IF($Q23=3,1,0),IF($X23&lt;30,1,0))</formula>
    </cfRule>
    <cfRule type="expression" priority="1695" dxfId="0">
      <formula>AND(IF($Q23=3,1,IF($Q23=4,1,0)),IF($F23&lt;=85,1,0))</formula>
    </cfRule>
  </conditionalFormatting>
  <conditionalFormatting sqref="X23">
    <cfRule type="expression" priority="1688" dxfId="3">
      <formula>AND(IF(OR($Q23=1,$Q23=2),1,0),IF($X23&lt;=20,1,0))</formula>
    </cfRule>
    <cfRule type="expression" priority="1689" dxfId="2">
      <formula>AND(IF($Q23=2,1,0),IF($X23&lt;30,1,0))</formula>
    </cfRule>
    <cfRule type="expression" priority="1690" dxfId="1">
      <formula>AND(IF($Q23=3,1,0),IF($X23&lt;30,1,0))</formula>
    </cfRule>
    <cfRule type="expression" priority="1691" dxfId="0">
      <formula>AND(IF($Q23=3,1,IF($Q23=4,1,0)),IF($F23&lt;=85,1,0))</formula>
    </cfRule>
  </conditionalFormatting>
  <conditionalFormatting sqref="AI23">
    <cfRule type="expression" priority="1684" dxfId="3">
      <formula>AND(IF(OR($Q23=1,$Q23=2),1,0),IF($X23&lt;=20,1,0))</formula>
    </cfRule>
    <cfRule type="expression" priority="1685" dxfId="2">
      <formula>AND(IF($Q23=2,1,0),IF($X23&lt;30,1,0))</formula>
    </cfRule>
    <cfRule type="expression" priority="1686" dxfId="1">
      <formula>AND(IF($Q23=3,1,0),IF($X23&lt;30,1,0))</formula>
    </cfRule>
    <cfRule type="expression" priority="1687" dxfId="0">
      <formula>AND(IF($Q23=3,1,IF($Q23=4,1,0)),IF($F23&lt;=85,1,0))</formula>
    </cfRule>
  </conditionalFormatting>
  <conditionalFormatting sqref="AV24">
    <cfRule type="expression" priority="1682" dxfId="23">
      <formula>AV24="X"</formula>
    </cfRule>
    <cfRule type="expression" priority="1683" dxfId="22">
      <formula>AV24="후보"</formula>
    </cfRule>
  </conditionalFormatting>
  <conditionalFormatting sqref="AC24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N24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E24">
    <cfRule type="expression" priority="1673" dxfId="3">
      <formula>AND(IF(OR($Q24=1,$Q24=2),1,0),IF($X24&lt;=20,1,0))</formula>
    </cfRule>
    <cfRule type="expression" priority="1674" dxfId="2">
      <formula>AND(IF($Q24=2,1,0),IF($X24&lt;30,1,0))</formula>
    </cfRule>
    <cfRule type="expression" priority="1675" dxfId="1">
      <formula>AND(IF($Q24=3,1,0),IF($X24&lt;30,1,0))</formula>
    </cfRule>
    <cfRule type="expression" priority="1676" dxfId="0">
      <formula>AND(IF($Q24=3,1,IF($Q24=4,1,0)),IF($F24&lt;=85,1,0))</formula>
    </cfRule>
  </conditionalFormatting>
  <conditionalFormatting sqref="X24">
    <cfRule type="expression" priority="1669" dxfId="3">
      <formula>AND(IF(OR($Q24=1,$Q24=2),1,0),IF($X24&lt;=20,1,0))</formula>
    </cfRule>
    <cfRule type="expression" priority="1670" dxfId="2">
      <formula>AND(IF($Q24=2,1,0),IF($X24&lt;30,1,0))</formula>
    </cfRule>
    <cfRule type="expression" priority="1671" dxfId="1">
      <formula>AND(IF($Q24=3,1,0),IF($X24&lt;30,1,0))</formula>
    </cfRule>
    <cfRule type="expression" priority="1672" dxfId="0">
      <formula>AND(IF($Q24=3,1,IF($Q24=4,1,0)),IF($F24&lt;=85,1,0))</formula>
    </cfRule>
  </conditionalFormatting>
  <conditionalFormatting sqref="AI24">
    <cfRule type="expression" priority="1665" dxfId="3">
      <formula>AND(IF(OR($Q24=1,$Q24=2),1,0),IF($X24&lt;=20,1,0))</formula>
    </cfRule>
    <cfRule type="expression" priority="1666" dxfId="2">
      <formula>AND(IF($Q24=2,1,0),IF($X24&lt;30,1,0))</formula>
    </cfRule>
    <cfRule type="expression" priority="1667" dxfId="1">
      <formula>AND(IF($Q24=3,1,0),IF($X24&lt;30,1,0))</formula>
    </cfRule>
    <cfRule type="expression" priority="1668" dxfId="0">
      <formula>AND(IF($Q24=3,1,IF($Q24=4,1,0)),IF($F24&lt;=85,1,0))</formula>
    </cfRule>
  </conditionalFormatting>
  <conditionalFormatting sqref="AV25">
    <cfRule type="expression" priority="1663" dxfId="23">
      <formula>AV25="X"</formula>
    </cfRule>
    <cfRule type="expression" priority="1664" dxfId="22">
      <formula>AV25="후보"</formula>
    </cfRule>
  </conditionalFormatting>
  <conditionalFormatting sqref="AC25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25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25">
    <cfRule type="expression" priority="1654" dxfId="3">
      <formula>AND(IF(OR($Q25=1,$Q25=2),1,0),IF($X25&lt;=20,1,0))</formula>
    </cfRule>
    <cfRule type="expression" priority="1655" dxfId="2">
      <formula>AND(IF($Q25=2,1,0),IF($X25&lt;30,1,0))</formula>
    </cfRule>
    <cfRule type="expression" priority="1656" dxfId="1">
      <formula>AND(IF($Q25=3,1,0),IF($X25&lt;30,1,0))</formula>
    </cfRule>
    <cfRule type="expression" priority="1657" dxfId="0">
      <formula>AND(IF($Q25=3,1,IF($Q25=4,1,0)),IF($F25&lt;=85,1,0))</formula>
    </cfRule>
  </conditionalFormatting>
  <conditionalFormatting sqref="X25">
    <cfRule type="expression" priority="1650" dxfId="3">
      <formula>AND(IF(OR($Q25=1,$Q25=2),1,0),IF($X25&lt;=20,1,0))</formula>
    </cfRule>
    <cfRule type="expression" priority="1651" dxfId="2">
      <formula>AND(IF($Q25=2,1,0),IF($X25&lt;30,1,0))</formula>
    </cfRule>
    <cfRule type="expression" priority="1652" dxfId="1">
      <formula>AND(IF($Q25=3,1,0),IF($X25&lt;30,1,0))</formula>
    </cfRule>
    <cfRule type="expression" priority="1653" dxfId="0">
      <formula>AND(IF($Q25=3,1,IF($Q25=4,1,0)),IF($F25&lt;=85,1,0))</formula>
    </cfRule>
  </conditionalFormatting>
  <conditionalFormatting sqref="AI25">
    <cfRule type="expression" priority="1646" dxfId="3">
      <formula>AND(IF(OR($Q25=1,$Q25=2),1,0),IF($X25&lt;=20,1,0))</formula>
    </cfRule>
    <cfRule type="expression" priority="1647" dxfId="2">
      <formula>AND(IF($Q25=2,1,0),IF($X25&lt;30,1,0))</formula>
    </cfRule>
    <cfRule type="expression" priority="1648" dxfId="1">
      <formula>AND(IF($Q25=3,1,0),IF($X25&lt;30,1,0))</formula>
    </cfRule>
    <cfRule type="expression" priority="1649" dxfId="0">
      <formula>AND(IF($Q25=3,1,IF($Q25=4,1,0)),IF($F25&lt;=85,1,0))</formula>
    </cfRule>
  </conditionalFormatting>
  <conditionalFormatting sqref="AV26">
    <cfRule type="expression" priority="1644" dxfId="23">
      <formula>AV26="X"</formula>
    </cfRule>
    <cfRule type="expression" priority="1645" dxfId="22">
      <formula>AV26="후보"</formula>
    </cfRule>
  </conditionalFormatting>
  <conditionalFormatting sqref="AC26 N26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AV27">
    <cfRule type="expression" priority="1639" dxfId="23">
      <formula>AV27="X"</formula>
    </cfRule>
    <cfRule type="expression" priority="1640" dxfId="22">
      <formula>AV27="후보"</formula>
    </cfRule>
  </conditionalFormatting>
  <conditionalFormatting sqref="AC27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7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7">
    <cfRule type="expression" priority="1630" dxfId="3">
      <formula>AND(IF(OR($Q27=1,$Q27=2),1,0),IF($X27&lt;=20,1,0))</formula>
    </cfRule>
    <cfRule type="expression" priority="1631" dxfId="2">
      <formula>AND(IF($Q27=2,1,0),IF($X27&lt;30,1,0))</formula>
    </cfRule>
    <cfRule type="expression" priority="1632" dxfId="1">
      <formula>AND(IF($Q27=3,1,0),IF($X27&lt;30,1,0))</formula>
    </cfRule>
    <cfRule type="expression" priority="1633" dxfId="0">
      <formula>AND(IF($Q27=3,1,IF($Q27=4,1,0)),IF($F27&lt;=85,1,0))</formula>
    </cfRule>
  </conditionalFormatting>
  <conditionalFormatting sqref="X27">
    <cfRule type="expression" priority="1626" dxfId="3">
      <formula>AND(IF(OR($Q27=1,$Q27=2),1,0),IF($X27&lt;=20,1,0))</formula>
    </cfRule>
    <cfRule type="expression" priority="1627" dxfId="2">
      <formula>AND(IF($Q27=2,1,0),IF($X27&lt;30,1,0))</formula>
    </cfRule>
    <cfRule type="expression" priority="1628" dxfId="1">
      <formula>AND(IF($Q27=3,1,0),IF($X27&lt;30,1,0))</formula>
    </cfRule>
    <cfRule type="expression" priority="1629" dxfId="0">
      <formula>AND(IF($Q27=3,1,IF($Q27=4,1,0)),IF($F27&lt;=85,1,0))</formula>
    </cfRule>
  </conditionalFormatting>
  <conditionalFormatting sqref="AI27">
    <cfRule type="expression" priority="1622" dxfId="3">
      <formula>AND(IF(OR($Q27=1,$Q27=2),1,0),IF($X27&lt;=20,1,0))</formula>
    </cfRule>
    <cfRule type="expression" priority="1623" dxfId="2">
      <formula>AND(IF($Q27=2,1,0),IF($X27&lt;30,1,0))</formula>
    </cfRule>
    <cfRule type="expression" priority="1624" dxfId="1">
      <formula>AND(IF($Q27=3,1,0),IF($X27&lt;30,1,0))</formula>
    </cfRule>
    <cfRule type="expression" priority="1625" dxfId="0">
      <formula>AND(IF($Q27=3,1,IF($Q27=4,1,0)),IF($F27&lt;=85,1,0))</formula>
    </cfRule>
  </conditionalFormatting>
  <conditionalFormatting sqref="AV28">
    <cfRule type="expression" priority="1620" dxfId="23">
      <formula>AV28="X"</formula>
    </cfRule>
    <cfRule type="expression" priority="1621" dxfId="22">
      <formula>AV28="후보"</formula>
    </cfRule>
  </conditionalFormatting>
  <conditionalFormatting sqref="AC2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8">
    <cfRule type="expression" priority="1611" dxfId="3">
      <formula>AND(IF(OR($Q28=1,$Q28=2),1,0),IF($X28&lt;=20,1,0))</formula>
    </cfRule>
    <cfRule type="expression" priority="1612" dxfId="2">
      <formula>AND(IF($Q28=2,1,0),IF($X28&lt;30,1,0))</formula>
    </cfRule>
    <cfRule type="expression" priority="1613" dxfId="1">
      <formula>AND(IF($Q28=3,1,0),IF($X28&lt;30,1,0))</formula>
    </cfRule>
    <cfRule type="expression" priority="1614" dxfId="0">
      <formula>AND(IF($Q28=3,1,IF($Q28=4,1,0)),IF($F28&lt;=85,1,0))</formula>
    </cfRule>
  </conditionalFormatting>
  <conditionalFormatting sqref="X28">
    <cfRule type="expression" priority="1607" dxfId="3">
      <formula>AND(IF(OR($Q28=1,$Q28=2),1,0),IF($X28&lt;=20,1,0))</formula>
    </cfRule>
    <cfRule type="expression" priority="1608" dxfId="2">
      <formula>AND(IF($Q28=2,1,0),IF($X28&lt;30,1,0))</formula>
    </cfRule>
    <cfRule type="expression" priority="1609" dxfId="1">
      <formula>AND(IF($Q28=3,1,0),IF($X28&lt;30,1,0))</formula>
    </cfRule>
    <cfRule type="expression" priority="1610" dxfId="0">
      <formula>AND(IF($Q28=3,1,IF($Q28=4,1,0)),IF($F28&lt;=85,1,0))</formula>
    </cfRule>
  </conditionalFormatting>
  <conditionalFormatting sqref="AI28">
    <cfRule type="expression" priority="1603" dxfId="3">
      <formula>AND(IF(OR($Q28=1,$Q28=2),1,0),IF($X28&lt;=20,1,0))</formula>
    </cfRule>
    <cfRule type="expression" priority="1604" dxfId="2">
      <formula>AND(IF($Q28=2,1,0),IF($X28&lt;30,1,0))</formula>
    </cfRule>
    <cfRule type="expression" priority="1605" dxfId="1">
      <formula>AND(IF($Q28=3,1,0),IF($X28&lt;30,1,0))</formula>
    </cfRule>
    <cfRule type="expression" priority="1606" dxfId="0">
      <formula>AND(IF($Q28=3,1,IF($Q28=4,1,0)),IF($F28&lt;=85,1,0))</formula>
    </cfRule>
  </conditionalFormatting>
  <conditionalFormatting sqref="AV29">
    <cfRule type="expression" priority="1601" dxfId="23">
      <formula>AV29="X"</formula>
    </cfRule>
    <cfRule type="expression" priority="1602" dxfId="22">
      <formula>AV29="후보"</formula>
    </cfRule>
  </conditionalFormatting>
  <conditionalFormatting sqref="AC29 N29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30">
    <cfRule type="expression" priority="1596" dxfId="23">
      <formula>AV30="X"</formula>
    </cfRule>
    <cfRule type="expression" priority="1597" dxfId="22">
      <formula>AV30="후보"</formula>
    </cfRule>
  </conditionalFormatting>
  <conditionalFormatting sqref="AC30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30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30">
    <cfRule type="expression" priority="1587" dxfId="3">
      <formula>AND(IF(OR($Q30=1,$Q30=2),1,0),IF($X30&lt;=20,1,0))</formula>
    </cfRule>
    <cfRule type="expression" priority="1588" dxfId="2">
      <formula>AND(IF($Q30=2,1,0),IF($X30&lt;30,1,0))</formula>
    </cfRule>
    <cfRule type="expression" priority="1589" dxfId="1">
      <formula>AND(IF($Q30=3,1,0),IF($X30&lt;30,1,0))</formula>
    </cfRule>
    <cfRule type="expression" priority="1590" dxfId="0">
      <formula>AND(IF($Q30=3,1,IF($Q30=4,1,0)),IF($F30&lt;=85,1,0))</formula>
    </cfRule>
  </conditionalFormatting>
  <conditionalFormatting sqref="X30">
    <cfRule type="expression" priority="1583" dxfId="3">
      <formula>AND(IF(OR($Q30=1,$Q30=2),1,0),IF($X30&lt;=20,1,0))</formula>
    </cfRule>
    <cfRule type="expression" priority="1584" dxfId="2">
      <formula>AND(IF($Q30=2,1,0),IF($X30&lt;30,1,0))</formula>
    </cfRule>
    <cfRule type="expression" priority="1585" dxfId="1">
      <formula>AND(IF($Q30=3,1,0),IF($X30&lt;30,1,0))</formula>
    </cfRule>
    <cfRule type="expression" priority="1586" dxfId="0">
      <formula>AND(IF($Q30=3,1,IF($Q30=4,1,0)),IF($F30&lt;=85,1,0))</formula>
    </cfRule>
  </conditionalFormatting>
  <conditionalFormatting sqref="AI30">
    <cfRule type="expression" priority="1579" dxfId="3">
      <formula>AND(IF(OR($Q30=1,$Q30=2),1,0),IF($X30&lt;=20,1,0))</formula>
    </cfRule>
    <cfRule type="expression" priority="1580" dxfId="2">
      <formula>AND(IF($Q30=2,1,0),IF($X30&lt;30,1,0))</formula>
    </cfRule>
    <cfRule type="expression" priority="1581" dxfId="1">
      <formula>AND(IF($Q30=3,1,0),IF($X30&lt;30,1,0))</formula>
    </cfRule>
    <cfRule type="expression" priority="1582" dxfId="0">
      <formula>AND(IF($Q30=3,1,IF($Q30=4,1,0)),IF($F30&lt;=85,1,0))</formula>
    </cfRule>
  </conditionalFormatting>
  <conditionalFormatting sqref="AV31">
    <cfRule type="expression" priority="1577" dxfId="23">
      <formula>AV31="X"</formula>
    </cfRule>
    <cfRule type="expression" priority="1578" dxfId="22">
      <formula>AV31="후보"</formula>
    </cfRule>
  </conditionalFormatting>
  <conditionalFormatting sqref="AC31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31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31">
    <cfRule type="expression" priority="1568" dxfId="3">
      <formula>AND(IF(OR($Q31=1,$Q31=2),1,0),IF($X31&lt;=20,1,0))</formula>
    </cfRule>
    <cfRule type="expression" priority="1569" dxfId="2">
      <formula>AND(IF($Q31=2,1,0),IF($X31&lt;30,1,0))</formula>
    </cfRule>
    <cfRule type="expression" priority="1570" dxfId="1">
      <formula>AND(IF($Q31=3,1,0),IF($X31&lt;30,1,0))</formula>
    </cfRule>
    <cfRule type="expression" priority="1571" dxfId="0">
      <formula>AND(IF($Q31=3,1,IF($Q31=4,1,0)),IF($F31&lt;=85,1,0))</formula>
    </cfRule>
  </conditionalFormatting>
  <conditionalFormatting sqref="X31">
    <cfRule type="expression" priority="1564" dxfId="3">
      <formula>AND(IF(OR($Q31=1,$Q31=2),1,0),IF($X31&lt;=20,1,0))</formula>
    </cfRule>
    <cfRule type="expression" priority="1565" dxfId="2">
      <formula>AND(IF($Q31=2,1,0),IF($X31&lt;30,1,0))</formula>
    </cfRule>
    <cfRule type="expression" priority="1566" dxfId="1">
      <formula>AND(IF($Q31=3,1,0),IF($X31&lt;30,1,0))</formula>
    </cfRule>
    <cfRule type="expression" priority="1567" dxfId="0">
      <formula>AND(IF($Q31=3,1,IF($Q31=4,1,0)),IF($F31&lt;=85,1,0))</formula>
    </cfRule>
  </conditionalFormatting>
  <conditionalFormatting sqref="AI31">
    <cfRule type="expression" priority="1560" dxfId="3">
      <formula>AND(IF(OR($Q31=1,$Q31=2),1,0),IF($X31&lt;=20,1,0))</formula>
    </cfRule>
    <cfRule type="expression" priority="1561" dxfId="2">
      <formula>AND(IF($Q31=2,1,0),IF($X31&lt;30,1,0))</formula>
    </cfRule>
    <cfRule type="expression" priority="1562" dxfId="1">
      <formula>AND(IF($Q31=3,1,0),IF($X31&lt;30,1,0))</formula>
    </cfRule>
    <cfRule type="expression" priority="1563" dxfId="0">
      <formula>AND(IF($Q31=3,1,IF($Q31=4,1,0)),IF($F31&lt;=85,1,0))</formula>
    </cfRule>
  </conditionalFormatting>
  <conditionalFormatting sqref="AV32">
    <cfRule type="expression" priority="1558" dxfId="23">
      <formula>AV32="X"</formula>
    </cfRule>
    <cfRule type="expression" priority="1559" dxfId="22">
      <formula>AV32="후보"</formula>
    </cfRule>
  </conditionalFormatting>
  <conditionalFormatting sqref="AC32 N32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AV33">
    <cfRule type="expression" priority="1553" dxfId="23">
      <formula>AV33="X"</formula>
    </cfRule>
    <cfRule type="expression" priority="1554" dxfId="22">
      <formula>AV33="후보"</formula>
    </cfRule>
  </conditionalFormatting>
  <conditionalFormatting sqref="AC33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33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X33">
    <cfRule type="expression" priority="1540" dxfId="3">
      <formula>AND(IF(OR($Q33=1,$Q33=2),1,0),IF($X33&lt;=20,1,0))</formula>
    </cfRule>
    <cfRule type="expression" priority="1541" dxfId="2">
      <formula>AND(IF($Q33=2,1,0),IF($X33&lt;30,1,0))</formula>
    </cfRule>
    <cfRule type="expression" priority="1542" dxfId="1">
      <formula>AND(IF($Q33=3,1,0),IF($X33&lt;30,1,0))</formula>
    </cfRule>
    <cfRule type="expression" priority="1543" dxfId="0">
      <formula>AND(IF($Q33=3,1,IF($Q33=4,1,0)),IF($F33&lt;=85,1,0))</formula>
    </cfRule>
  </conditionalFormatting>
  <conditionalFormatting sqref="AI33">
    <cfRule type="expression" priority="1536" dxfId="3">
      <formula>AND(IF(OR($Q33=1,$Q33=2),1,0),IF($X33&lt;=20,1,0))</formula>
    </cfRule>
    <cfRule type="expression" priority="1537" dxfId="2">
      <formula>AND(IF($Q33=2,1,0),IF($X33&lt;30,1,0))</formula>
    </cfRule>
    <cfRule type="expression" priority="1538" dxfId="1">
      <formula>AND(IF($Q33=3,1,0),IF($X33&lt;30,1,0))</formula>
    </cfRule>
    <cfRule type="expression" priority="1539" dxfId="0">
      <formula>AND(IF($Q33=3,1,IF($Q33=4,1,0)),IF($F33&lt;=85,1,0))</formula>
    </cfRule>
  </conditionalFormatting>
  <conditionalFormatting sqref="AV34">
    <cfRule type="expression" priority="1534" dxfId="23">
      <formula>AV34="X"</formula>
    </cfRule>
    <cfRule type="expression" priority="1535" dxfId="22">
      <formula>AV34="후보"</formula>
    </cfRule>
  </conditionalFormatting>
  <conditionalFormatting sqref="AC34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34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X34">
    <cfRule type="expression" priority="1521" dxfId="3">
      <formula>AND(IF(OR($Q34=1,$Q34=2),1,0),IF($X34&lt;=20,1,0))</formula>
    </cfRule>
    <cfRule type="expression" priority="1522" dxfId="2">
      <formula>AND(IF($Q34=2,1,0),IF($X34&lt;30,1,0))</formula>
    </cfRule>
    <cfRule type="expression" priority="1523" dxfId="1">
      <formula>AND(IF($Q34=3,1,0),IF($X34&lt;30,1,0))</formula>
    </cfRule>
    <cfRule type="expression" priority="1524" dxfId="0">
      <formula>AND(IF($Q34=3,1,IF($Q34=4,1,0)),IF($F34&lt;=85,1,0))</formula>
    </cfRule>
  </conditionalFormatting>
  <conditionalFormatting sqref="AI34">
    <cfRule type="expression" priority="1517" dxfId="3">
      <formula>AND(IF(OR($Q34=1,$Q34=2),1,0),IF($X34&lt;=20,1,0))</formula>
    </cfRule>
    <cfRule type="expression" priority="1518" dxfId="2">
      <formula>AND(IF($Q34=2,1,0),IF($X34&lt;30,1,0))</formula>
    </cfRule>
    <cfRule type="expression" priority="1519" dxfId="1">
      <formula>AND(IF($Q34=3,1,0),IF($X34&lt;30,1,0))</formula>
    </cfRule>
    <cfRule type="expression" priority="1520" dxfId="0">
      <formula>AND(IF($Q34=3,1,IF($Q34=4,1,0)),IF($F34&lt;=85,1,0))</formula>
    </cfRule>
  </conditionalFormatting>
  <conditionalFormatting sqref="AV35">
    <cfRule type="expression" priority="1515" dxfId="23">
      <formula>AV35="X"</formula>
    </cfRule>
    <cfRule type="expression" priority="1516" dxfId="22">
      <formula>AV35="후보"</formula>
    </cfRule>
  </conditionalFormatting>
  <conditionalFormatting sqref="AC35 N35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36">
    <cfRule type="expression" priority="1510" dxfId="23">
      <formula>AV36="X"</formula>
    </cfRule>
    <cfRule type="expression" priority="1511" dxfId="22">
      <formula>AV36="후보"</formula>
    </cfRule>
  </conditionalFormatting>
  <conditionalFormatting sqref="AC3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36">
    <cfRule type="expression" priority="1501" dxfId="3">
      <formula>AND(IF(OR($Q36=1,$Q36=2),1,0),IF($X36&lt;=20,1,0))</formula>
    </cfRule>
    <cfRule type="expression" priority="1502" dxfId="2">
      <formula>AND(IF($Q36=2,1,0),IF($X36&lt;30,1,0))</formula>
    </cfRule>
    <cfRule type="expression" priority="1503" dxfId="1">
      <formula>AND(IF($Q36=3,1,0),IF($X36&lt;30,1,0))</formula>
    </cfRule>
    <cfRule type="expression" priority="1504" dxfId="0">
      <formula>AND(IF($Q36=3,1,IF($Q36=4,1,0)),IF($F36&lt;=85,1,0))</formula>
    </cfRule>
  </conditionalFormatting>
  <conditionalFormatting sqref="X36">
    <cfRule type="expression" priority="1497" dxfId="3">
      <formula>AND(IF(OR($Q36=1,$Q36=2),1,0),IF($X36&lt;=20,1,0))</formula>
    </cfRule>
    <cfRule type="expression" priority="1498" dxfId="2">
      <formula>AND(IF($Q36=2,1,0),IF($X36&lt;30,1,0))</formula>
    </cfRule>
    <cfRule type="expression" priority="1499" dxfId="1">
      <formula>AND(IF($Q36=3,1,0),IF($X36&lt;30,1,0))</formula>
    </cfRule>
    <cfRule type="expression" priority="1500" dxfId="0">
      <formula>AND(IF($Q36=3,1,IF($Q36=4,1,0)),IF($F36&lt;=85,1,0))</formula>
    </cfRule>
  </conditionalFormatting>
  <conditionalFormatting sqref="AI36">
    <cfRule type="expression" priority="1493" dxfId="3">
      <formula>AND(IF(OR($Q36=1,$Q36=2),1,0),IF($X36&lt;=20,1,0))</formula>
    </cfRule>
    <cfRule type="expression" priority="1494" dxfId="2">
      <formula>AND(IF($Q36=2,1,0),IF($X36&lt;30,1,0))</formula>
    </cfRule>
    <cfRule type="expression" priority="1495" dxfId="1">
      <formula>AND(IF($Q36=3,1,0),IF($X36&lt;30,1,0))</formula>
    </cfRule>
    <cfRule type="expression" priority="1496" dxfId="0">
      <formula>AND(IF($Q36=3,1,IF($Q36=4,1,0)),IF($F36&lt;=85,1,0))</formula>
    </cfRule>
  </conditionalFormatting>
  <conditionalFormatting sqref="AV37">
    <cfRule type="expression" priority="1491" dxfId="23">
      <formula>AV37="X"</formula>
    </cfRule>
    <cfRule type="expression" priority="1492" dxfId="22">
      <formula>AV37="후보"</formula>
    </cfRule>
  </conditionalFormatting>
  <conditionalFormatting sqref="AC37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X37">
    <cfRule type="expression" priority="1478" dxfId="3">
      <formula>AND(IF(OR($Q37=1,$Q37=2),1,0),IF($X37&lt;=20,1,0))</formula>
    </cfRule>
    <cfRule type="expression" priority="1479" dxfId="2">
      <formula>AND(IF($Q37=2,1,0),IF($X37&lt;30,1,0))</formula>
    </cfRule>
    <cfRule type="expression" priority="1480" dxfId="1">
      <formula>AND(IF($Q37=3,1,0),IF($X37&lt;30,1,0))</formula>
    </cfRule>
    <cfRule type="expression" priority="1481" dxfId="0">
      <formula>AND(IF($Q37=3,1,IF($Q37=4,1,0)),IF($F37&lt;=85,1,0))</formula>
    </cfRule>
  </conditionalFormatting>
  <conditionalFormatting sqref="AI37">
    <cfRule type="expression" priority="1474" dxfId="3">
      <formula>AND(IF(OR($Q37=1,$Q37=2),1,0),IF($X37&lt;=20,1,0))</formula>
    </cfRule>
    <cfRule type="expression" priority="1475" dxfId="2">
      <formula>AND(IF($Q37=2,1,0),IF($X37&lt;30,1,0))</formula>
    </cfRule>
    <cfRule type="expression" priority="1476" dxfId="1">
      <formula>AND(IF($Q37=3,1,0),IF($X37&lt;30,1,0))</formula>
    </cfRule>
    <cfRule type="expression" priority="1477" dxfId="0">
      <formula>AND(IF($Q37=3,1,IF($Q37=4,1,0)),IF($F37&lt;=85,1,0))</formula>
    </cfRule>
  </conditionalFormatting>
  <conditionalFormatting sqref="AV38">
    <cfRule type="expression" priority="1472" dxfId="23">
      <formula>AV38="X"</formula>
    </cfRule>
    <cfRule type="expression" priority="1473" dxfId="22">
      <formula>AV38="후보"</formula>
    </cfRule>
  </conditionalFormatting>
  <conditionalFormatting sqref="AC38 N38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39">
    <cfRule type="expression" priority="1467" dxfId="23">
      <formula>AV39="X"</formula>
    </cfRule>
    <cfRule type="expression" priority="1468" dxfId="22">
      <formula>AV39="후보"</formula>
    </cfRule>
  </conditionalFormatting>
  <conditionalFormatting sqref="AC39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39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39">
    <cfRule type="expression" priority="1458" dxfId="3">
      <formula>AND(IF(OR($Q39=1,$Q39=2),1,0),IF($X39&lt;=20,1,0))</formula>
    </cfRule>
    <cfRule type="expression" priority="1459" dxfId="2">
      <formula>AND(IF($Q39=2,1,0),IF($X39&lt;30,1,0))</formula>
    </cfRule>
    <cfRule type="expression" priority="1460" dxfId="1">
      <formula>AND(IF($Q39=3,1,0),IF($X39&lt;30,1,0))</formula>
    </cfRule>
    <cfRule type="expression" priority="1461" dxfId="0">
      <formula>AND(IF($Q39=3,1,IF($Q39=4,1,0)),IF($F39&lt;=85,1,0))</formula>
    </cfRule>
  </conditionalFormatting>
  <conditionalFormatting sqref="X39">
    <cfRule type="expression" priority="1454" dxfId="3">
      <formula>AND(IF(OR($Q39=1,$Q39=2),1,0),IF($X39&lt;=20,1,0))</formula>
    </cfRule>
    <cfRule type="expression" priority="1455" dxfId="2">
      <formula>AND(IF($Q39=2,1,0),IF($X39&lt;30,1,0))</formula>
    </cfRule>
    <cfRule type="expression" priority="1456" dxfId="1">
      <formula>AND(IF($Q39=3,1,0),IF($X39&lt;30,1,0))</formula>
    </cfRule>
    <cfRule type="expression" priority="1457" dxfId="0">
      <formula>AND(IF($Q39=3,1,IF($Q39=4,1,0)),IF($F39&lt;=85,1,0))</formula>
    </cfRule>
  </conditionalFormatting>
  <conditionalFormatting sqref="AI39">
    <cfRule type="expression" priority="1450" dxfId="3">
      <formula>AND(IF(OR($Q39=1,$Q39=2),1,0),IF($X39&lt;=20,1,0))</formula>
    </cfRule>
    <cfRule type="expression" priority="1451" dxfId="2">
      <formula>AND(IF($Q39=2,1,0),IF($X39&lt;30,1,0))</formula>
    </cfRule>
    <cfRule type="expression" priority="1452" dxfId="1">
      <formula>AND(IF($Q39=3,1,0),IF($X39&lt;30,1,0))</formula>
    </cfRule>
    <cfRule type="expression" priority="1453" dxfId="0">
      <formula>AND(IF($Q39=3,1,IF($Q39=4,1,0)),IF($F39&lt;=85,1,0))</formula>
    </cfRule>
  </conditionalFormatting>
  <conditionalFormatting sqref="AV40">
    <cfRule type="expression" priority="1448" dxfId="23">
      <formula>AV40="X"</formula>
    </cfRule>
    <cfRule type="expression" priority="1449" dxfId="22">
      <formula>AV40="후보"</formula>
    </cfRule>
  </conditionalFormatting>
  <conditionalFormatting sqref="AC40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4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40">
    <cfRule type="expression" priority="1439" dxfId="3">
      <formula>AND(IF(OR($Q40=1,$Q40=2),1,0),IF($X40&lt;=20,1,0))</formula>
    </cfRule>
    <cfRule type="expression" priority="1440" dxfId="2">
      <formula>AND(IF($Q40=2,1,0),IF($X40&lt;30,1,0))</formula>
    </cfRule>
    <cfRule type="expression" priority="1441" dxfId="1">
      <formula>AND(IF($Q40=3,1,0),IF($X40&lt;30,1,0))</formula>
    </cfRule>
    <cfRule type="expression" priority="1442" dxfId="0">
      <formula>AND(IF($Q40=3,1,IF($Q40=4,1,0)),IF($F40&lt;=85,1,0))</formula>
    </cfRule>
  </conditionalFormatting>
  <conditionalFormatting sqref="X40">
    <cfRule type="expression" priority="1435" dxfId="3">
      <formula>AND(IF(OR($Q40=1,$Q40=2),1,0),IF($X40&lt;=20,1,0))</formula>
    </cfRule>
    <cfRule type="expression" priority="1436" dxfId="2">
      <formula>AND(IF($Q40=2,1,0),IF($X40&lt;30,1,0))</formula>
    </cfRule>
    <cfRule type="expression" priority="1437" dxfId="1">
      <formula>AND(IF($Q40=3,1,0),IF($X40&lt;30,1,0))</formula>
    </cfRule>
    <cfRule type="expression" priority="1438" dxfId="0">
      <formula>AND(IF($Q40=3,1,IF($Q40=4,1,0)),IF($F40&lt;=85,1,0))</formula>
    </cfRule>
  </conditionalFormatting>
  <conditionalFormatting sqref="AI40">
    <cfRule type="expression" priority="1431" dxfId="3">
      <formula>AND(IF(OR($Q40=1,$Q40=2),1,0),IF($X40&lt;=20,1,0))</formula>
    </cfRule>
    <cfRule type="expression" priority="1432" dxfId="2">
      <formula>AND(IF($Q40=2,1,0),IF($X40&lt;30,1,0))</formula>
    </cfRule>
    <cfRule type="expression" priority="1433" dxfId="1">
      <formula>AND(IF($Q40=3,1,0),IF($X40&lt;30,1,0))</formula>
    </cfRule>
    <cfRule type="expression" priority="1434" dxfId="0">
      <formula>AND(IF($Q40=3,1,IF($Q40=4,1,0)),IF($F40&lt;=85,1,0))</formula>
    </cfRule>
  </conditionalFormatting>
  <conditionalFormatting sqref="AV41">
    <cfRule type="expression" priority="1429" dxfId="23">
      <formula>AV41="X"</formula>
    </cfRule>
    <cfRule type="expression" priority="1430" dxfId="22">
      <formula>AV41="후보"</formula>
    </cfRule>
  </conditionalFormatting>
  <conditionalFormatting sqref="AC41 N41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42">
    <cfRule type="expression" priority="1424" dxfId="23">
      <formula>AV42="X"</formula>
    </cfRule>
    <cfRule type="expression" priority="1425" dxfId="22">
      <formula>AV42="후보"</formula>
    </cfRule>
  </conditionalFormatting>
  <conditionalFormatting sqref="AC42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2">
    <cfRule type="expression" priority="1415" dxfId="3">
      <formula>AND(IF(OR($Q42=1,$Q42=2),1,0),IF($X42&lt;=20,1,0))</formula>
    </cfRule>
    <cfRule type="expression" priority="1416" dxfId="2">
      <formula>AND(IF($Q42=2,1,0),IF($X42&lt;30,1,0))</formula>
    </cfRule>
    <cfRule type="expression" priority="1417" dxfId="1">
      <formula>AND(IF($Q42=3,1,0),IF($X42&lt;30,1,0))</formula>
    </cfRule>
    <cfRule type="expression" priority="1418" dxfId="0">
      <formula>AND(IF($Q42=3,1,IF($Q42=4,1,0)),IF($F42&lt;=85,1,0))</formula>
    </cfRule>
  </conditionalFormatting>
  <conditionalFormatting sqref="X42">
    <cfRule type="expression" priority="1411" dxfId="3">
      <formula>AND(IF(OR($Q42=1,$Q42=2),1,0),IF($X42&lt;=20,1,0))</formula>
    </cfRule>
    <cfRule type="expression" priority="1412" dxfId="2">
      <formula>AND(IF($Q42=2,1,0),IF($X42&lt;30,1,0))</formula>
    </cfRule>
    <cfRule type="expression" priority="1413" dxfId="1">
      <formula>AND(IF($Q42=3,1,0),IF($X42&lt;30,1,0))</formula>
    </cfRule>
    <cfRule type="expression" priority="1414" dxfId="0">
      <formula>AND(IF($Q42=3,1,IF($Q42=4,1,0)),IF($F42&lt;=85,1,0))</formula>
    </cfRule>
  </conditionalFormatting>
  <conditionalFormatting sqref="AI42">
    <cfRule type="expression" priority="1407" dxfId="3">
      <formula>AND(IF(OR($Q42=1,$Q42=2),1,0),IF($X42&lt;=20,1,0))</formula>
    </cfRule>
    <cfRule type="expression" priority="1408" dxfId="2">
      <formula>AND(IF($Q42=2,1,0),IF($X42&lt;30,1,0))</formula>
    </cfRule>
    <cfRule type="expression" priority="1409" dxfId="1">
      <formula>AND(IF($Q42=3,1,0),IF($X42&lt;30,1,0))</formula>
    </cfRule>
    <cfRule type="expression" priority="1410" dxfId="0">
      <formula>AND(IF($Q42=3,1,IF($Q42=4,1,0)),IF($F42&lt;=85,1,0))</formula>
    </cfRule>
  </conditionalFormatting>
  <conditionalFormatting sqref="AV43">
    <cfRule type="expression" priority="1405" dxfId="23">
      <formula>AV43="X"</formula>
    </cfRule>
    <cfRule type="expression" priority="1406" dxfId="22">
      <formula>AV43="후보"</formula>
    </cfRule>
  </conditionalFormatting>
  <conditionalFormatting sqref="AC43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3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3">
    <cfRule type="expression" priority="1396" dxfId="3">
      <formula>AND(IF(OR($Q43=1,$Q43=2),1,0),IF($X43&lt;=20,1,0))</formula>
    </cfRule>
    <cfRule type="expression" priority="1397" dxfId="2">
      <formula>AND(IF($Q43=2,1,0),IF($X43&lt;30,1,0))</formula>
    </cfRule>
    <cfRule type="expression" priority="1398" dxfId="1">
      <formula>AND(IF($Q43=3,1,0),IF($X43&lt;30,1,0))</formula>
    </cfRule>
    <cfRule type="expression" priority="1399" dxfId="0">
      <formula>AND(IF($Q43=3,1,IF($Q43=4,1,0)),IF($F43&lt;=85,1,0))</formula>
    </cfRule>
  </conditionalFormatting>
  <conditionalFormatting sqref="X43">
    <cfRule type="expression" priority="1392" dxfId="3">
      <formula>AND(IF(OR($Q43=1,$Q43=2),1,0),IF($X43&lt;=20,1,0))</formula>
    </cfRule>
    <cfRule type="expression" priority="1393" dxfId="2">
      <formula>AND(IF($Q43=2,1,0),IF($X43&lt;30,1,0))</formula>
    </cfRule>
    <cfRule type="expression" priority="1394" dxfId="1">
      <formula>AND(IF($Q43=3,1,0),IF($X43&lt;30,1,0))</formula>
    </cfRule>
    <cfRule type="expression" priority="1395" dxfId="0">
      <formula>AND(IF($Q43=3,1,IF($Q43=4,1,0)),IF($F43&lt;=85,1,0))</formula>
    </cfRule>
  </conditionalFormatting>
  <conditionalFormatting sqref="AI43">
    <cfRule type="expression" priority="1388" dxfId="3">
      <formula>AND(IF(OR($Q43=1,$Q43=2),1,0),IF($X43&lt;=20,1,0))</formula>
    </cfRule>
    <cfRule type="expression" priority="1389" dxfId="2">
      <formula>AND(IF($Q43=2,1,0),IF($X43&lt;30,1,0))</formula>
    </cfRule>
    <cfRule type="expression" priority="1390" dxfId="1">
      <formula>AND(IF($Q43=3,1,0),IF($X43&lt;30,1,0))</formula>
    </cfRule>
    <cfRule type="expression" priority="1391" dxfId="0">
      <formula>AND(IF($Q43=3,1,IF($Q43=4,1,0)),IF($F43&lt;=85,1,0))</formula>
    </cfRule>
  </conditionalFormatting>
  <conditionalFormatting sqref="AV44">
    <cfRule type="expression" priority="1386" dxfId="23">
      <formula>AV44="X"</formula>
    </cfRule>
    <cfRule type="expression" priority="1387" dxfId="22">
      <formula>AV44="후보"</formula>
    </cfRule>
  </conditionalFormatting>
  <conditionalFormatting sqref="AC4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4">
    <cfRule type="expression" priority="1377" dxfId="3">
      <formula>AND(IF(OR($Q44=1,$Q44=2),1,0),IF($X44&lt;=20,1,0))</formula>
    </cfRule>
    <cfRule type="expression" priority="1378" dxfId="2">
      <formula>AND(IF($Q44=2,1,0),IF($X44&lt;30,1,0))</formula>
    </cfRule>
    <cfRule type="expression" priority="1379" dxfId="1">
      <formula>AND(IF($Q44=3,1,0),IF($X44&lt;30,1,0))</formula>
    </cfRule>
    <cfRule type="expression" priority="1380" dxfId="0">
      <formula>AND(IF($Q44=3,1,IF($Q44=4,1,0)),IF($F44&lt;=85,1,0))</formula>
    </cfRule>
  </conditionalFormatting>
  <conditionalFormatting sqref="X44">
    <cfRule type="expression" priority="1373" dxfId="3">
      <formula>AND(IF(OR($Q44=1,$Q44=2),1,0),IF($X44&lt;=20,1,0))</formula>
    </cfRule>
    <cfRule type="expression" priority="1374" dxfId="2">
      <formula>AND(IF($Q44=2,1,0),IF($X44&lt;30,1,0))</formula>
    </cfRule>
    <cfRule type="expression" priority="1375" dxfId="1">
      <formula>AND(IF($Q44=3,1,0),IF($X44&lt;30,1,0))</formula>
    </cfRule>
    <cfRule type="expression" priority="1376" dxfId="0">
      <formula>AND(IF($Q44=3,1,IF($Q44=4,1,0)),IF($F44&lt;=85,1,0))</formula>
    </cfRule>
  </conditionalFormatting>
  <conditionalFormatting sqref="AI44">
    <cfRule type="expression" priority="1369" dxfId="3">
      <formula>AND(IF(OR($Q44=1,$Q44=2),1,0),IF($X44&lt;=20,1,0))</formula>
    </cfRule>
    <cfRule type="expression" priority="1370" dxfId="2">
      <formula>AND(IF($Q44=2,1,0),IF($X44&lt;30,1,0))</formula>
    </cfRule>
    <cfRule type="expression" priority="1371" dxfId="1">
      <formula>AND(IF($Q44=3,1,0),IF($X44&lt;30,1,0))</formula>
    </cfRule>
    <cfRule type="expression" priority="1372" dxfId="0">
      <formula>AND(IF($Q44=3,1,IF($Q44=4,1,0)),IF($F44&lt;=85,1,0))</formula>
    </cfRule>
  </conditionalFormatting>
  <conditionalFormatting sqref="AV45">
    <cfRule type="expression" priority="1367" dxfId="23">
      <formula>AV45="X"</formula>
    </cfRule>
    <cfRule type="expression" priority="1368" dxfId="22">
      <formula>AV45="후보"</formula>
    </cfRule>
  </conditionalFormatting>
  <conditionalFormatting sqref="AC45 N45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AV46">
    <cfRule type="expression" priority="1362" dxfId="23">
      <formula>AV46="X"</formula>
    </cfRule>
    <cfRule type="expression" priority="1363" dxfId="22">
      <formula>AV46="후보"</formula>
    </cfRule>
  </conditionalFormatting>
  <conditionalFormatting sqref="AC46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6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6">
    <cfRule type="expression" priority="1353" dxfId="3">
      <formula>AND(IF(OR($Q46=1,$Q46=2),1,0),IF($X46&lt;=20,1,0))</formula>
    </cfRule>
    <cfRule type="expression" priority="1354" dxfId="2">
      <formula>AND(IF($Q46=2,1,0),IF($X46&lt;30,1,0))</formula>
    </cfRule>
    <cfRule type="expression" priority="1355" dxfId="1">
      <formula>AND(IF($Q46=3,1,0),IF($X46&lt;30,1,0))</formula>
    </cfRule>
    <cfRule type="expression" priority="1356" dxfId="0">
      <formula>AND(IF($Q46=3,1,IF($Q46=4,1,0)),IF($F46&lt;=85,1,0))</formula>
    </cfRule>
  </conditionalFormatting>
  <conditionalFormatting sqref="X46">
    <cfRule type="expression" priority="1349" dxfId="3">
      <formula>AND(IF(OR($Q46=1,$Q46=2),1,0),IF($X46&lt;=20,1,0))</formula>
    </cfRule>
    <cfRule type="expression" priority="1350" dxfId="2">
      <formula>AND(IF($Q46=2,1,0),IF($X46&lt;30,1,0))</formula>
    </cfRule>
    <cfRule type="expression" priority="1351" dxfId="1">
      <formula>AND(IF($Q46=3,1,0),IF($X46&lt;30,1,0))</formula>
    </cfRule>
    <cfRule type="expression" priority="1352" dxfId="0">
      <formula>AND(IF($Q46=3,1,IF($Q46=4,1,0)),IF($F46&lt;=85,1,0))</formula>
    </cfRule>
  </conditionalFormatting>
  <conditionalFormatting sqref="AI46">
    <cfRule type="expression" priority="1345" dxfId="3">
      <formula>AND(IF(OR($Q46=1,$Q46=2),1,0),IF($X46&lt;=20,1,0))</formula>
    </cfRule>
    <cfRule type="expression" priority="1346" dxfId="2">
      <formula>AND(IF($Q46=2,1,0),IF($X46&lt;30,1,0))</formula>
    </cfRule>
    <cfRule type="expression" priority="1347" dxfId="1">
      <formula>AND(IF($Q46=3,1,0),IF($X46&lt;30,1,0))</formula>
    </cfRule>
    <cfRule type="expression" priority="1348" dxfId="0">
      <formula>AND(IF($Q46=3,1,IF($Q46=4,1,0)),IF($F46&lt;=85,1,0))</formula>
    </cfRule>
  </conditionalFormatting>
  <conditionalFormatting sqref="AV47">
    <cfRule type="expression" priority="1343" dxfId="23">
      <formula>AV47="X"</formula>
    </cfRule>
    <cfRule type="expression" priority="1344" dxfId="22">
      <formula>AV47="후보"</formula>
    </cfRule>
  </conditionalFormatting>
  <conditionalFormatting sqref="AC47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7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7">
    <cfRule type="expression" priority="1334" dxfId="3">
      <formula>AND(IF(OR($Q47=1,$Q47=2),1,0),IF($X47&lt;=20,1,0))</formula>
    </cfRule>
    <cfRule type="expression" priority="1335" dxfId="2">
      <formula>AND(IF($Q47=2,1,0),IF($X47&lt;30,1,0))</formula>
    </cfRule>
    <cfRule type="expression" priority="1336" dxfId="1">
      <formula>AND(IF($Q47=3,1,0),IF($X47&lt;30,1,0))</formula>
    </cfRule>
    <cfRule type="expression" priority="1337" dxfId="0">
      <formula>AND(IF($Q47=3,1,IF($Q47=4,1,0)),IF($F47&lt;=85,1,0))</formula>
    </cfRule>
  </conditionalFormatting>
  <conditionalFormatting sqref="X47">
    <cfRule type="expression" priority="1330" dxfId="3">
      <formula>AND(IF(OR($Q47=1,$Q47=2),1,0),IF($X47&lt;=20,1,0))</formula>
    </cfRule>
    <cfRule type="expression" priority="1331" dxfId="2">
      <formula>AND(IF($Q47=2,1,0),IF($X47&lt;30,1,0))</formula>
    </cfRule>
    <cfRule type="expression" priority="1332" dxfId="1">
      <formula>AND(IF($Q47=3,1,0),IF($X47&lt;30,1,0))</formula>
    </cfRule>
    <cfRule type="expression" priority="1333" dxfId="0">
      <formula>AND(IF($Q47=3,1,IF($Q47=4,1,0)),IF($F47&lt;=85,1,0))</formula>
    </cfRule>
  </conditionalFormatting>
  <conditionalFormatting sqref="AI47">
    <cfRule type="expression" priority="1326" dxfId="3">
      <formula>AND(IF(OR($Q47=1,$Q47=2),1,0),IF($X47&lt;=20,1,0))</formula>
    </cfRule>
    <cfRule type="expression" priority="1327" dxfId="2">
      <formula>AND(IF($Q47=2,1,0),IF($X47&lt;30,1,0))</formula>
    </cfRule>
    <cfRule type="expression" priority="1328" dxfId="1">
      <formula>AND(IF($Q47=3,1,0),IF($X47&lt;30,1,0))</formula>
    </cfRule>
    <cfRule type="expression" priority="1329" dxfId="0">
      <formula>AND(IF($Q47=3,1,IF($Q47=4,1,0)),IF($F47&lt;=85,1,0))</formula>
    </cfRule>
  </conditionalFormatting>
  <conditionalFormatting sqref="AV48">
    <cfRule type="expression" priority="1324" dxfId="23">
      <formula>AV48="X"</formula>
    </cfRule>
    <cfRule type="expression" priority="1325" dxfId="22">
      <formula>AV48="후보"</formula>
    </cfRule>
  </conditionalFormatting>
  <conditionalFormatting sqref="AC48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48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48">
    <cfRule type="expression" priority="1315" dxfId="3">
      <formula>AND(IF(OR($Q48=1,$Q48=2),1,0),IF($X48&lt;=20,1,0))</formula>
    </cfRule>
    <cfRule type="expression" priority="1316" dxfId="2">
      <formula>AND(IF($Q48=2,1,0),IF($X48&lt;30,1,0))</formula>
    </cfRule>
    <cfRule type="expression" priority="1317" dxfId="1">
      <formula>AND(IF($Q48=3,1,0),IF($X48&lt;30,1,0))</formula>
    </cfRule>
    <cfRule type="expression" priority="1318" dxfId="0">
      <formula>AND(IF($Q48=3,1,IF($Q48=4,1,0)),IF($F48&lt;=85,1,0))</formula>
    </cfRule>
  </conditionalFormatting>
  <conditionalFormatting sqref="X48">
    <cfRule type="expression" priority="1311" dxfId="3">
      <formula>AND(IF(OR($Q48=1,$Q48=2),1,0),IF($X48&lt;=20,1,0))</formula>
    </cfRule>
    <cfRule type="expression" priority="1312" dxfId="2">
      <formula>AND(IF($Q48=2,1,0),IF($X48&lt;30,1,0))</formula>
    </cfRule>
    <cfRule type="expression" priority="1313" dxfId="1">
      <formula>AND(IF($Q48=3,1,0),IF($X48&lt;30,1,0))</formula>
    </cfRule>
    <cfRule type="expression" priority="1314" dxfId="0">
      <formula>AND(IF($Q48=3,1,IF($Q48=4,1,0)),IF($F48&lt;=85,1,0))</formula>
    </cfRule>
  </conditionalFormatting>
  <conditionalFormatting sqref="AI48">
    <cfRule type="expression" priority="1307" dxfId="3">
      <formula>AND(IF(OR($Q48=1,$Q48=2),1,0),IF($X48&lt;=20,1,0))</formula>
    </cfRule>
    <cfRule type="expression" priority="1308" dxfId="2">
      <formula>AND(IF($Q48=2,1,0),IF($X48&lt;30,1,0))</formula>
    </cfRule>
    <cfRule type="expression" priority="1309" dxfId="1">
      <formula>AND(IF($Q48=3,1,0),IF($X48&lt;30,1,0))</formula>
    </cfRule>
    <cfRule type="expression" priority="1310" dxfId="0">
      <formula>AND(IF($Q48=3,1,IF($Q48=4,1,0)),IF($F48&lt;=85,1,0))</formula>
    </cfRule>
  </conditionalFormatting>
  <conditionalFormatting sqref="AV49">
    <cfRule type="expression" priority="1305" dxfId="23">
      <formula>AV49="X"</formula>
    </cfRule>
    <cfRule type="expression" priority="1306" dxfId="22">
      <formula>AV49="후보"</formula>
    </cfRule>
  </conditionalFormatting>
  <conditionalFormatting sqref="AC49 N49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AV50">
    <cfRule type="expression" priority="1300" dxfId="23">
      <formula>AV50="X"</formula>
    </cfRule>
    <cfRule type="expression" priority="1301" dxfId="22">
      <formula>AV50="후보"</formula>
    </cfRule>
  </conditionalFormatting>
  <conditionalFormatting sqref="AC50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5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50">
    <cfRule type="expression" priority="1291" dxfId="3">
      <formula>AND(IF(OR($Q50=1,$Q50=2),1,0),IF($X50&lt;=20,1,0))</formula>
    </cfRule>
    <cfRule type="expression" priority="1292" dxfId="2">
      <formula>AND(IF($Q50=2,1,0),IF($X50&lt;30,1,0))</formula>
    </cfRule>
    <cfRule type="expression" priority="1293" dxfId="1">
      <formula>AND(IF($Q50=3,1,0),IF($X50&lt;30,1,0))</formula>
    </cfRule>
    <cfRule type="expression" priority="1294" dxfId="0">
      <formula>AND(IF($Q50=3,1,IF($Q50=4,1,0)),IF($F50&lt;=85,1,0))</formula>
    </cfRule>
  </conditionalFormatting>
  <conditionalFormatting sqref="X50">
    <cfRule type="expression" priority="1287" dxfId="3">
      <formula>AND(IF(OR($Q50=1,$Q50=2),1,0),IF($X50&lt;=20,1,0))</formula>
    </cfRule>
    <cfRule type="expression" priority="1288" dxfId="2">
      <formula>AND(IF($Q50=2,1,0),IF($X50&lt;30,1,0))</formula>
    </cfRule>
    <cfRule type="expression" priority="1289" dxfId="1">
      <formula>AND(IF($Q50=3,1,0),IF($X50&lt;30,1,0))</formula>
    </cfRule>
    <cfRule type="expression" priority="1290" dxfId="0">
      <formula>AND(IF($Q50=3,1,IF($Q50=4,1,0)),IF($F50&lt;=85,1,0))</formula>
    </cfRule>
  </conditionalFormatting>
  <conditionalFormatting sqref="AI50">
    <cfRule type="expression" priority="1283" dxfId="3">
      <formula>AND(IF(OR($Q50=1,$Q50=2),1,0),IF($X50&lt;=20,1,0))</formula>
    </cfRule>
    <cfRule type="expression" priority="1284" dxfId="2">
      <formula>AND(IF($Q50=2,1,0),IF($X50&lt;30,1,0))</formula>
    </cfRule>
    <cfRule type="expression" priority="1285" dxfId="1">
      <formula>AND(IF($Q50=3,1,0),IF($X50&lt;30,1,0))</formula>
    </cfRule>
    <cfRule type="expression" priority="1286" dxfId="0">
      <formula>AND(IF($Q50=3,1,IF($Q50=4,1,0)),IF($F50&lt;=85,1,0))</formula>
    </cfRule>
  </conditionalFormatting>
  <conditionalFormatting sqref="AV51">
    <cfRule type="expression" priority="1281" dxfId="23">
      <formula>AV51="X"</formula>
    </cfRule>
    <cfRule type="expression" priority="1282" dxfId="22">
      <formula>AV51="후보"</formula>
    </cfRule>
  </conditionalFormatting>
  <conditionalFormatting sqref="AC51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1">
    <cfRule type="expression" priority="1272" dxfId="3">
      <formula>AND(IF(OR($Q51=1,$Q51=2),1,0),IF($X51&lt;=20,1,0))</formula>
    </cfRule>
    <cfRule type="expression" priority="1273" dxfId="2">
      <formula>AND(IF($Q51=2,1,0),IF($X51&lt;30,1,0))</formula>
    </cfRule>
    <cfRule type="expression" priority="1274" dxfId="1">
      <formula>AND(IF($Q51=3,1,0),IF($X51&lt;30,1,0))</formula>
    </cfRule>
    <cfRule type="expression" priority="1275" dxfId="0">
      <formula>AND(IF($Q51=3,1,IF($Q51=4,1,0)),IF($F51&lt;=85,1,0))</formula>
    </cfRule>
  </conditionalFormatting>
  <conditionalFormatting sqref="X51">
    <cfRule type="expression" priority="1268" dxfId="3">
      <formula>AND(IF(OR($Q51=1,$Q51=2),1,0),IF($X51&lt;=20,1,0))</formula>
    </cfRule>
    <cfRule type="expression" priority="1269" dxfId="2">
      <formula>AND(IF($Q51=2,1,0),IF($X51&lt;30,1,0))</formula>
    </cfRule>
    <cfRule type="expression" priority="1270" dxfId="1">
      <formula>AND(IF($Q51=3,1,0),IF($X51&lt;30,1,0))</formula>
    </cfRule>
    <cfRule type="expression" priority="1271" dxfId="0">
      <formula>AND(IF($Q51=3,1,IF($Q51=4,1,0)),IF($F51&lt;=85,1,0))</formula>
    </cfRule>
  </conditionalFormatting>
  <conditionalFormatting sqref="AI51">
    <cfRule type="expression" priority="1264" dxfId="3">
      <formula>AND(IF(OR($Q51=1,$Q51=2),1,0),IF($X51&lt;=20,1,0))</formula>
    </cfRule>
    <cfRule type="expression" priority="1265" dxfId="2">
      <formula>AND(IF($Q51=2,1,0),IF($X51&lt;30,1,0))</formula>
    </cfRule>
    <cfRule type="expression" priority="1266" dxfId="1">
      <formula>AND(IF($Q51=3,1,0),IF($X51&lt;30,1,0))</formula>
    </cfRule>
    <cfRule type="expression" priority="1267" dxfId="0">
      <formula>AND(IF($Q51=3,1,IF($Q51=4,1,0)),IF($F51&lt;=85,1,0))</formula>
    </cfRule>
  </conditionalFormatting>
  <conditionalFormatting sqref="AV52">
    <cfRule type="expression" priority="1262" dxfId="23">
      <formula>AV52="X"</formula>
    </cfRule>
    <cfRule type="expression" priority="1263" dxfId="22">
      <formula>AV52="후보"</formula>
    </cfRule>
  </conditionalFormatting>
  <conditionalFormatting sqref="AC52 N52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AV53">
    <cfRule type="expression" priority="1257" dxfId="23">
      <formula>AV53="X"</formula>
    </cfRule>
    <cfRule type="expression" priority="1258" dxfId="22">
      <formula>AV53="후보"</formula>
    </cfRule>
  </conditionalFormatting>
  <conditionalFormatting sqref="AC53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53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53">
    <cfRule type="expression" priority="1248" dxfId="3">
      <formula>AND(IF(OR($Q53=1,$Q53=2),1,0),IF($X53&lt;=20,1,0))</formula>
    </cfRule>
    <cfRule type="expression" priority="1249" dxfId="2">
      <formula>AND(IF($Q53=2,1,0),IF($X53&lt;30,1,0))</formula>
    </cfRule>
    <cfRule type="expression" priority="1250" dxfId="1">
      <formula>AND(IF($Q53=3,1,0),IF($X53&lt;30,1,0))</formula>
    </cfRule>
    <cfRule type="expression" priority="1251" dxfId="0">
      <formula>AND(IF($Q53=3,1,IF($Q53=4,1,0)),IF($F53&lt;=85,1,0))</formula>
    </cfRule>
  </conditionalFormatting>
  <conditionalFormatting sqref="X53">
    <cfRule type="expression" priority="1244" dxfId="3">
      <formula>AND(IF(OR($Q53=1,$Q53=2),1,0),IF($X53&lt;=20,1,0))</formula>
    </cfRule>
    <cfRule type="expression" priority="1245" dxfId="2">
      <formula>AND(IF($Q53=2,1,0),IF($X53&lt;30,1,0))</formula>
    </cfRule>
    <cfRule type="expression" priority="1246" dxfId="1">
      <formula>AND(IF($Q53=3,1,0),IF($X53&lt;30,1,0))</formula>
    </cfRule>
    <cfRule type="expression" priority="1247" dxfId="0">
      <formula>AND(IF($Q53=3,1,IF($Q53=4,1,0)),IF($F53&lt;=85,1,0))</formula>
    </cfRule>
  </conditionalFormatting>
  <conditionalFormatting sqref="AI53">
    <cfRule type="expression" priority="1240" dxfId="3">
      <formula>AND(IF(OR($Q53=1,$Q53=2),1,0),IF($X53&lt;=20,1,0))</formula>
    </cfRule>
    <cfRule type="expression" priority="1241" dxfId="2">
      <formula>AND(IF($Q53=2,1,0),IF($X53&lt;30,1,0))</formula>
    </cfRule>
    <cfRule type="expression" priority="1242" dxfId="1">
      <formula>AND(IF($Q53=3,1,0),IF($X53&lt;30,1,0))</formula>
    </cfRule>
    <cfRule type="expression" priority="1243" dxfId="0">
      <formula>AND(IF($Q53=3,1,IF($Q53=4,1,0)),IF($F53&lt;=85,1,0))</formula>
    </cfRule>
  </conditionalFormatting>
  <conditionalFormatting sqref="AV54">
    <cfRule type="expression" priority="1238" dxfId="23">
      <formula>AV54="X"</formula>
    </cfRule>
    <cfRule type="expression" priority="1239" dxfId="22">
      <formula>AV54="후보"</formula>
    </cfRule>
  </conditionalFormatting>
  <conditionalFormatting sqref="AC54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54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54">
    <cfRule type="expression" priority="1229" dxfId="3">
      <formula>AND(IF(OR($Q54=1,$Q54=2),1,0),IF($X54&lt;=20,1,0))</formula>
    </cfRule>
    <cfRule type="expression" priority="1230" dxfId="2">
      <formula>AND(IF($Q54=2,1,0),IF($X54&lt;30,1,0))</formula>
    </cfRule>
    <cfRule type="expression" priority="1231" dxfId="1">
      <formula>AND(IF($Q54=3,1,0),IF($X54&lt;30,1,0))</formula>
    </cfRule>
    <cfRule type="expression" priority="1232" dxfId="0">
      <formula>AND(IF($Q54=3,1,IF($Q54=4,1,0)),IF($F54&lt;=85,1,0))</formula>
    </cfRule>
  </conditionalFormatting>
  <conditionalFormatting sqref="X54">
    <cfRule type="expression" priority="1225" dxfId="3">
      <formula>AND(IF(OR($Q54=1,$Q54=2),1,0),IF($X54&lt;=20,1,0))</formula>
    </cfRule>
    <cfRule type="expression" priority="1226" dxfId="2">
      <formula>AND(IF($Q54=2,1,0),IF($X54&lt;30,1,0))</formula>
    </cfRule>
    <cfRule type="expression" priority="1227" dxfId="1">
      <formula>AND(IF($Q54=3,1,0),IF($X54&lt;30,1,0))</formula>
    </cfRule>
    <cfRule type="expression" priority="1228" dxfId="0">
      <formula>AND(IF($Q54=3,1,IF($Q54=4,1,0)),IF($F54&lt;=85,1,0))</formula>
    </cfRule>
  </conditionalFormatting>
  <conditionalFormatting sqref="AI54">
    <cfRule type="expression" priority="1221" dxfId="3">
      <formula>AND(IF(OR($Q54=1,$Q54=2),1,0),IF($X54&lt;=20,1,0))</formula>
    </cfRule>
    <cfRule type="expression" priority="1222" dxfId="2">
      <formula>AND(IF($Q54=2,1,0),IF($X54&lt;30,1,0))</formula>
    </cfRule>
    <cfRule type="expression" priority="1223" dxfId="1">
      <formula>AND(IF($Q54=3,1,0),IF($X54&lt;30,1,0))</formula>
    </cfRule>
    <cfRule type="expression" priority="1224" dxfId="0">
      <formula>AND(IF($Q54=3,1,IF($Q54=4,1,0)),IF($F54&lt;=85,1,0))</formula>
    </cfRule>
  </conditionalFormatting>
  <conditionalFormatting sqref="AV55">
    <cfRule type="expression" priority="1219" dxfId="23">
      <formula>AV55="X"</formula>
    </cfRule>
    <cfRule type="expression" priority="1220" dxfId="22">
      <formula>AV55="후보"</formula>
    </cfRule>
  </conditionalFormatting>
  <conditionalFormatting sqref="AC55 N55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56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56">
    <cfRule type="expression" priority="1205" dxfId="3">
      <formula>AND(IF(OR($Q56=1,$Q56=2),1,0),IF($X56&lt;=20,1,0))</formula>
    </cfRule>
    <cfRule type="expression" priority="1206" dxfId="2">
      <formula>AND(IF($Q56=2,1,0),IF($X56&lt;30,1,0))</formula>
    </cfRule>
    <cfRule type="expression" priority="1207" dxfId="1">
      <formula>AND(IF($Q56=3,1,0),IF($X56&lt;30,1,0))</formula>
    </cfRule>
    <cfRule type="expression" priority="1208" dxfId="0">
      <formula>AND(IF($Q56=3,1,IF($Q56=4,1,0)),IF($F56&lt;=85,1,0))</formula>
    </cfRule>
  </conditionalFormatting>
  <conditionalFormatting sqref="X56">
    <cfRule type="expression" priority="1201" dxfId="3">
      <formula>AND(IF(OR($Q56=1,$Q56=2),1,0),IF($X56&lt;=20,1,0))</formula>
    </cfRule>
    <cfRule type="expression" priority="1202" dxfId="2">
      <formula>AND(IF($Q56=2,1,0),IF($X56&lt;30,1,0))</formula>
    </cfRule>
    <cfRule type="expression" priority="1203" dxfId="1">
      <formula>AND(IF($Q56=3,1,0),IF($X56&lt;30,1,0))</formula>
    </cfRule>
    <cfRule type="expression" priority="1204" dxfId="0">
      <formula>AND(IF($Q56=3,1,IF($Q56=4,1,0)),IF($F56&lt;=85,1,0))</formula>
    </cfRule>
  </conditionalFormatting>
  <conditionalFormatting sqref="AI56">
    <cfRule type="expression" priority="1197" dxfId="3">
      <formula>AND(IF(OR($Q56=1,$Q56=2),1,0),IF($X56&lt;=20,1,0))</formula>
    </cfRule>
    <cfRule type="expression" priority="1198" dxfId="2">
      <formula>AND(IF($Q56=2,1,0),IF($X56&lt;30,1,0))</formula>
    </cfRule>
    <cfRule type="expression" priority="1199" dxfId="1">
      <formula>AND(IF($Q56=3,1,0),IF($X56&lt;30,1,0))</formula>
    </cfRule>
    <cfRule type="expression" priority="1200" dxfId="0">
      <formula>AND(IF($Q56=3,1,IF($Q56=4,1,0)),IF($F56&lt;=85,1,0))</formula>
    </cfRule>
  </conditionalFormatting>
  <conditionalFormatting sqref="AV57">
    <cfRule type="expression" priority="1195" dxfId="23">
      <formula>AV57="X"</formula>
    </cfRule>
    <cfRule type="expression" priority="1196" dxfId="22">
      <formula>AV57="후보"</formula>
    </cfRule>
  </conditionalFormatting>
  <conditionalFormatting sqref="AC57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57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57">
    <cfRule type="expression" priority="1186" dxfId="3">
      <formula>AND(IF(OR($Q57=1,$Q57=2),1,0),IF($X57&lt;=20,1,0))</formula>
    </cfRule>
    <cfRule type="expression" priority="1187" dxfId="2">
      <formula>AND(IF($Q57=2,1,0),IF($X57&lt;30,1,0))</formula>
    </cfRule>
    <cfRule type="expression" priority="1188" dxfId="1">
      <formula>AND(IF($Q57=3,1,0),IF($X57&lt;30,1,0))</formula>
    </cfRule>
    <cfRule type="expression" priority="1189" dxfId="0">
      <formula>AND(IF($Q57=3,1,IF($Q57=4,1,0)),IF($F57&lt;=85,1,0))</formula>
    </cfRule>
  </conditionalFormatting>
  <conditionalFormatting sqref="X57">
    <cfRule type="expression" priority="1182" dxfId="3">
      <formula>AND(IF(OR($Q57=1,$Q57=2),1,0),IF($X57&lt;=20,1,0))</formula>
    </cfRule>
    <cfRule type="expression" priority="1183" dxfId="2">
      <formula>AND(IF($Q57=2,1,0),IF($X57&lt;30,1,0))</formula>
    </cfRule>
    <cfRule type="expression" priority="1184" dxfId="1">
      <formula>AND(IF($Q57=3,1,0),IF($X57&lt;30,1,0))</formula>
    </cfRule>
    <cfRule type="expression" priority="1185" dxfId="0">
      <formula>AND(IF($Q57=3,1,IF($Q57=4,1,0)),IF($F57&lt;=85,1,0))</formula>
    </cfRule>
  </conditionalFormatting>
  <conditionalFormatting sqref="AI57">
    <cfRule type="expression" priority="1178" dxfId="3">
      <formula>AND(IF(OR($Q57=1,$Q57=2),1,0),IF($X57&lt;=20,1,0))</formula>
    </cfRule>
    <cfRule type="expression" priority="1179" dxfId="2">
      <formula>AND(IF($Q57=2,1,0),IF($X57&lt;30,1,0))</formula>
    </cfRule>
    <cfRule type="expression" priority="1180" dxfId="1">
      <formula>AND(IF($Q57=3,1,0),IF($X57&lt;30,1,0))</formula>
    </cfRule>
    <cfRule type="expression" priority="1181" dxfId="0">
      <formula>AND(IF($Q57=3,1,IF($Q57=4,1,0)),IF($F57&lt;=85,1,0))</formula>
    </cfRule>
  </conditionalFormatting>
  <conditionalFormatting sqref="AV58">
    <cfRule type="expression" priority="1176" dxfId="23">
      <formula>AV58="X"</formula>
    </cfRule>
    <cfRule type="expression" priority="1177" dxfId="22">
      <formula>AV58="후보"</formula>
    </cfRule>
  </conditionalFormatting>
  <conditionalFormatting sqref="AC58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8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8">
    <cfRule type="expression" priority="1167" dxfId="3">
      <formula>AND(IF(OR($Q58=1,$Q58=2),1,0),IF($X58&lt;=20,1,0))</formula>
    </cfRule>
    <cfRule type="expression" priority="1168" dxfId="2">
      <formula>AND(IF($Q58=2,1,0),IF($X58&lt;30,1,0))</formula>
    </cfRule>
    <cfRule type="expression" priority="1169" dxfId="1">
      <formula>AND(IF($Q58=3,1,0),IF($X58&lt;30,1,0))</formula>
    </cfRule>
    <cfRule type="expression" priority="1170" dxfId="0">
      <formula>AND(IF($Q58=3,1,IF($Q58=4,1,0)),IF($F58&lt;=85,1,0))</formula>
    </cfRule>
  </conditionalFormatting>
  <conditionalFormatting sqref="X58">
    <cfRule type="expression" priority="1163" dxfId="3">
      <formula>AND(IF(OR($Q58=1,$Q58=2),1,0),IF($X58&lt;=20,1,0))</formula>
    </cfRule>
    <cfRule type="expression" priority="1164" dxfId="2">
      <formula>AND(IF($Q58=2,1,0),IF($X58&lt;30,1,0))</formula>
    </cfRule>
    <cfRule type="expression" priority="1165" dxfId="1">
      <formula>AND(IF($Q58=3,1,0),IF($X58&lt;30,1,0))</formula>
    </cfRule>
    <cfRule type="expression" priority="1166" dxfId="0">
      <formula>AND(IF($Q58=3,1,IF($Q58=4,1,0)),IF($F58&lt;=85,1,0))</formula>
    </cfRule>
  </conditionalFormatting>
  <conditionalFormatting sqref="AI58">
    <cfRule type="expression" priority="1159" dxfId="3">
      <formula>AND(IF(OR($Q58=1,$Q58=2),1,0),IF($X58&lt;=20,1,0))</formula>
    </cfRule>
    <cfRule type="expression" priority="1160" dxfId="2">
      <formula>AND(IF($Q58=2,1,0),IF($X58&lt;30,1,0))</formula>
    </cfRule>
    <cfRule type="expression" priority="1161" dxfId="1">
      <formula>AND(IF($Q58=3,1,0),IF($X58&lt;30,1,0))</formula>
    </cfRule>
    <cfRule type="expression" priority="1162" dxfId="0">
      <formula>AND(IF($Q58=3,1,IF($Q58=4,1,0)),IF($F58&lt;=85,1,0))</formula>
    </cfRule>
  </conditionalFormatting>
  <conditionalFormatting sqref="AV59">
    <cfRule type="expression" priority="1157" dxfId="23">
      <formula>AV59="X"</formula>
    </cfRule>
    <cfRule type="expression" priority="1158" dxfId="22">
      <formula>AV59="후보"</formula>
    </cfRule>
  </conditionalFormatting>
  <conditionalFormatting sqref="AC59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9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9">
    <cfRule type="expression" priority="1148" dxfId="3">
      <formula>AND(IF(OR($Q59=1,$Q59=2),1,0),IF($X59&lt;=20,1,0))</formula>
    </cfRule>
    <cfRule type="expression" priority="1149" dxfId="2">
      <formula>AND(IF($Q59=2,1,0),IF($X59&lt;30,1,0))</formula>
    </cfRule>
    <cfRule type="expression" priority="1150" dxfId="1">
      <formula>AND(IF($Q59=3,1,0),IF($X59&lt;30,1,0))</formula>
    </cfRule>
    <cfRule type="expression" priority="1151" dxfId="0">
      <formula>AND(IF($Q59=3,1,IF($Q59=4,1,0)),IF($F59&lt;=85,1,0))</formula>
    </cfRule>
  </conditionalFormatting>
  <conditionalFormatting sqref="X59">
    <cfRule type="expression" priority="1144" dxfId="3">
      <formula>AND(IF(OR($Q59=1,$Q59=2),1,0),IF($X59&lt;=20,1,0))</formula>
    </cfRule>
    <cfRule type="expression" priority="1145" dxfId="2">
      <formula>AND(IF($Q59=2,1,0),IF($X59&lt;30,1,0))</formula>
    </cfRule>
    <cfRule type="expression" priority="1146" dxfId="1">
      <formula>AND(IF($Q59=3,1,0),IF($X59&lt;30,1,0))</formula>
    </cfRule>
    <cfRule type="expression" priority="1147" dxfId="0">
      <formula>AND(IF($Q59=3,1,IF($Q59=4,1,0)),IF($F59&lt;=85,1,0))</formula>
    </cfRule>
  </conditionalFormatting>
  <conditionalFormatting sqref="AI59">
    <cfRule type="expression" priority="1140" dxfId="3">
      <formula>AND(IF(OR($Q59=1,$Q59=2),1,0),IF($X59&lt;=20,1,0))</formula>
    </cfRule>
    <cfRule type="expression" priority="1141" dxfId="2">
      <formula>AND(IF($Q59=2,1,0),IF($X59&lt;30,1,0))</formula>
    </cfRule>
    <cfRule type="expression" priority="1142" dxfId="1">
      <formula>AND(IF($Q59=3,1,0),IF($X59&lt;30,1,0))</formula>
    </cfRule>
    <cfRule type="expression" priority="1143" dxfId="0">
      <formula>AND(IF($Q59=3,1,IF($Q59=4,1,0)),IF($F59&lt;=85,1,0))</formula>
    </cfRule>
  </conditionalFormatting>
  <conditionalFormatting sqref="AV60">
    <cfRule type="expression" priority="1138" dxfId="23">
      <formula>AV60="X"</formula>
    </cfRule>
    <cfRule type="expression" priority="1139" dxfId="22">
      <formula>AV60="후보"</formula>
    </cfRule>
  </conditionalFormatting>
  <conditionalFormatting sqref="AC60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60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60">
    <cfRule type="expression" priority="1129" dxfId="3">
      <formula>AND(IF(OR($Q60=1,$Q60=2),1,0),IF($X60&lt;=20,1,0))</formula>
    </cfRule>
    <cfRule type="expression" priority="1130" dxfId="2">
      <formula>AND(IF($Q60=2,1,0),IF($X60&lt;30,1,0))</formula>
    </cfRule>
    <cfRule type="expression" priority="1131" dxfId="1">
      <formula>AND(IF($Q60=3,1,0),IF($X60&lt;30,1,0))</formula>
    </cfRule>
    <cfRule type="expression" priority="1132" dxfId="0">
      <formula>AND(IF($Q60=3,1,IF($Q60=4,1,0)),IF($F60&lt;=85,1,0))</formula>
    </cfRule>
  </conditionalFormatting>
  <conditionalFormatting sqref="X60">
    <cfRule type="expression" priority="1125" dxfId="3">
      <formula>AND(IF(OR($Q60=1,$Q60=2),1,0),IF($X60&lt;=20,1,0))</formula>
    </cfRule>
    <cfRule type="expression" priority="1126" dxfId="2">
      <formula>AND(IF($Q60=2,1,0),IF($X60&lt;30,1,0))</formula>
    </cfRule>
    <cfRule type="expression" priority="1127" dxfId="1">
      <formula>AND(IF($Q60=3,1,0),IF($X60&lt;30,1,0))</formula>
    </cfRule>
    <cfRule type="expression" priority="1128" dxfId="0">
      <formula>AND(IF($Q60=3,1,IF($Q60=4,1,0)),IF($F60&lt;=85,1,0))</formula>
    </cfRule>
  </conditionalFormatting>
  <conditionalFormatting sqref="AI60">
    <cfRule type="expression" priority="1121" dxfId="3">
      <formula>AND(IF(OR($Q60=1,$Q60=2),1,0),IF($X60&lt;=20,1,0))</formula>
    </cfRule>
    <cfRule type="expression" priority="1122" dxfId="2">
      <formula>AND(IF($Q60=2,1,0),IF($X60&lt;30,1,0))</formula>
    </cfRule>
    <cfRule type="expression" priority="1123" dxfId="1">
      <formula>AND(IF($Q60=3,1,0),IF($X60&lt;30,1,0))</formula>
    </cfRule>
    <cfRule type="expression" priority="1124" dxfId="0">
      <formula>AND(IF($Q60=3,1,IF($Q60=4,1,0)),IF($F60&lt;=85,1,0))</formula>
    </cfRule>
  </conditionalFormatting>
  <conditionalFormatting sqref="AV61">
    <cfRule type="expression" priority="1119" dxfId="23">
      <formula>AV61="X"</formula>
    </cfRule>
    <cfRule type="expression" priority="1120" dxfId="22">
      <formula>AV61="후보"</formula>
    </cfRule>
  </conditionalFormatting>
  <conditionalFormatting sqref="AC61 N61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 N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9">
    <cfRule type="expression" priority="1009" dxfId="23">
      <formula>AV69="X"</formula>
    </cfRule>
    <cfRule type="expression" priority="1010" dxfId="22">
      <formula>AV69="후보"</formula>
    </cfRule>
  </conditionalFormatting>
  <conditionalFormatting sqref="AC69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9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9">
    <cfRule type="expression" priority="1000" dxfId="3">
      <formula>AND(IF(OR($Q69=1,$Q69=2),1,0),IF($X69&lt;=20,1,0))</formula>
    </cfRule>
    <cfRule type="expression" priority="1001" dxfId="2">
      <formula>AND(IF($Q69=2,1,0),IF($X69&lt;30,1,0))</formula>
    </cfRule>
    <cfRule type="expression" priority="1002" dxfId="1">
      <formula>AND(IF($Q69=3,1,0),IF($X69&lt;30,1,0))</formula>
    </cfRule>
    <cfRule type="expression" priority="1003" dxfId="0">
      <formula>AND(IF($Q69=3,1,IF($Q69=4,1,0)),IF($F69&lt;=85,1,0))</formula>
    </cfRule>
  </conditionalFormatting>
  <conditionalFormatting sqref="X69">
    <cfRule type="expression" priority="996" dxfId="3">
      <formula>AND(IF(OR($Q69=1,$Q69=2),1,0),IF($X69&lt;=20,1,0))</formula>
    </cfRule>
    <cfRule type="expression" priority="997" dxfId="2">
      <formula>AND(IF($Q69=2,1,0),IF($X69&lt;30,1,0))</formula>
    </cfRule>
    <cfRule type="expression" priority="998" dxfId="1">
      <formula>AND(IF($Q69=3,1,0),IF($X69&lt;30,1,0))</formula>
    </cfRule>
    <cfRule type="expression" priority="999" dxfId="0">
      <formula>AND(IF($Q69=3,1,IF($Q69=4,1,0)),IF($F69&lt;=85,1,0))</formula>
    </cfRule>
  </conditionalFormatting>
  <conditionalFormatting sqref="AI69">
    <cfRule type="expression" priority="992" dxfId="3">
      <formula>AND(IF(OR($Q69=1,$Q69=2),1,0),IF($X69&lt;=20,1,0))</formula>
    </cfRule>
    <cfRule type="expression" priority="993" dxfId="2">
      <formula>AND(IF($Q69=2,1,0),IF($X69&lt;30,1,0))</formula>
    </cfRule>
    <cfRule type="expression" priority="994" dxfId="1">
      <formula>AND(IF($Q69=3,1,0),IF($X69&lt;30,1,0))</formula>
    </cfRule>
    <cfRule type="expression" priority="995" dxfId="0">
      <formula>AND(IF($Q69=3,1,IF($Q69=4,1,0)),IF($F69&lt;=85,1,0))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 N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4">
    <cfRule type="expression" priority="928" dxfId="23">
      <formula>AV74="X"</formula>
    </cfRule>
    <cfRule type="expression" priority="929" dxfId="22">
      <formula>AV74="후보"</formula>
    </cfRule>
  </conditionalFormatting>
  <conditionalFormatting sqref="AC74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4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4">
    <cfRule type="expression" priority="919" dxfId="3">
      <formula>AND(IF(OR($Q74=1,$Q74=2),1,0),IF($X74&lt;=20,1,0))</formula>
    </cfRule>
    <cfRule type="expression" priority="920" dxfId="2">
      <formula>AND(IF($Q74=2,1,0),IF($X74&lt;30,1,0))</formula>
    </cfRule>
    <cfRule type="expression" priority="921" dxfId="1">
      <formula>AND(IF($Q74=3,1,0),IF($X74&lt;30,1,0))</formula>
    </cfRule>
    <cfRule type="expression" priority="922" dxfId="0">
      <formula>AND(IF($Q74=3,1,IF($Q74=4,1,0)),IF($F74&lt;=85,1,0))</formula>
    </cfRule>
  </conditionalFormatting>
  <conditionalFormatting sqref="X74">
    <cfRule type="expression" priority="915" dxfId="3">
      <formula>AND(IF(OR($Q74=1,$Q74=2),1,0),IF($X74&lt;=20,1,0))</formula>
    </cfRule>
    <cfRule type="expression" priority="916" dxfId="2">
      <formula>AND(IF($Q74=2,1,0),IF($X74&lt;30,1,0))</formula>
    </cfRule>
    <cfRule type="expression" priority="917" dxfId="1">
      <formula>AND(IF($Q74=3,1,0),IF($X74&lt;30,1,0))</formula>
    </cfRule>
    <cfRule type="expression" priority="918" dxfId="0">
      <formula>AND(IF($Q74=3,1,IF($Q74=4,1,0)),IF($F74&lt;=85,1,0))</formula>
    </cfRule>
  </conditionalFormatting>
  <conditionalFormatting sqref="AI74">
    <cfRule type="expression" priority="911" dxfId="3">
      <formula>AND(IF(OR($Q74=1,$Q74=2),1,0),IF($X74&lt;=20,1,0))</formula>
    </cfRule>
    <cfRule type="expression" priority="912" dxfId="2">
      <formula>AND(IF($Q74=2,1,0),IF($X74&lt;30,1,0))</formula>
    </cfRule>
    <cfRule type="expression" priority="913" dxfId="1">
      <formula>AND(IF($Q74=3,1,0),IF($X74&lt;30,1,0))</formula>
    </cfRule>
    <cfRule type="expression" priority="914" dxfId="0">
      <formula>AND(IF($Q74=3,1,IF($Q74=4,1,0)),IF($F74&lt;=85,1,0))</formula>
    </cfRule>
  </conditionalFormatting>
  <conditionalFormatting sqref="AV75">
    <cfRule type="expression" priority="909" dxfId="23">
      <formula>AV75="X"</formula>
    </cfRule>
    <cfRule type="expression" priority="910" dxfId="22">
      <formula>AV75="후보"</formula>
    </cfRule>
  </conditionalFormatting>
  <conditionalFormatting sqref="AC75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5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5">
    <cfRule type="expression" priority="900" dxfId="3">
      <formula>AND(IF(OR($Q75=1,$Q75=2),1,0),IF($X75&lt;=20,1,0))</formula>
    </cfRule>
    <cfRule type="expression" priority="901" dxfId="2">
      <formula>AND(IF($Q75=2,1,0),IF($X75&lt;30,1,0))</formula>
    </cfRule>
    <cfRule type="expression" priority="902" dxfId="1">
      <formula>AND(IF($Q75=3,1,0),IF($X75&lt;30,1,0))</formula>
    </cfRule>
    <cfRule type="expression" priority="903" dxfId="0">
      <formula>AND(IF($Q75=3,1,IF($Q75=4,1,0)),IF($F75&lt;=85,1,0))</formula>
    </cfRule>
  </conditionalFormatting>
  <conditionalFormatting sqref="X75">
    <cfRule type="expression" priority="896" dxfId="3">
      <formula>AND(IF(OR($Q75=1,$Q75=2),1,0),IF($X75&lt;=20,1,0))</formula>
    </cfRule>
    <cfRule type="expression" priority="897" dxfId="2">
      <formula>AND(IF($Q75=2,1,0),IF($X75&lt;30,1,0))</formula>
    </cfRule>
    <cfRule type="expression" priority="898" dxfId="1">
      <formula>AND(IF($Q75=3,1,0),IF($X75&lt;30,1,0))</formula>
    </cfRule>
    <cfRule type="expression" priority="899" dxfId="0">
      <formula>AND(IF($Q75=3,1,IF($Q75=4,1,0)),IF($F75&lt;=85,1,0))</formula>
    </cfRule>
  </conditionalFormatting>
  <conditionalFormatting sqref="AI75">
    <cfRule type="expression" priority="892" dxfId="3">
      <formula>AND(IF(OR($Q75=1,$Q75=2),1,0),IF($X75&lt;=20,1,0))</formula>
    </cfRule>
    <cfRule type="expression" priority="893" dxfId="2">
      <formula>AND(IF($Q75=2,1,0),IF($X75&lt;30,1,0))</formula>
    </cfRule>
    <cfRule type="expression" priority="894" dxfId="1">
      <formula>AND(IF($Q75=3,1,0),IF($X75&lt;30,1,0))</formula>
    </cfRule>
    <cfRule type="expression" priority="895" dxfId="0">
      <formula>AND(IF($Q75=3,1,IF($Q75=4,1,0)),IF($F75&lt;=85,1,0))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 N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8">
    <cfRule type="expression" priority="866" dxfId="23">
      <formula>AV78="X"</formula>
    </cfRule>
    <cfRule type="expression" priority="867" dxfId="22">
      <formula>AV78="후보"</formula>
    </cfRule>
  </conditionalFormatting>
  <conditionalFormatting sqref="AC78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8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8">
    <cfRule type="expression" priority="857" dxfId="3">
      <formula>AND(IF(OR($Q78=1,$Q78=2),1,0),IF($X78&lt;=20,1,0))</formula>
    </cfRule>
    <cfRule type="expression" priority="858" dxfId="2">
      <formula>AND(IF($Q78=2,1,0),IF($X78&lt;30,1,0))</formula>
    </cfRule>
    <cfRule type="expression" priority="859" dxfId="1">
      <formula>AND(IF($Q78=3,1,0),IF($X78&lt;30,1,0))</formula>
    </cfRule>
    <cfRule type="expression" priority="860" dxfId="0">
      <formula>AND(IF($Q78=3,1,IF($Q78=4,1,0)),IF($F78&lt;=85,1,0))</formula>
    </cfRule>
  </conditionalFormatting>
  <conditionalFormatting sqref="X78">
    <cfRule type="expression" priority="853" dxfId="3">
      <formula>AND(IF(OR($Q78=1,$Q78=2),1,0),IF($X78&lt;=20,1,0))</formula>
    </cfRule>
    <cfRule type="expression" priority="854" dxfId="2">
      <formula>AND(IF($Q78=2,1,0),IF($X78&lt;30,1,0))</formula>
    </cfRule>
    <cfRule type="expression" priority="855" dxfId="1">
      <formula>AND(IF($Q78=3,1,0),IF($X78&lt;30,1,0))</formula>
    </cfRule>
    <cfRule type="expression" priority="856" dxfId="0">
      <formula>AND(IF($Q78=3,1,IF($Q78=4,1,0)),IF($F78&lt;=85,1,0))</formula>
    </cfRule>
  </conditionalFormatting>
  <conditionalFormatting sqref="AI78">
    <cfRule type="expression" priority="849" dxfId="3">
      <formula>AND(IF(OR($Q78=1,$Q78=2),1,0),IF($X78&lt;=20,1,0))</formula>
    </cfRule>
    <cfRule type="expression" priority="850" dxfId="2">
      <formula>AND(IF($Q78=2,1,0),IF($X78&lt;30,1,0))</formula>
    </cfRule>
    <cfRule type="expression" priority="851" dxfId="1">
      <formula>AND(IF($Q78=3,1,0),IF($X78&lt;30,1,0))</formula>
    </cfRule>
    <cfRule type="expression" priority="852" dxfId="0">
      <formula>AND(IF($Q78=3,1,IF($Q78=4,1,0)),IF($F78&lt;=85,1,0))</formula>
    </cfRule>
  </conditionalFormatting>
  <conditionalFormatting sqref="AV79">
    <cfRule type="expression" priority="847" dxfId="23">
      <formula>AV79="X"</formula>
    </cfRule>
    <cfRule type="expression" priority="848" dxfId="22">
      <formula>AV79="후보"</formula>
    </cfRule>
  </conditionalFormatting>
  <conditionalFormatting sqref="AC79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9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9">
    <cfRule type="expression" priority="838" dxfId="3">
      <formula>AND(IF(OR($Q79=1,$Q79=2),1,0),IF($X79&lt;=20,1,0))</formula>
    </cfRule>
    <cfRule type="expression" priority="839" dxfId="2">
      <formula>AND(IF($Q79=2,1,0),IF($X79&lt;30,1,0))</formula>
    </cfRule>
    <cfRule type="expression" priority="840" dxfId="1">
      <formula>AND(IF($Q79=3,1,0),IF($X79&lt;30,1,0))</formula>
    </cfRule>
    <cfRule type="expression" priority="841" dxfId="0">
      <formula>AND(IF($Q79=3,1,IF($Q79=4,1,0)),IF($F79&lt;=85,1,0))</formula>
    </cfRule>
  </conditionalFormatting>
  <conditionalFormatting sqref="X79">
    <cfRule type="expression" priority="834" dxfId="3">
      <formula>AND(IF(OR($Q79=1,$Q79=2),1,0),IF($X79&lt;=20,1,0))</formula>
    </cfRule>
    <cfRule type="expression" priority="835" dxfId="2">
      <formula>AND(IF($Q79=2,1,0),IF($X79&lt;30,1,0))</formula>
    </cfRule>
    <cfRule type="expression" priority="836" dxfId="1">
      <formula>AND(IF($Q79=3,1,0),IF($X79&lt;30,1,0))</formula>
    </cfRule>
    <cfRule type="expression" priority="837" dxfId="0">
      <formula>AND(IF($Q79=3,1,IF($Q79=4,1,0)),IF($F79&lt;=85,1,0))</formula>
    </cfRule>
  </conditionalFormatting>
  <conditionalFormatting sqref="AI79">
    <cfRule type="expression" priority="830" dxfId="3">
      <formula>AND(IF(OR($Q79=1,$Q79=2),1,0),IF($X79&lt;=20,1,0))</formula>
    </cfRule>
    <cfRule type="expression" priority="831" dxfId="2">
      <formula>AND(IF($Q79=2,1,0),IF($X79&lt;30,1,0))</formula>
    </cfRule>
    <cfRule type="expression" priority="832" dxfId="1">
      <formula>AND(IF($Q79=3,1,0),IF($X79&lt;30,1,0))</formula>
    </cfRule>
    <cfRule type="expression" priority="833" dxfId="0">
      <formula>AND(IF($Q79=3,1,IF($Q79=4,1,0)),IF($F79&lt;=85,1,0))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 N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2">
    <cfRule type="expression" priority="804" dxfId="23">
      <formula>AV82="X"</formula>
    </cfRule>
    <cfRule type="expression" priority="805" dxfId="22">
      <formula>AV82="후보"</formula>
    </cfRule>
  </conditionalFormatting>
  <conditionalFormatting sqref="AC82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2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X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I82">
    <cfRule type="expression" priority="787" dxfId="3">
      <formula>AND(IF(OR($Q82=1,$Q82=2),1,0),IF($X82&lt;=20,1,0))</formula>
    </cfRule>
    <cfRule type="expression" priority="788" dxfId="2">
      <formula>AND(IF($Q82=2,1,0),IF($X82&lt;30,1,0))</formula>
    </cfRule>
    <cfRule type="expression" priority="789" dxfId="1">
      <formula>AND(IF($Q82=3,1,0),IF($X82&lt;30,1,0))</formula>
    </cfRule>
    <cfRule type="expression" priority="790" dxfId="0">
      <formula>AND(IF($Q82=3,1,IF($Q82=4,1,0)),IF($F82&lt;=85,1,0))</formula>
    </cfRule>
  </conditionalFormatting>
  <conditionalFormatting sqref="AV83">
    <cfRule type="expression" priority="785" dxfId="23">
      <formula>AV83="X"</formula>
    </cfRule>
    <cfRule type="expression" priority="786" dxfId="22">
      <formula>AV83="후보"</formula>
    </cfRule>
  </conditionalFormatting>
  <conditionalFormatting sqref="AC83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3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3">
    <cfRule type="expression" priority="776" dxfId="3">
      <formula>AND(IF(OR($Q83=1,$Q83=2),1,0),IF($X83&lt;=20,1,0))</formula>
    </cfRule>
    <cfRule type="expression" priority="777" dxfId="2">
      <formula>AND(IF($Q83=2,1,0),IF($X83&lt;30,1,0))</formula>
    </cfRule>
    <cfRule type="expression" priority="778" dxfId="1">
      <formula>AND(IF($Q83=3,1,0),IF($X83&lt;30,1,0))</formula>
    </cfRule>
    <cfRule type="expression" priority="779" dxfId="0">
      <formula>AND(IF($Q83=3,1,IF($Q83=4,1,0)),IF($F83&lt;=85,1,0))</formula>
    </cfRule>
  </conditionalFormatting>
  <conditionalFormatting sqref="X83">
    <cfRule type="expression" priority="772" dxfId="3">
      <formula>AND(IF(OR($Q83=1,$Q83=2),1,0),IF($X83&lt;=20,1,0))</formula>
    </cfRule>
    <cfRule type="expression" priority="773" dxfId="2">
      <formula>AND(IF($Q83=2,1,0),IF($X83&lt;30,1,0))</formula>
    </cfRule>
    <cfRule type="expression" priority="774" dxfId="1">
      <formula>AND(IF($Q83=3,1,0),IF($X83&lt;30,1,0))</formula>
    </cfRule>
    <cfRule type="expression" priority="775" dxfId="0">
      <formula>AND(IF($Q83=3,1,IF($Q83=4,1,0)),IF($F83&lt;=85,1,0))</formula>
    </cfRule>
  </conditionalFormatting>
  <conditionalFormatting sqref="AI83">
    <cfRule type="expression" priority="768" dxfId="3">
      <formula>AND(IF(OR($Q83=1,$Q83=2),1,0),IF($X83&lt;=20,1,0))</formula>
    </cfRule>
    <cfRule type="expression" priority="769" dxfId="2">
      <formula>AND(IF($Q83=2,1,0),IF($X83&lt;30,1,0))</formula>
    </cfRule>
    <cfRule type="expression" priority="770" dxfId="1">
      <formula>AND(IF($Q83=3,1,0),IF($X83&lt;30,1,0))</formula>
    </cfRule>
    <cfRule type="expression" priority="771" dxfId="0">
      <formula>AND(IF($Q83=3,1,IF($Q83=4,1,0)),IF($F83&lt;=85,1,0))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 N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5">
    <cfRule type="expression" priority="761" dxfId="23">
      <formula>AV85="X"</formula>
    </cfRule>
    <cfRule type="expression" priority="762" dxfId="22">
      <formula>AV85="후보"</formula>
    </cfRule>
  </conditionalFormatting>
  <conditionalFormatting sqref="AC85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5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X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I85">
    <cfRule type="expression" priority="744" dxfId="3">
      <formula>AND(IF(OR($Q85=1,$Q85=2),1,0),IF($X85&lt;=20,1,0))</formula>
    </cfRule>
    <cfRule type="expression" priority="745" dxfId="2">
      <formula>AND(IF($Q85=2,1,0),IF($X85&lt;30,1,0))</formula>
    </cfRule>
    <cfRule type="expression" priority="746" dxfId="1">
      <formula>AND(IF($Q85=3,1,0),IF($X85&lt;30,1,0))</formula>
    </cfRule>
    <cfRule type="expression" priority="747" dxfId="0">
      <formula>AND(IF($Q85=3,1,IF($Q85=4,1,0)),IF($F85&lt;=85,1,0))</formula>
    </cfRule>
  </conditionalFormatting>
  <conditionalFormatting sqref="AV86">
    <cfRule type="expression" priority="742" dxfId="23">
      <formula>AV86="X"</formula>
    </cfRule>
    <cfRule type="expression" priority="743" dxfId="22">
      <formula>AV86="후보"</formula>
    </cfRule>
  </conditionalFormatting>
  <conditionalFormatting sqref="AC86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X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I86">
    <cfRule type="expression" priority="725" dxfId="3">
      <formula>AND(IF(OR($Q86=1,$Q86=2),1,0),IF($X86&lt;=20,1,0))</formula>
    </cfRule>
    <cfRule type="expression" priority="726" dxfId="2">
      <formula>AND(IF($Q86=2,1,0),IF($X86&lt;30,1,0))</formula>
    </cfRule>
    <cfRule type="expression" priority="727" dxfId="1">
      <formula>AND(IF($Q86=3,1,0),IF($X86&lt;30,1,0))</formula>
    </cfRule>
    <cfRule type="expression" priority="728" dxfId="0">
      <formula>AND(IF($Q86=3,1,IF($Q86=4,1,0)),IF($F86&lt;=85,1,0))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3">
    <cfRule type="expression" priority="614" dxfId="3">
      <formula>AND(IF(OR($Q93=1,$Q93=2),1,0),IF($X93&lt;=20,1,0))</formula>
    </cfRule>
    <cfRule type="expression" priority="615" dxfId="2">
      <formula>AND(IF($Q93=2,1,0),IF($X93&lt;30,1,0))</formula>
    </cfRule>
    <cfRule type="expression" priority="616" dxfId="1">
      <formula>AND(IF($Q93=3,1,0),IF($X93&lt;30,1,0))</formula>
    </cfRule>
    <cfRule type="expression" priority="617" dxfId="0">
      <formula>AND(IF($Q93=3,1,IF($Q93=4,1,0)),IF($F93&lt;=85,1,0))</formula>
    </cfRule>
  </conditionalFormatting>
  <conditionalFormatting sqref="X93">
    <cfRule type="expression" priority="610" dxfId="3">
      <formula>AND(IF(OR($Q93=1,$Q93=2),1,0),IF($X93&lt;=20,1,0))</formula>
    </cfRule>
    <cfRule type="expression" priority="611" dxfId="2">
      <formula>AND(IF($Q93=2,1,0),IF($X93&lt;30,1,0))</formula>
    </cfRule>
    <cfRule type="expression" priority="612" dxfId="1">
      <formula>AND(IF($Q93=3,1,0),IF($X93&lt;30,1,0))</formula>
    </cfRule>
    <cfRule type="expression" priority="613" dxfId="0">
      <formula>AND(IF($Q93=3,1,IF($Q93=4,1,0)),IF($F93&lt;=85,1,0))</formula>
    </cfRule>
  </conditionalFormatting>
  <conditionalFormatting sqref="AI93">
    <cfRule type="expression" priority="606" dxfId="3">
      <formula>AND(IF(OR($Q93=1,$Q93=2),1,0),IF($X93&lt;=20,1,0))</formula>
    </cfRule>
    <cfRule type="expression" priority="607" dxfId="2">
      <formula>AND(IF($Q93=2,1,0),IF($X93&lt;30,1,0))</formula>
    </cfRule>
    <cfRule type="expression" priority="608" dxfId="1">
      <formula>AND(IF($Q93=3,1,0),IF($X93&lt;30,1,0))</formula>
    </cfRule>
    <cfRule type="expression" priority="609" dxfId="0">
      <formula>AND(IF($Q93=3,1,IF($Q93=4,1,0)),IF($F93&lt;=85,1,0))</formula>
    </cfRule>
  </conditionalFormatting>
  <conditionalFormatting sqref="AV94">
    <cfRule type="expression" priority="604" dxfId="23">
      <formula>AV94="X"</formula>
    </cfRule>
    <cfRule type="expression" priority="605" dxfId="22">
      <formula>AV94="후보"</formula>
    </cfRule>
  </conditionalFormatting>
  <conditionalFormatting sqref="AC9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X94">
    <cfRule type="expression" priority="591" dxfId="3">
      <formula>AND(IF(OR($Q94=1,$Q94=2),1,0),IF($X94&lt;=20,1,0))</formula>
    </cfRule>
    <cfRule type="expression" priority="592" dxfId="2">
      <formula>AND(IF($Q94=2,1,0),IF($X94&lt;30,1,0))</formula>
    </cfRule>
    <cfRule type="expression" priority="593" dxfId="1">
      <formula>AND(IF($Q94=3,1,0),IF($X94&lt;30,1,0))</formula>
    </cfRule>
    <cfRule type="expression" priority="594" dxfId="0">
      <formula>AND(IF($Q94=3,1,IF($Q94=4,1,0)),IF($F94&lt;=85,1,0))</formula>
    </cfRule>
  </conditionalFormatting>
  <conditionalFormatting sqref="AI94">
    <cfRule type="expression" priority="587" dxfId="3">
      <formula>AND(IF(OR($Q94=1,$Q94=2),1,0),IF($X94&lt;=20,1,0))</formula>
    </cfRule>
    <cfRule type="expression" priority="588" dxfId="2">
      <formula>AND(IF($Q94=2,1,0),IF($X94&lt;30,1,0))</formula>
    </cfRule>
    <cfRule type="expression" priority="589" dxfId="1">
      <formula>AND(IF($Q94=3,1,0),IF($X94&lt;30,1,0))</formula>
    </cfRule>
    <cfRule type="expression" priority="590" dxfId="0">
      <formula>AND(IF($Q94=3,1,IF($Q94=4,1,0)),IF($F94&lt;=85,1,0))</formula>
    </cfRule>
  </conditionalFormatting>
  <conditionalFormatting sqref="AV95">
    <cfRule type="expression" priority="585" dxfId="23">
      <formula>AV95="X"</formula>
    </cfRule>
    <cfRule type="expression" priority="586" dxfId="22">
      <formula>AV95="후보"</formula>
    </cfRule>
  </conditionalFormatting>
  <conditionalFormatting sqref="AC95 N9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7">
    <cfRule type="expression" priority="552" dxfId="3">
      <formula>AND(IF(OR($Q97=1,$Q97=2),1,0),IF($X97&lt;=20,1,0))</formula>
    </cfRule>
    <cfRule type="expression" priority="553" dxfId="2">
      <formula>AND(IF($Q97=2,1,0),IF($X97&lt;30,1,0))</formula>
    </cfRule>
    <cfRule type="expression" priority="554" dxfId="1">
      <formula>AND(IF($Q97=3,1,0),IF($X97&lt;30,1,0))</formula>
    </cfRule>
    <cfRule type="expression" priority="555" dxfId="0">
      <formula>AND(IF($Q97=3,1,IF($Q97=4,1,0)),IF($F97&lt;=85,1,0))</formula>
    </cfRule>
  </conditionalFormatting>
  <conditionalFormatting sqref="X97">
    <cfRule type="expression" priority="548" dxfId="3">
      <formula>AND(IF(OR($Q97=1,$Q97=2),1,0),IF($X97&lt;=20,1,0))</formula>
    </cfRule>
    <cfRule type="expression" priority="549" dxfId="2">
      <formula>AND(IF($Q97=2,1,0),IF($X97&lt;30,1,0))</formula>
    </cfRule>
    <cfRule type="expression" priority="550" dxfId="1">
      <formula>AND(IF($Q97=3,1,0),IF($X97&lt;30,1,0))</formula>
    </cfRule>
    <cfRule type="expression" priority="551" dxfId="0">
      <formula>AND(IF($Q97=3,1,IF($Q97=4,1,0)),IF($F97&lt;=85,1,0))</formula>
    </cfRule>
  </conditionalFormatting>
  <conditionalFormatting sqref="AI97">
    <cfRule type="expression" priority="544" dxfId="3">
      <formula>AND(IF(OR($Q97=1,$Q97=2),1,0),IF($X97&lt;=20,1,0))</formula>
    </cfRule>
    <cfRule type="expression" priority="545" dxfId="2">
      <formula>AND(IF($Q97=2,1,0),IF($X97&lt;30,1,0))</formula>
    </cfRule>
    <cfRule type="expression" priority="546" dxfId="1">
      <formula>AND(IF($Q97=3,1,0),IF($X97&lt;30,1,0))</formula>
    </cfRule>
    <cfRule type="expression" priority="547" dxfId="0">
      <formula>AND(IF($Q97=3,1,IF($Q97=4,1,0)),IF($F97&lt;=85,1,0))</formula>
    </cfRule>
  </conditionalFormatting>
  <conditionalFormatting sqref="AV98">
    <cfRule type="expression" priority="542" dxfId="23">
      <formula>AV98="X"</formula>
    </cfRule>
    <cfRule type="expression" priority="543" dxfId="22">
      <formula>AV98="후보"</formula>
    </cfRule>
  </conditionalFormatting>
  <conditionalFormatting sqref="AC9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8">
    <cfRule type="expression" priority="533" dxfId="3">
      <formula>AND(IF(OR($Q98=1,$Q98=2),1,0),IF($X98&lt;=20,1,0))</formula>
    </cfRule>
    <cfRule type="expression" priority="534" dxfId="2">
      <formula>AND(IF($Q98=2,1,0),IF($X98&lt;30,1,0))</formula>
    </cfRule>
    <cfRule type="expression" priority="535" dxfId="1">
      <formula>AND(IF($Q98=3,1,0),IF($X98&lt;30,1,0))</formula>
    </cfRule>
    <cfRule type="expression" priority="536" dxfId="0">
      <formula>AND(IF($Q98=3,1,IF($Q98=4,1,0)),IF($F98&lt;=85,1,0))</formula>
    </cfRule>
  </conditionalFormatting>
  <conditionalFormatting sqref="X98">
    <cfRule type="expression" priority="529" dxfId="3">
      <formula>AND(IF(OR($Q98=1,$Q98=2),1,0),IF($X98&lt;=20,1,0))</formula>
    </cfRule>
    <cfRule type="expression" priority="530" dxfId="2">
      <formula>AND(IF($Q98=2,1,0),IF($X98&lt;30,1,0))</formula>
    </cfRule>
    <cfRule type="expression" priority="531" dxfId="1">
      <formula>AND(IF($Q98=3,1,0),IF($X98&lt;30,1,0))</formula>
    </cfRule>
    <cfRule type="expression" priority="532" dxfId="0">
      <formula>AND(IF($Q98=3,1,IF($Q98=4,1,0)),IF($F98&lt;=85,1,0))</formula>
    </cfRule>
  </conditionalFormatting>
  <conditionalFormatting sqref="AI98">
    <cfRule type="expression" priority="525" dxfId="3">
      <formula>AND(IF(OR($Q98=1,$Q98=2),1,0),IF($X98&lt;=20,1,0))</formula>
    </cfRule>
    <cfRule type="expression" priority="526" dxfId="2">
      <formula>AND(IF($Q98=2,1,0),IF($X98&lt;30,1,0))</formula>
    </cfRule>
    <cfRule type="expression" priority="527" dxfId="1">
      <formula>AND(IF($Q98=3,1,0),IF($X98&lt;30,1,0))</formula>
    </cfRule>
    <cfRule type="expression" priority="528" dxfId="0">
      <formula>AND(IF($Q98=3,1,IF($Q98=4,1,0)),IF($F98&lt;=85,1,0))</formula>
    </cfRule>
  </conditionalFormatting>
  <conditionalFormatting sqref="AV99">
    <cfRule type="expression" priority="523" dxfId="23">
      <formula>AV99="X"</formula>
    </cfRule>
    <cfRule type="expression" priority="524" dxfId="22">
      <formula>AV99="후보"</formula>
    </cfRule>
  </conditionalFormatting>
  <conditionalFormatting sqref="AC9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9">
    <cfRule type="expression" priority="514" dxfId="3">
      <formula>AND(IF(OR($Q99=1,$Q99=2),1,0),IF($X99&lt;=20,1,0))</formula>
    </cfRule>
    <cfRule type="expression" priority="515" dxfId="2">
      <formula>AND(IF($Q99=2,1,0),IF($X99&lt;30,1,0))</formula>
    </cfRule>
    <cfRule type="expression" priority="516" dxfId="1">
      <formula>AND(IF($Q99=3,1,0),IF($X99&lt;30,1,0))</formula>
    </cfRule>
    <cfRule type="expression" priority="517" dxfId="0">
      <formula>AND(IF($Q99=3,1,IF($Q99=4,1,0)),IF($F99&lt;=85,1,0))</formula>
    </cfRule>
  </conditionalFormatting>
  <conditionalFormatting sqref="X99">
    <cfRule type="expression" priority="510" dxfId="3">
      <formula>AND(IF(OR($Q99=1,$Q99=2),1,0),IF($X99&lt;=20,1,0))</formula>
    </cfRule>
    <cfRule type="expression" priority="511" dxfId="2">
      <formula>AND(IF($Q99=2,1,0),IF($X99&lt;30,1,0))</formula>
    </cfRule>
    <cfRule type="expression" priority="512" dxfId="1">
      <formula>AND(IF($Q99=3,1,0),IF($X99&lt;30,1,0))</formula>
    </cfRule>
    <cfRule type="expression" priority="513" dxfId="0">
      <formula>AND(IF($Q99=3,1,IF($Q99=4,1,0)),IF($F99&lt;=85,1,0))</formula>
    </cfRule>
  </conditionalFormatting>
  <conditionalFormatting sqref="AI99">
    <cfRule type="expression" priority="506" dxfId="3">
      <formula>AND(IF(OR($Q99=1,$Q99=2),1,0),IF($X99&lt;=20,1,0))</formula>
    </cfRule>
    <cfRule type="expression" priority="507" dxfId="2">
      <formula>AND(IF($Q99=2,1,0),IF($X99&lt;30,1,0))</formula>
    </cfRule>
    <cfRule type="expression" priority="508" dxfId="1">
      <formula>AND(IF($Q99=3,1,0),IF($X99&lt;30,1,0))</formula>
    </cfRule>
    <cfRule type="expression" priority="509" dxfId="0">
      <formula>AND(IF($Q99=3,1,IF($Q99=4,1,0)),IF($F99&lt;=85,1,0))</formula>
    </cfRule>
  </conditionalFormatting>
  <conditionalFormatting sqref="AV100">
    <cfRule type="expression" priority="504" dxfId="23">
      <formula>AV100="X"</formula>
    </cfRule>
    <cfRule type="expression" priority="505" dxfId="22">
      <formula>AV100="후보"</formula>
    </cfRule>
  </conditionalFormatting>
  <conditionalFormatting sqref="AC10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0">
    <cfRule type="expression" priority="495" dxfId="3">
      <formula>AND(IF(OR($Q100=1,$Q100=2),1,0),IF($X100&lt;=20,1,0))</formula>
    </cfRule>
    <cfRule type="expression" priority="496" dxfId="2">
      <formula>AND(IF($Q100=2,1,0),IF($X100&lt;30,1,0))</formula>
    </cfRule>
    <cfRule type="expression" priority="497" dxfId="1">
      <formula>AND(IF($Q100=3,1,0),IF($X100&lt;30,1,0))</formula>
    </cfRule>
    <cfRule type="expression" priority="498" dxfId="0">
      <formula>AND(IF($Q100=3,1,IF($Q100=4,1,0)),IF($F100&lt;=85,1,0))</formula>
    </cfRule>
  </conditionalFormatting>
  <conditionalFormatting sqref="X100">
    <cfRule type="expression" priority="491" dxfId="3">
      <formula>AND(IF(OR($Q100=1,$Q100=2),1,0),IF($X100&lt;=20,1,0))</formula>
    </cfRule>
    <cfRule type="expression" priority="492" dxfId="2">
      <formula>AND(IF($Q100=2,1,0),IF($X100&lt;30,1,0))</formula>
    </cfRule>
    <cfRule type="expression" priority="493" dxfId="1">
      <formula>AND(IF($Q100=3,1,0),IF($X100&lt;30,1,0))</formula>
    </cfRule>
    <cfRule type="expression" priority="494" dxfId="0">
      <formula>AND(IF($Q100=3,1,IF($Q100=4,1,0)),IF($F100&lt;=85,1,0))</formula>
    </cfRule>
  </conditionalFormatting>
  <conditionalFormatting sqref="AI100">
    <cfRule type="expression" priority="487" dxfId="3">
      <formula>AND(IF(OR($Q100=1,$Q100=2),1,0),IF($X100&lt;=20,1,0))</formula>
    </cfRule>
    <cfRule type="expression" priority="488" dxfId="2">
      <formula>AND(IF($Q100=2,1,0),IF($X100&lt;30,1,0))</formula>
    </cfRule>
    <cfRule type="expression" priority="489" dxfId="1">
      <formula>AND(IF($Q100=3,1,0),IF($X100&lt;30,1,0))</formula>
    </cfRule>
    <cfRule type="expression" priority="490" dxfId="0">
      <formula>AND(IF($Q100=3,1,IF($Q100=4,1,0)),IF($F100&lt;=85,1,0))</formula>
    </cfRule>
  </conditionalFormatting>
  <conditionalFormatting sqref="AV101">
    <cfRule type="expression" priority="485" dxfId="23">
      <formula>AV101="X"</formula>
    </cfRule>
    <cfRule type="expression" priority="486" dxfId="22">
      <formula>AV101="후보"</formula>
    </cfRule>
  </conditionalFormatting>
  <conditionalFormatting sqref="AC10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1">
    <cfRule type="expression" priority="476" dxfId="3">
      <formula>AND(IF(OR($Q101=1,$Q101=2),1,0),IF($X101&lt;=20,1,0))</formula>
    </cfRule>
    <cfRule type="expression" priority="477" dxfId="2">
      <formula>AND(IF($Q101=2,1,0),IF($X101&lt;30,1,0))</formula>
    </cfRule>
    <cfRule type="expression" priority="478" dxfId="1">
      <formula>AND(IF($Q101=3,1,0),IF($X101&lt;30,1,0))</formula>
    </cfRule>
    <cfRule type="expression" priority="479" dxfId="0">
      <formula>AND(IF($Q101=3,1,IF($Q101=4,1,0)),IF($F101&lt;=85,1,0))</formula>
    </cfRule>
  </conditionalFormatting>
  <conditionalFormatting sqref="X101">
    <cfRule type="expression" priority="472" dxfId="3">
      <formula>AND(IF(OR($Q101=1,$Q101=2),1,0),IF($X101&lt;=20,1,0))</formula>
    </cfRule>
    <cfRule type="expression" priority="473" dxfId="2">
      <formula>AND(IF($Q101=2,1,0),IF($X101&lt;30,1,0))</formula>
    </cfRule>
    <cfRule type="expression" priority="474" dxfId="1">
      <formula>AND(IF($Q101=3,1,0),IF($X101&lt;30,1,0))</formula>
    </cfRule>
    <cfRule type="expression" priority="475" dxfId="0">
      <formula>AND(IF($Q101=3,1,IF($Q101=4,1,0)),IF($F101&lt;=85,1,0))</formula>
    </cfRule>
  </conditionalFormatting>
  <conditionalFormatting sqref="AI101">
    <cfRule type="expression" priority="468" dxfId="3">
      <formula>AND(IF(OR($Q101=1,$Q101=2),1,0),IF($X101&lt;=20,1,0))</formula>
    </cfRule>
    <cfRule type="expression" priority="469" dxfId="2">
      <formula>AND(IF($Q101=2,1,0),IF($X101&lt;30,1,0))</formula>
    </cfRule>
    <cfRule type="expression" priority="470" dxfId="1">
      <formula>AND(IF($Q101=3,1,0),IF($X101&lt;30,1,0))</formula>
    </cfRule>
    <cfRule type="expression" priority="471" dxfId="0">
      <formula>AND(IF($Q101=3,1,IF($Q101=4,1,0)),IF($F101&lt;=85,1,0))</formula>
    </cfRule>
  </conditionalFormatting>
  <conditionalFormatting sqref="AV102">
    <cfRule type="expression" priority="466" dxfId="23">
      <formula>AV102="X"</formula>
    </cfRule>
    <cfRule type="expression" priority="467" dxfId="22">
      <formula>AV102="후보"</formula>
    </cfRule>
  </conditionalFormatting>
  <conditionalFormatting sqref="AC102 N10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 N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11">
    <cfRule type="expression" priority="337" dxfId="23">
      <formula>AV111="X"</formula>
    </cfRule>
    <cfRule type="expression" priority="338" dxfId="22">
      <formula>AV111="후보"</formula>
    </cfRule>
  </conditionalFormatting>
  <conditionalFormatting sqref="AC11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1">
    <cfRule type="expression" priority="328" dxfId="3">
      <formula>AND(IF(OR($Q111=1,$Q111=2),1,0),IF($X111&lt;=20,1,0))</formula>
    </cfRule>
    <cfRule type="expression" priority="329" dxfId="2">
      <formula>AND(IF($Q111=2,1,0),IF($X111&lt;30,1,0))</formula>
    </cfRule>
    <cfRule type="expression" priority="330" dxfId="1">
      <formula>AND(IF($Q111=3,1,0),IF($X111&lt;30,1,0))</formula>
    </cfRule>
    <cfRule type="expression" priority="331" dxfId="0">
      <formula>AND(IF($Q111=3,1,IF($Q111=4,1,0)),IF($F111&lt;=85,1,0))</formula>
    </cfRule>
  </conditionalFormatting>
  <conditionalFormatting sqref="X111">
    <cfRule type="expression" priority="324" dxfId="3">
      <formula>AND(IF(OR($Q111=1,$Q111=2),1,0),IF($X111&lt;=20,1,0))</formula>
    </cfRule>
    <cfRule type="expression" priority="325" dxfId="2">
      <formula>AND(IF($Q111=2,1,0),IF($X111&lt;30,1,0))</formula>
    </cfRule>
    <cfRule type="expression" priority="326" dxfId="1">
      <formula>AND(IF($Q111=3,1,0),IF($X111&lt;30,1,0))</formula>
    </cfRule>
    <cfRule type="expression" priority="327" dxfId="0">
      <formula>AND(IF($Q111=3,1,IF($Q111=4,1,0)),IF($F111&lt;=85,1,0))</formula>
    </cfRule>
  </conditionalFormatting>
  <conditionalFormatting sqref="AI111">
    <cfRule type="expression" priority="320" dxfId="3">
      <formula>AND(IF(OR($Q111=1,$Q111=2),1,0),IF($X111&lt;=20,1,0))</formula>
    </cfRule>
    <cfRule type="expression" priority="321" dxfId="2">
      <formula>AND(IF($Q111=2,1,0),IF($X111&lt;30,1,0))</formula>
    </cfRule>
    <cfRule type="expression" priority="322" dxfId="1">
      <formula>AND(IF($Q111=3,1,0),IF($X111&lt;30,1,0))</formula>
    </cfRule>
    <cfRule type="expression" priority="323" dxfId="0">
      <formula>AND(IF($Q111=3,1,IF($Q111=4,1,0)),IF($F111&lt;=85,1,0))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 N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7">
    <cfRule type="expression" priority="237" dxfId="23">
      <formula>AV117="X"</formula>
    </cfRule>
    <cfRule type="expression" priority="238" dxfId="22">
      <formula>AV117="후보"</formula>
    </cfRule>
  </conditionalFormatting>
  <conditionalFormatting sqref="AC1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7">
    <cfRule type="expression" priority="228" dxfId="3">
      <formula>AND(IF(OR($Q117=1,$Q117=2),1,0),IF($X117&lt;=20,1,0))</formula>
    </cfRule>
    <cfRule type="expression" priority="229" dxfId="2">
      <formula>AND(IF($Q117=2,1,0),IF($X117&lt;30,1,0))</formula>
    </cfRule>
    <cfRule type="expression" priority="230" dxfId="1">
      <formula>AND(IF($Q117=3,1,0),IF($X117&lt;30,1,0))</formula>
    </cfRule>
    <cfRule type="expression" priority="231" dxfId="0">
      <formula>AND(IF($Q117=3,1,IF($Q117=4,1,0)),IF($F117&lt;=85,1,0))</formula>
    </cfRule>
  </conditionalFormatting>
  <conditionalFormatting sqref="X117">
    <cfRule type="expression" priority="224" dxfId="3">
      <formula>AND(IF(OR($Q117=1,$Q117=2),1,0),IF($X117&lt;=20,1,0))</formula>
    </cfRule>
    <cfRule type="expression" priority="225" dxfId="2">
      <formula>AND(IF($Q117=2,1,0),IF($X117&lt;30,1,0))</formula>
    </cfRule>
    <cfRule type="expression" priority="226" dxfId="1">
      <formula>AND(IF($Q117=3,1,0),IF($X117&lt;30,1,0))</formula>
    </cfRule>
    <cfRule type="expression" priority="227" dxfId="0">
      <formula>AND(IF($Q117=3,1,IF($Q117=4,1,0)),IF($F117&lt;=85,1,0))</formula>
    </cfRule>
  </conditionalFormatting>
  <conditionalFormatting sqref="AI117">
    <cfRule type="expression" priority="220" dxfId="3">
      <formula>AND(IF(OR($Q117=1,$Q117=2),1,0),IF($X117&lt;=20,1,0))</formula>
    </cfRule>
    <cfRule type="expression" priority="221" dxfId="2">
      <formula>AND(IF($Q117=2,1,0),IF($X117&lt;30,1,0))</formula>
    </cfRule>
    <cfRule type="expression" priority="222" dxfId="1">
      <formula>AND(IF($Q117=3,1,0),IF($X117&lt;30,1,0))</formula>
    </cfRule>
    <cfRule type="expression" priority="223" dxfId="0">
      <formula>AND(IF($Q117=3,1,IF($Q117=4,1,0)),IF($F117&lt;=85,1,0))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1">
    <cfRule type="expression" priority="152" dxfId="3">
      <formula>AND(IF(OR($Q121=1,$Q121=2),1,0),IF($X121&lt;=20,1,0))</formula>
    </cfRule>
    <cfRule type="expression" priority="153" dxfId="2">
      <formula>AND(IF($Q121=2,1,0),IF($X121&lt;30,1,0))</formula>
    </cfRule>
    <cfRule type="expression" priority="154" dxfId="1">
      <formula>AND(IF($Q121=3,1,0),IF($X121&lt;30,1,0))</formula>
    </cfRule>
    <cfRule type="expression" priority="155" dxfId="0">
      <formula>AND(IF($Q121=3,1,IF($Q121=4,1,0)),IF($F121&lt;=85,1,0))</formula>
    </cfRule>
  </conditionalFormatting>
  <conditionalFormatting sqref="X121">
    <cfRule type="expression" priority="148" dxfId="3">
      <formula>AND(IF(OR($Q121=1,$Q121=2),1,0),IF($X121&lt;=20,1,0))</formula>
    </cfRule>
    <cfRule type="expression" priority="149" dxfId="2">
      <formula>AND(IF($Q121=2,1,0),IF($X121&lt;30,1,0))</formula>
    </cfRule>
    <cfRule type="expression" priority="150" dxfId="1">
      <formula>AND(IF($Q121=3,1,0),IF($X121&lt;30,1,0))</formula>
    </cfRule>
    <cfRule type="expression" priority="151" dxfId="0">
      <formula>AND(IF($Q121=3,1,IF($Q121=4,1,0)),IF($F121&lt;=85,1,0))</formula>
    </cfRule>
  </conditionalFormatting>
  <conditionalFormatting sqref="AI121">
    <cfRule type="expression" priority="144" dxfId="3">
      <formula>AND(IF(OR($Q121=1,$Q121=2),1,0),IF($X121&lt;=20,1,0))</formula>
    </cfRule>
    <cfRule type="expression" priority="145" dxfId="2">
      <formula>AND(IF($Q121=2,1,0),IF($X121&lt;30,1,0))</formula>
    </cfRule>
    <cfRule type="expression" priority="146" dxfId="1">
      <formula>AND(IF($Q121=3,1,0),IF($X121&lt;30,1,0))</formula>
    </cfRule>
    <cfRule type="expression" priority="147" dxfId="0">
      <formula>AND(IF($Q121=3,1,IF($Q121=4,1,0)),IF($F121&lt;=85,1,0))</formula>
    </cfRule>
  </conditionalFormatting>
  <conditionalFormatting sqref="AV122">
    <cfRule type="expression" priority="142" dxfId="23">
      <formula>AV122="X"</formula>
    </cfRule>
    <cfRule type="expression" priority="143" dxfId="22">
      <formula>AV122="후보"</formula>
    </cfRule>
  </conditionalFormatting>
  <conditionalFormatting sqref="AC1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2">
    <cfRule type="expression" priority="133" dxfId="3">
      <formula>AND(IF(OR($Q122=1,$Q122=2),1,0),IF($X122&lt;=20,1,0))</formula>
    </cfRule>
    <cfRule type="expression" priority="134" dxfId="2">
      <formula>AND(IF($Q122=2,1,0),IF($X122&lt;30,1,0))</formula>
    </cfRule>
    <cfRule type="expression" priority="135" dxfId="1">
      <formula>AND(IF($Q122=3,1,0),IF($X122&lt;30,1,0))</formula>
    </cfRule>
    <cfRule type="expression" priority="136" dxfId="0">
      <formula>AND(IF($Q122=3,1,IF($Q122=4,1,0)),IF($F122&lt;=85,1,0))</formula>
    </cfRule>
  </conditionalFormatting>
  <conditionalFormatting sqref="X122">
    <cfRule type="expression" priority="129" dxfId="3">
      <formula>AND(IF(OR($Q122=1,$Q122=2),1,0),IF($X122&lt;=20,1,0))</formula>
    </cfRule>
    <cfRule type="expression" priority="130" dxfId="2">
      <formula>AND(IF($Q122=2,1,0),IF($X122&lt;30,1,0))</formula>
    </cfRule>
    <cfRule type="expression" priority="131" dxfId="1">
      <formula>AND(IF($Q122=3,1,0),IF($X122&lt;30,1,0))</formula>
    </cfRule>
    <cfRule type="expression" priority="132" dxfId="0">
      <formula>AND(IF($Q122=3,1,IF($Q122=4,1,0)),IF($F122&lt;=85,1,0))</formula>
    </cfRule>
  </conditionalFormatting>
  <conditionalFormatting sqref="AI122">
    <cfRule type="expression" priority="125" dxfId="3">
      <formula>AND(IF(OR($Q122=1,$Q122=2),1,0),IF($X122&lt;=20,1,0))</formula>
    </cfRule>
    <cfRule type="expression" priority="126" dxfId="2">
      <formula>AND(IF($Q122=2,1,0),IF($X122&lt;30,1,0))</formula>
    </cfRule>
    <cfRule type="expression" priority="127" dxfId="1">
      <formula>AND(IF($Q122=3,1,0),IF($X122&lt;30,1,0))</formula>
    </cfRule>
    <cfRule type="expression" priority="128" dxfId="0">
      <formula>AND(IF($Q122=3,1,IF($Q122=4,1,0)),IF($F122&lt;=85,1,0))</formula>
    </cfRule>
  </conditionalFormatting>
  <conditionalFormatting sqref="AV123">
    <cfRule type="expression" priority="123" dxfId="23">
      <formula>AV123="X"</formula>
    </cfRule>
    <cfRule type="expression" priority="124" dxfId="22">
      <formula>AV123="후보"</formula>
    </cfRule>
  </conditionalFormatting>
  <conditionalFormatting sqref="AC12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3">
    <cfRule type="expression" priority="114" dxfId="3">
      <formula>AND(IF(OR($Q123=1,$Q123=2),1,0),IF($X123&lt;=20,1,0))</formula>
    </cfRule>
    <cfRule type="expression" priority="115" dxfId="2">
      <formula>AND(IF($Q123=2,1,0),IF($X123&lt;30,1,0))</formula>
    </cfRule>
    <cfRule type="expression" priority="116" dxfId="1">
      <formula>AND(IF($Q123=3,1,0),IF($X123&lt;30,1,0))</formula>
    </cfRule>
    <cfRule type="expression" priority="117" dxfId="0">
      <formula>AND(IF($Q123=3,1,IF($Q123=4,1,0)),IF($F123&lt;=85,1,0))</formula>
    </cfRule>
  </conditionalFormatting>
  <conditionalFormatting sqref="X123">
    <cfRule type="expression" priority="110" dxfId="3">
      <formula>AND(IF(OR($Q123=1,$Q123=2),1,0),IF($X123&lt;=20,1,0))</formula>
    </cfRule>
    <cfRule type="expression" priority="111" dxfId="2">
      <formula>AND(IF($Q123=2,1,0),IF($X123&lt;30,1,0))</formula>
    </cfRule>
    <cfRule type="expression" priority="112" dxfId="1">
      <formula>AND(IF($Q123=3,1,0),IF($X123&lt;30,1,0))</formula>
    </cfRule>
    <cfRule type="expression" priority="113" dxfId="0">
      <formula>AND(IF($Q123=3,1,IF($Q123=4,1,0)),IF($F123&lt;=85,1,0))</formula>
    </cfRule>
  </conditionalFormatting>
  <conditionalFormatting sqref="AI123">
    <cfRule type="expression" priority="106" dxfId="3">
      <formula>AND(IF(OR($Q123=1,$Q123=2),1,0),IF($X123&lt;=20,1,0))</formula>
    </cfRule>
    <cfRule type="expression" priority="107" dxfId="2">
      <formula>AND(IF($Q123=2,1,0),IF($X123&lt;30,1,0))</formula>
    </cfRule>
    <cfRule type="expression" priority="108" dxfId="1">
      <formula>AND(IF($Q123=3,1,0),IF($X123&lt;30,1,0))</formula>
    </cfRule>
    <cfRule type="expression" priority="109" dxfId="0">
      <formula>AND(IF($Q123=3,1,IF($Q123=4,1,0)),IF($F123&lt;=85,1,0))</formula>
    </cfRule>
  </conditionalFormatting>
  <conditionalFormatting sqref="AV124">
    <cfRule type="expression" priority="104" dxfId="23">
      <formula>AV124="X"</formula>
    </cfRule>
    <cfRule type="expression" priority="105" dxfId="22">
      <formula>AV124="후보"</formula>
    </cfRule>
  </conditionalFormatting>
  <conditionalFormatting sqref="AC12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24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24">
    <cfRule type="expression" priority="95" dxfId="3">
      <formula>AND(IF(OR($Q124=1,$Q124=2),1,0),IF($X124&lt;=20,1,0))</formula>
    </cfRule>
    <cfRule type="expression" priority="96" dxfId="2">
      <formula>AND(IF($Q124=2,1,0),IF($X124&lt;30,1,0))</formula>
    </cfRule>
    <cfRule type="expression" priority="97" dxfId="1">
      <formula>AND(IF($Q124=3,1,0),IF($X124&lt;30,1,0))</formula>
    </cfRule>
    <cfRule type="expression" priority="98" dxfId="0">
      <formula>AND(IF($Q124=3,1,IF($Q124=4,1,0)),IF($F124&lt;=85,1,0))</formula>
    </cfRule>
  </conditionalFormatting>
  <conditionalFormatting sqref="X124">
    <cfRule type="expression" priority="91" dxfId="3">
      <formula>AND(IF(OR($Q124=1,$Q124=2),1,0),IF($X124&lt;=20,1,0))</formula>
    </cfRule>
    <cfRule type="expression" priority="92" dxfId="2">
      <formula>AND(IF($Q124=2,1,0),IF($X124&lt;30,1,0))</formula>
    </cfRule>
    <cfRule type="expression" priority="93" dxfId="1">
      <formula>AND(IF($Q124=3,1,0),IF($X124&lt;30,1,0))</formula>
    </cfRule>
    <cfRule type="expression" priority="94" dxfId="0">
      <formula>AND(IF($Q124=3,1,IF($Q124=4,1,0)),IF($F124&lt;=85,1,0))</formula>
    </cfRule>
  </conditionalFormatting>
  <conditionalFormatting sqref="AI124">
    <cfRule type="expression" priority="87" dxfId="3">
      <formula>AND(IF(OR($Q124=1,$Q124=2),1,0),IF($X124&lt;=20,1,0))</formula>
    </cfRule>
    <cfRule type="expression" priority="88" dxfId="2">
      <formula>AND(IF($Q124=2,1,0),IF($X124&lt;30,1,0))</formula>
    </cfRule>
    <cfRule type="expression" priority="89" dxfId="1">
      <formula>AND(IF($Q124=3,1,0),IF($X124&lt;30,1,0))</formula>
    </cfRule>
    <cfRule type="expression" priority="90" dxfId="0">
      <formula>AND(IF($Q124=3,1,IF($Q124=4,1,0)),IF($F124&lt;=85,1,0))</formula>
    </cfRule>
  </conditionalFormatting>
  <conditionalFormatting sqref="AV125">
    <cfRule type="expression" priority="85" dxfId="23">
      <formula>AV125="X"</formula>
    </cfRule>
    <cfRule type="expression" priority="86" dxfId="22">
      <formula>AV125="후보"</formula>
    </cfRule>
  </conditionalFormatting>
  <conditionalFormatting sqref="AC125 N125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 N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9">
    <cfRule type="expression" priority="37" dxfId="23">
      <formula>AV129="X"</formula>
    </cfRule>
    <cfRule type="expression" priority="38" dxfId="22">
      <formula>AV129="후보"</formula>
    </cfRule>
  </conditionalFormatting>
  <conditionalFormatting sqref="AC1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9">
    <cfRule type="expression" priority="28" dxfId="3">
      <formula>AND(IF(OR($Q129=1,$Q129=2),1,0),IF($X129&lt;=20,1,0))</formula>
    </cfRule>
    <cfRule type="expression" priority="29" dxfId="2">
      <formula>AND(IF($Q129=2,1,0),IF($X129&lt;30,1,0))</formula>
    </cfRule>
    <cfRule type="expression" priority="30" dxfId="1">
      <formula>AND(IF($Q129=3,1,0),IF($X129&lt;30,1,0))</formula>
    </cfRule>
    <cfRule type="expression" priority="31" dxfId="0">
      <formula>AND(IF($Q129=3,1,IF($Q129=4,1,0)),IF($F129&lt;=85,1,0))</formula>
    </cfRule>
  </conditionalFormatting>
  <conditionalFormatting sqref="X129">
    <cfRule type="expression" priority="24" dxfId="3">
      <formula>AND(IF(OR($Q129=1,$Q129=2),1,0),IF($X129&lt;=20,1,0))</formula>
    </cfRule>
    <cfRule type="expression" priority="25" dxfId="2">
      <formula>AND(IF($Q129=2,1,0),IF($X129&lt;30,1,0))</formula>
    </cfRule>
    <cfRule type="expression" priority="26" dxfId="1">
      <formula>AND(IF($Q129=3,1,0),IF($X129&lt;30,1,0))</formula>
    </cfRule>
    <cfRule type="expression" priority="27" dxfId="0">
      <formula>AND(IF($Q129=3,1,IF($Q129=4,1,0)),IF($F129&lt;=85,1,0))</formula>
    </cfRule>
  </conditionalFormatting>
  <conditionalFormatting sqref="AI129">
    <cfRule type="expression" priority="20" dxfId="3">
      <formula>AND(IF(OR($Q129=1,$Q129=2),1,0),IF($X129&lt;=20,1,0))</formula>
    </cfRule>
    <cfRule type="expression" priority="21" dxfId="2">
      <formula>AND(IF($Q129=2,1,0),IF($X129&lt;30,1,0))</formula>
    </cfRule>
    <cfRule type="expression" priority="22" dxfId="1">
      <formula>AND(IF($Q129=3,1,0),IF($X129&lt;30,1,0))</formula>
    </cfRule>
    <cfRule type="expression" priority="23" dxfId="0">
      <formula>AND(IF($Q129=3,1,IF($Q129=4,1,0)),IF($F129&lt;=85,1,0))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0" sqref="U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효성동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태산</t>
        </is>
      </c>
      <c r="B6" s="10" t="inlineStr">
        <is>
          <t>'97.10.</t>
        </is>
      </c>
      <c r="C6" s="132" t="n">
        <v>1178</v>
      </c>
      <c r="D6" s="130" t="n">
        <v>78.3</v>
      </c>
      <c r="E6" s="131" t="n">
        <v>24</v>
      </c>
      <c r="F6" s="130" t="n">
        <v>60</v>
      </c>
      <c r="G6" s="17" t="n">
        <v>18</v>
      </c>
      <c r="H6" s="132" t="n">
        <v>524</v>
      </c>
      <c r="I6" s="133" t="n">
        <v>27000</v>
      </c>
      <c r="J6" s="133" t="inlineStr">
        <is>
          <t>10</t>
        </is>
      </c>
      <c r="K6" s="133" t="n">
        <v>22000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태산</t>
        </is>
      </c>
      <c r="B7" s="10" t="inlineStr">
        <is>
          <t>'97.10.</t>
        </is>
      </c>
      <c r="C7" s="132" t="n">
        <v>1178</v>
      </c>
      <c r="D7" s="130" t="n">
        <v>109.4</v>
      </c>
      <c r="E7" s="131" t="n">
        <v>33</v>
      </c>
      <c r="F7" s="130" t="n">
        <v>84.8</v>
      </c>
      <c r="G7" s="17" t="n">
        <v>26</v>
      </c>
      <c r="H7" s="132" t="n">
        <v>654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백영</t>
        </is>
      </c>
      <c r="B9" s="10" t="inlineStr">
        <is>
          <t>'96.05.</t>
        </is>
      </c>
      <c r="C9" s="132" t="n">
        <v>208</v>
      </c>
      <c r="D9" s="130" t="n">
        <v>85.40000000000001</v>
      </c>
      <c r="E9" s="131" t="n">
        <v>26</v>
      </c>
      <c r="F9" s="130" t="n">
        <v>60</v>
      </c>
      <c r="G9" s="17" t="n">
        <v>18</v>
      </c>
      <c r="H9" s="132" t="n">
        <v>133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85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백영</t>
        </is>
      </c>
      <c r="B10" s="10" t="inlineStr">
        <is>
          <t>'96.05.</t>
        </is>
      </c>
      <c r="C10" s="132" t="n">
        <v>208</v>
      </c>
      <c r="D10" s="130" t="n">
        <v>88.3</v>
      </c>
      <c r="E10" s="131" t="n">
        <v>27</v>
      </c>
      <c r="F10" s="130" t="n">
        <v>60</v>
      </c>
      <c r="G10" s="17" t="n">
        <v>18</v>
      </c>
      <c r="H10" s="132" t="n">
        <v>75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복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현대3차</t>
        </is>
      </c>
      <c r="B12" s="10" t="inlineStr">
        <is>
          <t>'92.11.</t>
        </is>
      </c>
      <c r="C12" s="132" t="n">
        <v>374</v>
      </c>
      <c r="D12" s="130" t="n">
        <v>79.2</v>
      </c>
      <c r="E12" s="131" t="n">
        <v>24</v>
      </c>
      <c r="F12" s="130" t="n">
        <v>55.3</v>
      </c>
      <c r="G12" s="17" t="n">
        <v>17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79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현대3차</t>
        </is>
      </c>
      <c r="B13" s="10" t="inlineStr">
        <is>
          <t>'92.11.</t>
        </is>
      </c>
      <c r="C13" s="132" t="n">
        <v>374</v>
      </c>
      <c r="D13" s="130" t="n">
        <v>87.40000000000001</v>
      </c>
      <c r="E13" s="131" t="n">
        <v>26</v>
      </c>
      <c r="F13" s="130" t="n">
        <v>71.5</v>
      </c>
      <c r="G13" s="17" t="n">
        <v>22</v>
      </c>
      <c r="H13" s="132" t="n">
        <v>72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87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현대3차</t>
        </is>
      </c>
      <c r="B14" s="10" t="inlineStr">
        <is>
          <t>'92.11.</t>
        </is>
      </c>
      <c r="C14" s="132" t="n">
        <v>374</v>
      </c>
      <c r="D14" s="130" t="n">
        <v>102.4</v>
      </c>
      <c r="E14" s="131" t="n">
        <v>31</v>
      </c>
      <c r="F14" s="130" t="n">
        <v>85</v>
      </c>
      <c r="G14" s="17" t="n">
        <v>26</v>
      </c>
      <c r="H14" s="132" t="n">
        <v>266</v>
      </c>
      <c r="I14" s="133" t="n">
        <v>38000</v>
      </c>
      <c r="J14" s="133" t="inlineStr">
        <is>
          <t>15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현대2차</t>
        </is>
      </c>
      <c r="B16" s="10" t="inlineStr">
        <is>
          <t>'92.11.</t>
        </is>
      </c>
      <c r="C16" s="132" t="n">
        <v>340</v>
      </c>
      <c r="D16" s="130" t="n">
        <v>102.1</v>
      </c>
      <c r="E16" s="131" t="n">
        <v>31</v>
      </c>
      <c r="F16" s="130" t="n">
        <v>84.90000000000001</v>
      </c>
      <c r="G16" s="17" t="n">
        <v>26</v>
      </c>
      <c r="H16" s="132" t="n">
        <v>240</v>
      </c>
      <c r="I16" s="133" t="n">
        <v>42000</v>
      </c>
      <c r="J16" s="133" t="inlineStr">
        <is>
          <t>14</t>
        </is>
      </c>
      <c r="K16" s="133" t="n">
        <v>27000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현대2차</t>
        </is>
      </c>
      <c r="B17" s="10" t="inlineStr">
        <is>
          <t>'92.11.</t>
        </is>
      </c>
      <c r="C17" s="132" t="n">
        <v>340</v>
      </c>
      <c r="D17" s="130" t="n">
        <v>155</v>
      </c>
      <c r="E17" s="131" t="n">
        <v>47</v>
      </c>
      <c r="F17" s="130" t="n">
        <v>129</v>
      </c>
      <c r="G17" s="17" t="n">
        <v>39</v>
      </c>
      <c r="H17" s="132" t="n">
        <v>100</v>
      </c>
      <c r="I17" s="133" t="n">
        <v>50000</v>
      </c>
      <c r="J17" s="133" t="inlineStr">
        <is>
          <t>23</t>
        </is>
      </c>
      <c r="K17" s="133" t="n">
        <v>37000</v>
      </c>
      <c r="L17" s="133" t="inlineStr">
        <is>
          <t>10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하나</t>
        </is>
      </c>
      <c r="B19" s="10" t="inlineStr">
        <is>
          <t>'96.09.</t>
        </is>
      </c>
      <c r="C19" s="132" t="n">
        <v>498</v>
      </c>
      <c r="D19" s="130" t="n">
        <v>79.09999999999999</v>
      </c>
      <c r="E19" s="131" t="n">
        <v>24</v>
      </c>
      <c r="F19" s="130" t="n">
        <v>59.8</v>
      </c>
      <c r="G19" s="17" t="n">
        <v>18</v>
      </c>
      <c r="H19" s="132" t="n">
        <v>250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하나</t>
        </is>
      </c>
      <c r="B20" s="10" t="inlineStr">
        <is>
          <t>'96.09.</t>
        </is>
      </c>
      <c r="C20" s="132" t="n">
        <v>498</v>
      </c>
      <c r="D20" s="130" t="n">
        <v>107</v>
      </c>
      <c r="E20" s="131" t="n">
        <v>32</v>
      </c>
      <c r="F20" s="130" t="n">
        <v>84.90000000000001</v>
      </c>
      <c r="G20" s="17" t="n">
        <v>26</v>
      </c>
      <c r="H20" s="132" t="n">
        <v>176</v>
      </c>
      <c r="I20" s="133" t="n">
        <v>42000</v>
      </c>
      <c r="J20" s="133" t="inlineStr">
        <is>
          <t>7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하나</t>
        </is>
      </c>
      <c r="B21" s="10" t="inlineStr">
        <is>
          <t>'96.09.</t>
        </is>
      </c>
      <c r="C21" s="132" t="n">
        <v>498</v>
      </c>
      <c r="D21" s="130" t="n">
        <v>130.2</v>
      </c>
      <c r="E21" s="131" t="n">
        <v>39</v>
      </c>
      <c r="F21" s="130" t="n">
        <v>104.5</v>
      </c>
      <c r="G21" s="17" t="n">
        <v>32</v>
      </c>
      <c r="H21" s="132" t="n">
        <v>72</v>
      </c>
      <c r="I21" s="133" t="n">
        <v>41000</v>
      </c>
      <c r="J21" s="133" t="inlineStr">
        <is>
          <t>14</t>
        </is>
      </c>
      <c r="K21" s="133" t="n">
        <v>30000</v>
      </c>
      <c r="L21" s="133" t="inlineStr">
        <is>
          <t>14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새사미</t>
        </is>
      </c>
      <c r="B23" s="10" t="inlineStr">
        <is>
          <t>'85.01.</t>
        </is>
      </c>
      <c r="C23" s="132" t="n">
        <v>280</v>
      </c>
      <c r="D23" s="130" t="n">
        <v>61.4</v>
      </c>
      <c r="E23" s="131" t="n">
        <v>19</v>
      </c>
      <c r="F23" s="130" t="n">
        <v>48.9</v>
      </c>
      <c r="G23" s="17" t="n">
        <v>15</v>
      </c>
      <c r="H23" s="132" t="n">
        <v>140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새사미</t>
        </is>
      </c>
      <c r="B24" s="10" t="inlineStr">
        <is>
          <t>'85.01.</t>
        </is>
      </c>
      <c r="C24" s="132" t="n">
        <v>280</v>
      </c>
      <c r="D24" s="130" t="n">
        <v>71.40000000000001</v>
      </c>
      <c r="E24" s="131" t="n">
        <v>22</v>
      </c>
      <c r="F24" s="130" t="n">
        <v>57.8</v>
      </c>
      <c r="G24" s="17" t="n">
        <v>17</v>
      </c>
      <c r="H24" s="132" t="n">
        <v>140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71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5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뉴서울6차</t>
        </is>
      </c>
      <c r="B26" s="10" t="inlineStr">
        <is>
          <t>'95.05.</t>
        </is>
      </c>
      <c r="C26" s="132" t="n">
        <v>370</v>
      </c>
      <c r="D26" s="130" t="n">
        <v>76.8</v>
      </c>
      <c r="E26" s="131" t="n">
        <v>23</v>
      </c>
      <c r="F26" s="130" t="n">
        <v>59.8</v>
      </c>
      <c r="G26" s="17" t="n">
        <v>18</v>
      </c>
      <c r="H26" s="132" t="n">
        <v>224</v>
      </c>
      <c r="I26" s="133" t="n">
        <v>27000</v>
      </c>
      <c r="J26" s="133" t="inlineStr">
        <is>
          <t>6</t>
        </is>
      </c>
      <c r="K26" s="133" t="n">
        <v>23000</v>
      </c>
      <c r="L26" s="133" t="inlineStr">
        <is>
          <t>15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76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뉴서울6차</t>
        </is>
      </c>
      <c r="B27" s="10" t="inlineStr">
        <is>
          <t>'95.05.</t>
        </is>
      </c>
      <c r="C27" s="132" t="n">
        <v>370</v>
      </c>
      <c r="D27" s="130" t="n">
        <v>95.3</v>
      </c>
      <c r="E27" s="131" t="n">
        <v>29</v>
      </c>
      <c r="F27" s="130" t="n">
        <v>75.7</v>
      </c>
      <c r="G27" s="17" t="n">
        <v>23</v>
      </c>
      <c r="H27" s="132" t="n">
        <v>20</v>
      </c>
      <c r="I27" s="133" t="n">
        <v>36000</v>
      </c>
      <c r="J27" s="133" t="inlineStr">
        <is>
          <t>16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95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뉴서울6차</t>
        </is>
      </c>
      <c r="B28" s="10" t="inlineStr">
        <is>
          <t>'95.05.</t>
        </is>
      </c>
      <c r="C28" s="132" t="n">
        <v>370</v>
      </c>
      <c r="D28" s="130" t="n">
        <v>103.8</v>
      </c>
      <c r="E28" s="131" t="n">
        <v>31</v>
      </c>
      <c r="F28" s="130" t="n">
        <v>85</v>
      </c>
      <c r="G28" s="17" t="n">
        <v>26</v>
      </c>
      <c r="H28" s="132" t="n">
        <v>126</v>
      </c>
      <c r="I28" s="133" t="n">
        <v>40000</v>
      </c>
      <c r="J28" s="133" t="inlineStr">
        <is>
          <t>20</t>
        </is>
      </c>
      <c r="K28" s="133" t="n">
        <v>30000</v>
      </c>
      <c r="L28" s="133" t="inlineStr">
        <is>
          <t>20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103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효성대림</t>
        </is>
      </c>
      <c r="B30" s="10" t="inlineStr">
        <is>
          <t>'99.09.</t>
        </is>
      </c>
      <c r="C30" s="132" t="n">
        <v>298</v>
      </c>
      <c r="D30" s="130" t="n">
        <v>74.5</v>
      </c>
      <c r="E30" s="131" t="n">
        <v>23</v>
      </c>
      <c r="F30" s="130" t="n">
        <v>52.2</v>
      </c>
      <c r="G30" s="17" t="n">
        <v>16</v>
      </c>
      <c r="H30" s="132" t="n">
        <v>2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74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효성대림</t>
        </is>
      </c>
      <c r="B31" s="10" t="inlineStr">
        <is>
          <t>'99.09.</t>
        </is>
      </c>
      <c r="C31" s="132" t="n">
        <v>298</v>
      </c>
      <c r="D31" s="130" t="n">
        <v>81.5</v>
      </c>
      <c r="E31" s="131" t="n">
        <v>25</v>
      </c>
      <c r="F31" s="130" t="n">
        <v>59.2</v>
      </c>
      <c r="G31" s="17" t="n">
        <v>18</v>
      </c>
      <c r="H31" s="132" t="n">
        <v>123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81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효성대림</t>
        </is>
      </c>
      <c r="B32" s="10" t="inlineStr">
        <is>
          <t>'99.09.</t>
        </is>
      </c>
      <c r="C32" s="132" t="n">
        <v>298</v>
      </c>
      <c r="D32" s="130" t="n">
        <v>108.9</v>
      </c>
      <c r="E32" s="131" t="n">
        <v>33</v>
      </c>
      <c r="F32" s="130" t="n">
        <v>84</v>
      </c>
      <c r="G32" s="17" t="n">
        <v>25</v>
      </c>
      <c r="H32" s="132" t="n">
        <v>137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108A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효성대림</t>
        </is>
      </c>
      <c r="B33" s="10" t="inlineStr">
        <is>
          <t>'99.09.</t>
        </is>
      </c>
      <c r="C33" s="132" t="n">
        <v>298</v>
      </c>
      <c r="D33" s="130" t="n">
        <v>110</v>
      </c>
      <c r="E33" s="131" t="n">
        <v>33</v>
      </c>
      <c r="F33" s="130" t="n">
        <v>84.09999999999999</v>
      </c>
      <c r="G33" s="17" t="n">
        <v>25</v>
      </c>
      <c r="H33" s="132" t="n">
        <v>36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110B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5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중앙하이츠</t>
        </is>
      </c>
      <c r="B35" s="10" t="inlineStr">
        <is>
          <t>'96.11.</t>
        </is>
      </c>
      <c r="C35" s="132" t="n">
        <v>375</v>
      </c>
      <c r="D35" s="130" t="n">
        <v>81</v>
      </c>
      <c r="E35" s="131" t="n">
        <v>24</v>
      </c>
      <c r="F35" s="130" t="n">
        <v>60</v>
      </c>
      <c r="G35" s="17" t="n">
        <v>18</v>
      </c>
      <c r="H35" s="132" t="n">
        <v>194</v>
      </c>
      <c r="I35" s="133" t="n">
        <v>23000</v>
      </c>
      <c r="J35" s="133" t="inlineStr">
        <is>
          <t>10</t>
        </is>
      </c>
      <c r="K35" s="133" t="n">
        <v>18000</v>
      </c>
      <c r="L35" s="133" t="inlineStr">
        <is>
          <t>10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n">
        <v>80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중앙하이츠</t>
        </is>
      </c>
      <c r="B36" s="10" t="inlineStr">
        <is>
          <t>'96.11.</t>
        </is>
      </c>
      <c r="C36" s="132" t="n">
        <v>375</v>
      </c>
      <c r="D36" s="130" t="n">
        <v>107.4</v>
      </c>
      <c r="E36" s="131" t="n">
        <v>33</v>
      </c>
      <c r="F36" s="130" t="n">
        <v>84.90000000000001</v>
      </c>
      <c r="G36" s="17" t="n">
        <v>26</v>
      </c>
      <c r="H36" s="132" t="n">
        <v>164</v>
      </c>
      <c r="I36" s="133" t="n">
        <v>36000</v>
      </c>
      <c r="J36" s="133" t="inlineStr">
        <is>
          <t>6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107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중앙하이츠</t>
        </is>
      </c>
      <c r="B37" s="10" t="inlineStr">
        <is>
          <t>'96.11.</t>
        </is>
      </c>
      <c r="C37" s="132" t="n">
        <v>375</v>
      </c>
      <c r="D37" s="130" t="n">
        <v>116.7</v>
      </c>
      <c r="E37" s="131" t="n">
        <v>35</v>
      </c>
      <c r="F37" s="130" t="n">
        <v>89.2</v>
      </c>
      <c r="G37" s="17" t="n">
        <v>27</v>
      </c>
      <c r="H37" s="132" t="n">
        <v>17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116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미도</t>
        </is>
      </c>
      <c r="B39" s="10" t="inlineStr">
        <is>
          <t>'85.01.</t>
        </is>
      </c>
      <c r="C39" s="132" t="n">
        <v>205</v>
      </c>
      <c r="D39" s="130" t="n">
        <v>54.5</v>
      </c>
      <c r="E39" s="131" t="n">
        <v>16</v>
      </c>
      <c r="F39" s="130" t="n">
        <v>46</v>
      </c>
      <c r="G39" s="17" t="n">
        <v>14</v>
      </c>
      <c r="H39" s="132" t="n">
        <v>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미도</t>
        </is>
      </c>
      <c r="B40" s="10" t="inlineStr">
        <is>
          <t>'85.01.</t>
        </is>
      </c>
      <c r="C40" s="132" t="n">
        <v>205</v>
      </c>
      <c r="D40" s="130" t="n">
        <v>71</v>
      </c>
      <c r="E40" s="131" t="n">
        <v>21</v>
      </c>
      <c r="F40" s="130" t="n">
        <v>59.9</v>
      </c>
      <c r="G40" s="17" t="n">
        <v>18</v>
      </c>
      <c r="H40" s="132" t="n">
        <v>5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71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미도</t>
        </is>
      </c>
      <c r="B41" s="10" t="inlineStr">
        <is>
          <t>'85.01.</t>
        </is>
      </c>
      <c r="C41" s="132" t="n">
        <v>205</v>
      </c>
      <c r="D41" s="130" t="n">
        <v>78.40000000000001</v>
      </c>
      <c r="E41" s="131" t="n">
        <v>24</v>
      </c>
      <c r="F41" s="130" t="n">
        <v>66</v>
      </c>
      <c r="G41" s="17" t="n">
        <v>20</v>
      </c>
      <c r="H41" s="132" t="n">
        <v>70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78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미도</t>
        </is>
      </c>
      <c r="B42" s="10" t="inlineStr">
        <is>
          <t>'85.01.</t>
        </is>
      </c>
      <c r="C42" s="132" t="n">
        <v>205</v>
      </c>
      <c r="D42" s="130" t="n">
        <v>80.8</v>
      </c>
      <c r="E42" s="131" t="n">
        <v>24</v>
      </c>
      <c r="F42" s="130" t="n">
        <v>68</v>
      </c>
      <c r="G42" s="17" t="n">
        <v>21</v>
      </c>
      <c r="H42" s="132" t="n">
        <v>40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80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미도</t>
        </is>
      </c>
      <c r="B43" s="10" t="inlineStr">
        <is>
          <t>'85.01.</t>
        </is>
      </c>
      <c r="C43" s="132" t="n">
        <v>205</v>
      </c>
      <c r="D43" s="130" t="n">
        <v>85.2</v>
      </c>
      <c r="E43" s="131" t="n">
        <v>26</v>
      </c>
      <c r="F43" s="130" t="n">
        <v>71.59999999999999</v>
      </c>
      <c r="G43" s="17" t="n">
        <v>22</v>
      </c>
      <c r="H43" s="132" t="n">
        <v>20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미도</t>
        </is>
      </c>
      <c r="B44" s="10" t="inlineStr">
        <is>
          <t>'85.01.</t>
        </is>
      </c>
      <c r="C44" s="132" t="n">
        <v>205</v>
      </c>
      <c r="D44" s="130" t="n">
        <v>94.8</v>
      </c>
      <c r="E44" s="131" t="n">
        <v>29</v>
      </c>
      <c r="F44" s="130" t="n">
        <v>79.7</v>
      </c>
      <c r="G44" s="17" t="n">
        <v>24</v>
      </c>
      <c r="H44" s="132" t="n">
        <v>60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94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미도</t>
        </is>
      </c>
      <c r="B45" s="10" t="inlineStr">
        <is>
          <t>'85.01.</t>
        </is>
      </c>
      <c r="C45" s="132" t="n">
        <v>205</v>
      </c>
      <c r="D45" s="130" t="n">
        <v>106.6</v>
      </c>
      <c r="E45" s="131" t="n">
        <v>32</v>
      </c>
      <c r="F45" s="130" t="n">
        <v>89.59999999999999</v>
      </c>
      <c r="G45" s="17" t="n">
        <v>27</v>
      </c>
      <c r="H45" s="132" t="n">
        <v>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106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뉴서울5차</t>
        </is>
      </c>
      <c r="B47" s="10" t="inlineStr">
        <is>
          <t>'94.12.</t>
        </is>
      </c>
      <c r="C47" s="132" t="n">
        <v>648</v>
      </c>
      <c r="D47" s="130" t="n">
        <v>74.59999999999999</v>
      </c>
      <c r="E47" s="131" t="n">
        <v>23</v>
      </c>
      <c r="F47" s="130" t="n">
        <v>59.7</v>
      </c>
      <c r="G47" s="17" t="n">
        <v>18</v>
      </c>
      <c r="H47" s="132" t="n">
        <v>260</v>
      </c>
      <c r="I47" s="133" t="n">
        <v>26000</v>
      </c>
      <c r="J47" s="133" t="inlineStr">
        <is>
          <t>16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74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뉴서울5차</t>
        </is>
      </c>
      <c r="B48" s="10" t="inlineStr">
        <is>
          <t>'94.12.</t>
        </is>
      </c>
      <c r="C48" s="132" t="n">
        <v>648</v>
      </c>
      <c r="D48" s="130" t="n">
        <v>105.5</v>
      </c>
      <c r="E48" s="131" t="n">
        <v>32</v>
      </c>
      <c r="F48" s="130" t="n">
        <v>84.40000000000001</v>
      </c>
      <c r="G48" s="17" t="n">
        <v>26</v>
      </c>
      <c r="H48" s="132" t="n">
        <v>388</v>
      </c>
      <c r="I48" s="133" t="n">
        <v>40000</v>
      </c>
      <c r="J48" s="133" t="inlineStr">
        <is>
          <t>6</t>
        </is>
      </c>
      <c r="K48" s="133" t="n">
        <v>30000</v>
      </c>
      <c r="L48" s="133" t="inlineStr">
        <is>
          <t>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105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유승그린</t>
        </is>
      </c>
      <c r="B50" s="10" t="inlineStr">
        <is>
          <t>'96.11.</t>
        </is>
      </c>
      <c r="C50" s="132" t="n">
        <v>279</v>
      </c>
      <c r="D50" s="130" t="n">
        <v>84.09999999999999</v>
      </c>
      <c r="E50" s="131" t="n">
        <v>25</v>
      </c>
      <c r="F50" s="130" t="n">
        <v>59.9</v>
      </c>
      <c r="G50" s="17" t="n">
        <v>18</v>
      </c>
      <c r="H50" s="132" t="n">
        <v>279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1</v>
      </c>
      <c r="S50" s="117" t="inlineStr">
        <is>
          <t>복</t>
        </is>
      </c>
      <c r="T50" s="5" t="n">
        <v>84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55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뉴서울1차</t>
        </is>
      </c>
      <c r="B52" s="10" t="inlineStr">
        <is>
          <t>'85.06.</t>
        </is>
      </c>
      <c r="C52" s="132" t="n">
        <v>460</v>
      </c>
      <c r="D52" s="130" t="n">
        <v>56.5</v>
      </c>
      <c r="E52" s="131" t="n">
        <v>17</v>
      </c>
      <c r="F52" s="130" t="n">
        <v>40.3</v>
      </c>
      <c r="G52" s="17" t="n">
        <v>12</v>
      </c>
      <c r="H52" s="132" t="n">
        <v>50</v>
      </c>
      <c r="I52" s="133" t="n">
        <v>22000</v>
      </c>
      <c r="J52" s="133" t="inlineStr">
        <is>
          <t>5</t>
        </is>
      </c>
      <c r="K52" s="133" t="n">
        <v>6000</v>
      </c>
      <c r="L52" s="133" t="inlineStr">
        <is>
          <t>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뉴서울1차</t>
        </is>
      </c>
      <c r="B53" s="10" t="inlineStr">
        <is>
          <t>'85.06.</t>
        </is>
      </c>
      <c r="C53" s="132" t="n">
        <v>460</v>
      </c>
      <c r="D53" s="130" t="n">
        <v>58.5</v>
      </c>
      <c r="E53" s="131" t="n">
        <v>18</v>
      </c>
      <c r="F53" s="130" t="n">
        <v>41.7</v>
      </c>
      <c r="G53" s="17" t="n">
        <v>13</v>
      </c>
      <c r="H53" s="132" t="n">
        <v>150</v>
      </c>
      <c r="I53" s="133" t="n">
        <v>21000</v>
      </c>
      <c r="J53" s="133" t="inlineStr">
        <is>
          <t>5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뉴서울1차</t>
        </is>
      </c>
      <c r="B54" s="10" t="inlineStr">
        <is>
          <t>'85.06.</t>
        </is>
      </c>
      <c r="C54" s="132" t="n">
        <v>460</v>
      </c>
      <c r="D54" s="130" t="n">
        <v>61.4</v>
      </c>
      <c r="E54" s="131" t="n">
        <v>19</v>
      </c>
      <c r="F54" s="130" t="n">
        <v>44</v>
      </c>
      <c r="G54" s="17" t="n">
        <v>13</v>
      </c>
      <c r="H54" s="132" t="n">
        <v>90</v>
      </c>
      <c r="I54" s="133" t="n">
        <v>23500</v>
      </c>
      <c r="J54" s="133" t="inlineStr">
        <is>
          <t>5</t>
        </is>
      </c>
      <c r="K54" s="133" t="n">
        <v>9000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61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뉴서울1차</t>
        </is>
      </c>
      <c r="B55" s="10" t="inlineStr">
        <is>
          <t>'85.06.</t>
        </is>
      </c>
      <c r="C55" s="132" t="n">
        <v>460</v>
      </c>
      <c r="D55" s="130" t="n">
        <v>67.40000000000001</v>
      </c>
      <c r="E55" s="131" t="n">
        <v>20</v>
      </c>
      <c r="F55" s="130" t="n">
        <v>49</v>
      </c>
      <c r="G55" s="17" t="n">
        <v>15</v>
      </c>
      <c r="H55" s="132" t="n">
        <v>100</v>
      </c>
      <c r="I55" s="133" t="n">
        <v>27500</v>
      </c>
      <c r="J55" s="133" t="inlineStr">
        <is>
          <t>5</t>
        </is>
      </c>
      <c r="K55" s="133" t="n">
        <v>6500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뉴서울1차</t>
        </is>
      </c>
      <c r="B56" s="10" t="inlineStr">
        <is>
          <t>'85.06.</t>
        </is>
      </c>
      <c r="C56" s="132" t="n">
        <v>460</v>
      </c>
      <c r="D56" s="130" t="n">
        <v>70.5</v>
      </c>
      <c r="E56" s="131" t="n">
        <v>21</v>
      </c>
      <c r="F56" s="130" t="n">
        <v>51.6</v>
      </c>
      <c r="G56" s="17" t="n">
        <v>16</v>
      </c>
      <c r="H56" s="132" t="n">
        <v>70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5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풍림</t>
        </is>
      </c>
      <c r="B58" s="10" t="inlineStr">
        <is>
          <t>'97.07.</t>
        </is>
      </c>
      <c r="C58" s="132" t="n">
        <v>342</v>
      </c>
      <c r="D58" s="130" t="n">
        <v>81.2</v>
      </c>
      <c r="E58" s="131" t="n">
        <v>25</v>
      </c>
      <c r="F58" s="130" t="n">
        <v>60</v>
      </c>
      <c r="G58" s="17" t="n">
        <v>18</v>
      </c>
      <c r="H58" s="132" t="n">
        <v>130</v>
      </c>
      <c r="I58" s="133" t="n">
        <v>31000</v>
      </c>
      <c r="J58" s="133" t="inlineStr">
        <is>
          <t>12</t>
        </is>
      </c>
      <c r="K58" s="133" t="n">
        <v>27000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81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풍림</t>
        </is>
      </c>
      <c r="B59" s="10" t="inlineStr">
        <is>
          <t>'97.07.</t>
        </is>
      </c>
      <c r="C59" s="132" t="n">
        <v>342</v>
      </c>
      <c r="D59" s="130" t="n">
        <v>108.6</v>
      </c>
      <c r="E59" s="131" t="n">
        <v>33</v>
      </c>
      <c r="F59" s="130" t="n">
        <v>84.90000000000001</v>
      </c>
      <c r="G59" s="17" t="n">
        <v>26</v>
      </c>
      <c r="H59" s="132" t="n">
        <v>156</v>
      </c>
      <c r="I59" s="133" t="n">
        <v>45000</v>
      </c>
      <c r="J59" s="133" t="inlineStr">
        <is>
          <t>9</t>
        </is>
      </c>
      <c r="K59" s="133" t="n">
        <v>35000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108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풍림</t>
        </is>
      </c>
      <c r="B60" s="10" t="inlineStr">
        <is>
          <t>'97.07.</t>
        </is>
      </c>
      <c r="C60" s="132" t="n">
        <v>342</v>
      </c>
      <c r="D60" s="130" t="n">
        <v>137.4</v>
      </c>
      <c r="E60" s="131" t="n">
        <v>42</v>
      </c>
      <c r="F60" s="130" t="n">
        <v>111</v>
      </c>
      <c r="G60" s="17" t="n">
        <v>34</v>
      </c>
      <c r="H60" s="132" t="n">
        <v>6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137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풍림</t>
        </is>
      </c>
      <c r="B61" s="10" t="inlineStr">
        <is>
          <t>'97.07.</t>
        </is>
      </c>
      <c r="C61" s="132" t="n">
        <v>342</v>
      </c>
      <c r="D61" s="130" t="n">
        <v>144.7</v>
      </c>
      <c r="E61" s="131" t="n">
        <v>44</v>
      </c>
      <c r="F61" s="130" t="n">
        <v>117.7</v>
      </c>
      <c r="G61" s="17" t="n">
        <v>36</v>
      </c>
      <c r="H61" s="132" t="n">
        <v>40</v>
      </c>
      <c r="I61" s="133" t="n">
        <v>60000</v>
      </c>
      <c r="J61" s="133" t="inlineStr">
        <is>
          <t>15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144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풍림</t>
        </is>
      </c>
      <c r="B62" s="10" t="inlineStr">
        <is>
          <t>'97.07.</t>
        </is>
      </c>
      <c r="C62" s="132" t="n">
        <v>342</v>
      </c>
      <c r="D62" s="130" t="n">
        <v>186.5</v>
      </c>
      <c r="E62" s="131" t="n">
        <v>56</v>
      </c>
      <c r="F62" s="130" t="n">
        <v>155.6</v>
      </c>
      <c r="G62" s="17" t="n">
        <v>47</v>
      </c>
      <c r="H62" s="132" t="n">
        <v>8</v>
      </c>
      <c r="I62" s="133" t="n">
        <v>67000</v>
      </c>
      <c r="J62" s="133" t="inlineStr">
        <is>
          <t>20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n">
        <v>186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풍림</t>
        </is>
      </c>
      <c r="B63" s="10" t="inlineStr">
        <is>
          <t>'97.07.</t>
        </is>
      </c>
      <c r="C63" s="132" t="n">
        <v>342</v>
      </c>
      <c r="D63" s="130" t="n">
        <v>239.7</v>
      </c>
      <c r="E63" s="131" t="n">
        <v>72</v>
      </c>
      <c r="F63" s="130" t="n">
        <v>203.9</v>
      </c>
      <c r="G63" s="17" t="n">
        <v>62</v>
      </c>
      <c r="H63" s="132" t="n">
        <v>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7</v>
      </c>
      <c r="R63" s="117" t="n">
        <v>4</v>
      </c>
      <c r="S63" s="117" t="inlineStr">
        <is>
          <t>계</t>
        </is>
      </c>
      <c r="T63" s="5" t="n">
        <v>239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동아</t>
        </is>
      </c>
      <c r="B65" s="10" t="inlineStr">
        <is>
          <t>'86.05.</t>
        </is>
      </c>
      <c r="C65" s="132" t="n">
        <v>270</v>
      </c>
      <c r="D65" s="130" t="n">
        <v>57.5</v>
      </c>
      <c r="E65" s="131" t="n">
        <v>17</v>
      </c>
      <c r="F65" s="130" t="n">
        <v>45.2</v>
      </c>
      <c r="G65" s="17" t="n">
        <v>14</v>
      </c>
      <c r="H65" s="132" t="n">
        <v>140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57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'86.05.</t>
        </is>
      </c>
      <c r="C66" s="132" t="n">
        <v>270</v>
      </c>
      <c r="D66" s="130" t="n">
        <v>66.5</v>
      </c>
      <c r="E66" s="131" t="n">
        <v>20</v>
      </c>
      <c r="F66" s="130" t="n">
        <v>52.9</v>
      </c>
      <c r="G66" s="17" t="n">
        <v>16</v>
      </c>
      <c r="H66" s="132" t="n">
        <v>120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66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'86.05.</t>
        </is>
      </c>
      <c r="C67" s="132" t="n">
        <v>270</v>
      </c>
      <c r="D67" s="130" t="n">
        <v>71</v>
      </c>
      <c r="E67" s="131" t="n">
        <v>21</v>
      </c>
      <c r="F67" s="130" t="n">
        <v>52.1</v>
      </c>
      <c r="G67" s="17" t="n">
        <v>16</v>
      </c>
      <c r="H67" s="132" t="n">
        <v>5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2</v>
      </c>
      <c r="R67" s="117" t="n">
        <v>1</v>
      </c>
      <c r="S67" s="117" t="inlineStr">
        <is>
          <t>합</t>
        </is>
      </c>
      <c r="T67" s="5" t="n">
        <v>70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'86.05.</t>
        </is>
      </c>
      <c r="C68" s="132" t="n">
        <v>270</v>
      </c>
      <c r="D68" s="130" t="n">
        <v>77.59999999999999</v>
      </c>
      <c r="E68" s="131" t="n">
        <v>23</v>
      </c>
      <c r="F68" s="130" t="n">
        <v>58.3</v>
      </c>
      <c r="G68" s="17" t="n">
        <v>18</v>
      </c>
      <c r="H68" s="132" t="n">
        <v>5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77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경남1차</t>
        </is>
      </c>
      <c r="B70" s="10" t="inlineStr">
        <is>
          <t>'87.07.</t>
        </is>
      </c>
      <c r="C70" s="132" t="n">
        <v>310</v>
      </c>
      <c r="D70" s="130" t="n">
        <v>61.6</v>
      </c>
      <c r="E70" s="131" t="n">
        <v>19</v>
      </c>
      <c r="F70" s="130" t="n">
        <v>49.9</v>
      </c>
      <c r="G70" s="17" t="n">
        <v>15</v>
      </c>
      <c r="H70" s="132" t="n">
        <v>290</v>
      </c>
      <c r="I70" s="133" t="n">
        <v>23000</v>
      </c>
      <c r="J70" s="133" t="inlineStr">
        <is>
          <t>5</t>
        </is>
      </c>
      <c r="K70" s="133" t="n">
        <v>11000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61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경남1차</t>
        </is>
      </c>
      <c r="B71" s="10" t="inlineStr">
        <is>
          <t>'87.07.</t>
        </is>
      </c>
      <c r="C71" s="132" t="n">
        <v>310</v>
      </c>
      <c r="D71" s="130" t="n">
        <v>72.2</v>
      </c>
      <c r="E71" s="131" t="n">
        <v>22</v>
      </c>
      <c r="F71" s="130" t="n">
        <v>59.4</v>
      </c>
      <c r="G71" s="17" t="n">
        <v>18</v>
      </c>
      <c r="H71" s="132" t="n">
        <v>20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72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5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뉴서울3차</t>
        </is>
      </c>
      <c r="B73" s="10" t="inlineStr">
        <is>
          <t>'93.08.</t>
        </is>
      </c>
      <c r="C73" s="132" t="n">
        <v>542</v>
      </c>
      <c r="D73" s="130" t="n">
        <v>105.8</v>
      </c>
      <c r="E73" s="131" t="n">
        <v>32</v>
      </c>
      <c r="F73" s="130" t="n">
        <v>84.7</v>
      </c>
      <c r="G73" s="17" t="n">
        <v>26</v>
      </c>
      <c r="H73" s="132" t="n">
        <v>432</v>
      </c>
      <c r="I73" s="133" t="n">
        <v>34000</v>
      </c>
      <c r="J73" s="133" t="inlineStr">
        <is>
          <t>10</t>
        </is>
      </c>
      <c r="K73" s="133" t="n">
        <v>28000</v>
      </c>
      <c r="L73" s="133" t="inlineStr">
        <is>
          <t>14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105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뉴서울3차</t>
        </is>
      </c>
      <c r="B74" s="10" t="inlineStr">
        <is>
          <t>'93.08.</t>
        </is>
      </c>
      <c r="C74" s="132" t="n">
        <v>542</v>
      </c>
      <c r="D74" s="130" t="n">
        <v>109.1</v>
      </c>
      <c r="E74" s="131" t="n">
        <v>33</v>
      </c>
      <c r="F74" s="130" t="n">
        <v>84.5</v>
      </c>
      <c r="G74" s="17" t="n">
        <v>26</v>
      </c>
      <c r="H74" s="132" t="n">
        <v>110</v>
      </c>
      <c r="I74" s="133" t="n">
        <v>34000</v>
      </c>
      <c r="J74" s="133" t="inlineStr">
        <is>
          <t>11</t>
        </is>
      </c>
      <c r="K74" s="133" t="n">
        <v>25000</v>
      </c>
      <c r="L74" s="133" t="inlineStr">
        <is>
          <t>11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복</t>
        </is>
      </c>
      <c r="T74" s="5" t="n">
        <v>109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현대1차</t>
        </is>
      </c>
      <c r="B76" s="10" t="inlineStr">
        <is>
          <t>'91.11.</t>
        </is>
      </c>
      <c r="C76" s="132" t="n">
        <v>874</v>
      </c>
      <c r="D76" s="130" t="n">
        <v>86.8</v>
      </c>
      <c r="E76" s="131" t="n">
        <v>26</v>
      </c>
      <c r="F76" s="130" t="n">
        <v>71.2</v>
      </c>
      <c r="G76" s="17" t="n">
        <v>22</v>
      </c>
      <c r="H76" s="132" t="n">
        <v>234</v>
      </c>
      <c r="I76" s="133" t="n">
        <v>32000</v>
      </c>
      <c r="J76" s="133" t="inlineStr">
        <is>
          <t>17</t>
        </is>
      </c>
      <c r="K76" s="133" t="n">
        <v>27000</v>
      </c>
      <c r="L76" s="133" t="inlineStr">
        <is>
          <t>10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86A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현대1차</t>
        </is>
      </c>
      <c r="B77" s="10" t="inlineStr">
        <is>
          <t>'91.11.</t>
        </is>
      </c>
      <c r="C77" s="132" t="n">
        <v>874</v>
      </c>
      <c r="D77" s="130" t="n">
        <v>86.8</v>
      </c>
      <c r="E77" s="131" t="n">
        <v>26</v>
      </c>
      <c r="F77" s="130" t="n">
        <v>71.2</v>
      </c>
      <c r="G77" s="17" t="n">
        <v>22</v>
      </c>
      <c r="H77" s="132" t="n">
        <v>3</v>
      </c>
      <c r="I77" s="133" t="n">
        <v>32000</v>
      </c>
      <c r="J77" s="133" t="inlineStr">
        <is>
          <t>17</t>
        </is>
      </c>
      <c r="K77" s="133" t="n">
        <v>27000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86B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현대1차</t>
        </is>
      </c>
      <c r="B78" s="10" t="inlineStr">
        <is>
          <t>'91.11.</t>
        </is>
      </c>
      <c r="C78" s="132" t="n">
        <v>874</v>
      </c>
      <c r="D78" s="130" t="n">
        <v>103.6</v>
      </c>
      <c r="E78" s="131" t="n">
        <v>31</v>
      </c>
      <c r="F78" s="130" t="n">
        <v>84.90000000000001</v>
      </c>
      <c r="G78" s="17" t="n">
        <v>26</v>
      </c>
      <c r="H78" s="132" t="n">
        <v>517</v>
      </c>
      <c r="I78" s="133" t="n">
        <v>39000</v>
      </c>
      <c r="J78" s="133" t="inlineStr">
        <is>
          <t>13</t>
        </is>
      </c>
      <c r="K78" s="133" t="n">
        <v>29000</v>
      </c>
      <c r="L78" s="133" t="inlineStr">
        <is>
          <t>7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103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현대1차</t>
        </is>
      </c>
      <c r="B79" s="10" t="inlineStr">
        <is>
          <t>'91.11.</t>
        </is>
      </c>
      <c r="C79" s="132" t="n">
        <v>874</v>
      </c>
      <c r="D79" s="130" t="n">
        <v>158.3</v>
      </c>
      <c r="E79" s="131" t="n">
        <v>48</v>
      </c>
      <c r="F79" s="130" t="n">
        <v>129.7</v>
      </c>
      <c r="G79" s="17" t="n">
        <v>39</v>
      </c>
      <c r="H79" s="132" t="n">
        <v>120</v>
      </c>
      <c r="I79" s="133" t="n">
        <v>58000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158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55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현대4차</t>
        </is>
      </c>
      <c r="B81" s="10" t="inlineStr">
        <is>
          <t>'95.12.</t>
        </is>
      </c>
      <c r="C81" s="132" t="n">
        <v>919</v>
      </c>
      <c r="D81" s="130" t="n">
        <v>74.8</v>
      </c>
      <c r="E81" s="131" t="n">
        <v>23</v>
      </c>
      <c r="F81" s="130" t="n">
        <v>59.4</v>
      </c>
      <c r="G81" s="17" t="n">
        <v>18</v>
      </c>
      <c r="H81" s="132" t="n">
        <v>375</v>
      </c>
      <c r="I81" s="133" t="n">
        <v>28000</v>
      </c>
      <c r="J81" s="133" t="inlineStr">
        <is>
          <t>12</t>
        </is>
      </c>
      <c r="K81" s="133" t="n">
        <v>20000</v>
      </c>
      <c r="L81" s="133" t="inlineStr">
        <is>
          <t>20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복</t>
        </is>
      </c>
      <c r="T81" s="5" t="n">
        <v>74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현대4차</t>
        </is>
      </c>
      <c r="B82" s="10" t="inlineStr">
        <is>
          <t>'95.12.</t>
        </is>
      </c>
      <c r="C82" s="132" t="n">
        <v>919</v>
      </c>
      <c r="D82" s="130" t="n">
        <v>75.09999999999999</v>
      </c>
      <c r="E82" s="131" t="n">
        <v>23</v>
      </c>
      <c r="F82" s="130" t="n">
        <v>59.6</v>
      </c>
      <c r="G82" s="17" t="n">
        <v>18</v>
      </c>
      <c r="H82" s="132" t="n">
        <v>25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inlineStr">
        <is>
          <t>75C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현대4차</t>
        </is>
      </c>
      <c r="B83" s="10" t="inlineStr">
        <is>
          <t>'95.12.</t>
        </is>
      </c>
      <c r="C83" s="132" t="n">
        <v>919</v>
      </c>
      <c r="D83" s="130" t="n">
        <v>105.9</v>
      </c>
      <c r="E83" s="131" t="n">
        <v>32</v>
      </c>
      <c r="F83" s="130" t="n">
        <v>84.09999999999999</v>
      </c>
      <c r="G83" s="17" t="n">
        <v>25</v>
      </c>
      <c r="H83" s="132" t="n">
        <v>25</v>
      </c>
      <c r="I83" s="133" t="n">
        <v>48000</v>
      </c>
      <c r="J83" s="133" t="inlineStr">
        <is>
          <t>22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105C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현대4차</t>
        </is>
      </c>
      <c r="B84" s="10" t="inlineStr">
        <is>
          <t>'95.12.</t>
        </is>
      </c>
      <c r="C84" s="132" t="n">
        <v>919</v>
      </c>
      <c r="D84" s="130" t="n">
        <v>106.5</v>
      </c>
      <c r="E84" s="131" t="n">
        <v>32</v>
      </c>
      <c r="F84" s="130" t="n">
        <v>84.59999999999999</v>
      </c>
      <c r="G84" s="17" t="n">
        <v>26</v>
      </c>
      <c r="H84" s="132" t="n">
        <v>394</v>
      </c>
      <c r="I84" s="133" t="n">
        <v>40000</v>
      </c>
      <c r="J84" s="133" t="inlineStr">
        <is>
          <t>23</t>
        </is>
      </c>
      <c r="K84" s="133" t="n">
        <v>30000</v>
      </c>
      <c r="L84" s="133" t="inlineStr">
        <is>
          <t>8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106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현대4차</t>
        </is>
      </c>
      <c r="B85" s="10" t="inlineStr">
        <is>
          <t>'95.12.</t>
        </is>
      </c>
      <c r="C85" s="132" t="n">
        <v>919</v>
      </c>
      <c r="D85" s="130" t="n">
        <v>167.3</v>
      </c>
      <c r="E85" s="131" t="n">
        <v>51</v>
      </c>
      <c r="F85" s="130" t="n">
        <v>132.9</v>
      </c>
      <c r="G85" s="17" t="n">
        <v>40</v>
      </c>
      <c r="H85" s="132" t="n">
        <v>100</v>
      </c>
      <c r="I85" s="133" t="n">
        <v>65000</v>
      </c>
      <c r="J85" s="133" t="inlineStr">
        <is>
          <t>중</t>
        </is>
      </c>
      <c r="K85" s="133" t="n">
        <v>45000</v>
      </c>
      <c r="L85" s="133" t="inlineStr">
        <is>
          <t>8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167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신진</t>
        </is>
      </c>
      <c r="B87" s="10" t="inlineStr">
        <is>
          <t>'84.12.</t>
        </is>
      </c>
      <c r="C87" s="132" t="n">
        <v>285</v>
      </c>
      <c r="D87" s="130" t="n">
        <v>63.9</v>
      </c>
      <c r="E87" s="131" t="n">
        <v>19</v>
      </c>
      <c r="F87" s="130" t="n">
        <v>53.3</v>
      </c>
      <c r="G87" s="17" t="n">
        <v>16</v>
      </c>
      <c r="H87" s="132" t="n">
        <v>80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1</v>
      </c>
      <c r="S87" s="117" t="inlineStr">
        <is>
          <t>계</t>
        </is>
      </c>
      <c r="T87" s="5" t="n">
        <v>63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신진</t>
        </is>
      </c>
      <c r="B88" s="10" t="inlineStr">
        <is>
          <t>'84.12.</t>
        </is>
      </c>
      <c r="C88" s="132" t="n">
        <v>285</v>
      </c>
      <c r="D88" s="130" t="n">
        <v>73.7</v>
      </c>
      <c r="E88" s="131" t="n">
        <v>22</v>
      </c>
      <c r="F88" s="130" t="n">
        <v>61.4</v>
      </c>
      <c r="G88" s="17" t="n">
        <v>19</v>
      </c>
      <c r="H88" s="132" t="n">
        <v>70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n">
        <v>73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신진</t>
        </is>
      </c>
      <c r="B89" s="10" t="inlineStr">
        <is>
          <t>'84.12.</t>
        </is>
      </c>
      <c r="C89" s="132" t="n">
        <v>285</v>
      </c>
      <c r="D89" s="130" t="n">
        <v>82</v>
      </c>
      <c r="E89" s="131" t="n">
        <v>25</v>
      </c>
      <c r="F89" s="130" t="n">
        <v>68.3</v>
      </c>
      <c r="G89" s="17" t="n">
        <v>21</v>
      </c>
      <c r="H89" s="132" t="n">
        <v>130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1</v>
      </c>
      <c r="S89" s="117" t="inlineStr">
        <is>
          <t>계</t>
        </is>
      </c>
      <c r="T89" s="5" t="n">
        <v>82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신진</t>
        </is>
      </c>
      <c r="B90" s="10" t="inlineStr">
        <is>
          <t>'84.12.</t>
        </is>
      </c>
      <c r="C90" s="132" t="n">
        <v>285</v>
      </c>
      <c r="D90" s="130" t="n">
        <v>96</v>
      </c>
      <c r="E90" s="131" t="n">
        <v>29</v>
      </c>
      <c r="F90" s="130" t="n">
        <v>80</v>
      </c>
      <c r="G90" s="17" t="n">
        <v>24</v>
      </c>
      <c r="H90" s="132" t="n">
        <v>5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95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55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유승</t>
        </is>
      </c>
      <c r="B92" s="10" t="inlineStr">
        <is>
          <t>'02.08.</t>
        </is>
      </c>
      <c r="C92" s="132" t="n">
        <v>350</v>
      </c>
      <c r="D92" s="130" t="n">
        <v>89.2</v>
      </c>
      <c r="E92" s="131" t="n">
        <v>27</v>
      </c>
      <c r="F92" s="130" t="n">
        <v>59.1</v>
      </c>
      <c r="G92" s="17" t="n">
        <v>18</v>
      </c>
      <c r="H92" s="132" t="n">
        <v>350</v>
      </c>
      <c r="I92" s="133" t="n">
        <v>26500</v>
      </c>
      <c r="J92" s="133" t="inlineStr">
        <is>
          <t>8</t>
        </is>
      </c>
      <c r="K92" s="133" t="n">
        <v>24000</v>
      </c>
      <c r="L92" s="133" t="inlineStr">
        <is>
          <t>10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89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두산</t>
        </is>
      </c>
      <c r="B94" s="10" t="inlineStr">
        <is>
          <t>'97.09.</t>
        </is>
      </c>
      <c r="C94" s="132" t="n">
        <v>957</v>
      </c>
      <c r="D94" s="130" t="n">
        <v>79.7</v>
      </c>
      <c r="E94" s="131" t="n">
        <v>24</v>
      </c>
      <c r="F94" s="130" t="n">
        <v>59.9</v>
      </c>
      <c r="G94" s="17" t="n">
        <v>18</v>
      </c>
      <c r="H94" s="132" t="n">
        <v>390</v>
      </c>
      <c r="I94" s="133" t="n">
        <v>31000</v>
      </c>
      <c r="J94" s="133" t="inlineStr">
        <is>
          <t>10</t>
        </is>
      </c>
      <c r="K94" s="133" t="n">
        <v>25000</v>
      </c>
      <c r="L94" s="133" t="inlineStr">
        <is>
          <t>13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inlineStr">
        <is>
          <t>79A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두산</t>
        </is>
      </c>
      <c r="B95" s="10" t="inlineStr">
        <is>
          <t>'97.09.</t>
        </is>
      </c>
      <c r="C95" s="132" t="n">
        <v>957</v>
      </c>
      <c r="D95" s="130" t="n">
        <v>79.7</v>
      </c>
      <c r="E95" s="131" t="n">
        <v>24</v>
      </c>
      <c r="F95" s="130" t="n">
        <v>59.9</v>
      </c>
      <c r="G95" s="17" t="n">
        <v>18</v>
      </c>
      <c r="H95" s="132" t="n">
        <v>15</v>
      </c>
      <c r="I95" s="133" t="n">
        <v>31000</v>
      </c>
      <c r="J95" s="133" t="inlineStr">
        <is>
          <t>10</t>
        </is>
      </c>
      <c r="K95" s="133" t="n">
        <v>25000</v>
      </c>
      <c r="L95" s="133" t="inlineStr">
        <is>
          <t>13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79B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두산</t>
        </is>
      </c>
      <c r="B96" s="10" t="inlineStr">
        <is>
          <t>'97.09.</t>
        </is>
      </c>
      <c r="C96" s="132" t="n">
        <v>957</v>
      </c>
      <c r="D96" s="130" t="n">
        <v>107.7</v>
      </c>
      <c r="E96" s="131" t="n">
        <v>33</v>
      </c>
      <c r="F96" s="130" t="n">
        <v>84.90000000000001</v>
      </c>
      <c r="G96" s="17" t="n">
        <v>26</v>
      </c>
      <c r="H96" s="132" t="n">
        <v>406</v>
      </c>
      <c r="I96" s="133" t="n">
        <v>39000</v>
      </c>
      <c r="J96" s="133" t="inlineStr">
        <is>
          <t>11</t>
        </is>
      </c>
      <c r="K96" s="133" t="n">
        <v>28000</v>
      </c>
      <c r="L96" s="133" t="inlineStr">
        <is>
          <t>중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107A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두산</t>
        </is>
      </c>
      <c r="B97" s="10" t="inlineStr">
        <is>
          <t>'97.09.</t>
        </is>
      </c>
      <c r="C97" s="132" t="n">
        <v>957</v>
      </c>
      <c r="D97" s="130" t="n">
        <v>107.7</v>
      </c>
      <c r="E97" s="131" t="n">
        <v>33</v>
      </c>
      <c r="F97" s="130" t="n">
        <v>84.90000000000001</v>
      </c>
      <c r="G97" s="17" t="n">
        <v>26</v>
      </c>
      <c r="H97" s="132" t="n">
        <v>34</v>
      </c>
      <c r="I97" s="133" t="n">
        <v>39000</v>
      </c>
      <c r="J97" s="133" t="inlineStr">
        <is>
          <t>11</t>
        </is>
      </c>
      <c r="K97" s="133" t="n">
        <v>28000</v>
      </c>
      <c r="L97" s="133" t="inlineStr">
        <is>
          <t>중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107B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두산</t>
        </is>
      </c>
      <c r="B98" s="10" t="inlineStr">
        <is>
          <t>'97.09.</t>
        </is>
      </c>
      <c r="C98" s="132" t="n">
        <v>957</v>
      </c>
      <c r="D98" s="130" t="n">
        <v>107.8</v>
      </c>
      <c r="E98" s="131" t="n">
        <v>33</v>
      </c>
      <c r="F98" s="130" t="n">
        <v>85</v>
      </c>
      <c r="G98" s="17" t="n">
        <v>26</v>
      </c>
      <c r="H98" s="132" t="n">
        <v>16</v>
      </c>
      <c r="I98" s="133" t="n">
        <v>40500</v>
      </c>
      <c r="J98" s="133" t="inlineStr">
        <is>
          <t>10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107C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두산</t>
        </is>
      </c>
      <c r="B99" s="10" t="inlineStr">
        <is>
          <t>'97.09.</t>
        </is>
      </c>
      <c r="C99" s="132" t="n">
        <v>957</v>
      </c>
      <c r="D99" s="130" t="n">
        <v>138.2</v>
      </c>
      <c r="E99" s="131" t="n">
        <v>42</v>
      </c>
      <c r="F99" s="130" t="n">
        <v>114.2</v>
      </c>
      <c r="G99" s="17" t="n">
        <v>35</v>
      </c>
      <c r="H99" s="132" t="n">
        <v>96</v>
      </c>
      <c r="I99" s="133" t="n">
        <v>53000</v>
      </c>
      <c r="J99" s="133" t="inlineStr">
        <is>
          <t>14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138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n"/>
      <c r="B100" s="117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55">
        <f>IF(E100="","",E100)</f>
        <v/>
      </c>
      <c r="AJ100" s="117" t="n"/>
      <c r="AK100" s="117" t="n"/>
      <c r="AL100" s="117" t="n"/>
      <c r="AM100" s="117" t="n"/>
      <c r="AN100" s="117" t="n"/>
      <c r="AO100" s="117" t="n"/>
      <c r="AP100" s="117" t="n"/>
      <c r="AQ100" s="117" t="n"/>
      <c r="AR100" s="117" t="n"/>
      <c r="AS100" s="117" t="n"/>
      <c r="AT100" s="117" t="n"/>
      <c r="AU100" s="117" t="n"/>
      <c r="AV100" s="117" t="n"/>
    </row>
    <row r="101">
      <c r="A101" s="9" t="inlineStr">
        <is>
          <t>금호어울림</t>
        </is>
      </c>
      <c r="B101" s="10" t="inlineStr">
        <is>
          <t>'05.08.</t>
        </is>
      </c>
      <c r="C101" s="132" t="n">
        <v>410</v>
      </c>
      <c r="D101" s="130" t="n">
        <v>76.2</v>
      </c>
      <c r="E101" s="131" t="n">
        <v>23</v>
      </c>
      <c r="F101" s="130" t="n">
        <v>60</v>
      </c>
      <c r="G101" s="17" t="n">
        <v>18</v>
      </c>
      <c r="H101" s="132" t="n">
        <v>147</v>
      </c>
      <c r="I101" s="133" t="n">
        <v>31000</v>
      </c>
      <c r="J101" s="133" t="inlineStr">
        <is>
          <t>11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76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금호어울림</t>
        </is>
      </c>
      <c r="B102" s="10" t="inlineStr">
        <is>
          <t>'05.08.</t>
        </is>
      </c>
      <c r="C102" s="132" t="n">
        <v>410</v>
      </c>
      <c r="D102" s="130" t="n">
        <v>100</v>
      </c>
      <c r="E102" s="131" t="n">
        <v>30</v>
      </c>
      <c r="F102" s="130" t="n">
        <v>78.2</v>
      </c>
      <c r="G102" s="17" t="n">
        <v>24</v>
      </c>
      <c r="H102" s="132" t="n">
        <v>14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99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금호어울림</t>
        </is>
      </c>
      <c r="B103" s="10" t="inlineStr">
        <is>
          <t>'05.08.</t>
        </is>
      </c>
      <c r="C103" s="132" t="n">
        <v>410</v>
      </c>
      <c r="D103" s="130" t="n">
        <v>108.3</v>
      </c>
      <c r="E103" s="131" t="n">
        <v>33</v>
      </c>
      <c r="F103" s="130" t="n">
        <v>85</v>
      </c>
      <c r="G103" s="17" t="n">
        <v>26</v>
      </c>
      <c r="H103" s="132" t="n">
        <v>183</v>
      </c>
      <c r="I103" s="133" t="n">
        <v>42000</v>
      </c>
      <c r="J103" s="133" t="inlineStr">
        <is>
          <t>7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108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금호어울림</t>
        </is>
      </c>
      <c r="B104" s="10" t="inlineStr">
        <is>
          <t>'05.08.</t>
        </is>
      </c>
      <c r="C104" s="132" t="n">
        <v>410</v>
      </c>
      <c r="D104" s="130" t="n">
        <v>149.4</v>
      </c>
      <c r="E104" s="131" t="n">
        <v>45</v>
      </c>
      <c r="F104" s="130" t="n">
        <v>111.9</v>
      </c>
      <c r="G104" s="17" t="n">
        <v>34</v>
      </c>
      <c r="H104" s="132" t="n">
        <v>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금호어울림</t>
        </is>
      </c>
      <c r="B105" s="10" t="inlineStr">
        <is>
          <t>'05.08.</t>
        </is>
      </c>
      <c r="C105" s="132" t="n">
        <v>410</v>
      </c>
      <c r="D105" s="130" t="n">
        <v>161.7</v>
      </c>
      <c r="E105" s="131" t="n">
        <v>49</v>
      </c>
      <c r="F105" s="130" t="n">
        <v>122</v>
      </c>
      <c r="G105" s="17" t="n">
        <v>37</v>
      </c>
      <c r="H105" s="132" t="n">
        <v>60</v>
      </c>
      <c r="I105" s="133" t="n">
        <v>65000</v>
      </c>
      <c r="J105" s="133" t="inlineStr">
        <is>
          <t>6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161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뉴서울2차</t>
        </is>
      </c>
      <c r="B107" s="10" t="inlineStr">
        <is>
          <t>'86.12.</t>
        </is>
      </c>
      <c r="C107" s="132" t="n">
        <v>775</v>
      </c>
      <c r="D107" s="130" t="n">
        <v>44.6</v>
      </c>
      <c r="E107" s="131" t="n">
        <v>13</v>
      </c>
      <c r="F107" s="130" t="n">
        <v>32</v>
      </c>
      <c r="G107" s="17" t="n">
        <v>10</v>
      </c>
      <c r="H107" s="132" t="n">
        <v>130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1</v>
      </c>
      <c r="R107" s="117" t="n">
        <v>1</v>
      </c>
      <c r="S107" s="117" t="inlineStr">
        <is>
          <t>계</t>
        </is>
      </c>
      <c r="T107" s="5" t="n">
        <v>44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뉴서울2차</t>
        </is>
      </c>
      <c r="B108" s="10" t="inlineStr">
        <is>
          <t>'86.12.</t>
        </is>
      </c>
      <c r="C108" s="132" t="n">
        <v>775</v>
      </c>
      <c r="D108" s="130" t="n">
        <v>48</v>
      </c>
      <c r="E108" s="131" t="n">
        <v>15</v>
      </c>
      <c r="F108" s="130" t="n">
        <v>34.7</v>
      </c>
      <c r="G108" s="17" t="n">
        <v>11</v>
      </c>
      <c r="H108" s="132" t="n">
        <v>400</v>
      </c>
      <c r="I108" s="133" t="n">
        <v>15500</v>
      </c>
      <c r="J108" s="133" t="inlineStr">
        <is>
          <t>5</t>
        </is>
      </c>
      <c r="K108" s="133" t="n">
        <v>8000</v>
      </c>
      <c r="L108" s="133" t="inlineStr">
        <is>
          <t>5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48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뉴서울2차</t>
        </is>
      </c>
      <c r="B109" s="10" t="inlineStr">
        <is>
          <t>'86.12.</t>
        </is>
      </c>
      <c r="C109" s="132" t="n">
        <v>775</v>
      </c>
      <c r="D109" s="130" t="n">
        <v>54.1</v>
      </c>
      <c r="E109" s="131" t="n">
        <v>16</v>
      </c>
      <c r="F109" s="130" t="n">
        <v>39.8</v>
      </c>
      <c r="G109" s="17" t="n">
        <v>12</v>
      </c>
      <c r="H109" s="132" t="n">
        <v>190</v>
      </c>
      <c r="I109" s="133" t="n">
        <v>17500</v>
      </c>
      <c r="J109" s="133" t="inlineStr">
        <is>
          <t>5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54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뉴서울2차</t>
        </is>
      </c>
      <c r="B110" s="10" t="inlineStr">
        <is>
          <t>'86.12.</t>
        </is>
      </c>
      <c r="C110" s="132" t="n">
        <v>775</v>
      </c>
      <c r="D110" s="130" t="n">
        <v>62.8</v>
      </c>
      <c r="E110" s="131" t="n">
        <v>19</v>
      </c>
      <c r="F110" s="130" t="n">
        <v>46.6</v>
      </c>
      <c r="G110" s="17" t="n">
        <v>14</v>
      </c>
      <c r="H110" s="132" t="n">
        <v>50</v>
      </c>
      <c r="I110" s="133" t="n">
        <v>18500</v>
      </c>
      <c r="J110" s="133" t="inlineStr">
        <is>
          <t>5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뉴서울2차</t>
        </is>
      </c>
      <c r="B111" s="10" t="inlineStr">
        <is>
          <t>'86.12.</t>
        </is>
      </c>
      <c r="C111" s="132" t="n">
        <v>775</v>
      </c>
      <c r="D111" s="130" t="n">
        <v>66.90000000000001</v>
      </c>
      <c r="E111" s="131" t="n">
        <v>20</v>
      </c>
      <c r="F111" s="130" t="n">
        <v>45.7</v>
      </c>
      <c r="G111" s="17" t="n">
        <v>14</v>
      </c>
      <c r="H111" s="132" t="n">
        <v>5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66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55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e편한세상계양더프리미어</t>
        </is>
      </c>
      <c r="B113" s="10" t="inlineStr">
        <is>
          <t>'21.10.</t>
        </is>
      </c>
      <c r="C113" s="132" t="n">
        <v>1646</v>
      </c>
      <c r="D113" s="130" t="n">
        <v>56.5</v>
      </c>
      <c r="E113" s="131" t="n">
        <v>17</v>
      </c>
      <c r="F113" s="130" t="n">
        <v>40</v>
      </c>
      <c r="G113" s="17" t="n">
        <v>12</v>
      </c>
      <c r="H113" s="132" t="n">
        <v>85</v>
      </c>
      <c r="I113" s="133" t="n"/>
      <c r="J113" s="133" t="n"/>
      <c r="K113" s="133" t="n">
        <v>23000</v>
      </c>
      <c r="L113" s="133" t="inlineStr">
        <is>
          <t>11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2</v>
      </c>
      <c r="R113" s="117" t="n">
        <v>1</v>
      </c>
      <c r="S113" s="117" t="inlineStr">
        <is>
          <t>계</t>
        </is>
      </c>
      <c r="T113" s="5" t="n">
        <v>56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e편한세상계양더프리미어</t>
        </is>
      </c>
      <c r="B114" s="10" t="inlineStr">
        <is>
          <t>'21.10.</t>
        </is>
      </c>
      <c r="C114" s="132" t="n">
        <v>1646</v>
      </c>
      <c r="D114" s="130" t="n">
        <v>65.8</v>
      </c>
      <c r="E114" s="131" t="n">
        <v>20</v>
      </c>
      <c r="F114" s="130" t="n">
        <v>46.5</v>
      </c>
      <c r="G114" s="17" t="n">
        <v>14</v>
      </c>
      <c r="H114" s="132" t="n">
        <v>87</v>
      </c>
      <c r="I114" s="133" t="n">
        <v>43000</v>
      </c>
      <c r="J114" s="133" t="inlineStr">
        <is>
          <t>27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2</v>
      </c>
      <c r="R114" s="117" t="n">
        <v>1</v>
      </c>
      <c r="S114" s="117" t="inlineStr">
        <is>
          <t>계</t>
        </is>
      </c>
      <c r="T114" s="5" t="n">
        <v>65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e편한세상계양더프리미어</t>
        </is>
      </c>
      <c r="B115" s="10" t="inlineStr">
        <is>
          <t>'21.10.</t>
        </is>
      </c>
      <c r="C115" s="132" t="n">
        <v>1646</v>
      </c>
      <c r="D115" s="130" t="n">
        <v>79.8</v>
      </c>
      <c r="E115" s="131" t="n">
        <v>24</v>
      </c>
      <c r="F115" s="130" t="n">
        <v>59.9</v>
      </c>
      <c r="G115" s="17" t="n">
        <v>18</v>
      </c>
      <c r="H115" s="132" t="n">
        <v>723</v>
      </c>
      <c r="I115" s="133" t="n">
        <v>55000</v>
      </c>
      <c r="J115" s="133" t="inlineStr">
        <is>
          <t>9</t>
        </is>
      </c>
      <c r="K115" s="133" t="n">
        <v>34000</v>
      </c>
      <c r="L115" s="133" t="inlineStr">
        <is>
          <t>15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79A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e편한세상계양더프리미어</t>
        </is>
      </c>
      <c r="B116" s="10" t="inlineStr">
        <is>
          <t>'21.10.</t>
        </is>
      </c>
      <c r="C116" s="132" t="n">
        <v>1646</v>
      </c>
      <c r="D116" s="130" t="n">
        <v>79.7</v>
      </c>
      <c r="E116" s="131" t="n">
        <v>24</v>
      </c>
      <c r="F116" s="130" t="n">
        <v>60</v>
      </c>
      <c r="G116" s="17" t="n">
        <v>18</v>
      </c>
      <c r="H116" s="132" t="n">
        <v>193</v>
      </c>
      <c r="I116" s="133" t="n">
        <v>58000</v>
      </c>
      <c r="J116" s="133" t="inlineStr">
        <is>
          <t>7</t>
        </is>
      </c>
      <c r="K116" s="133" t="n">
        <v>38000</v>
      </c>
      <c r="L116" s="133" t="inlineStr">
        <is>
          <t>21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79B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inlineStr">
        <is>
          <t>e편한세상계양더프리미어</t>
        </is>
      </c>
      <c r="B117" s="10" t="inlineStr">
        <is>
          <t>'21.10.</t>
        </is>
      </c>
      <c r="C117" s="132" t="n">
        <v>1646</v>
      </c>
      <c r="D117" s="130" t="n">
        <v>98</v>
      </c>
      <c r="E117" s="131" t="n">
        <v>30</v>
      </c>
      <c r="F117" s="130" t="n">
        <v>74.90000000000001</v>
      </c>
      <c r="G117" s="17" t="n">
        <v>23</v>
      </c>
      <c r="H117" s="132" t="n">
        <v>253</v>
      </c>
      <c r="I117" s="133" t="n">
        <v>65000</v>
      </c>
      <c r="J117" s="133" t="inlineStr">
        <is>
          <t>30</t>
        </is>
      </c>
      <c r="K117" s="133" t="n">
        <v>44000</v>
      </c>
      <c r="L117" s="133" t="inlineStr">
        <is>
          <t>26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98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e편한세상계양더프리미어</t>
        </is>
      </c>
      <c r="B118" s="10" t="inlineStr">
        <is>
          <t>'21.10.</t>
        </is>
      </c>
      <c r="C118" s="132" t="n">
        <v>1646</v>
      </c>
      <c r="D118" s="130" t="n">
        <v>107.2</v>
      </c>
      <c r="E118" s="131" t="n">
        <v>32</v>
      </c>
      <c r="F118" s="130" t="n">
        <v>84.90000000000001</v>
      </c>
      <c r="G118" s="17" t="n">
        <v>26</v>
      </c>
      <c r="H118" s="132" t="n">
        <v>305</v>
      </c>
      <c r="I118" s="133" t="n">
        <v>69000</v>
      </c>
      <c r="J118" s="133" t="inlineStr">
        <is>
          <t>14</t>
        </is>
      </c>
      <c r="K118" s="133" t="n">
        <v>52000</v>
      </c>
      <c r="L118" s="133" t="inlineStr">
        <is>
          <t>고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107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n"/>
      <c r="B119" s="117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55">
        <f>IF(E119="","",E119)</f>
        <v/>
      </c>
      <c r="AJ119" s="117" t="n"/>
      <c r="AK119" s="117" t="n"/>
      <c r="AL119" s="117" t="n"/>
      <c r="AM119" s="117" t="n"/>
      <c r="AN119" s="117" t="n"/>
      <c r="AO119" s="117" t="n"/>
      <c r="AP119" s="117" t="n"/>
      <c r="AQ119" s="117" t="n"/>
      <c r="AR119" s="117" t="n"/>
      <c r="AS119" s="117" t="n"/>
      <c r="AT119" s="117" t="n"/>
      <c r="AU119" s="117" t="n"/>
      <c r="AV119" s="117" t="n"/>
    </row>
    <row r="120">
      <c r="A120" s="9" t="inlineStr">
        <is>
          <t>신한</t>
        </is>
      </c>
      <c r="B120" s="10" t="inlineStr">
        <is>
          <t>'96.12.</t>
        </is>
      </c>
      <c r="C120" s="132" t="n">
        <v>324</v>
      </c>
      <c r="D120" s="130" t="n">
        <v>77.5</v>
      </c>
      <c r="E120" s="131" t="n">
        <v>23</v>
      </c>
      <c r="F120" s="130" t="n">
        <v>60</v>
      </c>
      <c r="G120" s="17" t="n">
        <v>18</v>
      </c>
      <c r="H120" s="132" t="n">
        <v>160</v>
      </c>
      <c r="I120" s="133" t="n">
        <v>29000</v>
      </c>
      <c r="J120" s="133" t="inlineStr">
        <is>
          <t>7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1</v>
      </c>
      <c r="S120" s="117" t="inlineStr">
        <is>
          <t>계</t>
        </is>
      </c>
      <c r="T120" s="5" t="n">
        <v>77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신한</t>
        </is>
      </c>
      <c r="B121" s="10" t="inlineStr">
        <is>
          <t>'96.12.</t>
        </is>
      </c>
      <c r="C121" s="132" t="n">
        <v>324</v>
      </c>
      <c r="D121" s="130" t="n">
        <v>105.9</v>
      </c>
      <c r="E121" s="131" t="n">
        <v>32</v>
      </c>
      <c r="F121" s="130" t="n">
        <v>85</v>
      </c>
      <c r="G121" s="17" t="n">
        <v>26</v>
      </c>
      <c r="H121" s="132" t="n">
        <v>164</v>
      </c>
      <c r="I121" s="133" t="n">
        <v>45500</v>
      </c>
      <c r="J121" s="133" t="inlineStr">
        <is>
          <t>15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105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55" dxfId="23">
      <formula>AV4="X"</formula>
    </cfRule>
    <cfRule type="expression" priority="1856" dxfId="22">
      <formula>AV4="후보"</formula>
    </cfRule>
  </conditionalFormatting>
  <conditionalFormatting sqref="AC1:AC2 AC4:AC6 N4:N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:N2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N6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E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X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AI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V7">
    <cfRule type="expression" priority="1834" dxfId="23">
      <formula>AV7="X"</formula>
    </cfRule>
    <cfRule type="expression" priority="1835" dxfId="22">
      <formula>AV7="후보"</formula>
    </cfRule>
  </conditionalFormatting>
  <conditionalFormatting sqref="AC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7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X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AI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V8">
    <cfRule type="expression" priority="1815" dxfId="23">
      <formula>AV8="X"</formula>
    </cfRule>
    <cfRule type="expression" priority="1816" dxfId="22">
      <formula>AV8="후보"</formula>
    </cfRule>
  </conditionalFormatting>
  <conditionalFormatting sqref="AC8 N8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AV9">
    <cfRule type="expression" priority="1810" dxfId="23">
      <formula>AV9="X"</formula>
    </cfRule>
    <cfRule type="expression" priority="1811" dxfId="22">
      <formula>AV9="후보"</formula>
    </cfRule>
  </conditionalFormatting>
  <conditionalFormatting sqref="AC9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N9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E9">
    <cfRule type="expression" priority="1801" dxfId="3">
      <formula>AND(IF(OR($Q9=1,$Q9=2),1,0),IF($X9&lt;=20,1,0))</formula>
    </cfRule>
    <cfRule type="expression" priority="1802" dxfId="2">
      <formula>AND(IF($Q9=2,1,0),IF($X9&lt;30,1,0))</formula>
    </cfRule>
    <cfRule type="expression" priority="1803" dxfId="1">
      <formula>AND(IF($Q9=3,1,0),IF($X9&lt;30,1,0))</formula>
    </cfRule>
    <cfRule type="expression" priority="1804" dxfId="0">
      <formula>AND(IF($Q9=3,1,IF($Q9=4,1,0)),IF($F9&lt;=85,1,0))</formula>
    </cfRule>
  </conditionalFormatting>
  <conditionalFormatting sqref="X9">
    <cfRule type="expression" priority="1797" dxfId="3">
      <formula>AND(IF(OR($Q9=1,$Q9=2),1,0),IF($X9&lt;=20,1,0))</formula>
    </cfRule>
    <cfRule type="expression" priority="1798" dxfId="2">
      <formula>AND(IF($Q9=2,1,0),IF($X9&lt;30,1,0))</formula>
    </cfRule>
    <cfRule type="expression" priority="1799" dxfId="1">
      <formula>AND(IF($Q9=3,1,0),IF($X9&lt;30,1,0))</formula>
    </cfRule>
    <cfRule type="expression" priority="1800" dxfId="0">
      <formula>AND(IF($Q9=3,1,IF($Q9=4,1,0)),IF($F9&lt;=85,1,0))</formula>
    </cfRule>
  </conditionalFormatting>
  <conditionalFormatting sqref="AI9">
    <cfRule type="expression" priority="1793" dxfId="3">
      <formula>AND(IF(OR($Q9=1,$Q9=2),1,0),IF($X9&lt;=20,1,0))</formula>
    </cfRule>
    <cfRule type="expression" priority="1794" dxfId="2">
      <formula>AND(IF($Q9=2,1,0),IF($X9&lt;30,1,0))</formula>
    </cfRule>
    <cfRule type="expression" priority="1795" dxfId="1">
      <formula>AND(IF($Q9=3,1,0),IF($X9&lt;30,1,0))</formula>
    </cfRule>
    <cfRule type="expression" priority="1796" dxfId="0">
      <formula>AND(IF($Q9=3,1,IF($Q9=4,1,0)),IF($F9&lt;=85,1,0))</formula>
    </cfRule>
  </conditionalFormatting>
  <conditionalFormatting sqref="AV10">
    <cfRule type="expression" priority="1791" dxfId="23">
      <formula>AV10="X"</formula>
    </cfRule>
    <cfRule type="expression" priority="1792" dxfId="22">
      <formula>AV10="후보"</formula>
    </cfRule>
  </conditionalFormatting>
  <conditionalFormatting sqref="AC10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N10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E10">
    <cfRule type="expression" priority="1782" dxfId="3">
      <formula>AND(IF(OR($Q10=1,$Q10=2),1,0),IF($X10&lt;=20,1,0))</formula>
    </cfRule>
    <cfRule type="expression" priority="1783" dxfId="2">
      <formula>AND(IF($Q10=2,1,0),IF($X10&lt;30,1,0))</formula>
    </cfRule>
    <cfRule type="expression" priority="1784" dxfId="1">
      <formula>AND(IF($Q10=3,1,0),IF($X10&lt;30,1,0))</formula>
    </cfRule>
    <cfRule type="expression" priority="1785" dxfId="0">
      <formula>AND(IF($Q10=3,1,IF($Q10=4,1,0)),IF($F10&lt;=85,1,0))</formula>
    </cfRule>
  </conditionalFormatting>
  <conditionalFormatting sqref="X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AI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V11">
    <cfRule type="expression" priority="1772" dxfId="23">
      <formula>AV11="X"</formula>
    </cfRule>
    <cfRule type="expression" priority="1773" dxfId="22">
      <formula>AV11="후보"</formula>
    </cfRule>
  </conditionalFormatting>
  <conditionalFormatting sqref="AC11 N11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AV12">
    <cfRule type="expression" priority="1767" dxfId="23">
      <formula>AV12="X"</formula>
    </cfRule>
    <cfRule type="expression" priority="1768" dxfId="22">
      <formula>AV12="후보"</formula>
    </cfRule>
  </conditionalFormatting>
  <conditionalFormatting sqref="AC12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12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12">
    <cfRule type="expression" priority="1758" dxfId="3">
      <formula>AND(IF(OR($Q12=1,$Q12=2),1,0),IF($X12&lt;=20,1,0))</formula>
    </cfRule>
    <cfRule type="expression" priority="1759" dxfId="2">
      <formula>AND(IF($Q12=2,1,0),IF($X12&lt;30,1,0))</formula>
    </cfRule>
    <cfRule type="expression" priority="1760" dxfId="1">
      <formula>AND(IF($Q12=3,1,0),IF($X12&lt;30,1,0))</formula>
    </cfRule>
    <cfRule type="expression" priority="1761" dxfId="0">
      <formula>AND(IF($Q12=3,1,IF($Q12=4,1,0)),IF($F12&lt;=85,1,0))</formula>
    </cfRule>
  </conditionalFormatting>
  <conditionalFormatting sqref="X12">
    <cfRule type="expression" priority="1754" dxfId="3">
      <formula>AND(IF(OR($Q12=1,$Q12=2),1,0),IF($X12&lt;=20,1,0))</formula>
    </cfRule>
    <cfRule type="expression" priority="1755" dxfId="2">
      <formula>AND(IF($Q12=2,1,0),IF($X12&lt;30,1,0))</formula>
    </cfRule>
    <cfRule type="expression" priority="1756" dxfId="1">
      <formula>AND(IF($Q12=3,1,0),IF($X12&lt;30,1,0))</formula>
    </cfRule>
    <cfRule type="expression" priority="1757" dxfId="0">
      <formula>AND(IF($Q12=3,1,IF($Q12=4,1,0)),IF($F12&lt;=85,1,0))</formula>
    </cfRule>
  </conditionalFormatting>
  <conditionalFormatting sqref="AI12">
    <cfRule type="expression" priority="1750" dxfId="3">
      <formula>AND(IF(OR($Q12=1,$Q12=2),1,0),IF($X12&lt;=20,1,0))</formula>
    </cfRule>
    <cfRule type="expression" priority="1751" dxfId="2">
      <formula>AND(IF($Q12=2,1,0),IF($X12&lt;30,1,0))</formula>
    </cfRule>
    <cfRule type="expression" priority="1752" dxfId="1">
      <formula>AND(IF($Q12=3,1,0),IF($X12&lt;30,1,0))</formula>
    </cfRule>
    <cfRule type="expression" priority="1753" dxfId="0">
      <formula>AND(IF($Q12=3,1,IF($Q12=4,1,0)),IF($F12&lt;=85,1,0))</formula>
    </cfRule>
  </conditionalFormatting>
  <conditionalFormatting sqref="AV13">
    <cfRule type="expression" priority="1748" dxfId="23">
      <formula>AV13="X"</formula>
    </cfRule>
    <cfRule type="expression" priority="1749" dxfId="22">
      <formula>AV13="후보"</formula>
    </cfRule>
  </conditionalFormatting>
  <conditionalFormatting sqref="AC13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3">
    <cfRule type="expression" priority="1739" dxfId="3">
      <formula>AND(IF(OR($Q13=1,$Q13=2),1,0),IF($X13&lt;=20,1,0))</formula>
    </cfRule>
    <cfRule type="expression" priority="1740" dxfId="2">
      <formula>AND(IF($Q13=2,1,0),IF($X13&lt;30,1,0))</formula>
    </cfRule>
    <cfRule type="expression" priority="1741" dxfId="1">
      <formula>AND(IF($Q13=3,1,0),IF($X13&lt;30,1,0))</formula>
    </cfRule>
    <cfRule type="expression" priority="1742" dxfId="0">
      <formula>AND(IF($Q13=3,1,IF($Q13=4,1,0)),IF($F13&lt;=85,1,0))</formula>
    </cfRule>
  </conditionalFormatting>
  <conditionalFormatting sqref="X13">
    <cfRule type="expression" priority="1735" dxfId="3">
      <formula>AND(IF(OR($Q13=1,$Q13=2),1,0),IF($X13&lt;=20,1,0))</formula>
    </cfRule>
    <cfRule type="expression" priority="1736" dxfId="2">
      <formula>AND(IF($Q13=2,1,0),IF($X13&lt;30,1,0))</formula>
    </cfRule>
    <cfRule type="expression" priority="1737" dxfId="1">
      <formula>AND(IF($Q13=3,1,0),IF($X13&lt;30,1,0))</formula>
    </cfRule>
    <cfRule type="expression" priority="1738" dxfId="0">
      <formula>AND(IF($Q13=3,1,IF($Q13=4,1,0)),IF($F13&lt;=85,1,0))</formula>
    </cfRule>
  </conditionalFormatting>
  <conditionalFormatting sqref="AI13">
    <cfRule type="expression" priority="1731" dxfId="3">
      <formula>AND(IF(OR($Q13=1,$Q13=2),1,0),IF($X13&lt;=20,1,0))</formula>
    </cfRule>
    <cfRule type="expression" priority="1732" dxfId="2">
      <formula>AND(IF($Q13=2,1,0),IF($X13&lt;30,1,0))</formula>
    </cfRule>
    <cfRule type="expression" priority="1733" dxfId="1">
      <formula>AND(IF($Q13=3,1,0),IF($X13&lt;30,1,0))</formula>
    </cfRule>
    <cfRule type="expression" priority="1734" dxfId="0">
      <formula>AND(IF($Q13=3,1,IF($Q13=4,1,0)),IF($F13&lt;=85,1,0))</formula>
    </cfRule>
  </conditionalFormatting>
  <conditionalFormatting sqref="AV14">
    <cfRule type="expression" priority="1729" dxfId="23">
      <formula>AV14="X"</formula>
    </cfRule>
    <cfRule type="expression" priority="1730" dxfId="22">
      <formula>AV14="후보"</formula>
    </cfRule>
  </conditionalFormatting>
  <conditionalFormatting sqref="AC14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N14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E14">
    <cfRule type="expression" priority="1720" dxfId="3">
      <formula>AND(IF(OR($Q14=1,$Q14=2),1,0),IF($X14&lt;=20,1,0))</formula>
    </cfRule>
    <cfRule type="expression" priority="1721" dxfId="2">
      <formula>AND(IF($Q14=2,1,0),IF($X14&lt;30,1,0))</formula>
    </cfRule>
    <cfRule type="expression" priority="1722" dxfId="1">
      <formula>AND(IF($Q14=3,1,0),IF($X14&lt;30,1,0))</formula>
    </cfRule>
    <cfRule type="expression" priority="1723" dxfId="0">
      <formula>AND(IF($Q14=3,1,IF($Q14=4,1,0)),IF($F14&lt;=85,1,0))</formula>
    </cfRule>
  </conditionalFormatting>
  <conditionalFormatting sqref="X14">
    <cfRule type="expression" priority="1716" dxfId="3">
      <formula>AND(IF(OR($Q14=1,$Q14=2),1,0),IF($X14&lt;=20,1,0))</formula>
    </cfRule>
    <cfRule type="expression" priority="1717" dxfId="2">
      <formula>AND(IF($Q14=2,1,0),IF($X14&lt;30,1,0))</formula>
    </cfRule>
    <cfRule type="expression" priority="1718" dxfId="1">
      <formula>AND(IF($Q14=3,1,0),IF($X14&lt;30,1,0))</formula>
    </cfRule>
    <cfRule type="expression" priority="1719" dxfId="0">
      <formula>AND(IF($Q14=3,1,IF($Q14=4,1,0)),IF($F14&lt;=85,1,0))</formula>
    </cfRule>
  </conditionalFormatting>
  <conditionalFormatting sqref="AI14">
    <cfRule type="expression" priority="1712" dxfId="3">
      <formula>AND(IF(OR($Q14=1,$Q14=2),1,0),IF($X14&lt;=20,1,0))</formula>
    </cfRule>
    <cfRule type="expression" priority="1713" dxfId="2">
      <formula>AND(IF($Q14=2,1,0),IF($X14&lt;30,1,0))</formula>
    </cfRule>
    <cfRule type="expression" priority="1714" dxfId="1">
      <formula>AND(IF($Q14=3,1,0),IF($X14&lt;30,1,0))</formula>
    </cfRule>
    <cfRule type="expression" priority="1715" dxfId="0">
      <formula>AND(IF($Q14=3,1,IF($Q14=4,1,0)),IF($F14&lt;=85,1,0))</formula>
    </cfRule>
  </conditionalFormatting>
  <conditionalFormatting sqref="AV15">
    <cfRule type="expression" priority="1710" dxfId="23">
      <formula>AV15="X"</formula>
    </cfRule>
    <cfRule type="expression" priority="1711" dxfId="22">
      <formula>AV15="후보"</formula>
    </cfRule>
  </conditionalFormatting>
  <conditionalFormatting sqref="AC15 N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AV16">
    <cfRule type="expression" priority="1705" dxfId="23">
      <formula>AV16="X"</formula>
    </cfRule>
    <cfRule type="expression" priority="1706" dxfId="22">
      <formula>AV16="후보"</formula>
    </cfRule>
  </conditionalFormatting>
  <conditionalFormatting sqref="AC16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6">
    <cfRule type="expression" priority="1696" dxfId="3">
      <formula>AND(IF(OR($Q16=1,$Q16=2),1,0),IF($X16&lt;=20,1,0))</formula>
    </cfRule>
    <cfRule type="expression" priority="1697" dxfId="2">
      <formula>AND(IF($Q16=2,1,0),IF($X16&lt;30,1,0))</formula>
    </cfRule>
    <cfRule type="expression" priority="1698" dxfId="1">
      <formula>AND(IF($Q16=3,1,0),IF($X16&lt;30,1,0))</formula>
    </cfRule>
    <cfRule type="expression" priority="1699" dxfId="0">
      <formula>AND(IF($Q16=3,1,IF($Q16=4,1,0)),IF($F16&lt;=85,1,0))</formula>
    </cfRule>
  </conditionalFormatting>
  <conditionalFormatting sqref="X16">
    <cfRule type="expression" priority="1692" dxfId="3">
      <formula>AND(IF(OR($Q16=1,$Q16=2),1,0),IF($X16&lt;=20,1,0))</formula>
    </cfRule>
    <cfRule type="expression" priority="1693" dxfId="2">
      <formula>AND(IF($Q16=2,1,0),IF($X16&lt;30,1,0))</formula>
    </cfRule>
    <cfRule type="expression" priority="1694" dxfId="1">
      <formula>AND(IF($Q16=3,1,0),IF($X16&lt;30,1,0))</formula>
    </cfRule>
    <cfRule type="expression" priority="1695" dxfId="0">
      <formula>AND(IF($Q16=3,1,IF($Q16=4,1,0)),IF($F16&lt;=85,1,0))</formula>
    </cfRule>
  </conditionalFormatting>
  <conditionalFormatting sqref="AI16">
    <cfRule type="expression" priority="1688" dxfId="3">
      <formula>AND(IF(OR($Q16=1,$Q16=2),1,0),IF($X16&lt;=20,1,0))</formula>
    </cfRule>
    <cfRule type="expression" priority="1689" dxfId="2">
      <formula>AND(IF($Q16=2,1,0),IF($X16&lt;30,1,0))</formula>
    </cfRule>
    <cfRule type="expression" priority="1690" dxfId="1">
      <formula>AND(IF($Q16=3,1,0),IF($X16&lt;30,1,0))</formula>
    </cfRule>
    <cfRule type="expression" priority="1691" dxfId="0">
      <formula>AND(IF($Q16=3,1,IF($Q16=4,1,0)),IF($F16&lt;=85,1,0))</formula>
    </cfRule>
  </conditionalFormatting>
  <conditionalFormatting sqref="AV17">
    <cfRule type="expression" priority="1686" dxfId="23">
      <formula>AV17="X"</formula>
    </cfRule>
    <cfRule type="expression" priority="1687" dxfId="22">
      <formula>AV17="후보"</formula>
    </cfRule>
  </conditionalFormatting>
  <conditionalFormatting sqref="AC17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7">
    <cfRule type="expression" priority="1677" dxfId="3">
      <formula>AND(IF(OR($Q17=1,$Q17=2),1,0),IF($X17&lt;=20,1,0))</formula>
    </cfRule>
    <cfRule type="expression" priority="1678" dxfId="2">
      <formula>AND(IF($Q17=2,1,0),IF($X17&lt;30,1,0))</formula>
    </cfRule>
    <cfRule type="expression" priority="1679" dxfId="1">
      <formula>AND(IF($Q17=3,1,0),IF($X17&lt;30,1,0))</formula>
    </cfRule>
    <cfRule type="expression" priority="1680" dxfId="0">
      <formula>AND(IF($Q17=3,1,IF($Q17=4,1,0)),IF($F17&lt;=85,1,0))</formula>
    </cfRule>
  </conditionalFormatting>
  <conditionalFormatting sqref="X17">
    <cfRule type="expression" priority="1673" dxfId="3">
      <formula>AND(IF(OR($Q17=1,$Q17=2),1,0),IF($X17&lt;=20,1,0))</formula>
    </cfRule>
    <cfRule type="expression" priority="1674" dxfId="2">
      <formula>AND(IF($Q17=2,1,0),IF($X17&lt;30,1,0))</formula>
    </cfRule>
    <cfRule type="expression" priority="1675" dxfId="1">
      <formula>AND(IF($Q17=3,1,0),IF($X17&lt;30,1,0))</formula>
    </cfRule>
    <cfRule type="expression" priority="1676" dxfId="0">
      <formula>AND(IF($Q17=3,1,IF($Q17=4,1,0)),IF($F17&lt;=85,1,0))</formula>
    </cfRule>
  </conditionalFormatting>
  <conditionalFormatting sqref="AI17">
    <cfRule type="expression" priority="1669" dxfId="3">
      <formula>AND(IF(OR($Q17=1,$Q17=2),1,0),IF($X17&lt;=20,1,0))</formula>
    </cfRule>
    <cfRule type="expression" priority="1670" dxfId="2">
      <formula>AND(IF($Q17=2,1,0),IF($X17&lt;30,1,0))</formula>
    </cfRule>
    <cfRule type="expression" priority="1671" dxfId="1">
      <formula>AND(IF($Q17=3,1,0),IF($X17&lt;30,1,0))</formula>
    </cfRule>
    <cfRule type="expression" priority="1672" dxfId="0">
      <formula>AND(IF($Q17=3,1,IF($Q17=4,1,0)),IF($F17&lt;=85,1,0))</formula>
    </cfRule>
  </conditionalFormatting>
  <conditionalFormatting sqref="AV18">
    <cfRule type="expression" priority="1667" dxfId="23">
      <formula>AV18="X"</formula>
    </cfRule>
    <cfRule type="expression" priority="1668" dxfId="22">
      <formula>AV18="후보"</formula>
    </cfRule>
  </conditionalFormatting>
  <conditionalFormatting sqref="AC18 N18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9">
    <cfRule type="expression" priority="1662" dxfId="23">
      <formula>AV19="X"</formula>
    </cfRule>
    <cfRule type="expression" priority="1663" dxfId="22">
      <formula>AV19="후보"</formula>
    </cfRule>
  </conditionalFormatting>
  <conditionalFormatting sqref="AC19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9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9">
    <cfRule type="expression" priority="1653" dxfId="3">
      <formula>AND(IF(OR($Q19=1,$Q19=2),1,0),IF($X19&lt;=20,1,0))</formula>
    </cfRule>
    <cfRule type="expression" priority="1654" dxfId="2">
      <formula>AND(IF($Q19=2,1,0),IF($X19&lt;30,1,0))</formula>
    </cfRule>
    <cfRule type="expression" priority="1655" dxfId="1">
      <formula>AND(IF($Q19=3,1,0),IF($X19&lt;30,1,0))</formula>
    </cfRule>
    <cfRule type="expression" priority="1656" dxfId="0">
      <formula>AND(IF($Q19=3,1,IF($Q19=4,1,0)),IF($F19&lt;=85,1,0))</formula>
    </cfRule>
  </conditionalFormatting>
  <conditionalFormatting sqref="X19">
    <cfRule type="expression" priority="1649" dxfId="3">
      <formula>AND(IF(OR($Q19=1,$Q19=2),1,0),IF($X19&lt;=20,1,0))</formula>
    </cfRule>
    <cfRule type="expression" priority="1650" dxfId="2">
      <formula>AND(IF($Q19=2,1,0),IF($X19&lt;30,1,0))</formula>
    </cfRule>
    <cfRule type="expression" priority="1651" dxfId="1">
      <formula>AND(IF($Q19=3,1,0),IF($X19&lt;30,1,0))</formula>
    </cfRule>
    <cfRule type="expression" priority="1652" dxfId="0">
      <formula>AND(IF($Q19=3,1,IF($Q19=4,1,0)),IF($F19&lt;=85,1,0))</formula>
    </cfRule>
  </conditionalFormatting>
  <conditionalFormatting sqref="AI19">
    <cfRule type="expression" priority="1645" dxfId="3">
      <formula>AND(IF(OR($Q19=1,$Q19=2),1,0),IF($X19&lt;=20,1,0))</formula>
    </cfRule>
    <cfRule type="expression" priority="1646" dxfId="2">
      <formula>AND(IF($Q19=2,1,0),IF($X19&lt;30,1,0))</formula>
    </cfRule>
    <cfRule type="expression" priority="1647" dxfId="1">
      <formula>AND(IF($Q19=3,1,0),IF($X19&lt;30,1,0))</formula>
    </cfRule>
    <cfRule type="expression" priority="1648" dxfId="0">
      <formula>AND(IF($Q19=3,1,IF($Q19=4,1,0)),IF($F19&lt;=85,1,0))</formula>
    </cfRule>
  </conditionalFormatting>
  <conditionalFormatting sqref="AV20">
    <cfRule type="expression" priority="1643" dxfId="23">
      <formula>AV20="X"</formula>
    </cfRule>
    <cfRule type="expression" priority="1644" dxfId="22">
      <formula>AV20="후보"</formula>
    </cfRule>
  </conditionalFormatting>
  <conditionalFormatting sqref="AC20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0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0">
    <cfRule type="expression" priority="1634" dxfId="3">
      <formula>AND(IF(OR($Q20=1,$Q20=2),1,0),IF($X20&lt;=20,1,0))</formula>
    </cfRule>
    <cfRule type="expression" priority="1635" dxfId="2">
      <formula>AND(IF($Q20=2,1,0),IF($X20&lt;30,1,0))</formula>
    </cfRule>
    <cfRule type="expression" priority="1636" dxfId="1">
      <formula>AND(IF($Q20=3,1,0),IF($X20&lt;30,1,0))</formula>
    </cfRule>
    <cfRule type="expression" priority="1637" dxfId="0">
      <formula>AND(IF($Q20=3,1,IF($Q20=4,1,0)),IF($F20&lt;=85,1,0))</formula>
    </cfRule>
  </conditionalFormatting>
  <conditionalFormatting sqref="X20">
    <cfRule type="expression" priority="1630" dxfId="3">
      <formula>AND(IF(OR($Q20=1,$Q20=2),1,0),IF($X20&lt;=20,1,0))</formula>
    </cfRule>
    <cfRule type="expression" priority="1631" dxfId="2">
      <formula>AND(IF($Q20=2,1,0),IF($X20&lt;30,1,0))</formula>
    </cfRule>
    <cfRule type="expression" priority="1632" dxfId="1">
      <formula>AND(IF($Q20=3,1,0),IF($X20&lt;30,1,0))</formula>
    </cfRule>
    <cfRule type="expression" priority="1633" dxfId="0">
      <formula>AND(IF($Q20=3,1,IF($Q20=4,1,0)),IF($F20&lt;=85,1,0))</formula>
    </cfRule>
  </conditionalFormatting>
  <conditionalFormatting sqref="AI20">
    <cfRule type="expression" priority="1626" dxfId="3">
      <formula>AND(IF(OR($Q20=1,$Q20=2),1,0),IF($X20&lt;=20,1,0))</formula>
    </cfRule>
    <cfRule type="expression" priority="1627" dxfId="2">
      <formula>AND(IF($Q20=2,1,0),IF($X20&lt;30,1,0))</formula>
    </cfRule>
    <cfRule type="expression" priority="1628" dxfId="1">
      <formula>AND(IF($Q20=3,1,0),IF($X20&lt;30,1,0))</formula>
    </cfRule>
    <cfRule type="expression" priority="1629" dxfId="0">
      <formula>AND(IF($Q20=3,1,IF($Q20=4,1,0)),IF($F20&lt;=85,1,0))</formula>
    </cfRule>
  </conditionalFormatting>
  <conditionalFormatting sqref="AV21">
    <cfRule type="expression" priority="1624" dxfId="23">
      <formula>AV21="X"</formula>
    </cfRule>
    <cfRule type="expression" priority="1625" dxfId="22">
      <formula>AV21="후보"</formula>
    </cfRule>
  </conditionalFormatting>
  <conditionalFormatting sqref="AC21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1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1">
    <cfRule type="expression" priority="1615" dxfId="3">
      <formula>AND(IF(OR($Q21=1,$Q21=2),1,0),IF($X21&lt;=20,1,0))</formula>
    </cfRule>
    <cfRule type="expression" priority="1616" dxfId="2">
      <formula>AND(IF($Q21=2,1,0),IF($X21&lt;30,1,0))</formula>
    </cfRule>
    <cfRule type="expression" priority="1617" dxfId="1">
      <formula>AND(IF($Q21=3,1,0),IF($X21&lt;30,1,0))</formula>
    </cfRule>
    <cfRule type="expression" priority="1618" dxfId="0">
      <formula>AND(IF($Q21=3,1,IF($Q21=4,1,0)),IF($F21&lt;=85,1,0))</formula>
    </cfRule>
  </conditionalFormatting>
  <conditionalFormatting sqref="X21">
    <cfRule type="expression" priority="1611" dxfId="3">
      <formula>AND(IF(OR($Q21=1,$Q21=2),1,0),IF($X21&lt;=20,1,0))</formula>
    </cfRule>
    <cfRule type="expression" priority="1612" dxfId="2">
      <formula>AND(IF($Q21=2,1,0),IF($X21&lt;30,1,0))</formula>
    </cfRule>
    <cfRule type="expression" priority="1613" dxfId="1">
      <formula>AND(IF($Q21=3,1,0),IF($X21&lt;30,1,0))</formula>
    </cfRule>
    <cfRule type="expression" priority="1614" dxfId="0">
      <formula>AND(IF($Q21=3,1,IF($Q21=4,1,0)),IF($F21&lt;=85,1,0))</formula>
    </cfRule>
  </conditionalFormatting>
  <conditionalFormatting sqref="AI21">
    <cfRule type="expression" priority="1607" dxfId="3">
      <formula>AND(IF(OR($Q21=1,$Q21=2),1,0),IF($X21&lt;=20,1,0))</formula>
    </cfRule>
    <cfRule type="expression" priority="1608" dxfId="2">
      <formula>AND(IF($Q21=2,1,0),IF($X21&lt;30,1,0))</formula>
    </cfRule>
    <cfRule type="expression" priority="1609" dxfId="1">
      <formula>AND(IF($Q21=3,1,0),IF($X21&lt;30,1,0))</formula>
    </cfRule>
    <cfRule type="expression" priority="1610" dxfId="0">
      <formula>AND(IF($Q21=3,1,IF($Q21=4,1,0)),IF($F21&lt;=85,1,0))</formula>
    </cfRule>
  </conditionalFormatting>
  <conditionalFormatting sqref="AV22">
    <cfRule type="expression" priority="1605" dxfId="23">
      <formula>AV22="X"</formula>
    </cfRule>
    <cfRule type="expression" priority="1606" dxfId="22">
      <formula>AV22="후보"</formula>
    </cfRule>
  </conditionalFormatting>
  <conditionalFormatting sqref="AC22 N2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3">
    <cfRule type="expression" priority="1600" dxfId="23">
      <formula>AV23="X"</formula>
    </cfRule>
    <cfRule type="expression" priority="1601" dxfId="22">
      <formula>AV23="후보"</formula>
    </cfRule>
  </conditionalFormatting>
  <conditionalFormatting sqref="AC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X23">
    <cfRule type="expression" priority="1587" dxfId="3">
      <formula>AND(IF(OR($Q23=1,$Q23=2),1,0),IF($X23&lt;=20,1,0))</formula>
    </cfRule>
    <cfRule type="expression" priority="1588" dxfId="2">
      <formula>AND(IF($Q23=2,1,0),IF($X23&lt;30,1,0))</formula>
    </cfRule>
    <cfRule type="expression" priority="1589" dxfId="1">
      <formula>AND(IF($Q23=3,1,0),IF($X23&lt;30,1,0))</formula>
    </cfRule>
    <cfRule type="expression" priority="1590" dxfId="0">
      <formula>AND(IF($Q23=3,1,IF($Q23=4,1,0)),IF($F23&lt;=85,1,0))</formula>
    </cfRule>
  </conditionalFormatting>
  <conditionalFormatting sqref="AI23">
    <cfRule type="expression" priority="1583" dxfId="3">
      <formula>AND(IF(OR($Q23=1,$Q23=2),1,0),IF($X23&lt;=20,1,0))</formula>
    </cfRule>
    <cfRule type="expression" priority="1584" dxfId="2">
      <formula>AND(IF($Q23=2,1,0),IF($X23&lt;30,1,0))</formula>
    </cfRule>
    <cfRule type="expression" priority="1585" dxfId="1">
      <formula>AND(IF($Q23=3,1,0),IF($X23&lt;30,1,0))</formula>
    </cfRule>
    <cfRule type="expression" priority="1586" dxfId="0">
      <formula>AND(IF($Q23=3,1,IF($Q23=4,1,0)),IF($F23&lt;=85,1,0))</formula>
    </cfRule>
  </conditionalFormatting>
  <conditionalFormatting sqref="AV24">
    <cfRule type="expression" priority="1581" dxfId="23">
      <formula>AV24="X"</formula>
    </cfRule>
    <cfRule type="expression" priority="1582" dxfId="22">
      <formula>AV24="후보"</formula>
    </cfRule>
  </conditionalFormatting>
  <conditionalFormatting sqref="AC24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X24">
    <cfRule type="expression" priority="1568" dxfId="3">
      <formula>AND(IF(OR($Q24=1,$Q24=2),1,0),IF($X24&lt;=20,1,0))</formula>
    </cfRule>
    <cfRule type="expression" priority="1569" dxfId="2">
      <formula>AND(IF($Q24=2,1,0),IF($X24&lt;30,1,0))</formula>
    </cfRule>
    <cfRule type="expression" priority="1570" dxfId="1">
      <formula>AND(IF($Q24=3,1,0),IF($X24&lt;30,1,0))</formula>
    </cfRule>
    <cfRule type="expression" priority="1571" dxfId="0">
      <formula>AND(IF($Q24=3,1,IF($Q24=4,1,0)),IF($F24&lt;=85,1,0))</formula>
    </cfRule>
  </conditionalFormatting>
  <conditionalFormatting sqref="AI24">
    <cfRule type="expression" priority="1564" dxfId="3">
      <formula>AND(IF(OR($Q24=1,$Q24=2),1,0),IF($X24&lt;=20,1,0))</formula>
    </cfRule>
    <cfRule type="expression" priority="1565" dxfId="2">
      <formula>AND(IF($Q24=2,1,0),IF($X24&lt;30,1,0))</formula>
    </cfRule>
    <cfRule type="expression" priority="1566" dxfId="1">
      <formula>AND(IF($Q24=3,1,0),IF($X24&lt;30,1,0))</formula>
    </cfRule>
    <cfRule type="expression" priority="1567" dxfId="0">
      <formula>AND(IF($Q24=3,1,IF($Q24=4,1,0)),IF($F24&lt;=85,1,0))</formula>
    </cfRule>
  </conditionalFormatting>
  <conditionalFormatting sqref="AV25">
    <cfRule type="expression" priority="1562" dxfId="23">
      <formula>AV25="X"</formula>
    </cfRule>
    <cfRule type="expression" priority="1563" dxfId="22">
      <formula>AV25="후보"</formula>
    </cfRule>
  </conditionalFormatting>
  <conditionalFormatting sqref="AC25 N25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6">
    <cfRule type="expression" priority="1557" dxfId="23">
      <formula>AV26="X"</formula>
    </cfRule>
    <cfRule type="expression" priority="1558" dxfId="22">
      <formula>AV26="후보"</formula>
    </cfRule>
  </conditionalFormatting>
  <conditionalFormatting sqref="AC26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X26">
    <cfRule type="expression" priority="1544" dxfId="3">
      <formula>AND(IF(OR($Q26=1,$Q26=2),1,0),IF($X26&lt;=20,1,0))</formula>
    </cfRule>
    <cfRule type="expression" priority="1545" dxfId="2">
      <formula>AND(IF($Q26=2,1,0),IF($X26&lt;30,1,0))</formula>
    </cfRule>
    <cfRule type="expression" priority="1546" dxfId="1">
      <formula>AND(IF($Q26=3,1,0),IF($X26&lt;30,1,0))</formula>
    </cfRule>
    <cfRule type="expression" priority="1547" dxfId="0">
      <formula>AND(IF($Q26=3,1,IF($Q26=4,1,0)),IF($F26&lt;=85,1,0))</formula>
    </cfRule>
  </conditionalFormatting>
  <conditionalFormatting sqref="AI26">
    <cfRule type="expression" priority="1540" dxfId="3">
      <formula>AND(IF(OR($Q26=1,$Q26=2),1,0),IF($X26&lt;=20,1,0))</formula>
    </cfRule>
    <cfRule type="expression" priority="1541" dxfId="2">
      <formula>AND(IF($Q26=2,1,0),IF($X26&lt;30,1,0))</formula>
    </cfRule>
    <cfRule type="expression" priority="1542" dxfId="1">
      <formula>AND(IF($Q26=3,1,0),IF($X26&lt;30,1,0))</formula>
    </cfRule>
    <cfRule type="expression" priority="1543" dxfId="0">
      <formula>AND(IF($Q26=3,1,IF($Q26=4,1,0)),IF($F26&lt;=85,1,0))</formula>
    </cfRule>
  </conditionalFormatting>
  <conditionalFormatting sqref="AV27">
    <cfRule type="expression" priority="1538" dxfId="23">
      <formula>AV27="X"</formula>
    </cfRule>
    <cfRule type="expression" priority="1539" dxfId="22">
      <formula>AV27="후보"</formula>
    </cfRule>
  </conditionalFormatting>
  <conditionalFormatting sqref="AC2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X27">
    <cfRule type="expression" priority="1525" dxfId="3">
      <formula>AND(IF(OR($Q27=1,$Q27=2),1,0),IF($X27&lt;=20,1,0))</formula>
    </cfRule>
    <cfRule type="expression" priority="1526" dxfId="2">
      <formula>AND(IF($Q27=2,1,0),IF($X27&lt;30,1,0))</formula>
    </cfRule>
    <cfRule type="expression" priority="1527" dxfId="1">
      <formula>AND(IF($Q27=3,1,0),IF($X27&lt;30,1,0))</formula>
    </cfRule>
    <cfRule type="expression" priority="1528" dxfId="0">
      <formula>AND(IF($Q27=3,1,IF($Q27=4,1,0)),IF($F27&lt;=85,1,0))</formula>
    </cfRule>
  </conditionalFormatting>
  <conditionalFormatting sqref="AI27">
    <cfRule type="expression" priority="1521" dxfId="3">
      <formula>AND(IF(OR($Q27=1,$Q27=2),1,0),IF($X27&lt;=20,1,0))</formula>
    </cfRule>
    <cfRule type="expression" priority="1522" dxfId="2">
      <formula>AND(IF($Q27=2,1,0),IF($X27&lt;30,1,0))</formula>
    </cfRule>
    <cfRule type="expression" priority="1523" dxfId="1">
      <formula>AND(IF($Q27=3,1,0),IF($X27&lt;30,1,0))</formula>
    </cfRule>
    <cfRule type="expression" priority="1524" dxfId="0">
      <formula>AND(IF($Q27=3,1,IF($Q27=4,1,0)),IF($F27&lt;=85,1,0))</formula>
    </cfRule>
  </conditionalFormatting>
  <conditionalFormatting sqref="AV28">
    <cfRule type="expression" priority="1519" dxfId="23">
      <formula>AV28="X"</formula>
    </cfRule>
    <cfRule type="expression" priority="1520" dxfId="22">
      <formula>AV28="후보"</formula>
    </cfRule>
  </conditionalFormatting>
  <conditionalFormatting sqref="AC28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X28">
    <cfRule type="expression" priority="1506" dxfId="3">
      <formula>AND(IF(OR($Q28=1,$Q28=2),1,0),IF($X28&lt;=20,1,0))</formula>
    </cfRule>
    <cfRule type="expression" priority="1507" dxfId="2">
      <formula>AND(IF($Q28=2,1,0),IF($X28&lt;30,1,0))</formula>
    </cfRule>
    <cfRule type="expression" priority="1508" dxfId="1">
      <formula>AND(IF($Q28=3,1,0),IF($X28&lt;30,1,0))</formula>
    </cfRule>
    <cfRule type="expression" priority="1509" dxfId="0">
      <formula>AND(IF($Q28=3,1,IF($Q28=4,1,0)),IF($F28&lt;=85,1,0))</formula>
    </cfRule>
  </conditionalFormatting>
  <conditionalFormatting sqref="AI28">
    <cfRule type="expression" priority="1502" dxfId="3">
      <formula>AND(IF(OR($Q28=1,$Q28=2),1,0),IF($X28&lt;=20,1,0))</formula>
    </cfRule>
    <cfRule type="expression" priority="1503" dxfId="2">
      <formula>AND(IF($Q28=2,1,0),IF($X28&lt;30,1,0))</formula>
    </cfRule>
    <cfRule type="expression" priority="1504" dxfId="1">
      <formula>AND(IF($Q28=3,1,0),IF($X28&lt;30,1,0))</formula>
    </cfRule>
    <cfRule type="expression" priority="1505" dxfId="0">
      <formula>AND(IF($Q28=3,1,IF($Q28=4,1,0)),IF($F28&lt;=85,1,0))</formula>
    </cfRule>
  </conditionalFormatting>
  <conditionalFormatting sqref="AV29">
    <cfRule type="expression" priority="1500" dxfId="23">
      <formula>AV29="X"</formula>
    </cfRule>
    <cfRule type="expression" priority="1501" dxfId="22">
      <formula>AV29="후보"</formula>
    </cfRule>
  </conditionalFormatting>
  <conditionalFormatting sqref="AC29 N29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30">
    <cfRule type="expression" priority="1495" dxfId="23">
      <formula>AV30="X"</formula>
    </cfRule>
    <cfRule type="expression" priority="1496" dxfId="22">
      <formula>AV30="후보"</formula>
    </cfRule>
  </conditionalFormatting>
  <conditionalFormatting sqref="AC3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0">
    <cfRule type="expression" priority="1486" dxfId="3">
      <formula>AND(IF(OR($Q30=1,$Q30=2),1,0),IF($X30&lt;=20,1,0))</formula>
    </cfRule>
    <cfRule type="expression" priority="1487" dxfId="2">
      <formula>AND(IF($Q30=2,1,0),IF($X30&lt;30,1,0))</formula>
    </cfRule>
    <cfRule type="expression" priority="1488" dxfId="1">
      <formula>AND(IF($Q30=3,1,0),IF($X30&lt;30,1,0))</formula>
    </cfRule>
    <cfRule type="expression" priority="1489" dxfId="0">
      <formula>AND(IF($Q30=3,1,IF($Q30=4,1,0)),IF($F30&lt;=85,1,0))</formula>
    </cfRule>
  </conditionalFormatting>
  <conditionalFormatting sqref="X30">
    <cfRule type="expression" priority="1482" dxfId="3">
      <formula>AND(IF(OR($Q30=1,$Q30=2),1,0),IF($X30&lt;=20,1,0))</formula>
    </cfRule>
    <cfRule type="expression" priority="1483" dxfId="2">
      <formula>AND(IF($Q30=2,1,0),IF($X30&lt;30,1,0))</formula>
    </cfRule>
    <cfRule type="expression" priority="1484" dxfId="1">
      <formula>AND(IF($Q30=3,1,0),IF($X30&lt;30,1,0))</formula>
    </cfRule>
    <cfRule type="expression" priority="1485" dxfId="0">
      <formula>AND(IF($Q30=3,1,IF($Q30=4,1,0)),IF($F30&lt;=85,1,0))</formula>
    </cfRule>
  </conditionalFormatting>
  <conditionalFormatting sqref="AI30">
    <cfRule type="expression" priority="1478" dxfId="3">
      <formula>AND(IF(OR($Q30=1,$Q30=2),1,0),IF($X30&lt;=20,1,0))</formula>
    </cfRule>
    <cfRule type="expression" priority="1479" dxfId="2">
      <formula>AND(IF($Q30=2,1,0),IF($X30&lt;30,1,0))</formula>
    </cfRule>
    <cfRule type="expression" priority="1480" dxfId="1">
      <formula>AND(IF($Q30=3,1,0),IF($X30&lt;30,1,0))</formula>
    </cfRule>
    <cfRule type="expression" priority="1481" dxfId="0">
      <formula>AND(IF($Q30=3,1,IF($Q30=4,1,0)),IF($F30&lt;=85,1,0))</formula>
    </cfRule>
  </conditionalFormatting>
  <conditionalFormatting sqref="AV31">
    <cfRule type="expression" priority="1476" dxfId="23">
      <formula>AV31="X"</formula>
    </cfRule>
    <cfRule type="expression" priority="1477" dxfId="22">
      <formula>AV31="후보"</formula>
    </cfRule>
  </conditionalFormatting>
  <conditionalFormatting sqref="AC3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1">
    <cfRule type="expression" priority="1467" dxfId="3">
      <formula>AND(IF(OR($Q31=1,$Q31=2),1,0),IF($X31&lt;=20,1,0))</formula>
    </cfRule>
    <cfRule type="expression" priority="1468" dxfId="2">
      <formula>AND(IF($Q31=2,1,0),IF($X31&lt;30,1,0))</formula>
    </cfRule>
    <cfRule type="expression" priority="1469" dxfId="1">
      <formula>AND(IF($Q31=3,1,0),IF($X31&lt;30,1,0))</formula>
    </cfRule>
    <cfRule type="expression" priority="1470" dxfId="0">
      <formula>AND(IF($Q31=3,1,IF($Q31=4,1,0)),IF($F31&lt;=85,1,0))</formula>
    </cfRule>
  </conditionalFormatting>
  <conditionalFormatting sqref="X31">
    <cfRule type="expression" priority="1463" dxfId="3">
      <formula>AND(IF(OR($Q31=1,$Q31=2),1,0),IF($X31&lt;=20,1,0))</formula>
    </cfRule>
    <cfRule type="expression" priority="1464" dxfId="2">
      <formula>AND(IF($Q31=2,1,0),IF($X31&lt;30,1,0))</formula>
    </cfRule>
    <cfRule type="expression" priority="1465" dxfId="1">
      <formula>AND(IF($Q31=3,1,0),IF($X31&lt;30,1,0))</formula>
    </cfRule>
    <cfRule type="expression" priority="1466" dxfId="0">
      <formula>AND(IF($Q31=3,1,IF($Q31=4,1,0)),IF($F31&lt;=85,1,0))</formula>
    </cfRule>
  </conditionalFormatting>
  <conditionalFormatting sqref="AI31">
    <cfRule type="expression" priority="1459" dxfId="3">
      <formula>AND(IF(OR($Q31=1,$Q31=2),1,0),IF($X31&lt;=20,1,0))</formula>
    </cfRule>
    <cfRule type="expression" priority="1460" dxfId="2">
      <formula>AND(IF($Q31=2,1,0),IF($X31&lt;30,1,0))</formula>
    </cfRule>
    <cfRule type="expression" priority="1461" dxfId="1">
      <formula>AND(IF($Q31=3,1,0),IF($X31&lt;30,1,0))</formula>
    </cfRule>
    <cfRule type="expression" priority="1462" dxfId="0">
      <formula>AND(IF($Q31=3,1,IF($Q31=4,1,0)),IF($F31&lt;=85,1,0))</formula>
    </cfRule>
  </conditionalFormatting>
  <conditionalFormatting sqref="AV32">
    <cfRule type="expression" priority="1457" dxfId="23">
      <formula>AV32="X"</formula>
    </cfRule>
    <cfRule type="expression" priority="1458" dxfId="22">
      <formula>AV32="후보"</formula>
    </cfRule>
  </conditionalFormatting>
  <conditionalFormatting sqref="AC32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2">
    <cfRule type="expression" priority="1448" dxfId="3">
      <formula>AND(IF(OR($Q32=1,$Q32=2),1,0),IF($X32&lt;=20,1,0))</formula>
    </cfRule>
    <cfRule type="expression" priority="1449" dxfId="2">
      <formula>AND(IF($Q32=2,1,0),IF($X32&lt;30,1,0))</formula>
    </cfRule>
    <cfRule type="expression" priority="1450" dxfId="1">
      <formula>AND(IF($Q32=3,1,0),IF($X32&lt;30,1,0))</formula>
    </cfRule>
    <cfRule type="expression" priority="1451" dxfId="0">
      <formula>AND(IF($Q32=3,1,IF($Q32=4,1,0)),IF($F32&lt;=85,1,0))</formula>
    </cfRule>
  </conditionalFormatting>
  <conditionalFormatting sqref="X32">
    <cfRule type="expression" priority="1444" dxfId="3">
      <formula>AND(IF(OR($Q32=1,$Q32=2),1,0),IF($X32&lt;=20,1,0))</formula>
    </cfRule>
    <cfRule type="expression" priority="1445" dxfId="2">
      <formula>AND(IF($Q32=2,1,0),IF($X32&lt;30,1,0))</formula>
    </cfRule>
    <cfRule type="expression" priority="1446" dxfId="1">
      <formula>AND(IF($Q32=3,1,0),IF($X32&lt;30,1,0))</formula>
    </cfRule>
    <cfRule type="expression" priority="1447" dxfId="0">
      <formula>AND(IF($Q32=3,1,IF($Q32=4,1,0)),IF($F32&lt;=85,1,0))</formula>
    </cfRule>
  </conditionalFormatting>
  <conditionalFormatting sqref="AI32">
    <cfRule type="expression" priority="1440" dxfId="3">
      <formula>AND(IF(OR($Q32=1,$Q32=2),1,0),IF($X32&lt;=20,1,0))</formula>
    </cfRule>
    <cfRule type="expression" priority="1441" dxfId="2">
      <formula>AND(IF($Q32=2,1,0),IF($X32&lt;30,1,0))</formula>
    </cfRule>
    <cfRule type="expression" priority="1442" dxfId="1">
      <formula>AND(IF($Q32=3,1,0),IF($X32&lt;30,1,0))</formula>
    </cfRule>
    <cfRule type="expression" priority="1443" dxfId="0">
      <formula>AND(IF($Q32=3,1,IF($Q32=4,1,0)),IF($F32&lt;=85,1,0))</formula>
    </cfRule>
  </conditionalFormatting>
  <conditionalFormatting sqref="AV33">
    <cfRule type="expression" priority="1438" dxfId="23">
      <formula>AV33="X"</formula>
    </cfRule>
    <cfRule type="expression" priority="1439" dxfId="22">
      <formula>AV33="후보"</formula>
    </cfRule>
  </conditionalFormatting>
  <conditionalFormatting sqref="AC3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X33">
    <cfRule type="expression" priority="1425" dxfId="3">
      <formula>AND(IF(OR($Q33=1,$Q33=2),1,0),IF($X33&lt;=20,1,0))</formula>
    </cfRule>
    <cfRule type="expression" priority="1426" dxfId="2">
      <formula>AND(IF($Q33=2,1,0),IF($X33&lt;30,1,0))</formula>
    </cfRule>
    <cfRule type="expression" priority="1427" dxfId="1">
      <formula>AND(IF($Q33=3,1,0),IF($X33&lt;30,1,0))</formula>
    </cfRule>
    <cfRule type="expression" priority="1428" dxfId="0">
      <formula>AND(IF($Q33=3,1,IF($Q33=4,1,0)),IF($F33&lt;=85,1,0))</formula>
    </cfRule>
  </conditionalFormatting>
  <conditionalFormatting sqref="AI33">
    <cfRule type="expression" priority="1421" dxfId="3">
      <formula>AND(IF(OR($Q33=1,$Q33=2),1,0),IF($X33&lt;=20,1,0))</formula>
    </cfRule>
    <cfRule type="expression" priority="1422" dxfId="2">
      <formula>AND(IF($Q33=2,1,0),IF($X33&lt;30,1,0))</formula>
    </cfRule>
    <cfRule type="expression" priority="1423" dxfId="1">
      <formula>AND(IF($Q33=3,1,0),IF($X33&lt;30,1,0))</formula>
    </cfRule>
    <cfRule type="expression" priority="1424" dxfId="0">
      <formula>AND(IF($Q33=3,1,IF($Q33=4,1,0)),IF($F33&lt;=85,1,0))</formula>
    </cfRule>
  </conditionalFormatting>
  <conditionalFormatting sqref="AV34">
    <cfRule type="expression" priority="1419" dxfId="23">
      <formula>AV34="X"</formula>
    </cfRule>
    <cfRule type="expression" priority="1420" dxfId="22">
      <formula>AV34="후보"</formula>
    </cfRule>
  </conditionalFormatting>
  <conditionalFormatting sqref="AC34 N34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AV35">
    <cfRule type="expression" priority="1414" dxfId="23">
      <formula>AV35="X"</formula>
    </cfRule>
    <cfRule type="expression" priority="1415" dxfId="22">
      <formula>AV35="후보"</formula>
    </cfRule>
  </conditionalFormatting>
  <conditionalFormatting sqref="AC3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5">
    <cfRule type="expression" priority="1405" dxfId="3">
      <formula>AND(IF(OR($Q35=1,$Q35=2),1,0),IF($X35&lt;=20,1,0))</formula>
    </cfRule>
    <cfRule type="expression" priority="1406" dxfId="2">
      <formula>AND(IF($Q35=2,1,0),IF($X35&lt;30,1,0))</formula>
    </cfRule>
    <cfRule type="expression" priority="1407" dxfId="1">
      <formula>AND(IF($Q35=3,1,0),IF($X35&lt;30,1,0))</formula>
    </cfRule>
    <cfRule type="expression" priority="1408" dxfId="0">
      <formula>AND(IF($Q35=3,1,IF($Q35=4,1,0)),IF($F35&lt;=85,1,0))</formula>
    </cfRule>
  </conditionalFormatting>
  <conditionalFormatting sqref="X35">
    <cfRule type="expression" priority="1401" dxfId="3">
      <formula>AND(IF(OR($Q35=1,$Q35=2),1,0),IF($X35&lt;=20,1,0))</formula>
    </cfRule>
    <cfRule type="expression" priority="1402" dxfId="2">
      <formula>AND(IF($Q35=2,1,0),IF($X35&lt;30,1,0))</formula>
    </cfRule>
    <cfRule type="expression" priority="1403" dxfId="1">
      <formula>AND(IF($Q35=3,1,0),IF($X35&lt;30,1,0))</formula>
    </cfRule>
    <cfRule type="expression" priority="1404" dxfId="0">
      <formula>AND(IF($Q35=3,1,IF($Q35=4,1,0)),IF($F35&lt;=85,1,0))</formula>
    </cfRule>
  </conditionalFormatting>
  <conditionalFormatting sqref="AI35">
    <cfRule type="expression" priority="1397" dxfId="3">
      <formula>AND(IF(OR($Q35=1,$Q35=2),1,0),IF($X35&lt;=20,1,0))</formula>
    </cfRule>
    <cfRule type="expression" priority="1398" dxfId="2">
      <formula>AND(IF($Q35=2,1,0),IF($X35&lt;30,1,0))</formula>
    </cfRule>
    <cfRule type="expression" priority="1399" dxfId="1">
      <formula>AND(IF($Q35=3,1,0),IF($X35&lt;30,1,0))</formula>
    </cfRule>
    <cfRule type="expression" priority="1400" dxfId="0">
      <formula>AND(IF($Q35=3,1,IF($Q35=4,1,0)),IF($F35&lt;=85,1,0))</formula>
    </cfRule>
  </conditionalFormatting>
  <conditionalFormatting sqref="AV36">
    <cfRule type="expression" priority="1395" dxfId="23">
      <formula>AV36="X"</formula>
    </cfRule>
    <cfRule type="expression" priority="1396" dxfId="22">
      <formula>AV36="후보"</formula>
    </cfRule>
  </conditionalFormatting>
  <conditionalFormatting sqref="AC3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6">
    <cfRule type="expression" priority="1386" dxfId="3">
      <formula>AND(IF(OR($Q36=1,$Q36=2),1,0),IF($X36&lt;=20,1,0))</formula>
    </cfRule>
    <cfRule type="expression" priority="1387" dxfId="2">
      <formula>AND(IF($Q36=2,1,0),IF($X36&lt;30,1,0))</formula>
    </cfRule>
    <cfRule type="expression" priority="1388" dxfId="1">
      <formula>AND(IF($Q36=3,1,0),IF($X36&lt;30,1,0))</formula>
    </cfRule>
    <cfRule type="expression" priority="1389" dxfId="0">
      <formula>AND(IF($Q36=3,1,IF($Q36=4,1,0)),IF($F36&lt;=85,1,0))</formula>
    </cfRule>
  </conditionalFormatting>
  <conditionalFormatting sqref="X36">
    <cfRule type="expression" priority="1382" dxfId="3">
      <formula>AND(IF(OR($Q36=1,$Q36=2),1,0),IF($X36&lt;=20,1,0))</formula>
    </cfRule>
    <cfRule type="expression" priority="1383" dxfId="2">
      <formula>AND(IF($Q36=2,1,0),IF($X36&lt;30,1,0))</formula>
    </cfRule>
    <cfRule type="expression" priority="1384" dxfId="1">
      <formula>AND(IF($Q36=3,1,0),IF($X36&lt;30,1,0))</formula>
    </cfRule>
    <cfRule type="expression" priority="1385" dxfId="0">
      <formula>AND(IF($Q36=3,1,IF($Q36=4,1,0)),IF($F36&lt;=85,1,0))</formula>
    </cfRule>
  </conditionalFormatting>
  <conditionalFormatting sqref="AI36">
    <cfRule type="expression" priority="1378" dxfId="3">
      <formula>AND(IF(OR($Q36=1,$Q36=2),1,0),IF($X36&lt;=20,1,0))</formula>
    </cfRule>
    <cfRule type="expression" priority="1379" dxfId="2">
      <formula>AND(IF($Q36=2,1,0),IF($X36&lt;30,1,0))</formula>
    </cfRule>
    <cfRule type="expression" priority="1380" dxfId="1">
      <formula>AND(IF($Q36=3,1,0),IF($X36&lt;30,1,0))</formula>
    </cfRule>
    <cfRule type="expression" priority="1381" dxfId="0">
      <formula>AND(IF($Q36=3,1,IF($Q36=4,1,0)),IF($F36&lt;=85,1,0))</formula>
    </cfRule>
  </conditionalFormatting>
  <conditionalFormatting sqref="AV37">
    <cfRule type="expression" priority="1376" dxfId="23">
      <formula>AV37="X"</formula>
    </cfRule>
    <cfRule type="expression" priority="1377" dxfId="22">
      <formula>AV37="후보"</formula>
    </cfRule>
  </conditionalFormatting>
  <conditionalFormatting sqref="AC3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7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7">
    <cfRule type="expression" priority="1367" dxfId="3">
      <formula>AND(IF(OR($Q37=1,$Q37=2),1,0),IF($X37&lt;=20,1,0))</formula>
    </cfRule>
    <cfRule type="expression" priority="1368" dxfId="2">
      <formula>AND(IF($Q37=2,1,0),IF($X37&lt;30,1,0))</formula>
    </cfRule>
    <cfRule type="expression" priority="1369" dxfId="1">
      <formula>AND(IF($Q37=3,1,0),IF($X37&lt;30,1,0))</formula>
    </cfRule>
    <cfRule type="expression" priority="1370" dxfId="0">
      <formula>AND(IF($Q37=3,1,IF($Q37=4,1,0)),IF($F37&lt;=85,1,0))</formula>
    </cfRule>
  </conditionalFormatting>
  <conditionalFormatting sqref="X37">
    <cfRule type="expression" priority="1363" dxfId="3">
      <formula>AND(IF(OR($Q37=1,$Q37=2),1,0),IF($X37&lt;=20,1,0))</formula>
    </cfRule>
    <cfRule type="expression" priority="1364" dxfId="2">
      <formula>AND(IF($Q37=2,1,0),IF($X37&lt;30,1,0))</formula>
    </cfRule>
    <cfRule type="expression" priority="1365" dxfId="1">
      <formula>AND(IF($Q37=3,1,0),IF($X37&lt;30,1,0))</formula>
    </cfRule>
    <cfRule type="expression" priority="1366" dxfId="0">
      <formula>AND(IF($Q37=3,1,IF($Q37=4,1,0)),IF($F37&lt;=85,1,0))</formula>
    </cfRule>
  </conditionalFormatting>
  <conditionalFormatting sqref="AI37">
    <cfRule type="expression" priority="1359" dxfId="3">
      <formula>AND(IF(OR($Q37=1,$Q37=2),1,0),IF($X37&lt;=20,1,0))</formula>
    </cfRule>
    <cfRule type="expression" priority="1360" dxfId="2">
      <formula>AND(IF($Q37=2,1,0),IF($X37&lt;30,1,0))</formula>
    </cfRule>
    <cfRule type="expression" priority="1361" dxfId="1">
      <formula>AND(IF($Q37=3,1,0),IF($X37&lt;30,1,0))</formula>
    </cfRule>
    <cfRule type="expression" priority="1362" dxfId="0">
      <formula>AND(IF($Q37=3,1,IF($Q37=4,1,0)),IF($F37&lt;=85,1,0))</formula>
    </cfRule>
  </conditionalFormatting>
  <conditionalFormatting sqref="AV38">
    <cfRule type="expression" priority="1357" dxfId="23">
      <formula>AV38="X"</formula>
    </cfRule>
    <cfRule type="expression" priority="1358" dxfId="22">
      <formula>AV38="후보"</formula>
    </cfRule>
  </conditionalFormatting>
  <conditionalFormatting sqref="AC38 N38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39">
    <cfRule type="expression" priority="1352" dxfId="23">
      <formula>AV39="X"</formula>
    </cfRule>
    <cfRule type="expression" priority="1353" dxfId="22">
      <formula>AV39="후보"</formula>
    </cfRule>
  </conditionalFormatting>
  <conditionalFormatting sqref="AC3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3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39">
    <cfRule type="expression" priority="1343" dxfId="3">
      <formula>AND(IF(OR($Q39=1,$Q39=2),1,0),IF($X39&lt;=20,1,0))</formula>
    </cfRule>
    <cfRule type="expression" priority="1344" dxfId="2">
      <formula>AND(IF($Q39=2,1,0),IF($X39&lt;30,1,0))</formula>
    </cfRule>
    <cfRule type="expression" priority="1345" dxfId="1">
      <formula>AND(IF($Q39=3,1,0),IF($X39&lt;30,1,0))</formula>
    </cfRule>
    <cfRule type="expression" priority="1346" dxfId="0">
      <formula>AND(IF($Q39=3,1,IF($Q39=4,1,0)),IF($F39&lt;=85,1,0))</formula>
    </cfRule>
  </conditionalFormatting>
  <conditionalFormatting sqref="X39">
    <cfRule type="expression" priority="1339" dxfId="3">
      <formula>AND(IF(OR($Q39=1,$Q39=2),1,0),IF($X39&lt;=20,1,0))</formula>
    </cfRule>
    <cfRule type="expression" priority="1340" dxfId="2">
      <formula>AND(IF($Q39=2,1,0),IF($X39&lt;30,1,0))</formula>
    </cfRule>
    <cfRule type="expression" priority="1341" dxfId="1">
      <formula>AND(IF($Q39=3,1,0),IF($X39&lt;30,1,0))</formula>
    </cfRule>
    <cfRule type="expression" priority="1342" dxfId="0">
      <formula>AND(IF($Q39=3,1,IF($Q39=4,1,0)),IF($F39&lt;=85,1,0))</formula>
    </cfRule>
  </conditionalFormatting>
  <conditionalFormatting sqref="AI39">
    <cfRule type="expression" priority="1335" dxfId="3">
      <formula>AND(IF(OR($Q39=1,$Q39=2),1,0),IF($X39&lt;=20,1,0))</formula>
    </cfRule>
    <cfRule type="expression" priority="1336" dxfId="2">
      <formula>AND(IF($Q39=2,1,0),IF($X39&lt;30,1,0))</formula>
    </cfRule>
    <cfRule type="expression" priority="1337" dxfId="1">
      <formula>AND(IF($Q39=3,1,0),IF($X39&lt;30,1,0))</formula>
    </cfRule>
    <cfRule type="expression" priority="1338" dxfId="0">
      <formula>AND(IF($Q39=3,1,IF($Q39=4,1,0)),IF($F39&lt;=85,1,0))</formula>
    </cfRule>
  </conditionalFormatting>
  <conditionalFormatting sqref="AV40">
    <cfRule type="expression" priority="1333" dxfId="23">
      <formula>AV40="X"</formula>
    </cfRule>
    <cfRule type="expression" priority="1334" dxfId="22">
      <formula>AV40="후보"</formula>
    </cfRule>
  </conditionalFormatting>
  <conditionalFormatting sqref="AC4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4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40">
    <cfRule type="expression" priority="1324" dxfId="3">
      <formula>AND(IF(OR($Q40=1,$Q40=2),1,0),IF($X40&lt;=20,1,0))</formula>
    </cfRule>
    <cfRule type="expression" priority="1325" dxfId="2">
      <formula>AND(IF($Q40=2,1,0),IF($X40&lt;30,1,0))</formula>
    </cfRule>
    <cfRule type="expression" priority="1326" dxfId="1">
      <formula>AND(IF($Q40=3,1,0),IF($X40&lt;30,1,0))</formula>
    </cfRule>
    <cfRule type="expression" priority="1327" dxfId="0">
      <formula>AND(IF($Q40=3,1,IF($Q40=4,1,0)),IF($F40&lt;=85,1,0))</formula>
    </cfRule>
  </conditionalFormatting>
  <conditionalFormatting sqref="X40">
    <cfRule type="expression" priority="1320" dxfId="3">
      <formula>AND(IF(OR($Q40=1,$Q40=2),1,0),IF($X40&lt;=20,1,0))</formula>
    </cfRule>
    <cfRule type="expression" priority="1321" dxfId="2">
      <formula>AND(IF($Q40=2,1,0),IF($X40&lt;30,1,0))</formula>
    </cfRule>
    <cfRule type="expression" priority="1322" dxfId="1">
      <formula>AND(IF($Q40=3,1,0),IF($X40&lt;30,1,0))</formula>
    </cfRule>
    <cfRule type="expression" priority="1323" dxfId="0">
      <formula>AND(IF($Q40=3,1,IF($Q40=4,1,0)),IF($F40&lt;=85,1,0))</formula>
    </cfRule>
  </conditionalFormatting>
  <conditionalFormatting sqref="AI40">
    <cfRule type="expression" priority="1316" dxfId="3">
      <formula>AND(IF(OR($Q40=1,$Q40=2),1,0),IF($X40&lt;=20,1,0))</formula>
    </cfRule>
    <cfRule type="expression" priority="1317" dxfId="2">
      <formula>AND(IF($Q40=2,1,0),IF($X40&lt;30,1,0))</formula>
    </cfRule>
    <cfRule type="expression" priority="1318" dxfId="1">
      <formula>AND(IF($Q40=3,1,0),IF($X40&lt;30,1,0))</formula>
    </cfRule>
    <cfRule type="expression" priority="1319" dxfId="0">
      <formula>AND(IF($Q40=3,1,IF($Q40=4,1,0)),IF($F40&lt;=85,1,0))</formula>
    </cfRule>
  </conditionalFormatting>
  <conditionalFormatting sqref="AV41">
    <cfRule type="expression" priority="1314" dxfId="23">
      <formula>AV41="X"</formula>
    </cfRule>
    <cfRule type="expression" priority="1315" dxfId="22">
      <formula>AV41="후보"</formula>
    </cfRule>
  </conditionalFormatting>
  <conditionalFormatting sqref="AC4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">
    <cfRule type="expression" priority="1305" dxfId="3">
      <formula>AND(IF(OR($Q41=1,$Q41=2),1,0),IF($X41&lt;=20,1,0))</formula>
    </cfRule>
    <cfRule type="expression" priority="1306" dxfId="2">
      <formula>AND(IF($Q41=2,1,0),IF($X41&lt;30,1,0))</formula>
    </cfRule>
    <cfRule type="expression" priority="1307" dxfId="1">
      <formula>AND(IF($Q41=3,1,0),IF($X41&lt;30,1,0))</formula>
    </cfRule>
    <cfRule type="expression" priority="1308" dxfId="0">
      <formula>AND(IF($Q41=3,1,IF($Q41=4,1,0)),IF($F41&lt;=85,1,0))</formula>
    </cfRule>
  </conditionalFormatting>
  <conditionalFormatting sqref="X41">
    <cfRule type="expression" priority="1301" dxfId="3">
      <formula>AND(IF(OR($Q41=1,$Q41=2),1,0),IF($X41&lt;=20,1,0))</formula>
    </cfRule>
    <cfRule type="expression" priority="1302" dxfId="2">
      <formula>AND(IF($Q41=2,1,0),IF($X41&lt;30,1,0))</formula>
    </cfRule>
    <cfRule type="expression" priority="1303" dxfId="1">
      <formula>AND(IF($Q41=3,1,0),IF($X41&lt;30,1,0))</formula>
    </cfRule>
    <cfRule type="expression" priority="1304" dxfId="0">
      <formula>AND(IF($Q41=3,1,IF($Q41=4,1,0)),IF($F41&lt;=85,1,0))</formula>
    </cfRule>
  </conditionalFormatting>
  <conditionalFormatting sqref="AI41">
    <cfRule type="expression" priority="1297" dxfId="3">
      <formula>AND(IF(OR($Q41=1,$Q41=2),1,0),IF($X41&lt;=20,1,0))</formula>
    </cfRule>
    <cfRule type="expression" priority="1298" dxfId="2">
      <formula>AND(IF($Q41=2,1,0),IF($X41&lt;30,1,0))</formula>
    </cfRule>
    <cfRule type="expression" priority="1299" dxfId="1">
      <formula>AND(IF($Q41=3,1,0),IF($X41&lt;30,1,0))</formula>
    </cfRule>
    <cfRule type="expression" priority="1300" dxfId="0">
      <formula>AND(IF($Q41=3,1,IF($Q41=4,1,0)),IF($F41&lt;=85,1,0))</formula>
    </cfRule>
  </conditionalFormatting>
  <conditionalFormatting sqref="AV42">
    <cfRule type="expression" priority="1295" dxfId="23">
      <formula>AV42="X"</formula>
    </cfRule>
    <cfRule type="expression" priority="1296" dxfId="22">
      <formula>AV42="후보"</formula>
    </cfRule>
  </conditionalFormatting>
  <conditionalFormatting sqref="AC4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4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42">
    <cfRule type="expression" priority="1286" dxfId="3">
      <formula>AND(IF(OR($Q42=1,$Q42=2),1,0),IF($X42&lt;=20,1,0))</formula>
    </cfRule>
    <cfRule type="expression" priority="1287" dxfId="2">
      <formula>AND(IF($Q42=2,1,0),IF($X42&lt;30,1,0))</formula>
    </cfRule>
    <cfRule type="expression" priority="1288" dxfId="1">
      <formula>AND(IF($Q42=3,1,0),IF($X42&lt;30,1,0))</formula>
    </cfRule>
    <cfRule type="expression" priority="1289" dxfId="0">
      <formula>AND(IF($Q42=3,1,IF($Q42=4,1,0)),IF($F42&lt;=85,1,0))</formula>
    </cfRule>
  </conditionalFormatting>
  <conditionalFormatting sqref="X42">
    <cfRule type="expression" priority="1282" dxfId="3">
      <formula>AND(IF(OR($Q42=1,$Q42=2),1,0),IF($X42&lt;=20,1,0))</formula>
    </cfRule>
    <cfRule type="expression" priority="1283" dxfId="2">
      <formula>AND(IF($Q42=2,1,0),IF($X42&lt;30,1,0))</formula>
    </cfRule>
    <cfRule type="expression" priority="1284" dxfId="1">
      <formula>AND(IF($Q42=3,1,0),IF($X42&lt;30,1,0))</formula>
    </cfRule>
    <cfRule type="expression" priority="1285" dxfId="0">
      <formula>AND(IF($Q42=3,1,IF($Q42=4,1,0)),IF($F42&lt;=85,1,0))</formula>
    </cfRule>
  </conditionalFormatting>
  <conditionalFormatting sqref="AI42">
    <cfRule type="expression" priority="1278" dxfId="3">
      <formula>AND(IF(OR($Q42=1,$Q42=2),1,0),IF($X42&lt;=20,1,0))</formula>
    </cfRule>
    <cfRule type="expression" priority="1279" dxfId="2">
      <formula>AND(IF($Q42=2,1,0),IF($X42&lt;30,1,0))</formula>
    </cfRule>
    <cfRule type="expression" priority="1280" dxfId="1">
      <formula>AND(IF($Q42=3,1,0),IF($X42&lt;30,1,0))</formula>
    </cfRule>
    <cfRule type="expression" priority="1281" dxfId="0">
      <formula>AND(IF($Q42=3,1,IF($Q42=4,1,0)),IF($F42&lt;=85,1,0))</formula>
    </cfRule>
  </conditionalFormatting>
  <conditionalFormatting sqref="AV43">
    <cfRule type="expression" priority="1276" dxfId="23">
      <formula>AV43="X"</formula>
    </cfRule>
    <cfRule type="expression" priority="1277" dxfId="22">
      <formula>AV43="후보"</formula>
    </cfRule>
  </conditionalFormatting>
  <conditionalFormatting sqref="AC4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X43">
    <cfRule type="expression" priority="1263" dxfId="3">
      <formula>AND(IF(OR($Q43=1,$Q43=2),1,0),IF($X43&lt;=20,1,0))</formula>
    </cfRule>
    <cfRule type="expression" priority="1264" dxfId="2">
      <formula>AND(IF($Q43=2,1,0),IF($X43&lt;30,1,0))</formula>
    </cfRule>
    <cfRule type="expression" priority="1265" dxfId="1">
      <formula>AND(IF($Q43=3,1,0),IF($X43&lt;30,1,0))</formula>
    </cfRule>
    <cfRule type="expression" priority="1266" dxfId="0">
      <formula>AND(IF($Q43=3,1,IF($Q43=4,1,0)),IF($F43&lt;=85,1,0))</formula>
    </cfRule>
  </conditionalFormatting>
  <conditionalFormatting sqref="AI43">
    <cfRule type="expression" priority="1259" dxfId="3">
      <formula>AND(IF(OR($Q43=1,$Q43=2),1,0),IF($X43&lt;=20,1,0))</formula>
    </cfRule>
    <cfRule type="expression" priority="1260" dxfId="2">
      <formula>AND(IF($Q43=2,1,0),IF($X43&lt;30,1,0))</formula>
    </cfRule>
    <cfRule type="expression" priority="1261" dxfId="1">
      <formula>AND(IF($Q43=3,1,0),IF($X43&lt;30,1,0))</formula>
    </cfRule>
    <cfRule type="expression" priority="1262" dxfId="0">
      <formula>AND(IF($Q43=3,1,IF($Q43=4,1,0)),IF($F43&lt;=85,1,0))</formula>
    </cfRule>
  </conditionalFormatting>
  <conditionalFormatting sqref="AV44">
    <cfRule type="expression" priority="1257" dxfId="23">
      <formula>AV44="X"</formula>
    </cfRule>
    <cfRule type="expression" priority="1258" dxfId="22">
      <formula>AV44="후보"</formula>
    </cfRule>
  </conditionalFormatting>
  <conditionalFormatting sqref="AC44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4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X44">
    <cfRule type="expression" priority="1244" dxfId="3">
      <formula>AND(IF(OR($Q44=1,$Q44=2),1,0),IF($X44&lt;=20,1,0))</formula>
    </cfRule>
    <cfRule type="expression" priority="1245" dxfId="2">
      <formula>AND(IF($Q44=2,1,0),IF($X44&lt;30,1,0))</formula>
    </cfRule>
    <cfRule type="expression" priority="1246" dxfId="1">
      <formula>AND(IF($Q44=3,1,0),IF($X44&lt;30,1,0))</formula>
    </cfRule>
    <cfRule type="expression" priority="1247" dxfId="0">
      <formula>AND(IF($Q44=3,1,IF($Q44=4,1,0)),IF($F44&lt;=85,1,0))</formula>
    </cfRule>
  </conditionalFormatting>
  <conditionalFormatting sqref="AI44">
    <cfRule type="expression" priority="1240" dxfId="3">
      <formula>AND(IF(OR($Q44=1,$Q44=2),1,0),IF($X44&lt;=20,1,0))</formula>
    </cfRule>
    <cfRule type="expression" priority="1241" dxfId="2">
      <formula>AND(IF($Q44=2,1,0),IF($X44&lt;30,1,0))</formula>
    </cfRule>
    <cfRule type="expression" priority="1242" dxfId="1">
      <formula>AND(IF($Q44=3,1,0),IF($X44&lt;30,1,0))</formula>
    </cfRule>
    <cfRule type="expression" priority="1243" dxfId="0">
      <formula>AND(IF($Q44=3,1,IF($Q44=4,1,0)),IF($F44&lt;=85,1,0))</formula>
    </cfRule>
  </conditionalFormatting>
  <conditionalFormatting sqref="AV45">
    <cfRule type="expression" priority="1238" dxfId="23">
      <formula>AV45="X"</formula>
    </cfRule>
    <cfRule type="expression" priority="1239" dxfId="22">
      <formula>AV45="후보"</formula>
    </cfRule>
  </conditionalFormatting>
  <conditionalFormatting sqref="AC45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4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45">
    <cfRule type="expression" priority="1229" dxfId="3">
      <formula>AND(IF(OR($Q45=1,$Q45=2),1,0),IF($X45&lt;=20,1,0))</formula>
    </cfRule>
    <cfRule type="expression" priority="1230" dxfId="2">
      <formula>AND(IF($Q45=2,1,0),IF($X45&lt;30,1,0))</formula>
    </cfRule>
    <cfRule type="expression" priority="1231" dxfId="1">
      <formula>AND(IF($Q45=3,1,0),IF($X45&lt;30,1,0))</formula>
    </cfRule>
    <cfRule type="expression" priority="1232" dxfId="0">
      <formula>AND(IF($Q45=3,1,IF($Q45=4,1,0)),IF($F45&lt;=85,1,0))</formula>
    </cfRule>
  </conditionalFormatting>
  <conditionalFormatting sqref="X45">
    <cfRule type="expression" priority="1225" dxfId="3">
      <formula>AND(IF(OR($Q45=1,$Q45=2),1,0),IF($X45&lt;=20,1,0))</formula>
    </cfRule>
    <cfRule type="expression" priority="1226" dxfId="2">
      <formula>AND(IF($Q45=2,1,0),IF($X45&lt;30,1,0))</formula>
    </cfRule>
    <cfRule type="expression" priority="1227" dxfId="1">
      <formula>AND(IF($Q45=3,1,0),IF($X45&lt;30,1,0))</formula>
    </cfRule>
    <cfRule type="expression" priority="1228" dxfId="0">
      <formula>AND(IF($Q45=3,1,IF($Q45=4,1,0)),IF($F45&lt;=85,1,0))</formula>
    </cfRule>
  </conditionalFormatting>
  <conditionalFormatting sqref="AI45">
    <cfRule type="expression" priority="1221" dxfId="3">
      <formula>AND(IF(OR($Q45=1,$Q45=2),1,0),IF($X45&lt;=20,1,0))</formula>
    </cfRule>
    <cfRule type="expression" priority="1222" dxfId="2">
      <formula>AND(IF($Q45=2,1,0),IF($X45&lt;30,1,0))</formula>
    </cfRule>
    <cfRule type="expression" priority="1223" dxfId="1">
      <formula>AND(IF($Q45=3,1,0),IF($X45&lt;30,1,0))</formula>
    </cfRule>
    <cfRule type="expression" priority="1224" dxfId="0">
      <formula>AND(IF($Q45=3,1,IF($Q45=4,1,0)),IF($F45&lt;=85,1,0))</formula>
    </cfRule>
  </conditionalFormatting>
  <conditionalFormatting sqref="AV46">
    <cfRule type="expression" priority="1219" dxfId="23">
      <formula>AV46="X"</formula>
    </cfRule>
    <cfRule type="expression" priority="1220" dxfId="22">
      <formula>AV46="후보"</formula>
    </cfRule>
  </conditionalFormatting>
  <conditionalFormatting sqref="AC46 N46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47">
    <cfRule type="expression" priority="1214" dxfId="23">
      <formula>AV47="X"</formula>
    </cfRule>
    <cfRule type="expression" priority="1215" dxfId="22">
      <formula>AV47="후보"</formula>
    </cfRule>
  </conditionalFormatting>
  <conditionalFormatting sqref="AC4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X47">
    <cfRule type="expression" priority="1201" dxfId="3">
      <formula>AND(IF(OR($Q47=1,$Q47=2),1,0),IF($X47&lt;=20,1,0))</formula>
    </cfRule>
    <cfRule type="expression" priority="1202" dxfId="2">
      <formula>AND(IF($Q47=2,1,0),IF($X47&lt;30,1,0))</formula>
    </cfRule>
    <cfRule type="expression" priority="1203" dxfId="1">
      <formula>AND(IF($Q47=3,1,0),IF($X47&lt;30,1,0))</formula>
    </cfRule>
    <cfRule type="expression" priority="1204" dxfId="0">
      <formula>AND(IF($Q47=3,1,IF($Q47=4,1,0)),IF($F47&lt;=85,1,0))</formula>
    </cfRule>
  </conditionalFormatting>
  <conditionalFormatting sqref="AI47">
    <cfRule type="expression" priority="1197" dxfId="3">
      <formula>AND(IF(OR($Q47=1,$Q47=2),1,0),IF($X47&lt;=20,1,0))</formula>
    </cfRule>
    <cfRule type="expression" priority="1198" dxfId="2">
      <formula>AND(IF($Q47=2,1,0),IF($X47&lt;30,1,0))</formula>
    </cfRule>
    <cfRule type="expression" priority="1199" dxfId="1">
      <formula>AND(IF($Q47=3,1,0),IF($X47&lt;30,1,0))</formula>
    </cfRule>
    <cfRule type="expression" priority="1200" dxfId="0">
      <formula>AND(IF($Q47=3,1,IF($Q47=4,1,0)),IF($F47&lt;=85,1,0))</formula>
    </cfRule>
  </conditionalFormatting>
  <conditionalFormatting sqref="AV48">
    <cfRule type="expression" priority="1195" dxfId="23">
      <formula>AV48="X"</formula>
    </cfRule>
    <cfRule type="expression" priority="1196" dxfId="22">
      <formula>AV48="후보"</formula>
    </cfRule>
  </conditionalFormatting>
  <conditionalFormatting sqref="AC48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X48">
    <cfRule type="expression" priority="1182" dxfId="3">
      <formula>AND(IF(OR($Q48=1,$Q48=2),1,0),IF($X48&lt;=20,1,0))</formula>
    </cfRule>
    <cfRule type="expression" priority="1183" dxfId="2">
      <formula>AND(IF($Q48=2,1,0),IF($X48&lt;30,1,0))</formula>
    </cfRule>
    <cfRule type="expression" priority="1184" dxfId="1">
      <formula>AND(IF($Q48=3,1,0),IF($X48&lt;30,1,0))</formula>
    </cfRule>
    <cfRule type="expression" priority="1185" dxfId="0">
      <formula>AND(IF($Q48=3,1,IF($Q48=4,1,0)),IF($F48&lt;=85,1,0))</formula>
    </cfRule>
  </conditionalFormatting>
  <conditionalFormatting sqref="AI48">
    <cfRule type="expression" priority="1178" dxfId="3">
      <formula>AND(IF(OR($Q48=1,$Q48=2),1,0),IF($X48&lt;=20,1,0))</formula>
    </cfRule>
    <cfRule type="expression" priority="1179" dxfId="2">
      <formula>AND(IF($Q48=2,1,0),IF($X48&lt;30,1,0))</formula>
    </cfRule>
    <cfRule type="expression" priority="1180" dxfId="1">
      <formula>AND(IF($Q48=3,1,0),IF($X48&lt;30,1,0))</formula>
    </cfRule>
    <cfRule type="expression" priority="1181" dxfId="0">
      <formula>AND(IF($Q48=3,1,IF($Q48=4,1,0)),IF($F48&lt;=85,1,0))</formula>
    </cfRule>
  </conditionalFormatting>
  <conditionalFormatting sqref="AV49">
    <cfRule type="expression" priority="1176" dxfId="23">
      <formula>AV49="X"</formula>
    </cfRule>
    <cfRule type="expression" priority="1177" dxfId="22">
      <formula>AV49="후보"</formula>
    </cfRule>
  </conditionalFormatting>
  <conditionalFormatting sqref="AC49 N49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AV50">
    <cfRule type="expression" priority="1171" dxfId="23">
      <formula>AV50="X"</formula>
    </cfRule>
    <cfRule type="expression" priority="1172" dxfId="22">
      <formula>AV50="후보"</formula>
    </cfRule>
  </conditionalFormatting>
  <conditionalFormatting sqref="AC5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0">
    <cfRule type="expression" priority="1162" dxfId="3">
      <formula>AND(IF(OR($Q50=1,$Q50=2),1,0),IF($X50&lt;=20,1,0))</formula>
    </cfRule>
    <cfRule type="expression" priority="1163" dxfId="2">
      <formula>AND(IF($Q50=2,1,0),IF($X50&lt;30,1,0))</formula>
    </cfRule>
    <cfRule type="expression" priority="1164" dxfId="1">
      <formula>AND(IF($Q50=3,1,0),IF($X50&lt;30,1,0))</formula>
    </cfRule>
    <cfRule type="expression" priority="1165" dxfId="0">
      <formula>AND(IF($Q50=3,1,IF($Q50=4,1,0)),IF($F50&lt;=85,1,0))</formula>
    </cfRule>
  </conditionalFormatting>
  <conditionalFormatting sqref="X50">
    <cfRule type="expression" priority="1158" dxfId="3">
      <formula>AND(IF(OR($Q50=1,$Q50=2),1,0),IF($X50&lt;=20,1,0))</formula>
    </cfRule>
    <cfRule type="expression" priority="1159" dxfId="2">
      <formula>AND(IF($Q50=2,1,0),IF($X50&lt;30,1,0))</formula>
    </cfRule>
    <cfRule type="expression" priority="1160" dxfId="1">
      <formula>AND(IF($Q50=3,1,0),IF($X50&lt;30,1,0))</formula>
    </cfRule>
    <cfRule type="expression" priority="1161" dxfId="0">
      <formula>AND(IF($Q50=3,1,IF($Q50=4,1,0)),IF($F50&lt;=85,1,0))</formula>
    </cfRule>
  </conditionalFormatting>
  <conditionalFormatting sqref="AI50">
    <cfRule type="expression" priority="1154" dxfId="3">
      <formula>AND(IF(OR($Q50=1,$Q50=2),1,0),IF($X50&lt;=20,1,0))</formula>
    </cfRule>
    <cfRule type="expression" priority="1155" dxfId="2">
      <formula>AND(IF($Q50=2,1,0),IF($X50&lt;30,1,0))</formula>
    </cfRule>
    <cfRule type="expression" priority="1156" dxfId="1">
      <formula>AND(IF($Q50=3,1,0),IF($X50&lt;30,1,0))</formula>
    </cfRule>
    <cfRule type="expression" priority="1157" dxfId="0">
      <formula>AND(IF($Q50=3,1,IF($Q50=4,1,0)),IF($F50&lt;=85,1,0))</formula>
    </cfRule>
  </conditionalFormatting>
  <conditionalFormatting sqref="AV51">
    <cfRule type="expression" priority="1152" dxfId="23">
      <formula>AV51="X"</formula>
    </cfRule>
    <cfRule type="expression" priority="1153" dxfId="22">
      <formula>AV51="후보"</formula>
    </cfRule>
  </conditionalFormatting>
  <conditionalFormatting sqref="AC51 N5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2">
    <cfRule type="expression" priority="1147" dxfId="23">
      <formula>AV52="X"</formula>
    </cfRule>
    <cfRule type="expression" priority="1148" dxfId="22">
      <formula>AV52="후보"</formula>
    </cfRule>
  </conditionalFormatting>
  <conditionalFormatting sqref="AC52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2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2">
    <cfRule type="expression" priority="1138" dxfId="3">
      <formula>AND(IF(OR($Q52=1,$Q52=2),1,0),IF($X52&lt;=20,1,0))</formula>
    </cfRule>
    <cfRule type="expression" priority="1139" dxfId="2">
      <formula>AND(IF($Q52=2,1,0),IF($X52&lt;30,1,0))</formula>
    </cfRule>
    <cfRule type="expression" priority="1140" dxfId="1">
      <formula>AND(IF($Q52=3,1,0),IF($X52&lt;30,1,0))</formula>
    </cfRule>
    <cfRule type="expression" priority="1141" dxfId="0">
      <formula>AND(IF($Q52=3,1,IF($Q52=4,1,0)),IF($F52&lt;=85,1,0))</formula>
    </cfRule>
  </conditionalFormatting>
  <conditionalFormatting sqref="X52">
    <cfRule type="expression" priority="1134" dxfId="3">
      <formula>AND(IF(OR($Q52=1,$Q52=2),1,0),IF($X52&lt;=20,1,0))</formula>
    </cfRule>
    <cfRule type="expression" priority="1135" dxfId="2">
      <formula>AND(IF($Q52=2,1,0),IF($X52&lt;30,1,0))</formula>
    </cfRule>
    <cfRule type="expression" priority="1136" dxfId="1">
      <formula>AND(IF($Q52=3,1,0),IF($X52&lt;30,1,0))</formula>
    </cfRule>
    <cfRule type="expression" priority="1137" dxfId="0">
      <formula>AND(IF($Q52=3,1,IF($Q52=4,1,0)),IF($F52&lt;=85,1,0))</formula>
    </cfRule>
  </conditionalFormatting>
  <conditionalFormatting sqref="AI52">
    <cfRule type="expression" priority="1130" dxfId="3">
      <formula>AND(IF(OR($Q52=1,$Q52=2),1,0),IF($X52&lt;=20,1,0))</formula>
    </cfRule>
    <cfRule type="expression" priority="1131" dxfId="2">
      <formula>AND(IF($Q52=2,1,0),IF($X52&lt;30,1,0))</formula>
    </cfRule>
    <cfRule type="expression" priority="1132" dxfId="1">
      <formula>AND(IF($Q52=3,1,0),IF($X52&lt;30,1,0))</formula>
    </cfRule>
    <cfRule type="expression" priority="1133" dxfId="0">
      <formula>AND(IF($Q52=3,1,IF($Q52=4,1,0)),IF($F52&lt;=85,1,0))</formula>
    </cfRule>
  </conditionalFormatting>
  <conditionalFormatting sqref="AV53">
    <cfRule type="expression" priority="1128" dxfId="23">
      <formula>AV53="X"</formula>
    </cfRule>
    <cfRule type="expression" priority="1129" dxfId="22">
      <formula>AV53="후보"</formula>
    </cfRule>
  </conditionalFormatting>
  <conditionalFormatting sqref="AC5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3">
    <cfRule type="expression" priority="1119" dxfId="3">
      <formula>AND(IF(OR($Q53=1,$Q53=2),1,0),IF($X53&lt;=20,1,0))</formula>
    </cfRule>
    <cfRule type="expression" priority="1120" dxfId="2">
      <formula>AND(IF($Q53=2,1,0),IF($X53&lt;30,1,0))</formula>
    </cfRule>
    <cfRule type="expression" priority="1121" dxfId="1">
      <formula>AND(IF($Q53=3,1,0),IF($X53&lt;30,1,0))</formula>
    </cfRule>
    <cfRule type="expression" priority="1122" dxfId="0">
      <formula>AND(IF($Q53=3,1,IF($Q53=4,1,0)),IF($F53&lt;=85,1,0))</formula>
    </cfRule>
  </conditionalFormatting>
  <conditionalFormatting sqref="X53">
    <cfRule type="expression" priority="1115" dxfId="3">
      <formula>AND(IF(OR($Q53=1,$Q53=2),1,0),IF($X53&lt;=20,1,0))</formula>
    </cfRule>
    <cfRule type="expression" priority="1116" dxfId="2">
      <formula>AND(IF($Q53=2,1,0),IF($X53&lt;30,1,0))</formula>
    </cfRule>
    <cfRule type="expression" priority="1117" dxfId="1">
      <formula>AND(IF($Q53=3,1,0),IF($X53&lt;30,1,0))</formula>
    </cfRule>
    <cfRule type="expression" priority="1118" dxfId="0">
      <formula>AND(IF($Q53=3,1,IF($Q53=4,1,0)),IF($F53&lt;=85,1,0))</formula>
    </cfRule>
  </conditionalFormatting>
  <conditionalFormatting sqref="AI53">
    <cfRule type="expression" priority="1111" dxfId="3">
      <formula>AND(IF(OR($Q53=1,$Q53=2),1,0),IF($X53&lt;=20,1,0))</formula>
    </cfRule>
    <cfRule type="expression" priority="1112" dxfId="2">
      <formula>AND(IF($Q53=2,1,0),IF($X53&lt;30,1,0))</formula>
    </cfRule>
    <cfRule type="expression" priority="1113" dxfId="1">
      <formula>AND(IF($Q53=3,1,0),IF($X53&lt;30,1,0))</formula>
    </cfRule>
    <cfRule type="expression" priority="1114" dxfId="0">
      <formula>AND(IF($Q53=3,1,IF($Q53=4,1,0)),IF($F53&lt;=85,1,0))</formula>
    </cfRule>
  </conditionalFormatting>
  <conditionalFormatting sqref="AV54">
    <cfRule type="expression" priority="1109" dxfId="23">
      <formula>AV54="X"</formula>
    </cfRule>
    <cfRule type="expression" priority="1110" dxfId="22">
      <formula>AV54="후보"</formula>
    </cfRule>
  </conditionalFormatting>
  <conditionalFormatting sqref="AC5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4">
    <cfRule type="expression" priority="1100" dxfId="3">
      <formula>AND(IF(OR($Q54=1,$Q54=2),1,0),IF($X54&lt;=20,1,0))</formula>
    </cfRule>
    <cfRule type="expression" priority="1101" dxfId="2">
      <formula>AND(IF($Q54=2,1,0),IF($X54&lt;30,1,0))</formula>
    </cfRule>
    <cfRule type="expression" priority="1102" dxfId="1">
      <formula>AND(IF($Q54=3,1,0),IF($X54&lt;30,1,0))</formula>
    </cfRule>
    <cfRule type="expression" priority="1103" dxfId="0">
      <formula>AND(IF($Q54=3,1,IF($Q54=4,1,0)),IF($F54&lt;=85,1,0))</formula>
    </cfRule>
  </conditionalFormatting>
  <conditionalFormatting sqref="X54">
    <cfRule type="expression" priority="1096" dxfId="3">
      <formula>AND(IF(OR($Q54=1,$Q54=2),1,0),IF($X54&lt;=20,1,0))</formula>
    </cfRule>
    <cfRule type="expression" priority="1097" dxfId="2">
      <formula>AND(IF($Q54=2,1,0),IF($X54&lt;30,1,0))</formula>
    </cfRule>
    <cfRule type="expression" priority="1098" dxfId="1">
      <formula>AND(IF($Q54=3,1,0),IF($X54&lt;30,1,0))</formula>
    </cfRule>
    <cfRule type="expression" priority="1099" dxfId="0">
      <formula>AND(IF($Q54=3,1,IF($Q54=4,1,0)),IF($F54&lt;=85,1,0))</formula>
    </cfRule>
  </conditionalFormatting>
  <conditionalFormatting sqref="AI54">
    <cfRule type="expression" priority="1092" dxfId="3">
      <formula>AND(IF(OR($Q54=1,$Q54=2),1,0),IF($X54&lt;=20,1,0))</formula>
    </cfRule>
    <cfRule type="expression" priority="1093" dxfId="2">
      <formula>AND(IF($Q54=2,1,0),IF($X54&lt;30,1,0))</formula>
    </cfRule>
    <cfRule type="expression" priority="1094" dxfId="1">
      <formula>AND(IF($Q54=3,1,0),IF($X54&lt;30,1,0))</formula>
    </cfRule>
    <cfRule type="expression" priority="1095" dxfId="0">
      <formula>AND(IF($Q54=3,1,IF($Q54=4,1,0)),IF($F54&lt;=85,1,0))</formula>
    </cfRule>
  </conditionalFormatting>
  <conditionalFormatting sqref="AV55">
    <cfRule type="expression" priority="1090" dxfId="23">
      <formula>AV55="X"</formula>
    </cfRule>
    <cfRule type="expression" priority="1091" dxfId="22">
      <formula>AV55="후보"</formula>
    </cfRule>
  </conditionalFormatting>
  <conditionalFormatting sqref="AC5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X55">
    <cfRule type="expression" priority="1077" dxfId="3">
      <formula>AND(IF(OR($Q55=1,$Q55=2),1,0),IF($X55&lt;=20,1,0))</formula>
    </cfRule>
    <cfRule type="expression" priority="1078" dxfId="2">
      <formula>AND(IF($Q55=2,1,0),IF($X55&lt;30,1,0))</formula>
    </cfRule>
    <cfRule type="expression" priority="1079" dxfId="1">
      <formula>AND(IF($Q55=3,1,0),IF($X55&lt;30,1,0))</formula>
    </cfRule>
    <cfRule type="expression" priority="1080" dxfId="0">
      <formula>AND(IF($Q55=3,1,IF($Q55=4,1,0)),IF($F55&lt;=85,1,0))</formula>
    </cfRule>
  </conditionalFormatting>
  <conditionalFormatting sqref="AI55">
    <cfRule type="expression" priority="1073" dxfId="3">
      <formula>AND(IF(OR($Q55=1,$Q55=2),1,0),IF($X55&lt;=20,1,0))</formula>
    </cfRule>
    <cfRule type="expression" priority="1074" dxfId="2">
      <formula>AND(IF($Q55=2,1,0),IF($X55&lt;30,1,0))</formula>
    </cfRule>
    <cfRule type="expression" priority="1075" dxfId="1">
      <formula>AND(IF($Q55=3,1,0),IF($X55&lt;30,1,0))</formula>
    </cfRule>
    <cfRule type="expression" priority="1076" dxfId="0">
      <formula>AND(IF($Q55=3,1,IF($Q55=4,1,0)),IF($F55&lt;=85,1,0))</formula>
    </cfRule>
  </conditionalFormatting>
  <conditionalFormatting sqref="AV56">
    <cfRule type="expression" priority="1071" dxfId="23">
      <formula>AV56="X"</formula>
    </cfRule>
    <cfRule type="expression" priority="1072" dxfId="22">
      <formula>AV56="후보"</formula>
    </cfRule>
  </conditionalFormatting>
  <conditionalFormatting sqref="AC5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X56">
    <cfRule type="expression" priority="1058" dxfId="3">
      <formula>AND(IF(OR($Q56=1,$Q56=2),1,0),IF($X56&lt;=20,1,0))</formula>
    </cfRule>
    <cfRule type="expression" priority="1059" dxfId="2">
      <formula>AND(IF($Q56=2,1,0),IF($X56&lt;30,1,0))</formula>
    </cfRule>
    <cfRule type="expression" priority="1060" dxfId="1">
      <formula>AND(IF($Q56=3,1,0),IF($X56&lt;30,1,0))</formula>
    </cfRule>
    <cfRule type="expression" priority="1061" dxfId="0">
      <formula>AND(IF($Q56=3,1,IF($Q56=4,1,0)),IF($F56&lt;=85,1,0))</formula>
    </cfRule>
  </conditionalFormatting>
  <conditionalFormatting sqref="AI56">
    <cfRule type="expression" priority="1054" dxfId="3">
      <formula>AND(IF(OR($Q56=1,$Q56=2),1,0),IF($X56&lt;=20,1,0))</formula>
    </cfRule>
    <cfRule type="expression" priority="1055" dxfId="2">
      <formula>AND(IF($Q56=2,1,0),IF($X56&lt;30,1,0))</formula>
    </cfRule>
    <cfRule type="expression" priority="1056" dxfId="1">
      <formula>AND(IF($Q56=3,1,0),IF($X56&lt;30,1,0))</formula>
    </cfRule>
    <cfRule type="expression" priority="1057" dxfId="0">
      <formula>AND(IF($Q56=3,1,IF($Q56=4,1,0)),IF($F56&lt;=85,1,0))</formula>
    </cfRule>
  </conditionalFormatting>
  <conditionalFormatting sqref="AV57">
    <cfRule type="expression" priority="1052" dxfId="23">
      <formula>AV57="X"</formula>
    </cfRule>
    <cfRule type="expression" priority="1053" dxfId="22">
      <formula>AV57="후보"</formula>
    </cfRule>
  </conditionalFormatting>
  <conditionalFormatting sqref="AC57 N5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8">
    <cfRule type="expression" priority="1047" dxfId="23">
      <formula>AV58="X"</formula>
    </cfRule>
    <cfRule type="expression" priority="1048" dxfId="22">
      <formula>AV58="후보"</formula>
    </cfRule>
  </conditionalFormatting>
  <conditionalFormatting sqref="AC5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X58">
    <cfRule type="expression" priority="1034" dxfId="3">
      <formula>AND(IF(OR($Q58=1,$Q58=2),1,0),IF($X58&lt;=20,1,0))</formula>
    </cfRule>
    <cfRule type="expression" priority="1035" dxfId="2">
      <formula>AND(IF($Q58=2,1,0),IF($X58&lt;30,1,0))</formula>
    </cfRule>
    <cfRule type="expression" priority="1036" dxfId="1">
      <formula>AND(IF($Q58=3,1,0),IF($X58&lt;30,1,0))</formula>
    </cfRule>
    <cfRule type="expression" priority="1037" dxfId="0">
      <formula>AND(IF($Q58=3,1,IF($Q58=4,1,0)),IF($F58&lt;=85,1,0))</formula>
    </cfRule>
  </conditionalFormatting>
  <conditionalFormatting sqref="AI58">
    <cfRule type="expression" priority="1030" dxfId="3">
      <formula>AND(IF(OR($Q58=1,$Q58=2),1,0),IF($X58&lt;=20,1,0))</formula>
    </cfRule>
    <cfRule type="expression" priority="1031" dxfId="2">
      <formula>AND(IF($Q58=2,1,0),IF($X58&lt;30,1,0))</formula>
    </cfRule>
    <cfRule type="expression" priority="1032" dxfId="1">
      <formula>AND(IF($Q58=3,1,0),IF($X58&lt;30,1,0))</formula>
    </cfRule>
    <cfRule type="expression" priority="1033" dxfId="0">
      <formula>AND(IF($Q58=3,1,IF($Q58=4,1,0)),IF($F58&lt;=85,1,0))</formula>
    </cfRule>
  </conditionalFormatting>
  <conditionalFormatting sqref="AV59">
    <cfRule type="expression" priority="1028" dxfId="23">
      <formula>AV59="X"</formula>
    </cfRule>
    <cfRule type="expression" priority="1029" dxfId="22">
      <formula>AV59="후보"</formula>
    </cfRule>
  </conditionalFormatting>
  <conditionalFormatting sqref="AC5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X59">
    <cfRule type="expression" priority="1015" dxfId="3">
      <formula>AND(IF(OR($Q59=1,$Q59=2),1,0),IF($X59&lt;=20,1,0))</formula>
    </cfRule>
    <cfRule type="expression" priority="1016" dxfId="2">
      <formula>AND(IF($Q59=2,1,0),IF($X59&lt;30,1,0))</formula>
    </cfRule>
    <cfRule type="expression" priority="1017" dxfId="1">
      <formula>AND(IF($Q59=3,1,0),IF($X59&lt;30,1,0))</formula>
    </cfRule>
    <cfRule type="expression" priority="1018" dxfId="0">
      <formula>AND(IF($Q59=3,1,IF($Q59=4,1,0)),IF($F59&lt;=85,1,0))</formula>
    </cfRule>
  </conditionalFormatting>
  <conditionalFormatting sqref="AI59">
    <cfRule type="expression" priority="1011" dxfId="3">
      <formula>AND(IF(OR($Q59=1,$Q59=2),1,0),IF($X59&lt;=20,1,0))</formula>
    </cfRule>
    <cfRule type="expression" priority="1012" dxfId="2">
      <formula>AND(IF($Q59=2,1,0),IF($X59&lt;30,1,0))</formula>
    </cfRule>
    <cfRule type="expression" priority="1013" dxfId="1">
      <formula>AND(IF($Q59=3,1,0),IF($X59&lt;30,1,0))</formula>
    </cfRule>
    <cfRule type="expression" priority="1014" dxfId="0">
      <formula>AND(IF($Q59=3,1,IF($Q59=4,1,0)),IF($F59&lt;=85,1,0))</formula>
    </cfRule>
  </conditionalFormatting>
  <conditionalFormatting sqref="AV60">
    <cfRule type="expression" priority="1009" dxfId="23">
      <formula>AV60="X"</formula>
    </cfRule>
    <cfRule type="expression" priority="1010" dxfId="22">
      <formula>AV60="후보"</formula>
    </cfRule>
  </conditionalFormatting>
  <conditionalFormatting sqref="AC6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X60">
    <cfRule type="expression" priority="996" dxfId="3">
      <formula>AND(IF(OR($Q60=1,$Q60=2),1,0),IF($X60&lt;=20,1,0))</formula>
    </cfRule>
    <cfRule type="expression" priority="997" dxfId="2">
      <formula>AND(IF($Q60=2,1,0),IF($X60&lt;30,1,0))</formula>
    </cfRule>
    <cfRule type="expression" priority="998" dxfId="1">
      <formula>AND(IF($Q60=3,1,0),IF($X60&lt;30,1,0))</formula>
    </cfRule>
    <cfRule type="expression" priority="999" dxfId="0">
      <formula>AND(IF($Q60=3,1,IF($Q60=4,1,0)),IF($F60&lt;=85,1,0))</formula>
    </cfRule>
  </conditionalFormatting>
  <conditionalFormatting sqref="AI60">
    <cfRule type="expression" priority="992" dxfId="3">
      <formula>AND(IF(OR($Q60=1,$Q60=2),1,0),IF($X60&lt;=20,1,0))</formula>
    </cfRule>
    <cfRule type="expression" priority="993" dxfId="2">
      <formula>AND(IF($Q60=2,1,0),IF($X60&lt;30,1,0))</formula>
    </cfRule>
    <cfRule type="expression" priority="994" dxfId="1">
      <formula>AND(IF($Q60=3,1,0),IF($X60&lt;30,1,0))</formula>
    </cfRule>
    <cfRule type="expression" priority="995" dxfId="0">
      <formula>AND(IF($Q60=3,1,IF($Q60=4,1,0)),IF($F60&lt;=85,1,0))</formula>
    </cfRule>
  </conditionalFormatting>
  <conditionalFormatting sqref="AV61">
    <cfRule type="expression" priority="990" dxfId="23">
      <formula>AV61="X"</formula>
    </cfRule>
    <cfRule type="expression" priority="991" dxfId="22">
      <formula>AV61="후보"</formula>
    </cfRule>
  </conditionalFormatting>
  <conditionalFormatting sqref="AC6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X61">
    <cfRule type="expression" priority="977" dxfId="3">
      <formula>AND(IF(OR($Q61=1,$Q61=2),1,0),IF($X61&lt;=20,1,0))</formula>
    </cfRule>
    <cfRule type="expression" priority="978" dxfId="2">
      <formula>AND(IF($Q61=2,1,0),IF($X61&lt;30,1,0))</formula>
    </cfRule>
    <cfRule type="expression" priority="979" dxfId="1">
      <formula>AND(IF($Q61=3,1,0),IF($X61&lt;30,1,0))</formula>
    </cfRule>
    <cfRule type="expression" priority="980" dxfId="0">
      <formula>AND(IF($Q61=3,1,IF($Q61=4,1,0)),IF($F61&lt;=85,1,0))</formula>
    </cfRule>
  </conditionalFormatting>
  <conditionalFormatting sqref="AI61">
    <cfRule type="expression" priority="973" dxfId="3">
      <formula>AND(IF(OR($Q61=1,$Q61=2),1,0),IF($X61&lt;=20,1,0))</formula>
    </cfRule>
    <cfRule type="expression" priority="974" dxfId="2">
      <formula>AND(IF($Q61=2,1,0),IF($X61&lt;30,1,0))</formula>
    </cfRule>
    <cfRule type="expression" priority="975" dxfId="1">
      <formula>AND(IF($Q61=3,1,0),IF($X61&lt;30,1,0))</formula>
    </cfRule>
    <cfRule type="expression" priority="976" dxfId="0">
      <formula>AND(IF($Q61=3,1,IF($Q61=4,1,0)),IF($F61&lt;=85,1,0))</formula>
    </cfRule>
  </conditionalFormatting>
  <conditionalFormatting sqref="AV62">
    <cfRule type="expression" priority="971" dxfId="23">
      <formula>AV62="X"</formula>
    </cfRule>
    <cfRule type="expression" priority="972" dxfId="22">
      <formula>AV62="후보"</formula>
    </cfRule>
  </conditionalFormatting>
  <conditionalFormatting sqref="AC6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X62">
    <cfRule type="expression" priority="958" dxfId="3">
      <formula>AND(IF(OR($Q62=1,$Q62=2),1,0),IF($X62&lt;=20,1,0))</formula>
    </cfRule>
    <cfRule type="expression" priority="959" dxfId="2">
      <formula>AND(IF($Q62=2,1,0),IF($X62&lt;30,1,0))</formula>
    </cfRule>
    <cfRule type="expression" priority="960" dxfId="1">
      <formula>AND(IF($Q62=3,1,0),IF($X62&lt;30,1,0))</formula>
    </cfRule>
    <cfRule type="expression" priority="961" dxfId="0">
      <formula>AND(IF($Q62=3,1,IF($Q62=4,1,0)),IF($F62&lt;=85,1,0))</formula>
    </cfRule>
  </conditionalFormatting>
  <conditionalFormatting sqref="AI62">
    <cfRule type="expression" priority="954" dxfId="3">
      <formula>AND(IF(OR($Q62=1,$Q62=2),1,0),IF($X62&lt;=20,1,0))</formula>
    </cfRule>
    <cfRule type="expression" priority="955" dxfId="2">
      <formula>AND(IF($Q62=2,1,0),IF($X62&lt;30,1,0))</formula>
    </cfRule>
    <cfRule type="expression" priority="956" dxfId="1">
      <formula>AND(IF($Q62=3,1,0),IF($X62&lt;30,1,0))</formula>
    </cfRule>
    <cfRule type="expression" priority="957" dxfId="0">
      <formula>AND(IF($Q62=3,1,IF($Q62=4,1,0)),IF($F62&lt;=85,1,0))</formula>
    </cfRule>
  </conditionalFormatting>
  <conditionalFormatting sqref="AV63">
    <cfRule type="expression" priority="952" dxfId="23">
      <formula>AV63="X"</formula>
    </cfRule>
    <cfRule type="expression" priority="953" dxfId="22">
      <formula>AV63="후보"</formula>
    </cfRule>
  </conditionalFormatting>
  <conditionalFormatting sqref="AC6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3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X63">
    <cfRule type="expression" priority="939" dxfId="3">
      <formula>AND(IF(OR($Q63=1,$Q63=2),1,0),IF($X63&lt;=20,1,0))</formula>
    </cfRule>
    <cfRule type="expression" priority="940" dxfId="2">
      <formula>AND(IF($Q63=2,1,0),IF($X63&lt;30,1,0))</formula>
    </cfRule>
    <cfRule type="expression" priority="941" dxfId="1">
      <formula>AND(IF($Q63=3,1,0),IF($X63&lt;30,1,0))</formula>
    </cfRule>
    <cfRule type="expression" priority="942" dxfId="0">
      <formula>AND(IF($Q63=3,1,IF($Q63=4,1,0)),IF($F63&lt;=85,1,0))</formula>
    </cfRule>
  </conditionalFormatting>
  <conditionalFormatting sqref="AI63">
    <cfRule type="expression" priority="935" dxfId="3">
      <formula>AND(IF(OR($Q63=1,$Q63=2),1,0),IF($X63&lt;=20,1,0))</formula>
    </cfRule>
    <cfRule type="expression" priority="936" dxfId="2">
      <formula>AND(IF($Q63=2,1,0),IF($X63&lt;30,1,0))</formula>
    </cfRule>
    <cfRule type="expression" priority="937" dxfId="1">
      <formula>AND(IF($Q63=3,1,0),IF($X63&lt;30,1,0))</formula>
    </cfRule>
    <cfRule type="expression" priority="938" dxfId="0">
      <formula>AND(IF($Q63=3,1,IF($Q63=4,1,0)),IF($F63&lt;=85,1,0))</formula>
    </cfRule>
  </conditionalFormatting>
  <conditionalFormatting sqref="AV64">
    <cfRule type="expression" priority="933" dxfId="23">
      <formula>AV64="X"</formula>
    </cfRule>
    <cfRule type="expression" priority="934" dxfId="22">
      <formula>AV64="후보"</formula>
    </cfRule>
  </conditionalFormatting>
  <conditionalFormatting sqref="AC64 N64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5">
    <cfRule type="expression" priority="928" dxfId="23">
      <formula>AV65="X"</formula>
    </cfRule>
    <cfRule type="expression" priority="929" dxfId="22">
      <formula>AV65="후보"</formula>
    </cfRule>
  </conditionalFormatting>
  <conditionalFormatting sqref="AC6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X65">
    <cfRule type="expression" priority="915" dxfId="3">
      <formula>AND(IF(OR($Q65=1,$Q65=2),1,0),IF($X65&lt;=20,1,0))</formula>
    </cfRule>
    <cfRule type="expression" priority="916" dxfId="2">
      <formula>AND(IF($Q65=2,1,0),IF($X65&lt;30,1,0))</formula>
    </cfRule>
    <cfRule type="expression" priority="917" dxfId="1">
      <formula>AND(IF($Q65=3,1,0),IF($X65&lt;30,1,0))</formula>
    </cfRule>
    <cfRule type="expression" priority="918" dxfId="0">
      <formula>AND(IF($Q65=3,1,IF($Q65=4,1,0)),IF($F65&lt;=85,1,0))</formula>
    </cfRule>
  </conditionalFormatting>
  <conditionalFormatting sqref="AI65">
    <cfRule type="expression" priority="911" dxfId="3">
      <formula>AND(IF(OR($Q65=1,$Q65=2),1,0),IF($X65&lt;=20,1,0))</formula>
    </cfRule>
    <cfRule type="expression" priority="912" dxfId="2">
      <formula>AND(IF($Q65=2,1,0),IF($X65&lt;30,1,0))</formula>
    </cfRule>
    <cfRule type="expression" priority="913" dxfId="1">
      <formula>AND(IF($Q65=3,1,0),IF($X65&lt;30,1,0))</formula>
    </cfRule>
    <cfRule type="expression" priority="914" dxfId="0">
      <formula>AND(IF($Q65=3,1,IF($Q65=4,1,0)),IF($F65&lt;=85,1,0))</formula>
    </cfRule>
  </conditionalFormatting>
  <conditionalFormatting sqref="AV66">
    <cfRule type="expression" priority="909" dxfId="23">
      <formula>AV66="X"</formula>
    </cfRule>
    <cfRule type="expression" priority="910" dxfId="22">
      <formula>AV66="후보"</formula>
    </cfRule>
  </conditionalFormatting>
  <conditionalFormatting sqref="AC6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X66">
    <cfRule type="expression" priority="896" dxfId="3">
      <formula>AND(IF(OR($Q66=1,$Q66=2),1,0),IF($X66&lt;=20,1,0))</formula>
    </cfRule>
    <cfRule type="expression" priority="897" dxfId="2">
      <formula>AND(IF($Q66=2,1,0),IF($X66&lt;30,1,0))</formula>
    </cfRule>
    <cfRule type="expression" priority="898" dxfId="1">
      <formula>AND(IF($Q66=3,1,0),IF($X66&lt;30,1,0))</formula>
    </cfRule>
    <cfRule type="expression" priority="899" dxfId="0">
      <formula>AND(IF($Q66=3,1,IF($Q66=4,1,0)),IF($F66&lt;=85,1,0))</formula>
    </cfRule>
  </conditionalFormatting>
  <conditionalFormatting sqref="AI66">
    <cfRule type="expression" priority="892" dxfId="3">
      <formula>AND(IF(OR($Q66=1,$Q66=2),1,0),IF($X66&lt;=20,1,0))</formula>
    </cfRule>
    <cfRule type="expression" priority="893" dxfId="2">
      <formula>AND(IF($Q66=2,1,0),IF($X66&lt;30,1,0))</formula>
    </cfRule>
    <cfRule type="expression" priority="894" dxfId="1">
      <formula>AND(IF($Q66=3,1,0),IF($X66&lt;30,1,0))</formula>
    </cfRule>
    <cfRule type="expression" priority="895" dxfId="0">
      <formula>AND(IF($Q66=3,1,IF($Q66=4,1,0)),IF($F66&lt;=85,1,0))</formula>
    </cfRule>
  </conditionalFormatting>
  <conditionalFormatting sqref="AV67">
    <cfRule type="expression" priority="890" dxfId="23">
      <formula>AV67="X"</formula>
    </cfRule>
    <cfRule type="expression" priority="891" dxfId="22">
      <formula>AV67="후보"</formula>
    </cfRule>
  </conditionalFormatting>
  <conditionalFormatting sqref="AC6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X67">
    <cfRule type="expression" priority="877" dxfId="3">
      <formula>AND(IF(OR($Q67=1,$Q67=2),1,0),IF($X67&lt;=20,1,0))</formula>
    </cfRule>
    <cfRule type="expression" priority="878" dxfId="2">
      <formula>AND(IF($Q67=2,1,0),IF($X67&lt;30,1,0))</formula>
    </cfRule>
    <cfRule type="expression" priority="879" dxfId="1">
      <formula>AND(IF($Q67=3,1,0),IF($X67&lt;30,1,0))</formula>
    </cfRule>
    <cfRule type="expression" priority="880" dxfId="0">
      <formula>AND(IF($Q67=3,1,IF($Q67=4,1,0)),IF($F67&lt;=85,1,0))</formula>
    </cfRule>
  </conditionalFormatting>
  <conditionalFormatting sqref="AI67">
    <cfRule type="expression" priority="873" dxfId="3">
      <formula>AND(IF(OR($Q67=1,$Q67=2),1,0),IF($X67&lt;=20,1,0))</formula>
    </cfRule>
    <cfRule type="expression" priority="874" dxfId="2">
      <formula>AND(IF($Q67=2,1,0),IF($X67&lt;30,1,0))</formula>
    </cfRule>
    <cfRule type="expression" priority="875" dxfId="1">
      <formula>AND(IF($Q67=3,1,0),IF($X67&lt;30,1,0))</formula>
    </cfRule>
    <cfRule type="expression" priority="876" dxfId="0">
      <formula>AND(IF($Q67=3,1,IF($Q67=4,1,0)),IF($F67&lt;=85,1,0))</formula>
    </cfRule>
  </conditionalFormatting>
  <conditionalFormatting sqref="AV68">
    <cfRule type="expression" priority="871" dxfId="23">
      <formula>AV68="X"</formula>
    </cfRule>
    <cfRule type="expression" priority="872" dxfId="22">
      <formula>AV68="후보"</formula>
    </cfRule>
  </conditionalFormatting>
  <conditionalFormatting sqref="AC6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X68">
    <cfRule type="expression" priority="858" dxfId="3">
      <formula>AND(IF(OR($Q68=1,$Q68=2),1,0),IF($X68&lt;=20,1,0))</formula>
    </cfRule>
    <cfRule type="expression" priority="859" dxfId="2">
      <formula>AND(IF($Q68=2,1,0),IF($X68&lt;30,1,0))</formula>
    </cfRule>
    <cfRule type="expression" priority="860" dxfId="1">
      <formula>AND(IF($Q68=3,1,0),IF($X68&lt;30,1,0))</formula>
    </cfRule>
    <cfRule type="expression" priority="861" dxfId="0">
      <formula>AND(IF($Q68=3,1,IF($Q68=4,1,0)),IF($F68&lt;=85,1,0))</formula>
    </cfRule>
  </conditionalFormatting>
  <conditionalFormatting sqref="AI68">
    <cfRule type="expression" priority="854" dxfId="3">
      <formula>AND(IF(OR($Q68=1,$Q68=2),1,0),IF($X68&lt;=20,1,0))</formula>
    </cfRule>
    <cfRule type="expression" priority="855" dxfId="2">
      <formula>AND(IF($Q68=2,1,0),IF($X68&lt;30,1,0))</formula>
    </cfRule>
    <cfRule type="expression" priority="856" dxfId="1">
      <formula>AND(IF($Q68=3,1,0),IF($X68&lt;30,1,0))</formula>
    </cfRule>
    <cfRule type="expression" priority="857" dxfId="0">
      <formula>AND(IF($Q68=3,1,IF($Q68=4,1,0)),IF($F68&lt;=85,1,0))</formula>
    </cfRule>
  </conditionalFormatting>
  <conditionalFormatting sqref="AV69">
    <cfRule type="expression" priority="852" dxfId="23">
      <formula>AV69="X"</formula>
    </cfRule>
    <cfRule type="expression" priority="853" dxfId="22">
      <formula>AV69="후보"</formula>
    </cfRule>
  </conditionalFormatting>
  <conditionalFormatting sqref="AC69 N6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AV70">
    <cfRule type="expression" priority="847" dxfId="23">
      <formula>AV70="X"</formula>
    </cfRule>
    <cfRule type="expression" priority="848" dxfId="22">
      <formula>AV70="후보"</formula>
    </cfRule>
  </conditionalFormatting>
  <conditionalFormatting sqref="AC7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X70">
    <cfRule type="expression" priority="834" dxfId="3">
      <formula>AND(IF(OR($Q70=1,$Q70=2),1,0),IF($X70&lt;=20,1,0))</formula>
    </cfRule>
    <cfRule type="expression" priority="835" dxfId="2">
      <formula>AND(IF($Q70=2,1,0),IF($X70&lt;30,1,0))</formula>
    </cfRule>
    <cfRule type="expression" priority="836" dxfId="1">
      <formula>AND(IF($Q70=3,1,0),IF($X70&lt;30,1,0))</formula>
    </cfRule>
    <cfRule type="expression" priority="837" dxfId="0">
      <formula>AND(IF($Q70=3,1,IF($Q70=4,1,0)),IF($F70&lt;=85,1,0))</formula>
    </cfRule>
  </conditionalFormatting>
  <conditionalFormatting sqref="AI70">
    <cfRule type="expression" priority="830" dxfId="3">
      <formula>AND(IF(OR($Q70=1,$Q70=2),1,0),IF($X70&lt;=20,1,0))</formula>
    </cfRule>
    <cfRule type="expression" priority="831" dxfId="2">
      <formula>AND(IF($Q70=2,1,0),IF($X70&lt;30,1,0))</formula>
    </cfRule>
    <cfRule type="expression" priority="832" dxfId="1">
      <formula>AND(IF($Q70=3,1,0),IF($X70&lt;30,1,0))</formula>
    </cfRule>
    <cfRule type="expression" priority="833" dxfId="0">
      <formula>AND(IF($Q70=3,1,IF($Q70=4,1,0)),IF($F70&lt;=85,1,0))</formula>
    </cfRule>
  </conditionalFormatting>
  <conditionalFormatting sqref="AV71">
    <cfRule type="expression" priority="828" dxfId="23">
      <formula>AV71="X"</formula>
    </cfRule>
    <cfRule type="expression" priority="829" dxfId="22">
      <formula>AV71="후보"</formula>
    </cfRule>
  </conditionalFormatting>
  <conditionalFormatting sqref="AC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X71">
    <cfRule type="expression" priority="815" dxfId="3">
      <formula>AND(IF(OR($Q71=1,$Q71=2),1,0),IF($X71&lt;=20,1,0))</formula>
    </cfRule>
    <cfRule type="expression" priority="816" dxfId="2">
      <formula>AND(IF($Q71=2,1,0),IF($X71&lt;30,1,0))</formula>
    </cfRule>
    <cfRule type="expression" priority="817" dxfId="1">
      <formula>AND(IF($Q71=3,1,0),IF($X71&lt;30,1,0))</formula>
    </cfRule>
    <cfRule type="expression" priority="818" dxfId="0">
      <formula>AND(IF($Q71=3,1,IF($Q71=4,1,0)),IF($F71&lt;=85,1,0))</formula>
    </cfRule>
  </conditionalFormatting>
  <conditionalFormatting sqref="AI71">
    <cfRule type="expression" priority="811" dxfId="3">
      <formula>AND(IF(OR($Q71=1,$Q71=2),1,0),IF($X71&lt;=20,1,0))</formula>
    </cfRule>
    <cfRule type="expression" priority="812" dxfId="2">
      <formula>AND(IF($Q71=2,1,0),IF($X71&lt;30,1,0))</formula>
    </cfRule>
    <cfRule type="expression" priority="813" dxfId="1">
      <formula>AND(IF($Q71=3,1,0),IF($X71&lt;30,1,0))</formula>
    </cfRule>
    <cfRule type="expression" priority="814" dxfId="0">
      <formula>AND(IF($Q71=3,1,IF($Q71=4,1,0)),IF($F71&lt;=85,1,0))</formula>
    </cfRule>
  </conditionalFormatting>
  <conditionalFormatting sqref="AV72">
    <cfRule type="expression" priority="809" dxfId="23">
      <formula>AV72="X"</formula>
    </cfRule>
    <cfRule type="expression" priority="810" dxfId="22">
      <formula>AV72="후보"</formula>
    </cfRule>
  </conditionalFormatting>
  <conditionalFormatting sqref="AC72 N7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73">
    <cfRule type="expression" priority="804" dxfId="23">
      <formula>AV73="X"</formula>
    </cfRule>
    <cfRule type="expression" priority="805" dxfId="22">
      <formula>AV73="후보"</formula>
    </cfRule>
  </conditionalFormatting>
  <conditionalFormatting sqref="AC7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3">
    <cfRule type="expression" priority="795" dxfId="3">
      <formula>AND(IF(OR($Q73=1,$Q73=2),1,0),IF($X73&lt;=20,1,0))</formula>
    </cfRule>
    <cfRule type="expression" priority="796" dxfId="2">
      <formula>AND(IF($Q73=2,1,0),IF($X73&lt;30,1,0))</formula>
    </cfRule>
    <cfRule type="expression" priority="797" dxfId="1">
      <formula>AND(IF($Q73=3,1,0),IF($X73&lt;30,1,0))</formula>
    </cfRule>
    <cfRule type="expression" priority="798" dxfId="0">
      <formula>AND(IF($Q73=3,1,IF($Q73=4,1,0)),IF($F73&lt;=85,1,0))</formula>
    </cfRule>
  </conditionalFormatting>
  <conditionalFormatting sqref="X73">
    <cfRule type="expression" priority="791" dxfId="3">
      <formula>AND(IF(OR($Q73=1,$Q73=2),1,0),IF($X73&lt;=20,1,0))</formula>
    </cfRule>
    <cfRule type="expression" priority="792" dxfId="2">
      <formula>AND(IF($Q73=2,1,0),IF($X73&lt;30,1,0))</formula>
    </cfRule>
    <cfRule type="expression" priority="793" dxfId="1">
      <formula>AND(IF($Q73=3,1,0),IF($X73&lt;30,1,0))</formula>
    </cfRule>
    <cfRule type="expression" priority="794" dxfId="0">
      <formula>AND(IF($Q73=3,1,IF($Q73=4,1,0)),IF($F73&lt;=85,1,0))</formula>
    </cfRule>
  </conditionalFormatting>
  <conditionalFormatting sqref="AI73">
    <cfRule type="expression" priority="787" dxfId="3">
      <formula>AND(IF(OR($Q73=1,$Q73=2),1,0),IF($X73&lt;=20,1,0))</formula>
    </cfRule>
    <cfRule type="expression" priority="788" dxfId="2">
      <formula>AND(IF($Q73=2,1,0),IF($X73&lt;30,1,0))</formula>
    </cfRule>
    <cfRule type="expression" priority="789" dxfId="1">
      <formula>AND(IF($Q73=3,1,0),IF($X73&lt;30,1,0))</formula>
    </cfRule>
    <cfRule type="expression" priority="790" dxfId="0">
      <formula>AND(IF($Q73=3,1,IF($Q73=4,1,0)),IF($F73&lt;=85,1,0))</formula>
    </cfRule>
  </conditionalFormatting>
  <conditionalFormatting sqref="AV74">
    <cfRule type="expression" priority="785" dxfId="23">
      <formula>AV74="X"</formula>
    </cfRule>
    <cfRule type="expression" priority="786" dxfId="22">
      <formula>AV74="후보"</formula>
    </cfRule>
  </conditionalFormatting>
  <conditionalFormatting sqref="AC7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4">
    <cfRule type="expression" priority="776" dxfId="3">
      <formula>AND(IF(OR($Q74=1,$Q74=2),1,0),IF($X74&lt;=20,1,0))</formula>
    </cfRule>
    <cfRule type="expression" priority="777" dxfId="2">
      <formula>AND(IF($Q74=2,1,0),IF($X74&lt;30,1,0))</formula>
    </cfRule>
    <cfRule type="expression" priority="778" dxfId="1">
      <formula>AND(IF($Q74=3,1,0),IF($X74&lt;30,1,0))</formula>
    </cfRule>
    <cfRule type="expression" priority="779" dxfId="0">
      <formula>AND(IF($Q74=3,1,IF($Q74=4,1,0)),IF($F74&lt;=85,1,0))</formula>
    </cfRule>
  </conditionalFormatting>
  <conditionalFormatting sqref="X74">
    <cfRule type="expression" priority="772" dxfId="3">
      <formula>AND(IF(OR($Q74=1,$Q74=2),1,0),IF($X74&lt;=20,1,0))</formula>
    </cfRule>
    <cfRule type="expression" priority="773" dxfId="2">
      <formula>AND(IF($Q74=2,1,0),IF($X74&lt;30,1,0))</formula>
    </cfRule>
    <cfRule type="expression" priority="774" dxfId="1">
      <formula>AND(IF($Q74=3,1,0),IF($X74&lt;30,1,0))</formula>
    </cfRule>
    <cfRule type="expression" priority="775" dxfId="0">
      <formula>AND(IF($Q74=3,1,IF($Q74=4,1,0)),IF($F74&lt;=85,1,0))</formula>
    </cfRule>
  </conditionalFormatting>
  <conditionalFormatting sqref="AI74">
    <cfRule type="expression" priority="768" dxfId="3">
      <formula>AND(IF(OR($Q74=1,$Q74=2),1,0),IF($X74&lt;=20,1,0))</formula>
    </cfRule>
    <cfRule type="expression" priority="769" dxfId="2">
      <formula>AND(IF($Q74=2,1,0),IF($X74&lt;30,1,0))</formula>
    </cfRule>
    <cfRule type="expression" priority="770" dxfId="1">
      <formula>AND(IF($Q74=3,1,0),IF($X74&lt;30,1,0))</formula>
    </cfRule>
    <cfRule type="expression" priority="771" dxfId="0">
      <formula>AND(IF($Q74=3,1,IF($Q74=4,1,0)),IF($F74&lt;=85,1,0))</formula>
    </cfRule>
  </conditionalFormatting>
  <conditionalFormatting sqref="AV75">
    <cfRule type="expression" priority="766" dxfId="23">
      <formula>AV75="X"</formula>
    </cfRule>
    <cfRule type="expression" priority="767" dxfId="22">
      <formula>AV75="후보"</formula>
    </cfRule>
  </conditionalFormatting>
  <conditionalFormatting sqref="AC75 N7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76">
    <cfRule type="expression" priority="761" dxfId="23">
      <formula>AV76="X"</formula>
    </cfRule>
    <cfRule type="expression" priority="762" dxfId="22">
      <formula>AV76="후보"</formula>
    </cfRule>
  </conditionalFormatting>
  <conditionalFormatting sqref="AC7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6">
    <cfRule type="expression" priority="752" dxfId="3">
      <formula>AND(IF(OR($Q76=1,$Q76=2),1,0),IF($X76&lt;=20,1,0))</formula>
    </cfRule>
    <cfRule type="expression" priority="753" dxfId="2">
      <formula>AND(IF($Q76=2,1,0),IF($X76&lt;30,1,0))</formula>
    </cfRule>
    <cfRule type="expression" priority="754" dxfId="1">
      <formula>AND(IF($Q76=3,1,0),IF($X76&lt;30,1,0))</formula>
    </cfRule>
    <cfRule type="expression" priority="755" dxfId="0">
      <formula>AND(IF($Q76=3,1,IF($Q76=4,1,0)),IF($F76&lt;=85,1,0))</formula>
    </cfRule>
  </conditionalFormatting>
  <conditionalFormatting sqref="X76">
    <cfRule type="expression" priority="748" dxfId="3">
      <formula>AND(IF(OR($Q76=1,$Q76=2),1,0),IF($X76&lt;=20,1,0))</formula>
    </cfRule>
    <cfRule type="expression" priority="749" dxfId="2">
      <formula>AND(IF($Q76=2,1,0),IF($X76&lt;30,1,0))</formula>
    </cfRule>
    <cfRule type="expression" priority="750" dxfId="1">
      <formula>AND(IF($Q76=3,1,0),IF($X76&lt;30,1,0))</formula>
    </cfRule>
    <cfRule type="expression" priority="751" dxfId="0">
      <formula>AND(IF($Q76=3,1,IF($Q76=4,1,0)),IF($F76&lt;=85,1,0))</formula>
    </cfRule>
  </conditionalFormatting>
  <conditionalFormatting sqref="AI76">
    <cfRule type="expression" priority="744" dxfId="3">
      <formula>AND(IF(OR($Q76=1,$Q76=2),1,0),IF($X76&lt;=20,1,0))</formula>
    </cfRule>
    <cfRule type="expression" priority="745" dxfId="2">
      <formula>AND(IF($Q76=2,1,0),IF($X76&lt;30,1,0))</formula>
    </cfRule>
    <cfRule type="expression" priority="746" dxfId="1">
      <formula>AND(IF($Q76=3,1,0),IF($X76&lt;30,1,0))</formula>
    </cfRule>
    <cfRule type="expression" priority="747" dxfId="0">
      <formula>AND(IF($Q76=3,1,IF($Q76=4,1,0)),IF($F76&lt;=85,1,0))</formula>
    </cfRule>
  </conditionalFormatting>
  <conditionalFormatting sqref="AV77">
    <cfRule type="expression" priority="742" dxfId="23">
      <formula>AV77="X"</formula>
    </cfRule>
    <cfRule type="expression" priority="743" dxfId="22">
      <formula>AV77="후보"</formula>
    </cfRule>
  </conditionalFormatting>
  <conditionalFormatting sqref="AC7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7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77">
    <cfRule type="expression" priority="733" dxfId="3">
      <formula>AND(IF(OR($Q77=1,$Q77=2),1,0),IF($X77&lt;=20,1,0))</formula>
    </cfRule>
    <cfRule type="expression" priority="734" dxfId="2">
      <formula>AND(IF($Q77=2,1,0),IF($X77&lt;30,1,0))</formula>
    </cfRule>
    <cfRule type="expression" priority="735" dxfId="1">
      <formula>AND(IF($Q77=3,1,0),IF($X77&lt;30,1,0))</formula>
    </cfRule>
    <cfRule type="expression" priority="736" dxfId="0">
      <formula>AND(IF($Q77=3,1,IF($Q77=4,1,0)),IF($F77&lt;=85,1,0))</formula>
    </cfRule>
  </conditionalFormatting>
  <conditionalFormatting sqref="X77">
    <cfRule type="expression" priority="729" dxfId="3">
      <formula>AND(IF(OR($Q77=1,$Q77=2),1,0),IF($X77&lt;=20,1,0))</formula>
    </cfRule>
    <cfRule type="expression" priority="730" dxfId="2">
      <formula>AND(IF($Q77=2,1,0),IF($X77&lt;30,1,0))</formula>
    </cfRule>
    <cfRule type="expression" priority="731" dxfId="1">
      <formula>AND(IF($Q77=3,1,0),IF($X77&lt;30,1,0))</formula>
    </cfRule>
    <cfRule type="expression" priority="732" dxfId="0">
      <formula>AND(IF($Q77=3,1,IF($Q77=4,1,0)),IF($F77&lt;=85,1,0))</formula>
    </cfRule>
  </conditionalFormatting>
  <conditionalFormatting sqref="AI77">
    <cfRule type="expression" priority="725" dxfId="3">
      <formula>AND(IF(OR($Q77=1,$Q77=2),1,0),IF($X77&lt;=20,1,0))</formula>
    </cfRule>
    <cfRule type="expression" priority="726" dxfId="2">
      <formula>AND(IF($Q77=2,1,0),IF($X77&lt;30,1,0))</formula>
    </cfRule>
    <cfRule type="expression" priority="727" dxfId="1">
      <formula>AND(IF($Q77=3,1,0),IF($X77&lt;30,1,0))</formula>
    </cfRule>
    <cfRule type="expression" priority="728" dxfId="0">
      <formula>AND(IF($Q77=3,1,IF($Q77=4,1,0)),IF($F77&lt;=85,1,0))</formula>
    </cfRule>
  </conditionalFormatting>
  <conditionalFormatting sqref="AV78">
    <cfRule type="expression" priority="723" dxfId="23">
      <formula>AV78="X"</formula>
    </cfRule>
    <cfRule type="expression" priority="724" dxfId="22">
      <formula>AV78="후보"</formula>
    </cfRule>
  </conditionalFormatting>
  <conditionalFormatting sqref="AC7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8">
    <cfRule type="expression" priority="714" dxfId="3">
      <formula>AND(IF(OR($Q78=1,$Q78=2),1,0),IF($X78&lt;=20,1,0))</formula>
    </cfRule>
    <cfRule type="expression" priority="715" dxfId="2">
      <formula>AND(IF($Q78=2,1,0),IF($X78&lt;30,1,0))</formula>
    </cfRule>
    <cfRule type="expression" priority="716" dxfId="1">
      <formula>AND(IF($Q78=3,1,0),IF($X78&lt;30,1,0))</formula>
    </cfRule>
    <cfRule type="expression" priority="717" dxfId="0">
      <formula>AND(IF($Q78=3,1,IF($Q78=4,1,0)),IF($F78&lt;=85,1,0))</formula>
    </cfRule>
  </conditionalFormatting>
  <conditionalFormatting sqref="X78">
    <cfRule type="expression" priority="710" dxfId="3">
      <formula>AND(IF(OR($Q78=1,$Q78=2),1,0),IF($X78&lt;=20,1,0))</formula>
    </cfRule>
    <cfRule type="expression" priority="711" dxfId="2">
      <formula>AND(IF($Q78=2,1,0),IF($X78&lt;30,1,0))</formula>
    </cfRule>
    <cfRule type="expression" priority="712" dxfId="1">
      <formula>AND(IF($Q78=3,1,0),IF($X78&lt;30,1,0))</formula>
    </cfRule>
    <cfRule type="expression" priority="713" dxfId="0">
      <formula>AND(IF($Q78=3,1,IF($Q78=4,1,0)),IF($F78&lt;=85,1,0))</formula>
    </cfRule>
  </conditionalFormatting>
  <conditionalFormatting sqref="AI78">
    <cfRule type="expression" priority="706" dxfId="3">
      <formula>AND(IF(OR($Q78=1,$Q78=2),1,0),IF($X78&lt;=20,1,0))</formula>
    </cfRule>
    <cfRule type="expression" priority="707" dxfId="2">
      <formula>AND(IF($Q78=2,1,0),IF($X78&lt;30,1,0))</formula>
    </cfRule>
    <cfRule type="expression" priority="708" dxfId="1">
      <formula>AND(IF($Q78=3,1,0),IF($X78&lt;30,1,0))</formula>
    </cfRule>
    <cfRule type="expression" priority="709" dxfId="0">
      <formula>AND(IF($Q78=3,1,IF($Q78=4,1,0)),IF($F78&lt;=85,1,0))</formula>
    </cfRule>
  </conditionalFormatting>
  <conditionalFormatting sqref="AV79">
    <cfRule type="expression" priority="704" dxfId="23">
      <formula>AV79="X"</formula>
    </cfRule>
    <cfRule type="expression" priority="705" dxfId="22">
      <formula>AV79="후보"</formula>
    </cfRule>
  </conditionalFormatting>
  <conditionalFormatting sqref="AC7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9">
    <cfRule type="expression" priority="695" dxfId="3">
      <formula>AND(IF(OR($Q79=1,$Q79=2),1,0),IF($X79&lt;=20,1,0))</formula>
    </cfRule>
    <cfRule type="expression" priority="696" dxfId="2">
      <formula>AND(IF($Q79=2,1,0),IF($X79&lt;30,1,0))</formula>
    </cfRule>
    <cfRule type="expression" priority="697" dxfId="1">
      <formula>AND(IF($Q79=3,1,0),IF($X79&lt;30,1,0))</formula>
    </cfRule>
    <cfRule type="expression" priority="698" dxfId="0">
      <formula>AND(IF($Q79=3,1,IF($Q79=4,1,0)),IF($F79&lt;=85,1,0))</formula>
    </cfRule>
  </conditionalFormatting>
  <conditionalFormatting sqref="X79">
    <cfRule type="expression" priority="691" dxfId="3">
      <formula>AND(IF(OR($Q79=1,$Q79=2),1,0),IF($X79&lt;=20,1,0))</formula>
    </cfRule>
    <cfRule type="expression" priority="692" dxfId="2">
      <formula>AND(IF($Q79=2,1,0),IF($X79&lt;30,1,0))</formula>
    </cfRule>
    <cfRule type="expression" priority="693" dxfId="1">
      <formula>AND(IF($Q79=3,1,0),IF($X79&lt;30,1,0))</formula>
    </cfRule>
    <cfRule type="expression" priority="694" dxfId="0">
      <formula>AND(IF($Q79=3,1,IF($Q79=4,1,0)),IF($F79&lt;=85,1,0))</formula>
    </cfRule>
  </conditionalFormatting>
  <conditionalFormatting sqref="AI79">
    <cfRule type="expression" priority="687" dxfId="3">
      <formula>AND(IF(OR($Q79=1,$Q79=2),1,0),IF($X79&lt;=20,1,0))</formula>
    </cfRule>
    <cfRule type="expression" priority="688" dxfId="2">
      <formula>AND(IF($Q79=2,1,0),IF($X79&lt;30,1,0))</formula>
    </cfRule>
    <cfRule type="expression" priority="689" dxfId="1">
      <formula>AND(IF($Q79=3,1,0),IF($X79&lt;30,1,0))</formula>
    </cfRule>
    <cfRule type="expression" priority="690" dxfId="0">
      <formula>AND(IF($Q79=3,1,IF($Q79=4,1,0)),IF($F79&lt;=85,1,0))</formula>
    </cfRule>
  </conditionalFormatting>
  <conditionalFormatting sqref="AV80">
    <cfRule type="expression" priority="685" dxfId="23">
      <formula>AV80="X"</formula>
    </cfRule>
    <cfRule type="expression" priority="686" dxfId="22">
      <formula>AV80="후보"</formula>
    </cfRule>
  </conditionalFormatting>
  <conditionalFormatting sqref="AC80 N8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1">
    <cfRule type="expression" priority="680" dxfId="23">
      <formula>AV81="X"</formula>
    </cfRule>
    <cfRule type="expression" priority="681" dxfId="22">
      <formula>AV81="후보"</formula>
    </cfRule>
  </conditionalFormatting>
  <conditionalFormatting sqref="AC8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1">
    <cfRule type="expression" priority="671" dxfId="3">
      <formula>AND(IF(OR($Q81=1,$Q81=2),1,0),IF($X81&lt;=20,1,0))</formula>
    </cfRule>
    <cfRule type="expression" priority="672" dxfId="2">
      <formula>AND(IF($Q81=2,1,0),IF($X81&lt;30,1,0))</formula>
    </cfRule>
    <cfRule type="expression" priority="673" dxfId="1">
      <formula>AND(IF($Q81=3,1,0),IF($X81&lt;30,1,0))</formula>
    </cfRule>
    <cfRule type="expression" priority="674" dxfId="0">
      <formula>AND(IF($Q81=3,1,IF($Q81=4,1,0)),IF($F81&lt;=85,1,0))</formula>
    </cfRule>
  </conditionalFormatting>
  <conditionalFormatting sqref="X81">
    <cfRule type="expression" priority="667" dxfId="3">
      <formula>AND(IF(OR($Q81=1,$Q81=2),1,0),IF($X81&lt;=20,1,0))</formula>
    </cfRule>
    <cfRule type="expression" priority="668" dxfId="2">
      <formula>AND(IF($Q81=2,1,0),IF($X81&lt;30,1,0))</formula>
    </cfRule>
    <cfRule type="expression" priority="669" dxfId="1">
      <formula>AND(IF($Q81=3,1,0),IF($X81&lt;30,1,0))</formula>
    </cfRule>
    <cfRule type="expression" priority="670" dxfId="0">
      <formula>AND(IF($Q81=3,1,IF($Q81=4,1,0)),IF($F81&lt;=85,1,0))</formula>
    </cfRule>
  </conditionalFormatting>
  <conditionalFormatting sqref="AI81">
    <cfRule type="expression" priority="663" dxfId="3">
      <formula>AND(IF(OR($Q81=1,$Q81=2),1,0),IF($X81&lt;=20,1,0))</formula>
    </cfRule>
    <cfRule type="expression" priority="664" dxfId="2">
      <formula>AND(IF($Q81=2,1,0),IF($X81&lt;30,1,0))</formula>
    </cfRule>
    <cfRule type="expression" priority="665" dxfId="1">
      <formula>AND(IF($Q81=3,1,0),IF($X81&lt;30,1,0))</formula>
    </cfRule>
    <cfRule type="expression" priority="666" dxfId="0">
      <formula>AND(IF($Q81=3,1,IF($Q81=4,1,0)),IF($F81&lt;=85,1,0))</formula>
    </cfRule>
  </conditionalFormatting>
  <conditionalFormatting sqref="AV82">
    <cfRule type="expression" priority="661" dxfId="23">
      <formula>AV82="X"</formula>
    </cfRule>
    <cfRule type="expression" priority="662" dxfId="22">
      <formula>AV82="후보"</formula>
    </cfRule>
  </conditionalFormatting>
  <conditionalFormatting sqref="AC8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2">
    <cfRule type="expression" priority="652" dxfId="3">
      <formula>AND(IF(OR($Q82=1,$Q82=2),1,0),IF($X82&lt;=20,1,0))</formula>
    </cfRule>
    <cfRule type="expression" priority="653" dxfId="2">
      <formula>AND(IF($Q82=2,1,0),IF($X82&lt;30,1,0))</formula>
    </cfRule>
    <cfRule type="expression" priority="654" dxfId="1">
      <formula>AND(IF($Q82=3,1,0),IF($X82&lt;30,1,0))</formula>
    </cfRule>
    <cfRule type="expression" priority="655" dxfId="0">
      <formula>AND(IF($Q82=3,1,IF($Q82=4,1,0)),IF($F82&lt;=85,1,0))</formula>
    </cfRule>
  </conditionalFormatting>
  <conditionalFormatting sqref="X82">
    <cfRule type="expression" priority="648" dxfId="3">
      <formula>AND(IF(OR($Q82=1,$Q82=2),1,0),IF($X82&lt;=20,1,0))</formula>
    </cfRule>
    <cfRule type="expression" priority="649" dxfId="2">
      <formula>AND(IF($Q82=2,1,0),IF($X82&lt;30,1,0))</formula>
    </cfRule>
    <cfRule type="expression" priority="650" dxfId="1">
      <formula>AND(IF($Q82=3,1,0),IF($X82&lt;30,1,0))</formula>
    </cfRule>
    <cfRule type="expression" priority="651" dxfId="0">
      <formula>AND(IF($Q82=3,1,IF($Q82=4,1,0)),IF($F82&lt;=85,1,0))</formula>
    </cfRule>
  </conditionalFormatting>
  <conditionalFormatting sqref="AI82">
    <cfRule type="expression" priority="644" dxfId="3">
      <formula>AND(IF(OR($Q82=1,$Q82=2),1,0),IF($X82&lt;=20,1,0))</formula>
    </cfRule>
    <cfRule type="expression" priority="645" dxfId="2">
      <formula>AND(IF($Q82=2,1,0),IF($X82&lt;30,1,0))</formula>
    </cfRule>
    <cfRule type="expression" priority="646" dxfId="1">
      <formula>AND(IF($Q82=3,1,0),IF($X82&lt;30,1,0))</formula>
    </cfRule>
    <cfRule type="expression" priority="647" dxfId="0">
      <formula>AND(IF($Q82=3,1,IF($Q82=4,1,0)),IF($F82&lt;=85,1,0))</formula>
    </cfRule>
  </conditionalFormatting>
  <conditionalFormatting sqref="AV83">
    <cfRule type="expression" priority="642" dxfId="23">
      <formula>AV83="X"</formula>
    </cfRule>
    <cfRule type="expression" priority="643" dxfId="22">
      <formula>AV83="후보"</formula>
    </cfRule>
  </conditionalFormatting>
  <conditionalFormatting sqref="AC8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3">
    <cfRule type="expression" priority="633" dxfId="3">
      <formula>AND(IF(OR($Q83=1,$Q83=2),1,0),IF($X83&lt;=20,1,0))</formula>
    </cfRule>
    <cfRule type="expression" priority="634" dxfId="2">
      <formula>AND(IF($Q83=2,1,0),IF($X83&lt;30,1,0))</formula>
    </cfRule>
    <cfRule type="expression" priority="635" dxfId="1">
      <formula>AND(IF($Q83=3,1,0),IF($X83&lt;30,1,0))</formula>
    </cfRule>
    <cfRule type="expression" priority="636" dxfId="0">
      <formula>AND(IF($Q83=3,1,IF($Q83=4,1,0)),IF($F83&lt;=85,1,0))</formula>
    </cfRule>
  </conditionalFormatting>
  <conditionalFormatting sqref="X83">
    <cfRule type="expression" priority="629" dxfId="3">
      <formula>AND(IF(OR($Q83=1,$Q83=2),1,0),IF($X83&lt;=20,1,0))</formula>
    </cfRule>
    <cfRule type="expression" priority="630" dxfId="2">
      <formula>AND(IF($Q83=2,1,0),IF($X83&lt;30,1,0))</formula>
    </cfRule>
    <cfRule type="expression" priority="631" dxfId="1">
      <formula>AND(IF($Q83=3,1,0),IF($X83&lt;30,1,0))</formula>
    </cfRule>
    <cfRule type="expression" priority="632" dxfId="0">
      <formula>AND(IF($Q83=3,1,IF($Q83=4,1,0)),IF($F83&lt;=85,1,0))</formula>
    </cfRule>
  </conditionalFormatting>
  <conditionalFormatting sqref="AI83">
    <cfRule type="expression" priority="625" dxfId="3">
      <formula>AND(IF(OR($Q83=1,$Q83=2),1,0),IF($X83&lt;=20,1,0))</formula>
    </cfRule>
    <cfRule type="expression" priority="626" dxfId="2">
      <formula>AND(IF($Q83=2,1,0),IF($X83&lt;30,1,0))</formula>
    </cfRule>
    <cfRule type="expression" priority="627" dxfId="1">
      <formula>AND(IF($Q83=3,1,0),IF($X83&lt;30,1,0))</formula>
    </cfRule>
    <cfRule type="expression" priority="628" dxfId="0">
      <formula>AND(IF($Q83=3,1,IF($Q83=4,1,0)),IF($F83&lt;=85,1,0))</formula>
    </cfRule>
  </conditionalFormatting>
  <conditionalFormatting sqref="AV84">
    <cfRule type="expression" priority="623" dxfId="23">
      <formula>AV84="X"</formula>
    </cfRule>
    <cfRule type="expression" priority="624" dxfId="22">
      <formula>AV84="후보"</formula>
    </cfRule>
  </conditionalFormatting>
  <conditionalFormatting sqref="AC8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4">
    <cfRule type="expression" priority="614" dxfId="3">
      <formula>AND(IF(OR($Q84=1,$Q84=2),1,0),IF($X84&lt;=20,1,0))</formula>
    </cfRule>
    <cfRule type="expression" priority="615" dxfId="2">
      <formula>AND(IF($Q84=2,1,0),IF($X84&lt;30,1,0))</formula>
    </cfRule>
    <cfRule type="expression" priority="616" dxfId="1">
      <formula>AND(IF($Q84=3,1,0),IF($X84&lt;30,1,0))</formula>
    </cfRule>
    <cfRule type="expression" priority="617" dxfId="0">
      <formula>AND(IF($Q84=3,1,IF($Q84=4,1,0)),IF($F84&lt;=85,1,0))</formula>
    </cfRule>
  </conditionalFormatting>
  <conditionalFormatting sqref="X84">
    <cfRule type="expression" priority="610" dxfId="3">
      <formula>AND(IF(OR($Q84=1,$Q84=2),1,0),IF($X84&lt;=20,1,0))</formula>
    </cfRule>
    <cfRule type="expression" priority="611" dxfId="2">
      <formula>AND(IF($Q84=2,1,0),IF($X84&lt;30,1,0))</formula>
    </cfRule>
    <cfRule type="expression" priority="612" dxfId="1">
      <formula>AND(IF($Q84=3,1,0),IF($X84&lt;30,1,0))</formula>
    </cfRule>
    <cfRule type="expression" priority="613" dxfId="0">
      <formula>AND(IF($Q84=3,1,IF($Q84=4,1,0)),IF($F84&lt;=85,1,0))</formula>
    </cfRule>
  </conditionalFormatting>
  <conditionalFormatting sqref="AI84">
    <cfRule type="expression" priority="606" dxfId="3">
      <formula>AND(IF(OR($Q84=1,$Q84=2),1,0),IF($X84&lt;=20,1,0))</formula>
    </cfRule>
    <cfRule type="expression" priority="607" dxfId="2">
      <formula>AND(IF($Q84=2,1,0),IF($X84&lt;30,1,0))</formula>
    </cfRule>
    <cfRule type="expression" priority="608" dxfId="1">
      <formula>AND(IF($Q84=3,1,0),IF($X84&lt;30,1,0))</formula>
    </cfRule>
    <cfRule type="expression" priority="609" dxfId="0">
      <formula>AND(IF($Q84=3,1,IF($Q84=4,1,0)),IF($F84&lt;=85,1,0))</formula>
    </cfRule>
  </conditionalFormatting>
  <conditionalFormatting sqref="AV85">
    <cfRule type="expression" priority="604" dxfId="23">
      <formula>AV85="X"</formula>
    </cfRule>
    <cfRule type="expression" priority="605" dxfId="22">
      <formula>AV85="후보"</formula>
    </cfRule>
  </conditionalFormatting>
  <conditionalFormatting sqref="AC8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5">
    <cfRule type="expression" priority="595" dxfId="3">
      <formula>AND(IF(OR($Q85=1,$Q85=2),1,0),IF($X85&lt;=20,1,0))</formula>
    </cfRule>
    <cfRule type="expression" priority="596" dxfId="2">
      <formula>AND(IF($Q85=2,1,0),IF($X85&lt;30,1,0))</formula>
    </cfRule>
    <cfRule type="expression" priority="597" dxfId="1">
      <formula>AND(IF($Q85=3,1,0),IF($X85&lt;30,1,0))</formula>
    </cfRule>
    <cfRule type="expression" priority="598" dxfId="0">
      <formula>AND(IF($Q85=3,1,IF($Q85=4,1,0)),IF($F85&lt;=85,1,0))</formula>
    </cfRule>
  </conditionalFormatting>
  <conditionalFormatting sqref="X85">
    <cfRule type="expression" priority="591" dxfId="3">
      <formula>AND(IF(OR($Q85=1,$Q85=2),1,0),IF($X85&lt;=20,1,0))</formula>
    </cfRule>
    <cfRule type="expression" priority="592" dxfId="2">
      <formula>AND(IF($Q85=2,1,0),IF($X85&lt;30,1,0))</formula>
    </cfRule>
    <cfRule type="expression" priority="593" dxfId="1">
      <formula>AND(IF($Q85=3,1,0),IF($X85&lt;30,1,0))</formula>
    </cfRule>
    <cfRule type="expression" priority="594" dxfId="0">
      <formula>AND(IF($Q85=3,1,IF($Q85=4,1,0)),IF($F85&lt;=85,1,0))</formula>
    </cfRule>
  </conditionalFormatting>
  <conditionalFormatting sqref="AI85">
    <cfRule type="expression" priority="587" dxfId="3">
      <formula>AND(IF(OR($Q85=1,$Q85=2),1,0),IF($X85&lt;=20,1,0))</formula>
    </cfRule>
    <cfRule type="expression" priority="588" dxfId="2">
      <formula>AND(IF($Q85=2,1,0),IF($X85&lt;30,1,0))</formula>
    </cfRule>
    <cfRule type="expression" priority="589" dxfId="1">
      <formula>AND(IF($Q85=3,1,0),IF($X85&lt;30,1,0))</formula>
    </cfRule>
    <cfRule type="expression" priority="590" dxfId="0">
      <formula>AND(IF($Q85=3,1,IF($Q85=4,1,0)),IF($F85&lt;=85,1,0))</formula>
    </cfRule>
  </conditionalFormatting>
  <conditionalFormatting sqref="AV86">
    <cfRule type="expression" priority="585" dxfId="23">
      <formula>AV86="X"</formula>
    </cfRule>
    <cfRule type="expression" priority="586" dxfId="22">
      <formula>AV86="후보"</formula>
    </cfRule>
  </conditionalFormatting>
  <conditionalFormatting sqref="AC86 N8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7">
    <cfRule type="expression" priority="580" dxfId="23">
      <formula>AV87="X"</formula>
    </cfRule>
    <cfRule type="expression" priority="581" dxfId="22">
      <formula>AV87="후보"</formula>
    </cfRule>
  </conditionalFormatting>
  <conditionalFormatting sqref="AC8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7">
    <cfRule type="expression" priority="571" dxfId="3">
      <formula>AND(IF(OR($Q87=1,$Q87=2),1,0),IF($X87&lt;=20,1,0))</formula>
    </cfRule>
    <cfRule type="expression" priority="572" dxfId="2">
      <formula>AND(IF($Q87=2,1,0),IF($X87&lt;30,1,0))</formula>
    </cfRule>
    <cfRule type="expression" priority="573" dxfId="1">
      <formula>AND(IF($Q87=3,1,0),IF($X87&lt;30,1,0))</formula>
    </cfRule>
    <cfRule type="expression" priority="574" dxfId="0">
      <formula>AND(IF($Q87=3,1,IF($Q87=4,1,0)),IF($F87&lt;=85,1,0))</formula>
    </cfRule>
  </conditionalFormatting>
  <conditionalFormatting sqref="X87">
    <cfRule type="expression" priority="567" dxfId="3">
      <formula>AND(IF(OR($Q87=1,$Q87=2),1,0),IF($X87&lt;=20,1,0))</formula>
    </cfRule>
    <cfRule type="expression" priority="568" dxfId="2">
      <formula>AND(IF($Q87=2,1,0),IF($X87&lt;30,1,0))</formula>
    </cfRule>
    <cfRule type="expression" priority="569" dxfId="1">
      <formula>AND(IF($Q87=3,1,0),IF($X87&lt;30,1,0))</formula>
    </cfRule>
    <cfRule type="expression" priority="570" dxfId="0">
      <formula>AND(IF($Q87=3,1,IF($Q87=4,1,0)),IF($F87&lt;=85,1,0))</formula>
    </cfRule>
  </conditionalFormatting>
  <conditionalFormatting sqref="AI87">
    <cfRule type="expression" priority="563" dxfId="3">
      <formula>AND(IF(OR($Q87=1,$Q87=2),1,0),IF($X87&lt;=20,1,0))</formula>
    </cfRule>
    <cfRule type="expression" priority="564" dxfId="2">
      <formula>AND(IF($Q87=2,1,0),IF($X87&lt;30,1,0))</formula>
    </cfRule>
    <cfRule type="expression" priority="565" dxfId="1">
      <formula>AND(IF($Q87=3,1,0),IF($X87&lt;30,1,0))</formula>
    </cfRule>
    <cfRule type="expression" priority="566" dxfId="0">
      <formula>AND(IF($Q87=3,1,IF($Q87=4,1,0)),IF($F87&lt;=85,1,0))</formula>
    </cfRule>
  </conditionalFormatting>
  <conditionalFormatting sqref="AV88">
    <cfRule type="expression" priority="561" dxfId="23">
      <formula>AV88="X"</formula>
    </cfRule>
    <cfRule type="expression" priority="562" dxfId="22">
      <formula>AV88="후보"</formula>
    </cfRule>
  </conditionalFormatting>
  <conditionalFormatting sqref="AC8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8">
    <cfRule type="expression" priority="552" dxfId="3">
      <formula>AND(IF(OR($Q88=1,$Q88=2),1,0),IF($X88&lt;=20,1,0))</formula>
    </cfRule>
    <cfRule type="expression" priority="553" dxfId="2">
      <formula>AND(IF($Q88=2,1,0),IF($X88&lt;30,1,0))</formula>
    </cfRule>
    <cfRule type="expression" priority="554" dxfId="1">
      <formula>AND(IF($Q88=3,1,0),IF($X88&lt;30,1,0))</formula>
    </cfRule>
    <cfRule type="expression" priority="555" dxfId="0">
      <formula>AND(IF($Q88=3,1,IF($Q88=4,1,0)),IF($F88&lt;=85,1,0))</formula>
    </cfRule>
  </conditionalFormatting>
  <conditionalFormatting sqref="X88">
    <cfRule type="expression" priority="548" dxfId="3">
      <formula>AND(IF(OR($Q88=1,$Q88=2),1,0),IF($X88&lt;=20,1,0))</formula>
    </cfRule>
    <cfRule type="expression" priority="549" dxfId="2">
      <formula>AND(IF($Q88=2,1,0),IF($X88&lt;30,1,0))</formula>
    </cfRule>
    <cfRule type="expression" priority="550" dxfId="1">
      <formula>AND(IF($Q88=3,1,0),IF($X88&lt;30,1,0))</formula>
    </cfRule>
    <cfRule type="expression" priority="551" dxfId="0">
      <formula>AND(IF($Q88=3,1,IF($Q88=4,1,0)),IF($F88&lt;=85,1,0))</formula>
    </cfRule>
  </conditionalFormatting>
  <conditionalFormatting sqref="AI88">
    <cfRule type="expression" priority="544" dxfId="3">
      <formula>AND(IF(OR($Q88=1,$Q88=2),1,0),IF($X88&lt;=20,1,0))</formula>
    </cfRule>
    <cfRule type="expression" priority="545" dxfId="2">
      <formula>AND(IF($Q88=2,1,0),IF($X88&lt;30,1,0))</formula>
    </cfRule>
    <cfRule type="expression" priority="546" dxfId="1">
      <formula>AND(IF($Q88=3,1,0),IF($X88&lt;30,1,0))</formula>
    </cfRule>
    <cfRule type="expression" priority="547" dxfId="0">
      <formula>AND(IF($Q88=3,1,IF($Q88=4,1,0)),IF($F88&lt;=85,1,0))</formula>
    </cfRule>
  </conditionalFormatting>
  <conditionalFormatting sqref="AV89">
    <cfRule type="expression" priority="542" dxfId="23">
      <formula>AV89="X"</formula>
    </cfRule>
    <cfRule type="expression" priority="543" dxfId="22">
      <formula>AV89="후보"</formula>
    </cfRule>
  </conditionalFormatting>
  <conditionalFormatting sqref="AC8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9">
    <cfRule type="expression" priority="533" dxfId="3">
      <formula>AND(IF(OR($Q89=1,$Q89=2),1,0),IF($X89&lt;=20,1,0))</formula>
    </cfRule>
    <cfRule type="expression" priority="534" dxfId="2">
      <formula>AND(IF($Q89=2,1,0),IF($X89&lt;30,1,0))</formula>
    </cfRule>
    <cfRule type="expression" priority="535" dxfId="1">
      <formula>AND(IF($Q89=3,1,0),IF($X89&lt;30,1,0))</formula>
    </cfRule>
    <cfRule type="expression" priority="536" dxfId="0">
      <formula>AND(IF($Q89=3,1,IF($Q89=4,1,0)),IF($F89&lt;=85,1,0))</formula>
    </cfRule>
  </conditionalFormatting>
  <conditionalFormatting sqref="X89">
    <cfRule type="expression" priority="529" dxfId="3">
      <formula>AND(IF(OR($Q89=1,$Q89=2),1,0),IF($X89&lt;=20,1,0))</formula>
    </cfRule>
    <cfRule type="expression" priority="530" dxfId="2">
      <formula>AND(IF($Q89=2,1,0),IF($X89&lt;30,1,0))</formula>
    </cfRule>
    <cfRule type="expression" priority="531" dxfId="1">
      <formula>AND(IF($Q89=3,1,0),IF($X89&lt;30,1,0))</formula>
    </cfRule>
    <cfRule type="expression" priority="532" dxfId="0">
      <formula>AND(IF($Q89=3,1,IF($Q89=4,1,0)),IF($F89&lt;=85,1,0))</formula>
    </cfRule>
  </conditionalFormatting>
  <conditionalFormatting sqref="AI89">
    <cfRule type="expression" priority="525" dxfId="3">
      <formula>AND(IF(OR($Q89=1,$Q89=2),1,0),IF($X89&lt;=20,1,0))</formula>
    </cfRule>
    <cfRule type="expression" priority="526" dxfId="2">
      <formula>AND(IF($Q89=2,1,0),IF($X89&lt;30,1,0))</formula>
    </cfRule>
    <cfRule type="expression" priority="527" dxfId="1">
      <formula>AND(IF($Q89=3,1,0),IF($X89&lt;30,1,0))</formula>
    </cfRule>
    <cfRule type="expression" priority="528" dxfId="0">
      <formula>AND(IF($Q89=3,1,IF($Q89=4,1,0)),IF($F89&lt;=85,1,0))</formula>
    </cfRule>
  </conditionalFormatting>
  <conditionalFormatting sqref="AV90">
    <cfRule type="expression" priority="523" dxfId="23">
      <formula>AV90="X"</formula>
    </cfRule>
    <cfRule type="expression" priority="524" dxfId="22">
      <formula>AV90="후보"</formula>
    </cfRule>
  </conditionalFormatting>
  <conditionalFormatting sqref="AC9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0">
    <cfRule type="expression" priority="514" dxfId="3">
      <formula>AND(IF(OR($Q90=1,$Q90=2),1,0),IF($X90&lt;=20,1,0))</formula>
    </cfRule>
    <cfRule type="expression" priority="515" dxfId="2">
      <formula>AND(IF($Q90=2,1,0),IF($X90&lt;30,1,0))</formula>
    </cfRule>
    <cfRule type="expression" priority="516" dxfId="1">
      <formula>AND(IF($Q90=3,1,0),IF($X90&lt;30,1,0))</formula>
    </cfRule>
    <cfRule type="expression" priority="517" dxfId="0">
      <formula>AND(IF($Q90=3,1,IF($Q90=4,1,0)),IF($F90&lt;=85,1,0))</formula>
    </cfRule>
  </conditionalFormatting>
  <conditionalFormatting sqref="X90">
    <cfRule type="expression" priority="510" dxfId="3">
      <formula>AND(IF(OR($Q90=1,$Q90=2),1,0),IF($X90&lt;=20,1,0))</formula>
    </cfRule>
    <cfRule type="expression" priority="511" dxfId="2">
      <formula>AND(IF($Q90=2,1,0),IF($X90&lt;30,1,0))</formula>
    </cfRule>
    <cfRule type="expression" priority="512" dxfId="1">
      <formula>AND(IF($Q90=3,1,0),IF($X90&lt;30,1,0))</formula>
    </cfRule>
    <cfRule type="expression" priority="513" dxfId="0">
      <formula>AND(IF($Q90=3,1,IF($Q90=4,1,0)),IF($F90&lt;=85,1,0))</formula>
    </cfRule>
  </conditionalFormatting>
  <conditionalFormatting sqref="AI90">
    <cfRule type="expression" priority="506" dxfId="3">
      <formula>AND(IF(OR($Q90=1,$Q90=2),1,0),IF($X90&lt;=20,1,0))</formula>
    </cfRule>
    <cfRule type="expression" priority="507" dxfId="2">
      <formula>AND(IF($Q90=2,1,0),IF($X90&lt;30,1,0))</formula>
    </cfRule>
    <cfRule type="expression" priority="508" dxfId="1">
      <formula>AND(IF($Q90=3,1,0),IF($X90&lt;30,1,0))</formula>
    </cfRule>
    <cfRule type="expression" priority="509" dxfId="0">
      <formula>AND(IF($Q90=3,1,IF($Q90=4,1,0)),IF($F90&lt;=85,1,0))</formula>
    </cfRule>
  </conditionalFormatting>
  <conditionalFormatting sqref="AV91">
    <cfRule type="expression" priority="504" dxfId="23">
      <formula>AV91="X"</formula>
    </cfRule>
    <cfRule type="expression" priority="505" dxfId="22">
      <formula>AV91="후보"</formula>
    </cfRule>
  </conditionalFormatting>
  <conditionalFormatting sqref="AC91 N9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92">
    <cfRule type="expression" priority="499" dxfId="23">
      <formula>AV92="X"</formula>
    </cfRule>
    <cfRule type="expression" priority="500" dxfId="22">
      <formula>AV92="후보"</formula>
    </cfRule>
  </conditionalFormatting>
  <conditionalFormatting sqref="AC9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2">
    <cfRule type="expression" priority="490" dxfId="3">
      <formula>AND(IF(OR($Q92=1,$Q92=2),1,0),IF($X92&lt;=20,1,0))</formula>
    </cfRule>
    <cfRule type="expression" priority="491" dxfId="2">
      <formula>AND(IF($Q92=2,1,0),IF($X92&lt;30,1,0))</formula>
    </cfRule>
    <cfRule type="expression" priority="492" dxfId="1">
      <formula>AND(IF($Q92=3,1,0),IF($X92&lt;30,1,0))</formula>
    </cfRule>
    <cfRule type="expression" priority="493" dxfId="0">
      <formula>AND(IF($Q92=3,1,IF($Q92=4,1,0)),IF($F92&lt;=85,1,0))</formula>
    </cfRule>
  </conditionalFormatting>
  <conditionalFormatting sqref="X92">
    <cfRule type="expression" priority="486" dxfId="3">
      <formula>AND(IF(OR($Q92=1,$Q92=2),1,0),IF($X92&lt;=20,1,0))</formula>
    </cfRule>
    <cfRule type="expression" priority="487" dxfId="2">
      <formula>AND(IF($Q92=2,1,0),IF($X92&lt;30,1,0))</formula>
    </cfRule>
    <cfRule type="expression" priority="488" dxfId="1">
      <formula>AND(IF($Q92=3,1,0),IF($X92&lt;30,1,0))</formula>
    </cfRule>
    <cfRule type="expression" priority="489" dxfId="0">
      <formula>AND(IF($Q92=3,1,IF($Q92=4,1,0)),IF($F92&lt;=85,1,0))</formula>
    </cfRule>
  </conditionalFormatting>
  <conditionalFormatting sqref="AI92">
    <cfRule type="expression" priority="482" dxfId="3">
      <formula>AND(IF(OR($Q92=1,$Q92=2),1,0),IF($X92&lt;=20,1,0))</formula>
    </cfRule>
    <cfRule type="expression" priority="483" dxfId="2">
      <formula>AND(IF($Q92=2,1,0),IF($X92&lt;30,1,0))</formula>
    </cfRule>
    <cfRule type="expression" priority="484" dxfId="1">
      <formula>AND(IF($Q92=3,1,0),IF($X92&lt;30,1,0))</formula>
    </cfRule>
    <cfRule type="expression" priority="485" dxfId="0">
      <formula>AND(IF($Q92=3,1,IF($Q92=4,1,0)),IF($F92&lt;=85,1,0))</formula>
    </cfRule>
  </conditionalFormatting>
  <conditionalFormatting sqref="AV93">
    <cfRule type="expression" priority="480" dxfId="23">
      <formula>AV93="X"</formula>
    </cfRule>
    <cfRule type="expression" priority="481" dxfId="22">
      <formula>AV93="후보"</formula>
    </cfRule>
  </conditionalFormatting>
  <conditionalFormatting sqref="AC93 N9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94">
    <cfRule type="expression" priority="475" dxfId="23">
      <formula>AV94="X"</formula>
    </cfRule>
    <cfRule type="expression" priority="476" dxfId="22">
      <formula>AV94="후보"</formula>
    </cfRule>
  </conditionalFormatting>
  <conditionalFormatting sqref="AC9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4">
    <cfRule type="expression" priority="466" dxfId="3">
      <formula>AND(IF(OR($Q94=1,$Q94=2),1,0),IF($X94&lt;=20,1,0))</formula>
    </cfRule>
    <cfRule type="expression" priority="467" dxfId="2">
      <formula>AND(IF($Q94=2,1,0),IF($X94&lt;30,1,0))</formula>
    </cfRule>
    <cfRule type="expression" priority="468" dxfId="1">
      <formula>AND(IF($Q94=3,1,0),IF($X94&lt;30,1,0))</formula>
    </cfRule>
    <cfRule type="expression" priority="469" dxfId="0">
      <formula>AND(IF($Q94=3,1,IF($Q94=4,1,0)),IF($F94&lt;=85,1,0))</formula>
    </cfRule>
  </conditionalFormatting>
  <conditionalFormatting sqref="X94">
    <cfRule type="expression" priority="462" dxfId="3">
      <formula>AND(IF(OR($Q94=1,$Q94=2),1,0),IF($X94&lt;=20,1,0))</formula>
    </cfRule>
    <cfRule type="expression" priority="463" dxfId="2">
      <formula>AND(IF($Q94=2,1,0),IF($X94&lt;30,1,0))</formula>
    </cfRule>
    <cfRule type="expression" priority="464" dxfId="1">
      <formula>AND(IF($Q94=3,1,0),IF($X94&lt;30,1,0))</formula>
    </cfRule>
    <cfRule type="expression" priority="465" dxfId="0">
      <formula>AND(IF($Q94=3,1,IF($Q94=4,1,0)),IF($F94&lt;=85,1,0))</formula>
    </cfRule>
  </conditionalFormatting>
  <conditionalFormatting sqref="AI94">
    <cfRule type="expression" priority="458" dxfId="3">
      <formula>AND(IF(OR($Q94=1,$Q94=2),1,0),IF($X94&lt;=20,1,0))</formula>
    </cfRule>
    <cfRule type="expression" priority="459" dxfId="2">
      <formula>AND(IF($Q94=2,1,0),IF($X94&lt;30,1,0))</formula>
    </cfRule>
    <cfRule type="expression" priority="460" dxfId="1">
      <formula>AND(IF($Q94=3,1,0),IF($X94&lt;30,1,0))</formula>
    </cfRule>
    <cfRule type="expression" priority="461" dxfId="0">
      <formula>AND(IF($Q94=3,1,IF($Q94=4,1,0)),IF($F94&lt;=85,1,0))</formula>
    </cfRule>
  </conditionalFormatting>
  <conditionalFormatting sqref="AV95">
    <cfRule type="expression" priority="456" dxfId="23">
      <formula>AV95="X"</formula>
    </cfRule>
    <cfRule type="expression" priority="457" dxfId="22">
      <formula>AV95="후보"</formula>
    </cfRule>
  </conditionalFormatting>
  <conditionalFormatting sqref="AC9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9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95">
    <cfRule type="expression" priority="447" dxfId="3">
      <formula>AND(IF(OR($Q95=1,$Q95=2),1,0),IF($X95&lt;=20,1,0))</formula>
    </cfRule>
    <cfRule type="expression" priority="448" dxfId="2">
      <formula>AND(IF($Q95=2,1,0),IF($X95&lt;30,1,0))</formula>
    </cfRule>
    <cfRule type="expression" priority="449" dxfId="1">
      <formula>AND(IF($Q95=3,1,0),IF($X95&lt;30,1,0))</formula>
    </cfRule>
    <cfRule type="expression" priority="450" dxfId="0">
      <formula>AND(IF($Q95=3,1,IF($Q95=4,1,0)),IF($F95&lt;=85,1,0))</formula>
    </cfRule>
  </conditionalFormatting>
  <conditionalFormatting sqref="X95">
    <cfRule type="expression" priority="443" dxfId="3">
      <formula>AND(IF(OR($Q95=1,$Q95=2),1,0),IF($X95&lt;=20,1,0))</formula>
    </cfRule>
    <cfRule type="expression" priority="444" dxfId="2">
      <formula>AND(IF($Q95=2,1,0),IF($X95&lt;30,1,0))</formula>
    </cfRule>
    <cfRule type="expression" priority="445" dxfId="1">
      <formula>AND(IF($Q95=3,1,0),IF($X95&lt;30,1,0))</formula>
    </cfRule>
    <cfRule type="expression" priority="446" dxfId="0">
      <formula>AND(IF($Q95=3,1,IF($Q95=4,1,0)),IF($F95&lt;=85,1,0))</formula>
    </cfRule>
  </conditionalFormatting>
  <conditionalFormatting sqref="AI95">
    <cfRule type="expression" priority="439" dxfId="3">
      <formula>AND(IF(OR($Q95=1,$Q95=2),1,0),IF($X95&lt;=20,1,0))</formula>
    </cfRule>
    <cfRule type="expression" priority="440" dxfId="2">
      <formula>AND(IF($Q95=2,1,0),IF($X95&lt;30,1,0))</formula>
    </cfRule>
    <cfRule type="expression" priority="441" dxfId="1">
      <formula>AND(IF($Q95=3,1,0),IF($X95&lt;30,1,0))</formula>
    </cfRule>
    <cfRule type="expression" priority="442" dxfId="0">
      <formula>AND(IF($Q95=3,1,IF($Q95=4,1,0)),IF($F95&lt;=85,1,0))</formula>
    </cfRule>
  </conditionalFormatting>
  <conditionalFormatting sqref="AV96">
    <cfRule type="expression" priority="437" dxfId="23">
      <formula>AV96="X"</formula>
    </cfRule>
    <cfRule type="expression" priority="438" dxfId="22">
      <formula>AV96="후보"</formula>
    </cfRule>
  </conditionalFormatting>
  <conditionalFormatting sqref="AC9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9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96">
    <cfRule type="expression" priority="428" dxfId="3">
      <formula>AND(IF(OR($Q96=1,$Q96=2),1,0),IF($X96&lt;=20,1,0))</formula>
    </cfRule>
    <cfRule type="expression" priority="429" dxfId="2">
      <formula>AND(IF($Q96=2,1,0),IF($X96&lt;30,1,0))</formula>
    </cfRule>
    <cfRule type="expression" priority="430" dxfId="1">
      <formula>AND(IF($Q96=3,1,0),IF($X96&lt;30,1,0))</formula>
    </cfRule>
    <cfRule type="expression" priority="431" dxfId="0">
      <formula>AND(IF($Q96=3,1,IF($Q96=4,1,0)),IF($F96&lt;=85,1,0))</formula>
    </cfRule>
  </conditionalFormatting>
  <conditionalFormatting sqref="X96">
    <cfRule type="expression" priority="424" dxfId="3">
      <formula>AND(IF(OR($Q96=1,$Q96=2),1,0),IF($X96&lt;=20,1,0))</formula>
    </cfRule>
    <cfRule type="expression" priority="425" dxfId="2">
      <formula>AND(IF($Q96=2,1,0),IF($X96&lt;30,1,0))</formula>
    </cfRule>
    <cfRule type="expression" priority="426" dxfId="1">
      <formula>AND(IF($Q96=3,1,0),IF($X96&lt;30,1,0))</formula>
    </cfRule>
    <cfRule type="expression" priority="427" dxfId="0">
      <formula>AND(IF($Q96=3,1,IF($Q96=4,1,0)),IF($F96&lt;=85,1,0))</formula>
    </cfRule>
  </conditionalFormatting>
  <conditionalFormatting sqref="AI96">
    <cfRule type="expression" priority="420" dxfId="3">
      <formula>AND(IF(OR($Q96=1,$Q96=2),1,0),IF($X96&lt;=20,1,0))</formula>
    </cfRule>
    <cfRule type="expression" priority="421" dxfId="2">
      <formula>AND(IF($Q96=2,1,0),IF($X96&lt;30,1,0))</formula>
    </cfRule>
    <cfRule type="expression" priority="422" dxfId="1">
      <formula>AND(IF($Q96=3,1,0),IF($X96&lt;30,1,0))</formula>
    </cfRule>
    <cfRule type="expression" priority="423" dxfId="0">
      <formula>AND(IF($Q96=3,1,IF($Q96=4,1,0)),IF($F96&lt;=85,1,0))</formula>
    </cfRule>
  </conditionalFormatting>
  <conditionalFormatting sqref="AV97">
    <cfRule type="expression" priority="418" dxfId="23">
      <formula>AV97="X"</formula>
    </cfRule>
    <cfRule type="expression" priority="419" dxfId="22">
      <formula>AV97="후보"</formula>
    </cfRule>
  </conditionalFormatting>
  <conditionalFormatting sqref="AC9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7">
    <cfRule type="expression" priority="409" dxfId="3">
      <formula>AND(IF(OR($Q97=1,$Q97=2),1,0),IF($X97&lt;=20,1,0))</formula>
    </cfRule>
    <cfRule type="expression" priority="410" dxfId="2">
      <formula>AND(IF($Q97=2,1,0),IF($X97&lt;30,1,0))</formula>
    </cfRule>
    <cfRule type="expression" priority="411" dxfId="1">
      <formula>AND(IF($Q97=3,1,0),IF($X97&lt;30,1,0))</formula>
    </cfRule>
    <cfRule type="expression" priority="412" dxfId="0">
      <formula>AND(IF($Q97=3,1,IF($Q97=4,1,0)),IF($F97&lt;=85,1,0))</formula>
    </cfRule>
  </conditionalFormatting>
  <conditionalFormatting sqref="X97">
    <cfRule type="expression" priority="405" dxfId="3">
      <formula>AND(IF(OR($Q97=1,$Q97=2),1,0),IF($X97&lt;=20,1,0))</formula>
    </cfRule>
    <cfRule type="expression" priority="406" dxfId="2">
      <formula>AND(IF($Q97=2,1,0),IF($X97&lt;30,1,0))</formula>
    </cfRule>
    <cfRule type="expression" priority="407" dxfId="1">
      <formula>AND(IF($Q97=3,1,0),IF($X97&lt;30,1,0))</formula>
    </cfRule>
    <cfRule type="expression" priority="408" dxfId="0">
      <formula>AND(IF($Q97=3,1,IF($Q97=4,1,0)),IF($F97&lt;=85,1,0))</formula>
    </cfRule>
  </conditionalFormatting>
  <conditionalFormatting sqref="AI97">
    <cfRule type="expression" priority="401" dxfId="3">
      <formula>AND(IF(OR($Q97=1,$Q97=2),1,0),IF($X97&lt;=20,1,0))</formula>
    </cfRule>
    <cfRule type="expression" priority="402" dxfId="2">
      <formula>AND(IF($Q97=2,1,0),IF($X97&lt;30,1,0))</formula>
    </cfRule>
    <cfRule type="expression" priority="403" dxfId="1">
      <formula>AND(IF($Q97=3,1,0),IF($X97&lt;30,1,0))</formula>
    </cfRule>
    <cfRule type="expression" priority="404" dxfId="0">
      <formula>AND(IF($Q97=3,1,IF($Q97=4,1,0)),IF($F97&lt;=85,1,0))</formula>
    </cfRule>
  </conditionalFormatting>
  <conditionalFormatting sqref="AV98">
    <cfRule type="expression" priority="399" dxfId="23">
      <formula>AV98="X"</formula>
    </cfRule>
    <cfRule type="expression" priority="400" dxfId="22">
      <formula>AV98="후보"</formula>
    </cfRule>
  </conditionalFormatting>
  <conditionalFormatting sqref="AC9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8">
    <cfRule type="expression" priority="390" dxfId="3">
      <formula>AND(IF(OR($Q98=1,$Q98=2),1,0),IF($X98&lt;=20,1,0))</formula>
    </cfRule>
    <cfRule type="expression" priority="391" dxfId="2">
      <formula>AND(IF($Q98=2,1,0),IF($X98&lt;30,1,0))</formula>
    </cfRule>
    <cfRule type="expression" priority="392" dxfId="1">
      <formula>AND(IF($Q98=3,1,0),IF($X98&lt;30,1,0))</formula>
    </cfRule>
    <cfRule type="expression" priority="393" dxfId="0">
      <formula>AND(IF($Q98=3,1,IF($Q98=4,1,0)),IF($F98&lt;=85,1,0))</formula>
    </cfRule>
  </conditionalFormatting>
  <conditionalFormatting sqref="X98">
    <cfRule type="expression" priority="386" dxfId="3">
      <formula>AND(IF(OR($Q98=1,$Q98=2),1,0),IF($X98&lt;=20,1,0))</formula>
    </cfRule>
    <cfRule type="expression" priority="387" dxfId="2">
      <formula>AND(IF($Q98=2,1,0),IF($X98&lt;30,1,0))</formula>
    </cfRule>
    <cfRule type="expression" priority="388" dxfId="1">
      <formula>AND(IF($Q98=3,1,0),IF($X98&lt;30,1,0))</formula>
    </cfRule>
    <cfRule type="expression" priority="389" dxfId="0">
      <formula>AND(IF($Q98=3,1,IF($Q98=4,1,0)),IF($F98&lt;=85,1,0))</formula>
    </cfRule>
  </conditionalFormatting>
  <conditionalFormatting sqref="AI98">
    <cfRule type="expression" priority="382" dxfId="3">
      <formula>AND(IF(OR($Q98=1,$Q98=2),1,0),IF($X98&lt;=20,1,0))</formula>
    </cfRule>
    <cfRule type="expression" priority="383" dxfId="2">
      <formula>AND(IF($Q98=2,1,0),IF($X98&lt;30,1,0))</formula>
    </cfRule>
    <cfRule type="expression" priority="384" dxfId="1">
      <formula>AND(IF($Q98=3,1,0),IF($X98&lt;30,1,0))</formula>
    </cfRule>
    <cfRule type="expression" priority="385" dxfId="0">
      <formula>AND(IF($Q98=3,1,IF($Q98=4,1,0)),IF($F98&lt;=85,1,0))</formula>
    </cfRule>
  </conditionalFormatting>
  <conditionalFormatting sqref="AV99">
    <cfRule type="expression" priority="380" dxfId="23">
      <formula>AV99="X"</formula>
    </cfRule>
    <cfRule type="expression" priority="381" dxfId="22">
      <formula>AV99="후보"</formula>
    </cfRule>
  </conditionalFormatting>
  <conditionalFormatting sqref="AC9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9">
    <cfRule type="expression" priority="371" dxfId="3">
      <formula>AND(IF(OR($Q99=1,$Q99=2),1,0),IF($X99&lt;=20,1,0))</formula>
    </cfRule>
    <cfRule type="expression" priority="372" dxfId="2">
      <formula>AND(IF($Q99=2,1,0),IF($X99&lt;30,1,0))</formula>
    </cfRule>
    <cfRule type="expression" priority="373" dxfId="1">
      <formula>AND(IF($Q99=3,1,0),IF($X99&lt;30,1,0))</formula>
    </cfRule>
    <cfRule type="expression" priority="374" dxfId="0">
      <formula>AND(IF($Q99=3,1,IF($Q99=4,1,0)),IF($F99&lt;=85,1,0))</formula>
    </cfRule>
  </conditionalFormatting>
  <conditionalFormatting sqref="X99">
    <cfRule type="expression" priority="367" dxfId="3">
      <formula>AND(IF(OR($Q99=1,$Q99=2),1,0),IF($X99&lt;=20,1,0))</formula>
    </cfRule>
    <cfRule type="expression" priority="368" dxfId="2">
      <formula>AND(IF($Q99=2,1,0),IF($X99&lt;30,1,0))</formula>
    </cfRule>
    <cfRule type="expression" priority="369" dxfId="1">
      <formula>AND(IF($Q99=3,1,0),IF($X99&lt;30,1,0))</formula>
    </cfRule>
    <cfRule type="expression" priority="370" dxfId="0">
      <formula>AND(IF($Q99=3,1,IF($Q99=4,1,0)),IF($F99&lt;=85,1,0))</formula>
    </cfRule>
  </conditionalFormatting>
  <conditionalFormatting sqref="AI99">
    <cfRule type="expression" priority="363" dxfId="3">
      <formula>AND(IF(OR($Q99=1,$Q99=2),1,0),IF($X99&lt;=20,1,0))</formula>
    </cfRule>
    <cfRule type="expression" priority="364" dxfId="2">
      <formula>AND(IF($Q99=2,1,0),IF($X99&lt;30,1,0))</formula>
    </cfRule>
    <cfRule type="expression" priority="365" dxfId="1">
      <formula>AND(IF($Q99=3,1,0),IF($X99&lt;30,1,0))</formula>
    </cfRule>
    <cfRule type="expression" priority="366" dxfId="0">
      <formula>AND(IF($Q99=3,1,IF($Q99=4,1,0)),IF($F99&lt;=85,1,0))</formula>
    </cfRule>
  </conditionalFormatting>
  <conditionalFormatting sqref="AV100">
    <cfRule type="expression" priority="361" dxfId="23">
      <formula>AV100="X"</formula>
    </cfRule>
    <cfRule type="expression" priority="362" dxfId="22">
      <formula>AV100="후보"</formula>
    </cfRule>
  </conditionalFormatting>
  <conditionalFormatting sqref="AC100 N10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01">
    <cfRule type="expression" priority="356" dxfId="23">
      <formula>AV101="X"</formula>
    </cfRule>
    <cfRule type="expression" priority="357" dxfId="22">
      <formula>AV101="후보"</formula>
    </cfRule>
  </conditionalFormatting>
  <conditionalFormatting sqref="AC10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0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01">
    <cfRule type="expression" priority="347" dxfId="3">
      <formula>AND(IF(OR($Q101=1,$Q101=2),1,0),IF($X101&lt;=20,1,0))</formula>
    </cfRule>
    <cfRule type="expression" priority="348" dxfId="2">
      <formula>AND(IF($Q101=2,1,0),IF($X101&lt;30,1,0))</formula>
    </cfRule>
    <cfRule type="expression" priority="349" dxfId="1">
      <formula>AND(IF($Q101=3,1,0),IF($X101&lt;30,1,0))</formula>
    </cfRule>
    <cfRule type="expression" priority="350" dxfId="0">
      <formula>AND(IF($Q101=3,1,IF($Q101=4,1,0)),IF($F101&lt;=85,1,0))</formula>
    </cfRule>
  </conditionalFormatting>
  <conditionalFormatting sqref="X101">
    <cfRule type="expression" priority="343" dxfId="3">
      <formula>AND(IF(OR($Q101=1,$Q101=2),1,0),IF($X101&lt;=20,1,0))</formula>
    </cfRule>
    <cfRule type="expression" priority="344" dxfId="2">
      <formula>AND(IF($Q101=2,1,0),IF($X101&lt;30,1,0))</formula>
    </cfRule>
    <cfRule type="expression" priority="345" dxfId="1">
      <formula>AND(IF($Q101=3,1,0),IF($X101&lt;30,1,0))</formula>
    </cfRule>
    <cfRule type="expression" priority="346" dxfId="0">
      <formula>AND(IF($Q101=3,1,IF($Q101=4,1,0)),IF($F101&lt;=85,1,0))</formula>
    </cfRule>
  </conditionalFormatting>
  <conditionalFormatting sqref="AI101">
    <cfRule type="expression" priority="339" dxfId="3">
      <formula>AND(IF(OR($Q101=1,$Q101=2),1,0),IF($X101&lt;=20,1,0))</formula>
    </cfRule>
    <cfRule type="expression" priority="340" dxfId="2">
      <formula>AND(IF($Q101=2,1,0),IF($X101&lt;30,1,0))</formula>
    </cfRule>
    <cfRule type="expression" priority="341" dxfId="1">
      <formula>AND(IF($Q101=3,1,0),IF($X101&lt;30,1,0))</formula>
    </cfRule>
    <cfRule type="expression" priority="342" dxfId="0">
      <formula>AND(IF($Q101=3,1,IF($Q101=4,1,0)),IF($F101&lt;=85,1,0))</formula>
    </cfRule>
  </conditionalFormatting>
  <conditionalFormatting sqref="AV102">
    <cfRule type="expression" priority="337" dxfId="23">
      <formula>AV102="X"</formula>
    </cfRule>
    <cfRule type="expression" priority="338" dxfId="22">
      <formula>AV102="후보"</formula>
    </cfRule>
  </conditionalFormatting>
  <conditionalFormatting sqref="AC10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2">
    <cfRule type="expression" priority="328" dxfId="3">
      <formula>AND(IF(OR($Q102=1,$Q102=2),1,0),IF($X102&lt;=20,1,0))</formula>
    </cfRule>
    <cfRule type="expression" priority="329" dxfId="2">
      <formula>AND(IF($Q102=2,1,0),IF($X102&lt;30,1,0))</formula>
    </cfRule>
    <cfRule type="expression" priority="330" dxfId="1">
      <formula>AND(IF($Q102=3,1,0),IF($X102&lt;30,1,0))</formula>
    </cfRule>
    <cfRule type="expression" priority="331" dxfId="0">
      <formula>AND(IF($Q102=3,1,IF($Q102=4,1,0)),IF($F102&lt;=85,1,0))</formula>
    </cfRule>
  </conditionalFormatting>
  <conditionalFormatting sqref="X102">
    <cfRule type="expression" priority="324" dxfId="3">
      <formula>AND(IF(OR($Q102=1,$Q102=2),1,0),IF($X102&lt;=20,1,0))</formula>
    </cfRule>
    <cfRule type="expression" priority="325" dxfId="2">
      <formula>AND(IF($Q102=2,1,0),IF($X102&lt;30,1,0))</formula>
    </cfRule>
    <cfRule type="expression" priority="326" dxfId="1">
      <formula>AND(IF($Q102=3,1,0),IF($X102&lt;30,1,0))</formula>
    </cfRule>
    <cfRule type="expression" priority="327" dxfId="0">
      <formula>AND(IF($Q102=3,1,IF($Q102=4,1,0)),IF($F102&lt;=85,1,0))</formula>
    </cfRule>
  </conditionalFormatting>
  <conditionalFormatting sqref="AI102">
    <cfRule type="expression" priority="320" dxfId="3">
      <formula>AND(IF(OR($Q102=1,$Q102=2),1,0),IF($X102&lt;=20,1,0))</formula>
    </cfRule>
    <cfRule type="expression" priority="321" dxfId="2">
      <formula>AND(IF($Q102=2,1,0),IF($X102&lt;30,1,0))</formula>
    </cfRule>
    <cfRule type="expression" priority="322" dxfId="1">
      <formula>AND(IF($Q102=3,1,0),IF($X102&lt;30,1,0))</formula>
    </cfRule>
    <cfRule type="expression" priority="323" dxfId="0">
      <formula>AND(IF($Q102=3,1,IF($Q102=4,1,0)),IF($F102&lt;=85,1,0))</formula>
    </cfRule>
  </conditionalFormatting>
  <conditionalFormatting sqref="AV103">
    <cfRule type="expression" priority="318" dxfId="23">
      <formula>AV103="X"</formula>
    </cfRule>
    <cfRule type="expression" priority="319" dxfId="22">
      <formula>AV103="후보"</formula>
    </cfRule>
  </conditionalFormatting>
  <conditionalFormatting sqref="AC10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3">
    <cfRule type="expression" priority="309" dxfId="3">
      <formula>AND(IF(OR($Q103=1,$Q103=2),1,0),IF($X103&lt;=20,1,0))</formula>
    </cfRule>
    <cfRule type="expression" priority="310" dxfId="2">
      <formula>AND(IF($Q103=2,1,0),IF($X103&lt;30,1,0))</formula>
    </cfRule>
    <cfRule type="expression" priority="311" dxfId="1">
      <formula>AND(IF($Q103=3,1,0),IF($X103&lt;30,1,0))</formula>
    </cfRule>
    <cfRule type="expression" priority="312" dxfId="0">
      <formula>AND(IF($Q103=3,1,IF($Q103=4,1,0)),IF($F103&lt;=85,1,0))</formula>
    </cfRule>
  </conditionalFormatting>
  <conditionalFormatting sqref="X103">
    <cfRule type="expression" priority="305" dxfId="3">
      <formula>AND(IF(OR($Q103=1,$Q103=2),1,0),IF($X103&lt;=20,1,0))</formula>
    </cfRule>
    <cfRule type="expression" priority="306" dxfId="2">
      <formula>AND(IF($Q103=2,1,0),IF($X103&lt;30,1,0))</formula>
    </cfRule>
    <cfRule type="expression" priority="307" dxfId="1">
      <formula>AND(IF($Q103=3,1,0),IF($X103&lt;30,1,0))</formula>
    </cfRule>
    <cfRule type="expression" priority="308" dxfId="0">
      <formula>AND(IF($Q103=3,1,IF($Q103=4,1,0)),IF($F103&lt;=85,1,0))</formula>
    </cfRule>
  </conditionalFormatting>
  <conditionalFormatting sqref="AI103">
    <cfRule type="expression" priority="301" dxfId="3">
      <formula>AND(IF(OR($Q103=1,$Q103=2),1,0),IF($X103&lt;=20,1,0))</formula>
    </cfRule>
    <cfRule type="expression" priority="302" dxfId="2">
      <formula>AND(IF($Q103=2,1,0),IF($X103&lt;30,1,0))</formula>
    </cfRule>
    <cfRule type="expression" priority="303" dxfId="1">
      <formula>AND(IF($Q103=3,1,0),IF($X103&lt;30,1,0))</formula>
    </cfRule>
    <cfRule type="expression" priority="304" dxfId="0">
      <formula>AND(IF($Q103=3,1,IF($Q103=4,1,0)),IF($F103&lt;=85,1,0))</formula>
    </cfRule>
  </conditionalFormatting>
  <conditionalFormatting sqref="AV104">
    <cfRule type="expression" priority="299" dxfId="23">
      <formula>AV104="X"</formula>
    </cfRule>
    <cfRule type="expression" priority="300" dxfId="22">
      <formula>AV104="후보"</formula>
    </cfRule>
  </conditionalFormatting>
  <conditionalFormatting sqref="AC10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4">
    <cfRule type="expression" priority="290" dxfId="3">
      <formula>AND(IF(OR($Q104=1,$Q104=2),1,0),IF($X104&lt;=20,1,0))</formula>
    </cfRule>
    <cfRule type="expression" priority="291" dxfId="2">
      <formula>AND(IF($Q104=2,1,0),IF($X104&lt;30,1,0))</formula>
    </cfRule>
    <cfRule type="expression" priority="292" dxfId="1">
      <formula>AND(IF($Q104=3,1,0),IF($X104&lt;30,1,0))</formula>
    </cfRule>
    <cfRule type="expression" priority="293" dxfId="0">
      <formula>AND(IF($Q104=3,1,IF($Q104=4,1,0)),IF($F104&lt;=85,1,0))</formula>
    </cfRule>
  </conditionalFormatting>
  <conditionalFormatting sqref="X104">
    <cfRule type="expression" priority="286" dxfId="3">
      <formula>AND(IF(OR($Q104=1,$Q104=2),1,0),IF($X104&lt;=20,1,0))</formula>
    </cfRule>
    <cfRule type="expression" priority="287" dxfId="2">
      <formula>AND(IF($Q104=2,1,0),IF($X104&lt;30,1,0))</formula>
    </cfRule>
    <cfRule type="expression" priority="288" dxfId="1">
      <formula>AND(IF($Q104=3,1,0),IF($X104&lt;30,1,0))</formula>
    </cfRule>
    <cfRule type="expression" priority="289" dxfId="0">
      <formula>AND(IF($Q104=3,1,IF($Q104=4,1,0)),IF($F104&lt;=85,1,0))</formula>
    </cfRule>
  </conditionalFormatting>
  <conditionalFormatting sqref="AI104">
    <cfRule type="expression" priority="282" dxfId="3">
      <formula>AND(IF(OR($Q104=1,$Q104=2),1,0),IF($X104&lt;=20,1,0))</formula>
    </cfRule>
    <cfRule type="expression" priority="283" dxfId="2">
      <formula>AND(IF($Q104=2,1,0),IF($X104&lt;30,1,0))</formula>
    </cfRule>
    <cfRule type="expression" priority="284" dxfId="1">
      <formula>AND(IF($Q104=3,1,0),IF($X104&lt;30,1,0))</formula>
    </cfRule>
    <cfRule type="expression" priority="285" dxfId="0">
      <formula>AND(IF($Q104=3,1,IF($Q104=4,1,0)),IF($F104&lt;=85,1,0))</formula>
    </cfRule>
  </conditionalFormatting>
  <conditionalFormatting sqref="AV105">
    <cfRule type="expression" priority="280" dxfId="23">
      <formula>AV105="X"</formula>
    </cfRule>
    <cfRule type="expression" priority="281" dxfId="22">
      <formula>AV105="후보"</formula>
    </cfRule>
  </conditionalFormatting>
  <conditionalFormatting sqref="AC10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5">
    <cfRule type="expression" priority="271" dxfId="3">
      <formula>AND(IF(OR($Q105=1,$Q105=2),1,0),IF($X105&lt;=20,1,0))</formula>
    </cfRule>
    <cfRule type="expression" priority="272" dxfId="2">
      <formula>AND(IF($Q105=2,1,0),IF($X105&lt;30,1,0))</formula>
    </cfRule>
    <cfRule type="expression" priority="273" dxfId="1">
      <formula>AND(IF($Q105=3,1,0),IF($X105&lt;30,1,0))</formula>
    </cfRule>
    <cfRule type="expression" priority="274" dxfId="0">
      <formula>AND(IF($Q105=3,1,IF($Q105=4,1,0)),IF($F105&lt;=85,1,0))</formula>
    </cfRule>
  </conditionalFormatting>
  <conditionalFormatting sqref="X105">
    <cfRule type="expression" priority="267" dxfId="3">
      <formula>AND(IF(OR($Q105=1,$Q105=2),1,0),IF($X105&lt;=20,1,0))</formula>
    </cfRule>
    <cfRule type="expression" priority="268" dxfId="2">
      <formula>AND(IF($Q105=2,1,0),IF($X105&lt;30,1,0))</formula>
    </cfRule>
    <cfRule type="expression" priority="269" dxfId="1">
      <formula>AND(IF($Q105=3,1,0),IF($X105&lt;30,1,0))</formula>
    </cfRule>
    <cfRule type="expression" priority="270" dxfId="0">
      <formula>AND(IF($Q105=3,1,IF($Q105=4,1,0)),IF($F105&lt;=85,1,0))</formula>
    </cfRule>
  </conditionalFormatting>
  <conditionalFormatting sqref="AI105">
    <cfRule type="expression" priority="263" dxfId="3">
      <formula>AND(IF(OR($Q105=1,$Q105=2),1,0),IF($X105&lt;=20,1,0))</formula>
    </cfRule>
    <cfRule type="expression" priority="264" dxfId="2">
      <formula>AND(IF($Q105=2,1,0),IF($X105&lt;30,1,0))</formula>
    </cfRule>
    <cfRule type="expression" priority="265" dxfId="1">
      <formula>AND(IF($Q105=3,1,0),IF($X105&lt;30,1,0))</formula>
    </cfRule>
    <cfRule type="expression" priority="266" dxfId="0">
      <formula>AND(IF($Q105=3,1,IF($Q105=4,1,0)),IF($F105&lt;=85,1,0))</formula>
    </cfRule>
  </conditionalFormatting>
  <conditionalFormatting sqref="AV106">
    <cfRule type="expression" priority="261" dxfId="23">
      <formula>AV106="X"</formula>
    </cfRule>
    <cfRule type="expression" priority="262" dxfId="22">
      <formula>AV106="후보"</formula>
    </cfRule>
  </conditionalFormatting>
  <conditionalFormatting sqref="AC106 N10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7">
    <cfRule type="expression" priority="256" dxfId="23">
      <formula>AV107="X"</formula>
    </cfRule>
    <cfRule type="expression" priority="257" dxfId="22">
      <formula>AV107="후보"</formula>
    </cfRule>
  </conditionalFormatting>
  <conditionalFormatting sqref="AC10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7">
    <cfRule type="expression" priority="247" dxfId="3">
      <formula>AND(IF(OR($Q107=1,$Q107=2),1,0),IF($X107&lt;=20,1,0))</formula>
    </cfRule>
    <cfRule type="expression" priority="248" dxfId="2">
      <formula>AND(IF($Q107=2,1,0),IF($X107&lt;30,1,0))</formula>
    </cfRule>
    <cfRule type="expression" priority="249" dxfId="1">
      <formula>AND(IF($Q107=3,1,0),IF($X107&lt;30,1,0))</formula>
    </cfRule>
    <cfRule type="expression" priority="250" dxfId="0">
      <formula>AND(IF($Q107=3,1,IF($Q107=4,1,0)),IF($F107&lt;=85,1,0))</formula>
    </cfRule>
  </conditionalFormatting>
  <conditionalFormatting sqref="X107">
    <cfRule type="expression" priority="243" dxfId="3">
      <formula>AND(IF(OR($Q107=1,$Q107=2),1,0),IF($X107&lt;=20,1,0))</formula>
    </cfRule>
    <cfRule type="expression" priority="244" dxfId="2">
      <formula>AND(IF($Q107=2,1,0),IF($X107&lt;30,1,0))</formula>
    </cfRule>
    <cfRule type="expression" priority="245" dxfId="1">
      <formula>AND(IF($Q107=3,1,0),IF($X107&lt;30,1,0))</formula>
    </cfRule>
    <cfRule type="expression" priority="246" dxfId="0">
      <formula>AND(IF($Q107=3,1,IF($Q107=4,1,0)),IF($F107&lt;=85,1,0))</formula>
    </cfRule>
  </conditionalFormatting>
  <conditionalFormatting sqref="AI107">
    <cfRule type="expression" priority="239" dxfId="3">
      <formula>AND(IF(OR($Q107=1,$Q107=2),1,0),IF($X107&lt;=20,1,0))</formula>
    </cfRule>
    <cfRule type="expression" priority="240" dxfId="2">
      <formula>AND(IF($Q107=2,1,0),IF($X107&lt;30,1,0))</formula>
    </cfRule>
    <cfRule type="expression" priority="241" dxfId="1">
      <formula>AND(IF($Q107=3,1,0),IF($X107&lt;30,1,0))</formula>
    </cfRule>
    <cfRule type="expression" priority="242" dxfId="0">
      <formula>AND(IF($Q107=3,1,IF($Q107=4,1,0)),IF($F107&lt;=85,1,0))</formula>
    </cfRule>
  </conditionalFormatting>
  <conditionalFormatting sqref="AV108">
    <cfRule type="expression" priority="237" dxfId="23">
      <formula>AV108="X"</formula>
    </cfRule>
    <cfRule type="expression" priority="238" dxfId="22">
      <formula>AV108="후보"</formula>
    </cfRule>
  </conditionalFormatting>
  <conditionalFormatting sqref="AC10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8">
    <cfRule type="expression" priority="228" dxfId="3">
      <formula>AND(IF(OR($Q108=1,$Q108=2),1,0),IF($X108&lt;=20,1,0))</formula>
    </cfRule>
    <cfRule type="expression" priority="229" dxfId="2">
      <formula>AND(IF($Q108=2,1,0),IF($X108&lt;30,1,0))</formula>
    </cfRule>
    <cfRule type="expression" priority="230" dxfId="1">
      <formula>AND(IF($Q108=3,1,0),IF($X108&lt;30,1,0))</formula>
    </cfRule>
    <cfRule type="expression" priority="231" dxfId="0">
      <formula>AND(IF($Q108=3,1,IF($Q108=4,1,0)),IF($F108&lt;=85,1,0))</formula>
    </cfRule>
  </conditionalFormatting>
  <conditionalFormatting sqref="X108">
    <cfRule type="expression" priority="224" dxfId="3">
      <formula>AND(IF(OR($Q108=1,$Q108=2),1,0),IF($X108&lt;=20,1,0))</formula>
    </cfRule>
    <cfRule type="expression" priority="225" dxfId="2">
      <formula>AND(IF($Q108=2,1,0),IF($X108&lt;30,1,0))</formula>
    </cfRule>
    <cfRule type="expression" priority="226" dxfId="1">
      <formula>AND(IF($Q108=3,1,0),IF($X108&lt;30,1,0))</formula>
    </cfRule>
    <cfRule type="expression" priority="227" dxfId="0">
      <formula>AND(IF($Q108=3,1,IF($Q108=4,1,0)),IF($F108&lt;=85,1,0))</formula>
    </cfRule>
  </conditionalFormatting>
  <conditionalFormatting sqref="AI108">
    <cfRule type="expression" priority="220" dxfId="3">
      <formula>AND(IF(OR($Q108=1,$Q108=2),1,0),IF($X108&lt;=20,1,0))</formula>
    </cfRule>
    <cfRule type="expression" priority="221" dxfId="2">
      <formula>AND(IF($Q108=2,1,0),IF($X108&lt;30,1,0))</formula>
    </cfRule>
    <cfRule type="expression" priority="222" dxfId="1">
      <formula>AND(IF($Q108=3,1,0),IF($X108&lt;30,1,0))</formula>
    </cfRule>
    <cfRule type="expression" priority="223" dxfId="0">
      <formula>AND(IF($Q108=3,1,IF($Q108=4,1,0)),IF($F108&lt;=85,1,0))</formula>
    </cfRule>
  </conditionalFormatting>
  <conditionalFormatting sqref="AV109">
    <cfRule type="expression" priority="218" dxfId="23">
      <formula>AV109="X"</formula>
    </cfRule>
    <cfRule type="expression" priority="219" dxfId="22">
      <formula>AV109="후보"</formula>
    </cfRule>
  </conditionalFormatting>
  <conditionalFormatting sqref="AC10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9">
    <cfRule type="expression" priority="209" dxfId="3">
      <formula>AND(IF(OR($Q109=1,$Q109=2),1,0),IF($X109&lt;=20,1,0))</formula>
    </cfRule>
    <cfRule type="expression" priority="210" dxfId="2">
      <formula>AND(IF($Q109=2,1,0),IF($X109&lt;30,1,0))</formula>
    </cfRule>
    <cfRule type="expression" priority="211" dxfId="1">
      <formula>AND(IF($Q109=3,1,0),IF($X109&lt;30,1,0))</formula>
    </cfRule>
    <cfRule type="expression" priority="212" dxfId="0">
      <formula>AND(IF($Q109=3,1,IF($Q109=4,1,0)),IF($F109&lt;=85,1,0))</formula>
    </cfRule>
  </conditionalFormatting>
  <conditionalFormatting sqref="X109">
    <cfRule type="expression" priority="205" dxfId="3">
      <formula>AND(IF(OR($Q109=1,$Q109=2),1,0),IF($X109&lt;=20,1,0))</formula>
    </cfRule>
    <cfRule type="expression" priority="206" dxfId="2">
      <formula>AND(IF($Q109=2,1,0),IF($X109&lt;30,1,0))</formula>
    </cfRule>
    <cfRule type="expression" priority="207" dxfId="1">
      <formula>AND(IF($Q109=3,1,0),IF($X109&lt;30,1,0))</formula>
    </cfRule>
    <cfRule type="expression" priority="208" dxfId="0">
      <formula>AND(IF($Q109=3,1,IF($Q109=4,1,0)),IF($F109&lt;=85,1,0))</formula>
    </cfRule>
  </conditionalFormatting>
  <conditionalFormatting sqref="AI109">
    <cfRule type="expression" priority="201" dxfId="3">
      <formula>AND(IF(OR($Q109=1,$Q109=2),1,0),IF($X109&lt;=20,1,0))</formula>
    </cfRule>
    <cfRule type="expression" priority="202" dxfId="2">
      <formula>AND(IF($Q109=2,1,0),IF($X109&lt;30,1,0))</formula>
    </cfRule>
    <cfRule type="expression" priority="203" dxfId="1">
      <formula>AND(IF($Q109=3,1,0),IF($X109&lt;30,1,0))</formula>
    </cfRule>
    <cfRule type="expression" priority="204" dxfId="0">
      <formula>AND(IF($Q109=3,1,IF($Q109=4,1,0)),IF($F109&lt;=85,1,0))</formula>
    </cfRule>
  </conditionalFormatting>
  <conditionalFormatting sqref="AV110">
    <cfRule type="expression" priority="199" dxfId="23">
      <formula>AV110="X"</formula>
    </cfRule>
    <cfRule type="expression" priority="200" dxfId="22">
      <formula>AV110="후보"</formula>
    </cfRule>
  </conditionalFormatting>
  <conditionalFormatting sqref="AC1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0">
    <cfRule type="expression" priority="190" dxfId="3">
      <formula>AND(IF(OR($Q110=1,$Q110=2),1,0),IF($X110&lt;=20,1,0))</formula>
    </cfRule>
    <cfRule type="expression" priority="191" dxfId="2">
      <formula>AND(IF($Q110=2,1,0),IF($X110&lt;30,1,0))</formula>
    </cfRule>
    <cfRule type="expression" priority="192" dxfId="1">
      <formula>AND(IF($Q110=3,1,0),IF($X110&lt;30,1,0))</formula>
    </cfRule>
    <cfRule type="expression" priority="193" dxfId="0">
      <formula>AND(IF($Q110=3,1,IF($Q110=4,1,0)),IF($F110&lt;=85,1,0))</formula>
    </cfRule>
  </conditionalFormatting>
  <conditionalFormatting sqref="X110">
    <cfRule type="expression" priority="186" dxfId="3">
      <formula>AND(IF(OR($Q110=1,$Q110=2),1,0),IF($X110&lt;=20,1,0))</formula>
    </cfRule>
    <cfRule type="expression" priority="187" dxfId="2">
      <formula>AND(IF($Q110=2,1,0),IF($X110&lt;30,1,0))</formula>
    </cfRule>
    <cfRule type="expression" priority="188" dxfId="1">
      <formula>AND(IF($Q110=3,1,0),IF($X110&lt;30,1,0))</formula>
    </cfRule>
    <cfRule type="expression" priority="189" dxfId="0">
      <formula>AND(IF($Q110=3,1,IF($Q110=4,1,0)),IF($F110&lt;=85,1,0))</formula>
    </cfRule>
  </conditionalFormatting>
  <conditionalFormatting sqref="AI110">
    <cfRule type="expression" priority="182" dxfId="3">
      <formula>AND(IF(OR($Q110=1,$Q110=2),1,0),IF($X110&lt;=20,1,0))</formula>
    </cfRule>
    <cfRule type="expression" priority="183" dxfId="2">
      <formula>AND(IF($Q110=2,1,0),IF($X110&lt;30,1,0))</formula>
    </cfRule>
    <cfRule type="expression" priority="184" dxfId="1">
      <formula>AND(IF($Q110=3,1,0),IF($X110&lt;30,1,0))</formula>
    </cfRule>
    <cfRule type="expression" priority="185" dxfId="0">
      <formula>AND(IF($Q110=3,1,IF($Q110=4,1,0)),IF($F110&lt;=85,1,0))</formula>
    </cfRule>
  </conditionalFormatting>
  <conditionalFormatting sqref="AV111">
    <cfRule type="expression" priority="180" dxfId="23">
      <formula>AV111="X"</formula>
    </cfRule>
    <cfRule type="expression" priority="181" dxfId="22">
      <formula>AV111="후보"</formula>
    </cfRule>
  </conditionalFormatting>
  <conditionalFormatting sqref="AC11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11">
    <cfRule type="expression" priority="171" dxfId="3">
      <formula>AND(IF(OR($Q111=1,$Q111=2),1,0),IF($X111&lt;=20,1,0))</formula>
    </cfRule>
    <cfRule type="expression" priority="172" dxfId="2">
      <formula>AND(IF($Q111=2,1,0),IF($X111&lt;30,1,0))</formula>
    </cfRule>
    <cfRule type="expression" priority="173" dxfId="1">
      <formula>AND(IF($Q111=3,1,0),IF($X111&lt;30,1,0))</formula>
    </cfRule>
    <cfRule type="expression" priority="174" dxfId="0">
      <formula>AND(IF($Q111=3,1,IF($Q111=4,1,0)),IF($F111&lt;=85,1,0))</formula>
    </cfRule>
  </conditionalFormatting>
  <conditionalFormatting sqref="X111">
    <cfRule type="expression" priority="167" dxfId="3">
      <formula>AND(IF(OR($Q111=1,$Q111=2),1,0),IF($X111&lt;=20,1,0))</formula>
    </cfRule>
    <cfRule type="expression" priority="168" dxfId="2">
      <formula>AND(IF($Q111=2,1,0),IF($X111&lt;30,1,0))</formula>
    </cfRule>
    <cfRule type="expression" priority="169" dxfId="1">
      <formula>AND(IF($Q111=3,1,0),IF($X111&lt;30,1,0))</formula>
    </cfRule>
    <cfRule type="expression" priority="170" dxfId="0">
      <formula>AND(IF($Q111=3,1,IF($Q111=4,1,0)),IF($F111&lt;=85,1,0))</formula>
    </cfRule>
  </conditionalFormatting>
  <conditionalFormatting sqref="AI111">
    <cfRule type="expression" priority="163" dxfId="3">
      <formula>AND(IF(OR($Q111=1,$Q111=2),1,0),IF($X111&lt;=20,1,0))</formula>
    </cfRule>
    <cfRule type="expression" priority="164" dxfId="2">
      <formula>AND(IF($Q111=2,1,0),IF($X111&lt;30,1,0))</formula>
    </cfRule>
    <cfRule type="expression" priority="165" dxfId="1">
      <formula>AND(IF($Q111=3,1,0),IF($X111&lt;30,1,0))</formula>
    </cfRule>
    <cfRule type="expression" priority="166" dxfId="0">
      <formula>AND(IF($Q111=3,1,IF($Q111=4,1,0)),IF($F111&lt;=85,1,0))</formula>
    </cfRule>
  </conditionalFormatting>
  <conditionalFormatting sqref="AV112">
    <cfRule type="expression" priority="161" dxfId="23">
      <formula>AV112="X"</formula>
    </cfRule>
    <cfRule type="expression" priority="162" dxfId="22">
      <formula>AV112="후보"</formula>
    </cfRule>
  </conditionalFormatting>
  <conditionalFormatting sqref="AC112 N1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3">
    <cfRule type="expression" priority="156" dxfId="23">
      <formula>AV113="X"</formula>
    </cfRule>
    <cfRule type="expression" priority="157" dxfId="22">
      <formula>AV113="후보"</formula>
    </cfRule>
  </conditionalFormatting>
  <conditionalFormatting sqref="AC1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3">
    <cfRule type="expression" priority="147" dxfId="3">
      <formula>AND(IF(OR($Q113=1,$Q113=2),1,0),IF($X113&lt;=20,1,0))</formula>
    </cfRule>
    <cfRule type="expression" priority="148" dxfId="2">
      <formula>AND(IF($Q113=2,1,0),IF($X113&lt;30,1,0))</formula>
    </cfRule>
    <cfRule type="expression" priority="149" dxfId="1">
      <formula>AND(IF($Q113=3,1,0),IF($X113&lt;30,1,0))</formula>
    </cfRule>
    <cfRule type="expression" priority="150" dxfId="0">
      <formula>AND(IF($Q113=3,1,IF($Q113=4,1,0)),IF($F113&lt;=85,1,0))</formula>
    </cfRule>
  </conditionalFormatting>
  <conditionalFormatting sqref="X113">
    <cfRule type="expression" priority="143" dxfId="3">
      <formula>AND(IF(OR($Q113=1,$Q113=2),1,0),IF($X113&lt;=20,1,0))</formula>
    </cfRule>
    <cfRule type="expression" priority="144" dxfId="2">
      <formula>AND(IF($Q113=2,1,0),IF($X113&lt;30,1,0))</formula>
    </cfRule>
    <cfRule type="expression" priority="145" dxfId="1">
      <formula>AND(IF($Q113=3,1,0),IF($X113&lt;30,1,0))</formula>
    </cfRule>
    <cfRule type="expression" priority="146" dxfId="0">
      <formula>AND(IF($Q113=3,1,IF($Q113=4,1,0)),IF($F113&lt;=85,1,0))</formula>
    </cfRule>
  </conditionalFormatting>
  <conditionalFormatting sqref="AI113">
    <cfRule type="expression" priority="139" dxfId="3">
      <formula>AND(IF(OR($Q113=1,$Q113=2),1,0),IF($X113&lt;=20,1,0))</formula>
    </cfRule>
    <cfRule type="expression" priority="140" dxfId="2">
      <formula>AND(IF($Q113=2,1,0),IF($X113&lt;30,1,0))</formula>
    </cfRule>
    <cfRule type="expression" priority="141" dxfId="1">
      <formula>AND(IF($Q113=3,1,0),IF($X113&lt;30,1,0))</formula>
    </cfRule>
    <cfRule type="expression" priority="142" dxfId="0">
      <formula>AND(IF($Q113=3,1,IF($Q113=4,1,0)),IF($F113&lt;=85,1,0))</formula>
    </cfRule>
  </conditionalFormatting>
  <conditionalFormatting sqref="AV114">
    <cfRule type="expression" priority="137" dxfId="23">
      <formula>AV114="X"</formula>
    </cfRule>
    <cfRule type="expression" priority="138" dxfId="22">
      <formula>AV114="후보"</formula>
    </cfRule>
  </conditionalFormatting>
  <conditionalFormatting sqref="AC1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4">
    <cfRule type="expression" priority="128" dxfId="3">
      <formula>AND(IF(OR($Q114=1,$Q114=2),1,0),IF($X114&lt;=20,1,0))</formula>
    </cfRule>
    <cfRule type="expression" priority="129" dxfId="2">
      <formula>AND(IF($Q114=2,1,0),IF($X114&lt;30,1,0))</formula>
    </cfRule>
    <cfRule type="expression" priority="130" dxfId="1">
      <formula>AND(IF($Q114=3,1,0),IF($X114&lt;30,1,0))</formula>
    </cfRule>
    <cfRule type="expression" priority="131" dxfId="0">
      <formula>AND(IF($Q114=3,1,IF($Q114=4,1,0)),IF($F114&lt;=85,1,0))</formula>
    </cfRule>
  </conditionalFormatting>
  <conditionalFormatting sqref="X114">
    <cfRule type="expression" priority="124" dxfId="3">
      <formula>AND(IF(OR($Q114=1,$Q114=2),1,0),IF($X114&lt;=20,1,0))</formula>
    </cfRule>
    <cfRule type="expression" priority="125" dxfId="2">
      <formula>AND(IF($Q114=2,1,0),IF($X114&lt;30,1,0))</formula>
    </cfRule>
    <cfRule type="expression" priority="126" dxfId="1">
      <formula>AND(IF($Q114=3,1,0),IF($X114&lt;30,1,0))</formula>
    </cfRule>
    <cfRule type="expression" priority="127" dxfId="0">
      <formula>AND(IF($Q114=3,1,IF($Q114=4,1,0)),IF($F114&lt;=85,1,0))</formula>
    </cfRule>
  </conditionalFormatting>
  <conditionalFormatting sqref="AI114">
    <cfRule type="expression" priority="120" dxfId="3">
      <formula>AND(IF(OR($Q114=1,$Q114=2),1,0),IF($X114&lt;=20,1,0))</formula>
    </cfRule>
    <cfRule type="expression" priority="121" dxfId="2">
      <formula>AND(IF($Q114=2,1,0),IF($X114&lt;30,1,0))</formula>
    </cfRule>
    <cfRule type="expression" priority="122" dxfId="1">
      <formula>AND(IF($Q114=3,1,0),IF($X114&lt;30,1,0))</formula>
    </cfRule>
    <cfRule type="expression" priority="123" dxfId="0">
      <formula>AND(IF($Q114=3,1,IF($Q114=4,1,0)),IF($F114&lt;=85,1,0))</formula>
    </cfRule>
  </conditionalFormatting>
  <conditionalFormatting sqref="AV115">
    <cfRule type="expression" priority="118" dxfId="23">
      <formula>AV115="X"</formula>
    </cfRule>
    <cfRule type="expression" priority="119" dxfId="22">
      <formula>AV115="후보"</formula>
    </cfRule>
  </conditionalFormatting>
  <conditionalFormatting sqref="AC1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5">
    <cfRule type="expression" priority="109" dxfId="3">
      <formula>AND(IF(OR($Q115=1,$Q115=2),1,0),IF($X115&lt;=20,1,0))</formula>
    </cfRule>
    <cfRule type="expression" priority="110" dxfId="2">
      <formula>AND(IF($Q115=2,1,0),IF($X115&lt;30,1,0))</formula>
    </cfRule>
    <cfRule type="expression" priority="111" dxfId="1">
      <formula>AND(IF($Q115=3,1,0),IF($X115&lt;30,1,0))</formula>
    </cfRule>
    <cfRule type="expression" priority="112" dxfId="0">
      <formula>AND(IF($Q115=3,1,IF($Q115=4,1,0)),IF($F115&lt;=85,1,0))</formula>
    </cfRule>
  </conditionalFormatting>
  <conditionalFormatting sqref="X115">
    <cfRule type="expression" priority="105" dxfId="3">
      <formula>AND(IF(OR($Q115=1,$Q115=2),1,0),IF($X115&lt;=20,1,0))</formula>
    </cfRule>
    <cfRule type="expression" priority="106" dxfId="2">
      <formula>AND(IF($Q115=2,1,0),IF($X115&lt;30,1,0))</formula>
    </cfRule>
    <cfRule type="expression" priority="107" dxfId="1">
      <formula>AND(IF($Q115=3,1,0),IF($X115&lt;30,1,0))</formula>
    </cfRule>
    <cfRule type="expression" priority="108" dxfId="0">
      <formula>AND(IF($Q115=3,1,IF($Q115=4,1,0)),IF($F115&lt;=85,1,0))</formula>
    </cfRule>
  </conditionalFormatting>
  <conditionalFormatting sqref="AI115">
    <cfRule type="expression" priority="101" dxfId="3">
      <formula>AND(IF(OR($Q115=1,$Q115=2),1,0),IF($X115&lt;=20,1,0))</formula>
    </cfRule>
    <cfRule type="expression" priority="102" dxfId="2">
      <formula>AND(IF($Q115=2,1,0),IF($X115&lt;30,1,0))</formula>
    </cfRule>
    <cfRule type="expression" priority="103" dxfId="1">
      <formula>AND(IF($Q115=3,1,0),IF($X115&lt;30,1,0))</formula>
    </cfRule>
    <cfRule type="expression" priority="104" dxfId="0">
      <formula>AND(IF($Q115=3,1,IF($Q115=4,1,0)),IF($F115&lt;=85,1,0))</formula>
    </cfRule>
  </conditionalFormatting>
  <conditionalFormatting sqref="AV116">
    <cfRule type="expression" priority="99" dxfId="23">
      <formula>AV116="X"</formula>
    </cfRule>
    <cfRule type="expression" priority="100" dxfId="22">
      <formula>AV116="후보"</formula>
    </cfRule>
  </conditionalFormatting>
  <conditionalFormatting sqref="AC1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23">
      <formula>AV117="X"</formula>
    </cfRule>
    <cfRule type="expression" priority="81" dxfId="22">
      <formula>AV117="후보"</formula>
    </cfRule>
  </conditionalFormatting>
  <conditionalFormatting sqref="AC1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23">
      <formula>AV118="X"</formula>
    </cfRule>
    <cfRule type="expression" priority="62" dxfId="22">
      <formula>AV118="후보"</formula>
    </cfRule>
  </conditionalFormatting>
  <conditionalFormatting sqref="AC1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8">
    <cfRule type="expression" priority="52" dxfId="3">
      <formula>AND(IF(OR($Q118=1,$Q118=2),1,0),IF($X118&lt;=20,1,0))</formula>
    </cfRule>
    <cfRule type="expression" priority="53" dxfId="2">
      <formula>AND(IF($Q118=2,1,0),IF($X118&lt;30,1,0))</formula>
    </cfRule>
    <cfRule type="expression" priority="54" dxfId="1">
      <formula>AND(IF($Q118=3,1,0),IF($X118&lt;30,1,0))</formula>
    </cfRule>
    <cfRule type="expression" priority="55" dxfId="0">
      <formula>AND(IF($Q118=3,1,IF($Q118=4,1,0)),IF($F118&lt;=85,1,0))</formula>
    </cfRule>
  </conditionalFormatting>
  <conditionalFormatting sqref="X118">
    <cfRule type="expression" priority="48" dxfId="3">
      <formula>AND(IF(OR($Q118=1,$Q118=2),1,0),IF($X118&lt;=20,1,0))</formula>
    </cfRule>
    <cfRule type="expression" priority="49" dxfId="2">
      <formula>AND(IF($Q118=2,1,0),IF($X118&lt;30,1,0))</formula>
    </cfRule>
    <cfRule type="expression" priority="50" dxfId="1">
      <formula>AND(IF($Q118=3,1,0),IF($X118&lt;30,1,0))</formula>
    </cfRule>
    <cfRule type="expression" priority="51" dxfId="0">
      <formula>AND(IF($Q118=3,1,IF($Q118=4,1,0)),IF($F118&lt;=85,1,0))</formula>
    </cfRule>
  </conditionalFormatting>
  <conditionalFormatting sqref="AI118">
    <cfRule type="expression" priority="44" dxfId="3">
      <formula>AND(IF(OR($Q118=1,$Q118=2),1,0),IF($X118&lt;=20,1,0))</formula>
    </cfRule>
    <cfRule type="expression" priority="45" dxfId="2">
      <formula>AND(IF($Q118=2,1,0),IF($X118&lt;30,1,0))</formula>
    </cfRule>
    <cfRule type="expression" priority="46" dxfId="1">
      <formula>AND(IF($Q118=3,1,0),IF($X118&lt;30,1,0))</formula>
    </cfRule>
    <cfRule type="expression" priority="47" dxfId="0">
      <formula>AND(IF($Q118=3,1,IF($Q118=4,1,0)),IF($F118&lt;=85,1,0))</formula>
    </cfRule>
  </conditionalFormatting>
  <conditionalFormatting sqref="AV119">
    <cfRule type="expression" priority="42" dxfId="23">
      <formula>AV119="X"</formula>
    </cfRule>
    <cfRule type="expression" priority="43" dxfId="22">
      <formula>AV119="후보"</formula>
    </cfRule>
  </conditionalFormatting>
  <conditionalFormatting sqref="AC119 N11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0">
    <cfRule type="expression" priority="37" dxfId="23">
      <formula>AV120="X"</formula>
    </cfRule>
    <cfRule type="expression" priority="38" dxfId="22">
      <formula>AV120="후보"</formula>
    </cfRule>
  </conditionalFormatting>
  <conditionalFormatting sqref="AC1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23">
      <formula>AV121="X"</formula>
    </cfRule>
    <cfRule type="expression" priority="19" dxfId="22">
      <formula>AV121="후보"</formula>
    </cfRule>
  </conditionalFormatting>
  <conditionalFormatting sqref="AC1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2022-05-10T00:35:10Z</dcterms:modified>
  <cp:lastModifiedBy>MinsuKwon</cp:lastModifiedBy>
  <cp:lastPrinted>2018-04-28T10:52:41Z</cp:lastPrinted>
</cp:coreProperties>
</file>